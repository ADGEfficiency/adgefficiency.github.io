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ml.chartshape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523" codeName="{51196F13-6AD0-C1B8-E2B4-A1F9AE17003E}"/>
  <workbookPr updateLinks="always" codeName="ThisWorkbook" defaultThemeVersion="124226"/>
  <mc:AlternateContent xmlns:mc="http://schemas.openxmlformats.org/markup-compatibility/2006">
    <mc:Choice Requires="x15">
      <x15ac:absPath xmlns:x15ac="http://schemas.microsoft.com/office/spreadsheetml/2010/11/ac" url="/Users/adam/git/adgefficiency.github.io/assets/energy_py_talk/"/>
    </mc:Choice>
  </mc:AlternateContent>
  <xr:revisionPtr revIDLastSave="0" documentId="8_{8107CD0A-98FF-4442-A460-66175C34C23C}" xr6:coauthVersionLast="33" xr6:coauthVersionMax="33" xr10:uidLastSave="{00000000-0000-0000-0000-000000000000}"/>
  <bookViews>
    <workbookView xWindow="0" yWindow="0" windowWidth="33600" windowHeight="21000" tabRatio="805" activeTab="3" xr2:uid="{00000000-000D-0000-FFFF-FFFF00000000}"/>
  </bookViews>
  <sheets>
    <sheet name="Intro" sheetId="4" r:id="rId1"/>
    <sheet name="Operator" sheetId="21" r:id="rId2"/>
    <sheet name="Assets" sheetId="34" r:id="rId3"/>
    <sheet name="PFD" sheetId="1" r:id="rId4"/>
    <sheet name="Model" sheetId="3" r:id="rId5"/>
    <sheet name="Eco." sheetId="7" r:id="rId6"/>
    <sheet name="Results" sheetId="27" r:id="rId7"/>
    <sheet name="to do" sheetId="35" r:id="rId8"/>
    <sheet name="Sheet1" sheetId="36" r:id="rId9"/>
  </sheets>
  <definedNames>
    <definedName name="actualvar">PFD!$G$40:$G$77</definedName>
    <definedName name="actualvar.badindex" hidden="1">1</definedName>
    <definedName name="actualvar.rowindex" hidden="1">PFD!$G$40:$G$76</definedName>
    <definedName name="actualvar.rowindex.dirn" hidden="1">"row"</definedName>
    <definedName name="ambt">Operator!$C$25</definedName>
    <definedName name="ambTemp">Model!$C$64</definedName>
    <definedName name="anscount" hidden="1">1</definedName>
    <definedName name="AREAassumptions">Model!$A$61</definedName>
    <definedName name="AREAboilers">Model!$A$455</definedName>
    <definedName name="AREAcusttariffscalc">Model!$A$682</definedName>
    <definedName name="AREAdacalc">Model!$A$501</definedName>
    <definedName name="AREAecohourly">Eco.!$A$3:$K$26</definedName>
    <definedName name="AREAgasengine">Model!$A$616</definedName>
    <definedName name="AREAgasturbines">Model!$A$297</definedName>
    <definedName name="AREAoprinputs">Operator!$A$9:$J$38</definedName>
    <definedName name="AREAparasitics">Model!$A$566</definedName>
    <definedName name="AREArigsim">Model!$A$654</definedName>
    <definedName name="AREAsteamturbines">Model!$A$345</definedName>
    <definedName name="AREAvariables">Model!$A$20</definedName>
    <definedName name="AS2DocOpenMode" hidden="1">"AS2DocumentEdit"</definedName>
    <definedName name="BC.CMPEffy">Model!$F$96</definedName>
    <definedName name="BC.cSFEffy">Model!$C$76</definedName>
    <definedName name="case">Operator!$B$60</definedName>
    <definedName name="coin_cuttype" localSheetId="3" hidden="1">1</definedName>
    <definedName name="coin_dualtol" localSheetId="3" hidden="1">0.0000001</definedName>
    <definedName name="coin_heurs" localSheetId="3" hidden="1">1</definedName>
    <definedName name="coin_integerpresolve" localSheetId="3" hidden="1">1</definedName>
    <definedName name="coin_presolve1" localSheetId="3" hidden="1">1</definedName>
    <definedName name="coin_primaltol" localSheetId="3" hidden="1">0.0000001</definedName>
    <definedName name="constraints">PFD!$E$40:$F$77</definedName>
    <definedName name="ConstrBINmax">PFD!$L$40:$L$59</definedName>
    <definedName name="ConstrBINmin">PFD!$L$62:$L$81</definedName>
    <definedName name="constrEHP">PFD!$S$67:$S$68</definedName>
    <definedName name="ConstrELECTBAL1">PFD!$S$71</definedName>
    <definedName name="ConstrGTWHB">PFD!$S$50:$S$51</definedName>
    <definedName name="ConstrHEAD">PFD!$S$41:$S$44</definedName>
    <definedName name="ConstrST2LHS">PFD!$S$54:$S$57</definedName>
    <definedName name="ConstrST2RHS">PFD!$U$54:$U$57</definedName>
    <definedName name="ConstrST5LHS">PFD!$S$60:$S$64</definedName>
    <definedName name="ConstrST5RHS">PFD!$U$60:$U$64</definedName>
    <definedName name="CONVG">PFD!$Y$43</definedName>
    <definedName name="date">Operator!$C$3</definedName>
    <definedName name="derivatives">PFD!$Y$45</definedName>
    <definedName name="electBLUE">PFD!$Z$11</definedName>
    <definedName name="electLENZ">PFD!$Z$10</definedName>
    <definedName name="electVAR">PFD!$G$74:$G$77</definedName>
    <definedName name="estimates">PFD!$Y$44</definedName>
    <definedName name="hBFW">Model!$C$524</definedName>
    <definedName name="hCRres">Results!$D$519</definedName>
    <definedName name="hDA">Model!$C$523</definedName>
    <definedName name="hEXHact">Model!$C$646</definedName>
    <definedName name="hEXHrig">Model!$C$679</definedName>
    <definedName name="hEXHrig0">Model!$C$142</definedName>
    <definedName name="hMUact">Model!$C$536</definedName>
    <definedName name="hMUres">Results!$D$517</definedName>
    <definedName name="hMUrig">Model!$L$670</definedName>
    <definedName name="hMUrig0">Model!$C$141</definedName>
    <definedName name="hVENT">Model!$C$522</definedName>
    <definedName name="intTOL">PFD!$Y$42</definedName>
    <definedName name="LPBLUE">PFD!$U$26</definedName>
    <definedName name="LPLENZ">PFD!$U$25</definedName>
    <definedName name="LSGRGeng_RelaxBounds" localSheetId="3" hidden="1">2</definedName>
    <definedName name="MDLengine">Operator!$C$24</definedName>
    <definedName name="MPBLUE">PFD!$U$20</definedName>
    <definedName name="MPLENZ">PFD!$U$19</definedName>
    <definedName name="normalsitePCV">Model!$C$713:$D$750</definedName>
    <definedName name="objfctn">PFD!$Z$23</definedName>
    <definedName name="OpenSolver_ChosenSolver" localSheetId="2" hidden="1">CBC</definedName>
    <definedName name="OpenSolver_ChosenSolver" localSheetId="3" hidden="1">CBC</definedName>
    <definedName name="OpenSolver_DualsNewSheet" localSheetId="2" hidden="1">FALSE</definedName>
    <definedName name="OpenSolver_DualsNewSheet" localSheetId="3" hidden="1">FALSE</definedName>
    <definedName name="OpenSolver_LinearityCheck" localSheetId="2" hidden="1">2</definedName>
    <definedName name="OpenSolver_LinearityCheck" localSheetId="3" hidden="1">1</definedName>
    <definedName name="OpenSolver_UpdateSensitivity" localSheetId="2" hidden="1">TRUE</definedName>
    <definedName name="OpenSolver_UpdateSensitivity" localSheetId="3" hidden="1">TRUE</definedName>
    <definedName name="OpenSolverModelParameters" localSheetId="3">PFD!$G$40:$G$76</definedName>
    <definedName name="OPRallresults">Results!$D$4:$H$1048576</definedName>
    <definedName name="oprELECTblue">Operator!$C$42</definedName>
    <definedName name="oprelectLENZ">Operator!$C$41</definedName>
    <definedName name="oprELECTtal">Operator!$C$43</definedName>
    <definedName name="OPRengine">Operator!$D$24</definedName>
    <definedName name="oprEXPORT">Operator!$C$30</definedName>
    <definedName name="oprGAS">Operator!$C$28</definedName>
    <definedName name="oprIMPORT">Operator!$C$29</definedName>
    <definedName name="oprLPBLUE">Operator!$C$38</definedName>
    <definedName name="oprLPLENZ">Operator!$C$37</definedName>
    <definedName name="oprLPTAL">Operator!$C$39</definedName>
    <definedName name="oprMPBLUE">Operator!$C$34</definedName>
    <definedName name="oprMPLENZ">Operator!$C$33</definedName>
    <definedName name="oprMPTAL">Operator!$C$35</definedName>
    <definedName name="OPRnumcases">Operator!$C$5</definedName>
    <definedName name="OPRrunconstraints">Model!$E$713:$F$750</definedName>
    <definedName name="oprsteampriceMP">Operator!$E$10</definedName>
    <definedName name="oprWATER">Operator!$C$31</definedName>
    <definedName name="param_extinc" localSheetId="3" hidden="1">0.5</definedName>
    <definedName name="param_iisbnd" localSheetId="3" hidden="1">0</definedName>
    <definedName name="param_nsfeas" localSheetId="3" hidden="1">0</definedName>
    <definedName name="patm">Model!$C$63</definedName>
    <definedName name="PCV">PFD!$E$40:$F$77</definedName>
    <definedName name="Precision">PFD!$Y$41</definedName>
    <definedName name="RA.AssetConditions">Operator!$C$8:$C$24</definedName>
    <definedName name="RA.CaseInputs">Operator!$C$8:$C$43</definedName>
    <definedName name="RA.CaseInputs0">Operator!$D$8:$D$43</definedName>
    <definedName name="reloadmodel">Operator!$C$6</definedName>
    <definedName name="results">Results!$C$4:$C$817</definedName>
    <definedName name="resultvar">Results!$D$780:$D$817</definedName>
    <definedName name="searchoption">PFD!$Y$46</definedName>
    <definedName name="solver_adj" localSheetId="2" hidden="1">Assets!$C$808:$C$809</definedName>
    <definedName name="solver_adj" localSheetId="4" hidden="1">Model!$C$77</definedName>
    <definedName name="solver_adj" localSheetId="1" hidden="1">Operator!#REF!</definedName>
    <definedName name="solver_adj" localSheetId="3" hidden="1">PFD!$G$40:$G$77</definedName>
    <definedName name="solver_adj_ob" localSheetId="4" hidden="1">1</definedName>
    <definedName name="solver_adj_ob" localSheetId="3" hidden="1">1</definedName>
    <definedName name="solver_cha" localSheetId="4" hidden="1">0</definedName>
    <definedName name="solver_cha" localSheetId="3" hidden="1">0</definedName>
    <definedName name="solver_chc1" localSheetId="3" hidden="1">0</definedName>
    <definedName name="solver_chc10" localSheetId="3" hidden="1">0</definedName>
    <definedName name="solver_chc2" localSheetId="3" hidden="1">0</definedName>
    <definedName name="solver_chc3" localSheetId="3" hidden="1">0</definedName>
    <definedName name="solver_chc4" localSheetId="3" hidden="1">0</definedName>
    <definedName name="solver_chc5" localSheetId="3" hidden="1">0</definedName>
    <definedName name="solver_chc6" localSheetId="3" hidden="1">0</definedName>
    <definedName name="solver_chc7" localSheetId="3" hidden="1">0</definedName>
    <definedName name="solver_chc8" localSheetId="3" hidden="1">0</definedName>
    <definedName name="solver_chc9" localSheetId="3" hidden="1">0</definedName>
    <definedName name="solver_chn" localSheetId="4" hidden="1">4</definedName>
    <definedName name="solver_chn" localSheetId="3" hidden="1">4</definedName>
    <definedName name="solver_chp1" localSheetId="3" hidden="1">0</definedName>
    <definedName name="solver_chp10" localSheetId="3" hidden="1">0</definedName>
    <definedName name="solver_chp2" localSheetId="3" hidden="1">0</definedName>
    <definedName name="solver_chp3" localSheetId="3" hidden="1">0</definedName>
    <definedName name="solver_chp4" localSheetId="3" hidden="1">0</definedName>
    <definedName name="solver_chp5" localSheetId="3" hidden="1">0</definedName>
    <definedName name="solver_chp6" localSheetId="3" hidden="1">0</definedName>
    <definedName name="solver_chp7" localSheetId="3" hidden="1">0</definedName>
    <definedName name="solver_chp8" localSheetId="3" hidden="1">0</definedName>
    <definedName name="solver_chp9" localSheetId="3" hidden="1">0</definedName>
    <definedName name="solver_cht" localSheetId="4" hidden="1">0</definedName>
    <definedName name="solver_cht" localSheetId="3" hidden="1">0</definedName>
    <definedName name="solver_cir1" localSheetId="3" hidden="1">1</definedName>
    <definedName name="solver_cir10" localSheetId="3" hidden="1">1</definedName>
    <definedName name="solver_cir2" localSheetId="3" hidden="1">1</definedName>
    <definedName name="solver_cir3" localSheetId="3" hidden="1">1</definedName>
    <definedName name="solver_cir4" localSheetId="3" hidden="1">1</definedName>
    <definedName name="solver_cir5" localSheetId="3" hidden="1">1</definedName>
    <definedName name="solver_cir6" localSheetId="3" hidden="1">1</definedName>
    <definedName name="solver_cir7" localSheetId="3" hidden="1">1</definedName>
    <definedName name="solver_cir8" localSheetId="3" hidden="1">1</definedName>
    <definedName name="solver_cir9" localSheetId="3" hidden="1">1</definedName>
    <definedName name="solver_con" localSheetId="4" hidden="1">" "</definedName>
    <definedName name="solver_con" localSheetId="3" hidden="1">" "</definedName>
    <definedName name="solver_con1" localSheetId="3" hidden="1">" "</definedName>
    <definedName name="solver_con10" localSheetId="3" hidden="1">" "</definedName>
    <definedName name="solver_con2" localSheetId="3" hidden="1">" "</definedName>
    <definedName name="solver_con3" localSheetId="3" hidden="1">" "</definedName>
    <definedName name="solver_con4" localSheetId="3" hidden="1">" "</definedName>
    <definedName name="solver_con5" localSheetId="3" hidden="1">" "</definedName>
    <definedName name="solver_con6" localSheetId="3" hidden="1">" "</definedName>
    <definedName name="solver_con7" localSheetId="3" hidden="1">" "</definedName>
    <definedName name="solver_con8" localSheetId="3" hidden="1">" "</definedName>
    <definedName name="solver_con9" localSheetId="3" hidden="1">" "</definedName>
    <definedName name="solver_cvg" localSheetId="2" hidden="1">0.0001</definedName>
    <definedName name="solver_cvg" localSheetId="4" hidden="1">0.0001</definedName>
    <definedName name="solver_cvg" localSheetId="1" hidden="1">0.0001</definedName>
    <definedName name="solver_cvg" localSheetId="3" hidden="1">0.000001</definedName>
    <definedName name="solver_dia" localSheetId="4" hidden="1">5</definedName>
    <definedName name="solver_dia" localSheetId="3" hidden="1">5</definedName>
    <definedName name="solver_drv" localSheetId="2" hidden="1">2</definedName>
    <definedName name="solver_drv" localSheetId="4" hidden="1">1</definedName>
    <definedName name="solver_drv" localSheetId="1" hidden="1">1</definedName>
    <definedName name="solver_drv" localSheetId="3" hidden="1">2</definedName>
    <definedName name="solver_eng" localSheetId="2" hidden="1">1</definedName>
    <definedName name="solver_eng" localSheetId="3" hidden="1">2</definedName>
    <definedName name="solver_est" localSheetId="2" hidden="1">1</definedName>
    <definedName name="solver_est" localSheetId="4" hidden="1">1</definedName>
    <definedName name="solver_est" localSheetId="1" hidden="1">1</definedName>
    <definedName name="solver_est" localSheetId="3" hidden="1">1</definedName>
    <definedName name="solver_eval" hidden="1">0</definedName>
    <definedName name="solver_fns" localSheetId="3" hidden="1">0</definedName>
    <definedName name="solver_iao" localSheetId="4" hidden="1">0</definedName>
    <definedName name="solver_iao" localSheetId="3" hidden="1">0</definedName>
    <definedName name="solver_int" localSheetId="4" hidden="1">0</definedName>
    <definedName name="solver_int" localSheetId="3" hidden="1">0</definedName>
    <definedName name="solver_irs" localSheetId="4" hidden="1">0</definedName>
    <definedName name="solver_irs" localSheetId="3" hidden="1">0</definedName>
    <definedName name="solver_ism" localSheetId="4" hidden="1">0</definedName>
    <definedName name="solver_ism" localSheetId="3" hidden="1">0</definedName>
    <definedName name="solver_itr" localSheetId="2" hidden="1">2147483647</definedName>
    <definedName name="solver_itr" localSheetId="4" hidden="1">100</definedName>
    <definedName name="solver_itr" localSheetId="1" hidden="1">100</definedName>
    <definedName name="solver_itr" localSheetId="3" hidden="1">9999</definedName>
    <definedName name="solver_kiv" localSheetId="3" hidden="1">2E+30</definedName>
    <definedName name="solver_legacy" localSheetId="3" hidden="1">0</definedName>
    <definedName name="solver_lhs_ob1" localSheetId="3" hidden="1">0</definedName>
    <definedName name="solver_lhs_ob10" localSheetId="3" hidden="1">0</definedName>
    <definedName name="solver_lhs_ob2" localSheetId="3" hidden="1">0</definedName>
    <definedName name="solver_lhs_ob3" localSheetId="3" hidden="1">0</definedName>
    <definedName name="solver_lhs_ob4" localSheetId="3" hidden="1">0</definedName>
    <definedName name="solver_lhs_ob5" localSheetId="3" hidden="1">0</definedName>
    <definedName name="solver_lhs_ob6" localSheetId="3" hidden="1">0</definedName>
    <definedName name="solver_lhs_ob7" localSheetId="3" hidden="1">0</definedName>
    <definedName name="solver_lhs_ob8" localSheetId="3" hidden="1">0</definedName>
    <definedName name="solver_lhs_ob9" localSheetId="3" hidden="1">0</definedName>
    <definedName name="solver_lhs1" localSheetId="2" hidden="1">Assets!$C$775:$C$776</definedName>
    <definedName name="solver_lhs1" localSheetId="4" hidden="1">Model!$G$316:$G$316</definedName>
    <definedName name="solver_lhs1" localSheetId="3" hidden="1">PFD!$G$58:$G$75</definedName>
    <definedName name="solver_lhs10" localSheetId="4" hidden="1">Model!#REF!</definedName>
    <definedName name="solver_lhs10" localSheetId="3" hidden="1">PFD!$S$54:$S$57</definedName>
    <definedName name="solver_lhs100" localSheetId="4" hidden="1">Model!#REF!</definedName>
    <definedName name="solver_lhs101" localSheetId="4" hidden="1">Model!$G$316:$G$316</definedName>
    <definedName name="solver_lhs102" localSheetId="4" hidden="1">Model!$G$316:$G$316</definedName>
    <definedName name="solver_lhs103" localSheetId="4" hidden="1">Model!#REF!</definedName>
    <definedName name="solver_lhs104" localSheetId="4" hidden="1">Model!#REF!</definedName>
    <definedName name="solver_lhs105" localSheetId="4" hidden="1">Model!#REF!</definedName>
    <definedName name="solver_lhs106" localSheetId="4" hidden="1">Model!$G$316:$G$316</definedName>
    <definedName name="solver_lhs107" localSheetId="4" hidden="1">Model!$G$316:$G$316</definedName>
    <definedName name="solver_lhs108" localSheetId="4" hidden="1">Model!#REF!</definedName>
    <definedName name="solver_lhs109" localSheetId="4" hidden="1">Model!#REF!</definedName>
    <definedName name="solver_lhs11" localSheetId="4" hidden="1">Model!$G$316:$G$316</definedName>
    <definedName name="solver_lhs11" localSheetId="3" hidden="1">PFD!$S$60:$S$64</definedName>
    <definedName name="solver_lhs110" localSheetId="4" hidden="1">Model!#REF!</definedName>
    <definedName name="solver_lhs111" localSheetId="4" hidden="1">Model!$G$316:$G$316</definedName>
    <definedName name="solver_lhs112" localSheetId="4" hidden="1">Model!$G$316:$G$316</definedName>
    <definedName name="solver_lhs113" localSheetId="4" hidden="1">Model!#REF!</definedName>
    <definedName name="solver_lhs114" localSheetId="4" hidden="1">Model!#REF!</definedName>
    <definedName name="solver_lhs115" localSheetId="4" hidden="1">Model!#REF!</definedName>
    <definedName name="solver_lhs116" localSheetId="4" hidden="1">Model!$G$316:$G$316</definedName>
    <definedName name="solver_lhs117" localSheetId="4" hidden="1">Model!$G$316:$G$316</definedName>
    <definedName name="solver_lhs118" localSheetId="4" hidden="1">Model!#REF!</definedName>
    <definedName name="solver_lhs119" localSheetId="4" hidden="1">Model!#REF!</definedName>
    <definedName name="solver_lhs12" localSheetId="4" hidden="1">Model!$G$316:$G$316</definedName>
    <definedName name="solver_lhs12" localSheetId="3" hidden="1">PFD!$S$67:$S$68</definedName>
    <definedName name="solver_lhs120" localSheetId="4" hidden="1">Model!#REF!</definedName>
    <definedName name="solver_lhs121" localSheetId="4" hidden="1">Model!$G$316:$G$316</definedName>
    <definedName name="solver_lhs122" localSheetId="4" hidden="1">Model!$G$316:$G$316</definedName>
    <definedName name="solver_lhs123" localSheetId="4" hidden="1">Model!#REF!</definedName>
    <definedName name="solver_lhs124" localSheetId="4" hidden="1">Model!#REF!</definedName>
    <definedName name="solver_lhs125" localSheetId="4" hidden="1">Model!#REF!</definedName>
    <definedName name="solver_lhs126" localSheetId="4" hidden="1">Model!$G$316:$G$316</definedName>
    <definedName name="solver_lhs127" localSheetId="4" hidden="1">Model!$G$316:$G$316</definedName>
    <definedName name="solver_lhs128" localSheetId="4" hidden="1">Model!#REF!</definedName>
    <definedName name="solver_lhs129" localSheetId="4" hidden="1">Model!#REF!</definedName>
    <definedName name="solver_lhs13" localSheetId="4" hidden="1">Model!#REF!</definedName>
    <definedName name="solver_lhs13" localSheetId="3" hidden="1">PFD!$G$58:$G$75</definedName>
    <definedName name="solver_lhs130" localSheetId="4" hidden="1">Model!#REF!</definedName>
    <definedName name="solver_lhs131" localSheetId="4" hidden="1">Model!$G$316:$G$316</definedName>
    <definedName name="solver_lhs132" localSheetId="4" hidden="1">Model!$G$316:$G$316</definedName>
    <definedName name="solver_lhs133" localSheetId="4" hidden="1">Model!#REF!</definedName>
    <definedName name="solver_lhs134" localSheetId="4" hidden="1">Model!#REF!</definedName>
    <definedName name="solver_lhs135" localSheetId="4" hidden="1">Model!#REF!</definedName>
    <definedName name="solver_lhs136" localSheetId="4" hidden="1">Model!$G$316:$G$316</definedName>
    <definedName name="solver_lhs137" localSheetId="4" hidden="1">Model!$G$316:$G$316</definedName>
    <definedName name="solver_lhs138" localSheetId="4" hidden="1">Model!#REF!</definedName>
    <definedName name="solver_lhs139" localSheetId="4" hidden="1">Model!#REF!</definedName>
    <definedName name="solver_lhs14" localSheetId="4" hidden="1">Model!#REF!</definedName>
    <definedName name="solver_lhs14" localSheetId="3" hidden="1">PFD!$G$58:$G$75</definedName>
    <definedName name="solver_lhs140" localSheetId="4" hidden="1">Model!#REF!</definedName>
    <definedName name="solver_lhs141" localSheetId="4" hidden="1">Model!$G$316:$G$316</definedName>
    <definedName name="solver_lhs142" localSheetId="4" hidden="1">Model!$G$316:$G$316</definedName>
    <definedName name="solver_lhs143" localSheetId="4" hidden="1">Model!#REF!</definedName>
    <definedName name="solver_lhs144" localSheetId="4" hidden="1">Model!#REF!</definedName>
    <definedName name="solver_lhs145" localSheetId="4" hidden="1">Model!#REF!</definedName>
    <definedName name="solver_lhs146" localSheetId="4" hidden="1">Model!$G$316:$G$316</definedName>
    <definedName name="solver_lhs147" localSheetId="4" hidden="1">Model!$G$316:$G$316</definedName>
    <definedName name="solver_lhs148" localSheetId="4" hidden="1">Model!#REF!</definedName>
    <definedName name="solver_lhs149" localSheetId="4" hidden="1">Model!#REF!</definedName>
    <definedName name="solver_lhs15" localSheetId="4" hidden="1">Model!#REF!</definedName>
    <definedName name="solver_lhs15" localSheetId="3" hidden="1">PFD!$L$40:$L$59</definedName>
    <definedName name="solver_lhs150" localSheetId="4" hidden="1">Model!#REF!</definedName>
    <definedName name="solver_lhs151" localSheetId="4" hidden="1">Model!$G$316:$G$316</definedName>
    <definedName name="solver_lhs152" localSheetId="4" hidden="1">Model!$G$316:$G$316</definedName>
    <definedName name="solver_lhs153" localSheetId="4" hidden="1">Model!#REF!</definedName>
    <definedName name="solver_lhs154" localSheetId="4" hidden="1">Model!#REF!</definedName>
    <definedName name="solver_lhs155" localSheetId="4" hidden="1">Model!#REF!</definedName>
    <definedName name="solver_lhs156" localSheetId="4" hidden="1">Model!$G$316:$G$316</definedName>
    <definedName name="solver_lhs157" localSheetId="4" hidden="1">Model!$G$316:$G$316</definedName>
    <definedName name="solver_lhs158" localSheetId="4" hidden="1">Model!#REF!</definedName>
    <definedName name="solver_lhs159" localSheetId="4" hidden="1">Model!#REF!</definedName>
    <definedName name="solver_lhs16" localSheetId="4" hidden="1">Model!$G$316:$G$316</definedName>
    <definedName name="solver_lhs16" localSheetId="3" hidden="1">PFD!$L$62:$L$81</definedName>
    <definedName name="solver_lhs160" localSheetId="4" hidden="1">Model!#REF!</definedName>
    <definedName name="solver_lhs161" localSheetId="4" hidden="1">Model!$G$316:$G$316</definedName>
    <definedName name="solver_lhs162" localSheetId="4" hidden="1">Model!$G$316:$G$316</definedName>
    <definedName name="solver_lhs163" localSheetId="4" hidden="1">Model!#REF!</definedName>
    <definedName name="solver_lhs164" localSheetId="4" hidden="1">Model!#REF!</definedName>
    <definedName name="solver_lhs165" localSheetId="4" hidden="1">Model!#REF!</definedName>
    <definedName name="solver_lhs17" localSheetId="4" hidden="1">Model!$G$316:$G$316</definedName>
    <definedName name="solver_lhs17" localSheetId="3" hidden="1">PFD!$S$41:$S$44</definedName>
    <definedName name="solver_lhs18" localSheetId="4" hidden="1">Model!#REF!</definedName>
    <definedName name="solver_lhs18" localSheetId="3" hidden="1">PFD!$S$47</definedName>
    <definedName name="solver_lhs19" localSheetId="4" hidden="1">Model!#REF!</definedName>
    <definedName name="solver_lhs19" localSheetId="3" hidden="1">PFD!$S$50:$S$51</definedName>
    <definedName name="solver_lhs2" localSheetId="4" hidden="1">Model!$G$316:$G$316</definedName>
    <definedName name="solver_lhs2" localSheetId="3" hidden="1">PFD!$G$58:$G$75</definedName>
    <definedName name="solver_lhs20" localSheetId="4" hidden="1">Model!#REF!</definedName>
    <definedName name="solver_lhs20" localSheetId="3" hidden="1">PFD!$S$54:$S$57</definedName>
    <definedName name="solver_lhs21" localSheetId="4" hidden="1">Model!$G$316:$G$316</definedName>
    <definedName name="solver_lhs21" localSheetId="3" hidden="1">PFD!$S$60:$S$64</definedName>
    <definedName name="solver_lhs22" localSheetId="4" hidden="1">Model!$G$316:$G$316</definedName>
    <definedName name="solver_lhs22" localSheetId="3" hidden="1">PFD!$S$67:$S$68</definedName>
    <definedName name="solver_lhs23" localSheetId="4" hidden="1">Model!#REF!</definedName>
    <definedName name="solver_lhs23" localSheetId="3" hidden="1">PFD!$G$58:$G$75</definedName>
    <definedName name="solver_lhs24" localSheetId="4" hidden="1">Model!#REF!</definedName>
    <definedName name="solver_lhs24" localSheetId="3" hidden="1">PFD!$G$58:$G$75</definedName>
    <definedName name="solver_lhs25" localSheetId="4" hidden="1">Model!#REF!</definedName>
    <definedName name="solver_lhs25" localSheetId="3" hidden="1">PFD!$G$58:$G$75</definedName>
    <definedName name="solver_lhs26" localSheetId="4" hidden="1">Model!$G$316:$G$316</definedName>
    <definedName name="solver_lhs26" localSheetId="3" hidden="1">PFD!$L$40:$L$59</definedName>
    <definedName name="solver_lhs27" localSheetId="4" hidden="1">Model!$G$316:$G$316</definedName>
    <definedName name="solver_lhs27" localSheetId="3" hidden="1">PFD!$L$62:$L$81</definedName>
    <definedName name="solver_lhs28" localSheetId="4" hidden="1">Model!#REF!</definedName>
    <definedName name="solver_lhs28" localSheetId="3" hidden="1">PFD!$S$41:$S$44</definedName>
    <definedName name="solver_lhs29" localSheetId="4" hidden="1">Model!#REF!</definedName>
    <definedName name="solver_lhs29" localSheetId="3" hidden="1">PFD!$S$47</definedName>
    <definedName name="solver_lhs3" localSheetId="4" hidden="1">Model!#REF!</definedName>
    <definedName name="solver_lhs3" localSheetId="3" hidden="1">PFD!$G$58:$G$75</definedName>
    <definedName name="solver_lhs30" localSheetId="4" hidden="1">Model!#REF!</definedName>
    <definedName name="solver_lhs30" localSheetId="3" hidden="1">PFD!$S$50:$S$51</definedName>
    <definedName name="solver_lhs31" localSheetId="4" hidden="1">Model!$G$316:$G$316</definedName>
    <definedName name="solver_lhs31" localSheetId="3" hidden="1">PFD!$S$54:$S$57</definedName>
    <definedName name="solver_lhs32" localSheetId="4" hidden="1">Model!$G$316:$G$316</definedName>
    <definedName name="solver_lhs32" localSheetId="3" hidden="1">PFD!$S$60:$S$64</definedName>
    <definedName name="solver_lhs33" localSheetId="4" hidden="1">Model!#REF!</definedName>
    <definedName name="solver_lhs33" localSheetId="3" hidden="1">PFD!$S$67:$S$68</definedName>
    <definedName name="solver_lhs34" localSheetId="4" hidden="1">Model!#REF!</definedName>
    <definedName name="solver_lhs34" localSheetId="3" hidden="1">PFD!$L$40:$L$59</definedName>
    <definedName name="solver_lhs35" localSheetId="4" hidden="1">Model!#REF!</definedName>
    <definedName name="solver_lhs35" localSheetId="3" hidden="1">PFD!$L$62:$L$81</definedName>
    <definedName name="solver_lhs36" localSheetId="4" hidden="1">Model!$G$316:$G$316</definedName>
    <definedName name="solver_lhs36" localSheetId="3" hidden="1">PFD!$S$41:$S$44</definedName>
    <definedName name="solver_lhs37" localSheetId="4" hidden="1">Model!$G$316:$G$316</definedName>
    <definedName name="solver_lhs37" localSheetId="3" hidden="1">PFD!$S$47</definedName>
    <definedName name="solver_lhs38" localSheetId="4" hidden="1">Model!#REF!</definedName>
    <definedName name="solver_lhs38" localSheetId="3" hidden="1">PFD!$S$50:$S$51</definedName>
    <definedName name="solver_lhs39" localSheetId="4" hidden="1">Model!#REF!</definedName>
    <definedName name="solver_lhs39" localSheetId="3" hidden="1">PFD!$S$54:$S$57</definedName>
    <definedName name="solver_lhs4" localSheetId="4" hidden="1">Model!#REF!</definedName>
    <definedName name="solver_lhs4" localSheetId="3" hidden="1">PFD!$L$40:$L$59</definedName>
    <definedName name="solver_lhs40" localSheetId="4" hidden="1">Model!#REF!</definedName>
    <definedName name="solver_lhs40" localSheetId="3" hidden="1">PFD!$S$60:$S$64</definedName>
    <definedName name="solver_lhs41" localSheetId="4" hidden="1">Model!$G$316:$G$316</definedName>
    <definedName name="solver_lhs41" localSheetId="3" hidden="1">PFD!$G$58:$G$75</definedName>
    <definedName name="solver_lhs42" localSheetId="4" hidden="1">Model!$G$316:$G$316</definedName>
    <definedName name="solver_lhs42" localSheetId="3" hidden="1">PFD!$G$58:$G$75</definedName>
    <definedName name="solver_lhs43" localSheetId="4" hidden="1">Model!#REF!</definedName>
    <definedName name="solver_lhs43" localSheetId="3" hidden="1">PFD!$G$58:$G$75</definedName>
    <definedName name="solver_lhs44" localSheetId="4" hidden="1">Model!#REF!</definedName>
    <definedName name="solver_lhs44" localSheetId="3" hidden="1">PFD!$L$40:$L$59</definedName>
    <definedName name="solver_lhs45" localSheetId="4" hidden="1">Model!#REF!</definedName>
    <definedName name="solver_lhs45" localSheetId="3" hidden="1">PFD!$L$62:$L$81</definedName>
    <definedName name="solver_lhs46" localSheetId="4" hidden="1">Model!$G$316:$G$316</definedName>
    <definedName name="solver_lhs46" localSheetId="3" hidden="1">PFD!$S$41:$S$44</definedName>
    <definedName name="solver_lhs47" localSheetId="4" hidden="1">Model!$G$316:$G$316</definedName>
    <definedName name="solver_lhs47" localSheetId="3" hidden="1">PFD!$S$47</definedName>
    <definedName name="solver_lhs48" localSheetId="4" hidden="1">Model!#REF!</definedName>
    <definedName name="solver_lhs48" localSheetId="3" hidden="1">PFD!$S$50:$S$51</definedName>
    <definedName name="solver_lhs49" localSheetId="4" hidden="1">Model!#REF!</definedName>
    <definedName name="solver_lhs49" localSheetId="3" hidden="1">PFD!$S$54:$S$57</definedName>
    <definedName name="solver_lhs5" localSheetId="4" hidden="1">Model!#REF!</definedName>
    <definedName name="solver_lhs5" localSheetId="3" hidden="1">PFD!$L$62:$L$81</definedName>
    <definedName name="solver_lhs50" localSheetId="4" hidden="1">Model!#REF!</definedName>
    <definedName name="solver_lhs50" localSheetId="3" hidden="1">PFD!$S$60:$S$64</definedName>
    <definedName name="solver_lhs51" localSheetId="4" hidden="1">Model!$G$316:$G$316</definedName>
    <definedName name="solver_lhs51" localSheetId="3" hidden="1">PFD!$G$58:$G$75</definedName>
    <definedName name="solver_lhs52" localSheetId="4" hidden="1">Model!$G$316:$G$316</definedName>
    <definedName name="solver_lhs52" localSheetId="3" hidden="1">PFD!$G$58:$G$75</definedName>
    <definedName name="solver_lhs53" localSheetId="4" hidden="1">Model!#REF!</definedName>
    <definedName name="solver_lhs53" localSheetId="3" hidden="1">PFD!$G$58:$G$75</definedName>
    <definedName name="solver_lhs54" localSheetId="4" hidden="1">Model!#REF!</definedName>
    <definedName name="solver_lhs54" localSheetId="3" hidden="1">PFD!$L$40:$L$59</definedName>
    <definedName name="solver_lhs55" localSheetId="4" hidden="1">Model!#REF!</definedName>
    <definedName name="solver_lhs55" localSheetId="3" hidden="1">PFD!$L$62:$L$81</definedName>
    <definedName name="solver_lhs56" localSheetId="4" hidden="1">Model!$G$316:$G$316</definedName>
    <definedName name="solver_lhs56" localSheetId="3" hidden="1">PFD!$S$41:$S$44</definedName>
    <definedName name="solver_lhs57" localSheetId="4" hidden="1">Model!$G$316:$G$316</definedName>
    <definedName name="solver_lhs57" localSheetId="3" hidden="1">PFD!$S$47</definedName>
    <definedName name="solver_lhs58" localSheetId="4" hidden="1">Model!#REF!</definedName>
    <definedName name="solver_lhs58" localSheetId="3" hidden="1">PFD!$S$50:$S$51</definedName>
    <definedName name="solver_lhs59" localSheetId="4" hidden="1">Model!#REF!</definedName>
    <definedName name="solver_lhs59" localSheetId="3" hidden="1">PFD!$S$54:$S$57</definedName>
    <definedName name="solver_lhs6" localSheetId="4" hidden="1">Model!$G$316:$G$316</definedName>
    <definedName name="solver_lhs6" localSheetId="3" hidden="1">PFD!$S$41:$S$44</definedName>
    <definedName name="solver_lhs60" localSheetId="4" hidden="1">Model!#REF!</definedName>
    <definedName name="solver_lhs60" localSheetId="3" hidden="1">PFD!$S$60:$S$64</definedName>
    <definedName name="solver_lhs61" localSheetId="4" hidden="1">Model!$G$316:$G$316</definedName>
    <definedName name="solver_lhs61" localSheetId="3" hidden="1">PFD!#REF!</definedName>
    <definedName name="solver_lhs62" localSheetId="4" hidden="1">Model!$G$316:$G$316</definedName>
    <definedName name="solver_lhs62" localSheetId="3" hidden="1">PFD!#REF!</definedName>
    <definedName name="solver_lhs63" localSheetId="4" hidden="1">Model!#REF!</definedName>
    <definedName name="solver_lhs63" localSheetId="3" hidden="1">PFD!#REF!</definedName>
    <definedName name="solver_lhs64" localSheetId="4" hidden="1">Model!#REF!</definedName>
    <definedName name="solver_lhs64" localSheetId="3" hidden="1">PFD!#REF!</definedName>
    <definedName name="solver_lhs65" localSheetId="4" hidden="1">Model!#REF!</definedName>
    <definedName name="solver_lhs65" localSheetId="3" hidden="1">PFD!#REF!</definedName>
    <definedName name="solver_lhs66" localSheetId="4" hidden="1">Model!$G$316:$G$316</definedName>
    <definedName name="solver_lhs66" localSheetId="3" hidden="1">PFD!#REF!</definedName>
    <definedName name="solver_lhs67" localSheetId="4" hidden="1">Model!$G$316:$G$316</definedName>
    <definedName name="solver_lhs67" localSheetId="3" hidden="1">PFD!#REF!</definedName>
    <definedName name="solver_lhs68" localSheetId="4" hidden="1">Model!#REF!</definedName>
    <definedName name="solver_lhs68" localSheetId="3" hidden="1">PFD!#REF!</definedName>
    <definedName name="solver_lhs69" localSheetId="4" hidden="1">Model!#REF!</definedName>
    <definedName name="solver_lhs69" localSheetId="3" hidden="1">PFD!#REF!</definedName>
    <definedName name="solver_lhs7" localSheetId="4" hidden="1">Model!$G$316:$G$316</definedName>
    <definedName name="solver_lhs7" localSheetId="3" hidden="1">PFD!$S$47</definedName>
    <definedName name="solver_lhs70" localSheetId="4" hidden="1">Model!#REF!</definedName>
    <definedName name="solver_lhs70" localSheetId="3" hidden="1">PFD!#REF!</definedName>
    <definedName name="solver_lhs71" localSheetId="4" hidden="1">Model!$G$316:$G$316</definedName>
    <definedName name="solver_lhs71" localSheetId="3" hidden="1">PFD!#REF!</definedName>
    <definedName name="solver_lhs72" localSheetId="4" hidden="1">Model!$G$316:$G$316</definedName>
    <definedName name="solver_lhs72" localSheetId="3" hidden="1">PFD!#REF!</definedName>
    <definedName name="solver_lhs73" localSheetId="4" hidden="1">Model!#REF!</definedName>
    <definedName name="solver_lhs73" localSheetId="3" hidden="1">PFD!#REF!</definedName>
    <definedName name="solver_lhs74" localSheetId="4" hidden="1">Model!#REF!</definedName>
    <definedName name="solver_lhs74" localSheetId="3" hidden="1">PFD!#REF!</definedName>
    <definedName name="solver_lhs75" localSheetId="4" hidden="1">Model!#REF!</definedName>
    <definedName name="solver_lhs75" localSheetId="3" hidden="1">PFD!#REF!</definedName>
    <definedName name="solver_lhs76" localSheetId="4" hidden="1">Model!$G$316:$G$316</definedName>
    <definedName name="solver_lhs76" localSheetId="3" hidden="1">PFD!#REF!</definedName>
    <definedName name="solver_lhs77" localSheetId="4" hidden="1">Model!$G$316:$G$316</definedName>
    <definedName name="solver_lhs77" localSheetId="3" hidden="1">PFD!#REF!</definedName>
    <definedName name="solver_lhs78" localSheetId="4" hidden="1">Model!#REF!</definedName>
    <definedName name="solver_lhs78" localSheetId="3" hidden="1">PFD!#REF!</definedName>
    <definedName name="solver_lhs79" localSheetId="4" hidden="1">Model!#REF!</definedName>
    <definedName name="solver_lhs79" localSheetId="3" hidden="1">PFD!#REF!</definedName>
    <definedName name="solver_lhs8" localSheetId="4" hidden="1">Model!#REF!</definedName>
    <definedName name="solver_lhs8" localSheetId="3" hidden="1">PFD!$S$71</definedName>
    <definedName name="solver_lhs80" localSheetId="4" hidden="1">Model!#REF!</definedName>
    <definedName name="solver_lhs80" localSheetId="3" hidden="1">PFD!#REF!</definedName>
    <definedName name="solver_lhs81" localSheetId="4" hidden="1">Model!$G$316:$G$316</definedName>
    <definedName name="solver_lhs82" localSheetId="4" hidden="1">Model!$G$316:$G$316</definedName>
    <definedName name="solver_lhs83" localSheetId="4" hidden="1">Model!#REF!</definedName>
    <definedName name="solver_lhs84" localSheetId="4" hidden="1">Model!#REF!</definedName>
    <definedName name="solver_lhs85" localSheetId="4" hidden="1">Model!#REF!</definedName>
    <definedName name="solver_lhs86" localSheetId="4" hidden="1">Model!$G$316:$G$316</definedName>
    <definedName name="solver_lhs87" localSheetId="4" hidden="1">Model!$G$316:$G$316</definedName>
    <definedName name="solver_lhs88" localSheetId="4" hidden="1">Model!#REF!</definedName>
    <definedName name="solver_lhs89" localSheetId="4" hidden="1">Model!#REF!</definedName>
    <definedName name="solver_lhs9" localSheetId="4" hidden="1">Model!#REF!</definedName>
    <definedName name="solver_lhs9" localSheetId="3" hidden="1">PFD!$S$50:$S$51</definedName>
    <definedName name="solver_lhs90" localSheetId="4" hidden="1">Model!#REF!</definedName>
    <definedName name="solver_lhs91" localSheetId="4" hidden="1">Model!$G$316:$G$316</definedName>
    <definedName name="solver_lhs92" localSheetId="4" hidden="1">Model!$G$316:$G$316</definedName>
    <definedName name="solver_lhs93" localSheetId="4" hidden="1">Model!#REF!</definedName>
    <definedName name="solver_lhs94" localSheetId="4" hidden="1">Model!#REF!</definedName>
    <definedName name="solver_lhs95" localSheetId="4" hidden="1">Model!#REF!</definedName>
    <definedName name="solver_lhs96" localSheetId="4" hidden="1">Model!$G$316:$G$316</definedName>
    <definedName name="solver_lhs97" localSheetId="4" hidden="1">Model!$G$316:$G$316</definedName>
    <definedName name="solver_lhs98" localSheetId="4" hidden="1">Model!#REF!</definedName>
    <definedName name="solver_lhs99" localSheetId="4" hidden="1">Model!#REF!</definedName>
    <definedName name="solver_lin" localSheetId="2" hidden="1">1</definedName>
    <definedName name="solver_lin" localSheetId="4" hidden="1">2</definedName>
    <definedName name="solver_lin" localSheetId="1" hidden="1">1</definedName>
    <definedName name="solver_lin" localSheetId="3" hidden="1">1</definedName>
    <definedName name="solver_loc" localSheetId="3" hidden="1">4</definedName>
    <definedName name="solver_lva" localSheetId="3" hidden="1">0</definedName>
    <definedName name="solver_mda" localSheetId="4" hidden="1">4</definedName>
    <definedName name="solver_mda" localSheetId="3" hidden="1">4</definedName>
    <definedName name="solver_mdlsearch" localSheetId="3" hidden="1">1</definedName>
    <definedName name="solver_mip" localSheetId="2" hidden="1">2147483647</definedName>
    <definedName name="solver_mip" localSheetId="3" hidden="1">2147483647</definedName>
    <definedName name="solver_mni" localSheetId="2" hidden="1">30</definedName>
    <definedName name="solver_mni" localSheetId="3" hidden="1">30</definedName>
    <definedName name="solver_mod" localSheetId="4" hidden="1">1</definedName>
    <definedName name="solver_mod" localSheetId="3" hidden="1">1</definedName>
    <definedName name="solver_mrt" localSheetId="2" hidden="1">0.075</definedName>
    <definedName name="solver_mrt" localSheetId="3" hidden="1">0.075</definedName>
    <definedName name="solver_msl" localSheetId="2" hidden="1">2</definedName>
    <definedName name="solver_msl" localSheetId="3" hidden="1">2</definedName>
    <definedName name="solver_neg" localSheetId="2" hidden="1">1</definedName>
    <definedName name="solver_neg" localSheetId="4" hidden="1">2</definedName>
    <definedName name="solver_neg" localSheetId="1" hidden="1">1</definedName>
    <definedName name="solver_neg" localSheetId="3" hidden="1">1</definedName>
    <definedName name="solver_nod" localSheetId="2" hidden="1">2147483647</definedName>
    <definedName name="solver_nod" localSheetId="3" hidden="1">2147483647</definedName>
    <definedName name="solver_ntr" localSheetId="4" hidden="1">0</definedName>
    <definedName name="solver_ntr" localSheetId="3" hidden="1">0</definedName>
    <definedName name="solver_ntri" hidden="1">1000</definedName>
    <definedName name="solver_num" localSheetId="2" hidden="1">0</definedName>
    <definedName name="solver_num" localSheetId="4" hidden="1">0</definedName>
    <definedName name="solver_num" localSheetId="1" hidden="1">0</definedName>
    <definedName name="solver_num" localSheetId="3" hidden="1">12</definedName>
    <definedName name="solver_nwt" localSheetId="2" hidden="1">1</definedName>
    <definedName name="solver_nwt" localSheetId="4" hidden="1">1</definedName>
    <definedName name="solver_nwt" localSheetId="1" hidden="1">1</definedName>
    <definedName name="solver_nwt" localSheetId="3" hidden="1">2</definedName>
    <definedName name="solver_obc" localSheetId="4" hidden="1">0</definedName>
    <definedName name="solver_obc" localSheetId="3" hidden="1">0</definedName>
    <definedName name="solver_obp" localSheetId="4" hidden="1">0</definedName>
    <definedName name="solver_obp" localSheetId="3" hidden="1">0</definedName>
    <definedName name="solver_opt" localSheetId="2" hidden="1">Assets!$C$820</definedName>
    <definedName name="solver_opt" localSheetId="4" hidden="1">Model!$F$77</definedName>
    <definedName name="solver_opt" localSheetId="1" hidden="1">Operator!#REF!</definedName>
    <definedName name="solver_opt" localSheetId="3" hidden="1">PFD!$Z$23</definedName>
    <definedName name="solver_opt_ob" localSheetId="4" hidden="1">1</definedName>
    <definedName name="solver_opt_ob" localSheetId="3" hidden="1">1</definedName>
    <definedName name="solver_pre" localSheetId="2" hidden="1">0.000001</definedName>
    <definedName name="solver_pre" localSheetId="4" hidden="1">0.000001</definedName>
    <definedName name="solver_pre" localSheetId="1" hidden="1">0.000001</definedName>
    <definedName name="solver_pre" localSheetId="3" hidden="1">1E-34</definedName>
    <definedName name="solver_psi" localSheetId="4" hidden="1">0</definedName>
    <definedName name="solver_psi" localSheetId="3" hidden="1">0</definedName>
    <definedName name="solver_rbv" localSheetId="2" hidden="1">2</definedName>
    <definedName name="solver_rbv" localSheetId="3" hidden="1">1</definedName>
    <definedName name="solver_rdp" localSheetId="4" hidden="1">0</definedName>
    <definedName name="solver_rdp" localSheetId="3" hidden="1">0</definedName>
    <definedName name="solver_rel1" localSheetId="2" hidden="1">3</definedName>
    <definedName name="solver_rel1" localSheetId="4" hidden="1">1</definedName>
    <definedName name="solver_rel1" localSheetId="3" hidden="1">4</definedName>
    <definedName name="solver_rel10" localSheetId="4" hidden="1">2</definedName>
    <definedName name="solver_rel10" localSheetId="3" hidden="1">1</definedName>
    <definedName name="solver_rel100" localSheetId="4" hidden="1">2</definedName>
    <definedName name="solver_rel101" localSheetId="4" hidden="1">1</definedName>
    <definedName name="solver_rel102" localSheetId="4" hidden="1">3</definedName>
    <definedName name="solver_rel103" localSheetId="4" hidden="1">1</definedName>
    <definedName name="solver_rel104" localSheetId="4" hidden="1">1</definedName>
    <definedName name="solver_rel105" localSheetId="4" hidden="1">2</definedName>
    <definedName name="solver_rel106" localSheetId="4" hidden="1">1</definedName>
    <definedName name="solver_rel107" localSheetId="4" hidden="1">3</definedName>
    <definedName name="solver_rel108" localSheetId="4" hidden="1">1</definedName>
    <definedName name="solver_rel109" localSheetId="4" hidden="1">1</definedName>
    <definedName name="solver_rel11" localSheetId="4" hidden="1">1</definedName>
    <definedName name="solver_rel11" localSheetId="3" hidden="1">1</definedName>
    <definedName name="solver_rel110" localSheetId="4" hidden="1">2</definedName>
    <definedName name="solver_rel111" localSheetId="4" hidden="1">1</definedName>
    <definedName name="solver_rel112" localSheetId="4" hidden="1">3</definedName>
    <definedName name="solver_rel113" localSheetId="4" hidden="1">1</definedName>
    <definedName name="solver_rel114" localSheetId="4" hidden="1">1</definedName>
    <definedName name="solver_rel115" localSheetId="4" hidden="1">2</definedName>
    <definedName name="solver_rel116" localSheetId="4" hidden="1">1</definedName>
    <definedName name="solver_rel117" localSheetId="4" hidden="1">3</definedName>
    <definedName name="solver_rel118" localSheetId="4" hidden="1">1</definedName>
    <definedName name="solver_rel119" localSheetId="4" hidden="1">1</definedName>
    <definedName name="solver_rel12" localSheetId="4" hidden="1">3</definedName>
    <definedName name="solver_rel12" localSheetId="3" hidden="1">1</definedName>
    <definedName name="solver_rel120" localSheetId="4" hidden="1">2</definedName>
    <definedName name="solver_rel121" localSheetId="4" hidden="1">1</definedName>
    <definedName name="solver_rel122" localSheetId="4" hidden="1">3</definedName>
    <definedName name="solver_rel123" localSheetId="4" hidden="1">1</definedName>
    <definedName name="solver_rel124" localSheetId="4" hidden="1">1</definedName>
    <definedName name="solver_rel125" localSheetId="4" hidden="1">2</definedName>
    <definedName name="solver_rel126" localSheetId="4" hidden="1">1</definedName>
    <definedName name="solver_rel127" localSheetId="4" hidden="1">3</definedName>
    <definedName name="solver_rel128" localSheetId="4" hidden="1">1</definedName>
    <definedName name="solver_rel129" localSheetId="4" hidden="1">1</definedName>
    <definedName name="solver_rel13" localSheetId="4" hidden="1">1</definedName>
    <definedName name="solver_rel13" localSheetId="3" hidden="1">1</definedName>
    <definedName name="solver_rel130" localSheetId="4" hidden="1">2</definedName>
    <definedName name="solver_rel131" localSheetId="4" hidden="1">1</definedName>
    <definedName name="solver_rel132" localSheetId="4" hidden="1">3</definedName>
    <definedName name="solver_rel133" localSheetId="4" hidden="1">1</definedName>
    <definedName name="solver_rel134" localSheetId="4" hidden="1">1</definedName>
    <definedName name="solver_rel135" localSheetId="4" hidden="1">2</definedName>
    <definedName name="solver_rel136" localSheetId="4" hidden="1">1</definedName>
    <definedName name="solver_rel137" localSheetId="4" hidden="1">3</definedName>
    <definedName name="solver_rel138" localSheetId="4" hidden="1">1</definedName>
    <definedName name="solver_rel139" localSheetId="4" hidden="1">1</definedName>
    <definedName name="solver_rel14" localSheetId="4" hidden="1">1</definedName>
    <definedName name="solver_rel14" localSheetId="3" hidden="1">3</definedName>
    <definedName name="solver_rel140" localSheetId="4" hidden="1">2</definedName>
    <definedName name="solver_rel141" localSheetId="4" hidden="1">1</definedName>
    <definedName name="solver_rel142" localSheetId="4" hidden="1">3</definedName>
    <definedName name="solver_rel143" localSheetId="4" hidden="1">1</definedName>
    <definedName name="solver_rel144" localSheetId="4" hidden="1">1</definedName>
    <definedName name="solver_rel145" localSheetId="4" hidden="1">2</definedName>
    <definedName name="solver_rel146" localSheetId="4" hidden="1">1</definedName>
    <definedName name="solver_rel147" localSheetId="4" hidden="1">3</definedName>
    <definedName name="solver_rel148" localSheetId="4" hidden="1">1</definedName>
    <definedName name="solver_rel149" localSheetId="4" hidden="1">1</definedName>
    <definedName name="solver_rel15" localSheetId="4" hidden="1">2</definedName>
    <definedName name="solver_rel15" localSheetId="3" hidden="1">1</definedName>
    <definedName name="solver_rel150" localSheetId="4" hidden="1">2</definedName>
    <definedName name="solver_rel151" localSheetId="4" hidden="1">1</definedName>
    <definedName name="solver_rel152" localSheetId="4" hidden="1">3</definedName>
    <definedName name="solver_rel153" localSheetId="4" hidden="1">1</definedName>
    <definedName name="solver_rel154" localSheetId="4" hidden="1">1</definedName>
    <definedName name="solver_rel155" localSheetId="4" hidden="1">2</definedName>
    <definedName name="solver_rel156" localSheetId="4" hidden="1">1</definedName>
    <definedName name="solver_rel157" localSheetId="4" hidden="1">3</definedName>
    <definedName name="solver_rel158" localSheetId="4" hidden="1">1</definedName>
    <definedName name="solver_rel159" localSheetId="4" hidden="1">1</definedName>
    <definedName name="solver_rel16" localSheetId="4" hidden="1">1</definedName>
    <definedName name="solver_rel16" localSheetId="3" hidden="1">1</definedName>
    <definedName name="solver_rel160" localSheetId="4" hidden="1">2</definedName>
    <definedName name="solver_rel161" localSheetId="4" hidden="1">1</definedName>
    <definedName name="solver_rel162" localSheetId="4" hidden="1">3</definedName>
    <definedName name="solver_rel163" localSheetId="4" hidden="1">1</definedName>
    <definedName name="solver_rel164" localSheetId="4" hidden="1">1</definedName>
    <definedName name="solver_rel165" localSheetId="4" hidden="1">2</definedName>
    <definedName name="solver_rel17" localSheetId="4" hidden="1">3</definedName>
    <definedName name="solver_rel17" localSheetId="3" hidden="1">1</definedName>
    <definedName name="solver_rel18" localSheetId="4" hidden="1">1</definedName>
    <definedName name="solver_rel18" localSheetId="3" hidden="1">2</definedName>
    <definedName name="solver_rel19" localSheetId="4" hidden="1">1</definedName>
    <definedName name="solver_rel19" localSheetId="3" hidden="1">1</definedName>
    <definedName name="solver_rel2" localSheetId="4" hidden="1">3</definedName>
    <definedName name="solver_rel2" localSheetId="3" hidden="1">1</definedName>
    <definedName name="solver_rel20" localSheetId="4" hidden="1">2</definedName>
    <definedName name="solver_rel20" localSheetId="3" hidden="1">1</definedName>
    <definedName name="solver_rel21" localSheetId="4" hidden="1">1</definedName>
    <definedName name="solver_rel21" localSheetId="3" hidden="1">1</definedName>
    <definedName name="solver_rel22" localSheetId="4" hidden="1">3</definedName>
    <definedName name="solver_rel22" localSheetId="3" hidden="1">1</definedName>
    <definedName name="solver_rel23" localSheetId="4" hidden="1">1</definedName>
    <definedName name="solver_rel23" localSheetId="3" hidden="1">4</definedName>
    <definedName name="solver_rel24" localSheetId="4" hidden="1">1</definedName>
    <definedName name="solver_rel24" localSheetId="3" hidden="1">1</definedName>
    <definedName name="solver_rel25" localSheetId="4" hidden="1">2</definedName>
    <definedName name="solver_rel25" localSheetId="3" hidden="1">3</definedName>
    <definedName name="solver_rel26" localSheetId="4" hidden="1">1</definedName>
    <definedName name="solver_rel26" localSheetId="3" hidden="1">1</definedName>
    <definedName name="solver_rel27" localSheetId="4" hidden="1">3</definedName>
    <definedName name="solver_rel27" localSheetId="3" hidden="1">1</definedName>
    <definedName name="solver_rel28" localSheetId="4" hidden="1">1</definedName>
    <definedName name="solver_rel28" localSheetId="3" hidden="1">1</definedName>
    <definedName name="solver_rel29" localSheetId="4" hidden="1">1</definedName>
    <definedName name="solver_rel29" localSheetId="3" hidden="1">2</definedName>
    <definedName name="solver_rel3" localSheetId="4" hidden="1">1</definedName>
    <definedName name="solver_rel3" localSheetId="3" hidden="1">3</definedName>
    <definedName name="solver_rel30" localSheetId="4" hidden="1">2</definedName>
    <definedName name="solver_rel30" localSheetId="3" hidden="1">1</definedName>
    <definedName name="solver_rel31" localSheetId="4" hidden="1">1</definedName>
    <definedName name="solver_rel31" localSheetId="3" hidden="1">1</definedName>
    <definedName name="solver_rel32" localSheetId="4" hidden="1">3</definedName>
    <definedName name="solver_rel32" localSheetId="3" hidden="1">1</definedName>
    <definedName name="solver_rel33" localSheetId="4" hidden="1">1</definedName>
    <definedName name="solver_rel33" localSheetId="3" hidden="1">1</definedName>
    <definedName name="solver_rel34" localSheetId="4" hidden="1">1</definedName>
    <definedName name="solver_rel34" localSheetId="3" hidden="1">1</definedName>
    <definedName name="solver_rel35" localSheetId="4" hidden="1">2</definedName>
    <definedName name="solver_rel35" localSheetId="3" hidden="1">1</definedName>
    <definedName name="solver_rel36" localSheetId="4" hidden="1">1</definedName>
    <definedName name="solver_rel36" localSheetId="3" hidden="1">1</definedName>
    <definedName name="solver_rel37" localSheetId="4" hidden="1">3</definedName>
    <definedName name="solver_rel37" localSheetId="3" hidden="1">2</definedName>
    <definedName name="solver_rel38" localSheetId="4" hidden="1">1</definedName>
    <definedName name="solver_rel38" localSheetId="3" hidden="1">1</definedName>
    <definedName name="solver_rel39" localSheetId="4" hidden="1">1</definedName>
    <definedName name="solver_rel39" localSheetId="3" hidden="1">1</definedName>
    <definedName name="solver_rel4" localSheetId="4" hidden="1">1</definedName>
    <definedName name="solver_rel4" localSheetId="3" hidden="1">1</definedName>
    <definedName name="solver_rel40" localSheetId="4" hidden="1">2</definedName>
    <definedName name="solver_rel40" localSheetId="3" hidden="1">1</definedName>
    <definedName name="solver_rel41" localSheetId="4" hidden="1">1</definedName>
    <definedName name="solver_rel41" localSheetId="3" hidden="1">4</definedName>
    <definedName name="solver_rel42" localSheetId="4" hidden="1">3</definedName>
    <definedName name="solver_rel42" localSheetId="3" hidden="1">1</definedName>
    <definedName name="solver_rel43" localSheetId="4" hidden="1">1</definedName>
    <definedName name="solver_rel43" localSheetId="3" hidden="1">3</definedName>
    <definedName name="solver_rel44" localSheetId="4" hidden="1">1</definedName>
    <definedName name="solver_rel44" localSheetId="3" hidden="1">1</definedName>
    <definedName name="solver_rel45" localSheetId="4" hidden="1">2</definedName>
    <definedName name="solver_rel45" localSheetId="3" hidden="1">1</definedName>
    <definedName name="solver_rel46" localSheetId="4" hidden="1">1</definedName>
    <definedName name="solver_rel46" localSheetId="3" hidden="1">1</definedName>
    <definedName name="solver_rel47" localSheetId="4" hidden="1">3</definedName>
    <definedName name="solver_rel47" localSheetId="3" hidden="1">2</definedName>
    <definedName name="solver_rel48" localSheetId="4" hidden="1">1</definedName>
    <definedName name="solver_rel48" localSheetId="3" hidden="1">1</definedName>
    <definedName name="solver_rel49" localSheetId="4" hidden="1">1</definedName>
    <definedName name="solver_rel49" localSheetId="3" hidden="1">1</definedName>
    <definedName name="solver_rel5" localSheetId="4" hidden="1">2</definedName>
    <definedName name="solver_rel5" localSheetId="3" hidden="1">1</definedName>
    <definedName name="solver_rel50" localSheetId="4" hidden="1">2</definedName>
    <definedName name="solver_rel50" localSheetId="3" hidden="1">1</definedName>
    <definedName name="solver_rel51" localSheetId="4" hidden="1">1</definedName>
    <definedName name="solver_rel51" localSheetId="3" hidden="1">4</definedName>
    <definedName name="solver_rel52" localSheetId="4" hidden="1">3</definedName>
    <definedName name="solver_rel52" localSheetId="3" hidden="1">1</definedName>
    <definedName name="solver_rel53" localSheetId="4" hidden="1">1</definedName>
    <definedName name="solver_rel53" localSheetId="3" hidden="1">3</definedName>
    <definedName name="solver_rel54" localSheetId="4" hidden="1">1</definedName>
    <definedName name="solver_rel54" localSheetId="3" hidden="1">1</definedName>
    <definedName name="solver_rel55" localSheetId="4" hidden="1">2</definedName>
    <definedName name="solver_rel55" localSheetId="3" hidden="1">1</definedName>
    <definedName name="solver_rel56" localSheetId="4" hidden="1">1</definedName>
    <definedName name="solver_rel56" localSheetId="3" hidden="1">1</definedName>
    <definedName name="solver_rel57" localSheetId="4" hidden="1">3</definedName>
    <definedName name="solver_rel57" localSheetId="3" hidden="1">2</definedName>
    <definedName name="solver_rel58" localSheetId="4" hidden="1">1</definedName>
    <definedName name="solver_rel58" localSheetId="3" hidden="1">1</definedName>
    <definedName name="solver_rel59" localSheetId="4" hidden="1">1</definedName>
    <definedName name="solver_rel59" localSheetId="3" hidden="1">1</definedName>
    <definedName name="solver_rel6" localSheetId="4" hidden="1">1</definedName>
    <definedName name="solver_rel6" localSheetId="3" hidden="1">1</definedName>
    <definedName name="solver_rel60" localSheetId="4" hidden="1">2</definedName>
    <definedName name="solver_rel60" localSheetId="3" hidden="1">1</definedName>
    <definedName name="solver_rel61" localSheetId="4" hidden="1">1</definedName>
    <definedName name="solver_rel61" localSheetId="3" hidden="1">5</definedName>
    <definedName name="solver_rel62" localSheetId="4" hidden="1">3</definedName>
    <definedName name="solver_rel62" localSheetId="3" hidden="1">1</definedName>
    <definedName name="solver_rel63" localSheetId="4" hidden="1">1</definedName>
    <definedName name="solver_rel63" localSheetId="3" hidden="1">3</definedName>
    <definedName name="solver_rel64" localSheetId="4" hidden="1">1</definedName>
    <definedName name="solver_rel64" localSheetId="3" hidden="1">3</definedName>
    <definedName name="solver_rel65" localSheetId="4" hidden="1">2</definedName>
    <definedName name="solver_rel65" localSheetId="3" hidden="1">3</definedName>
    <definedName name="solver_rel66" localSheetId="4" hidden="1">1</definedName>
    <definedName name="solver_rel66" localSheetId="3" hidden="1">5</definedName>
    <definedName name="solver_rel67" localSheetId="4" hidden="1">3</definedName>
    <definedName name="solver_rel67" localSheetId="3" hidden="1">1</definedName>
    <definedName name="solver_rel68" localSheetId="4" hidden="1">1</definedName>
    <definedName name="solver_rel68" localSheetId="3" hidden="1">3</definedName>
    <definedName name="solver_rel69" localSheetId="4" hidden="1">1</definedName>
    <definedName name="solver_rel69" localSheetId="3" hidden="1">3</definedName>
    <definedName name="solver_rel7" localSheetId="4" hidden="1">3</definedName>
    <definedName name="solver_rel7" localSheetId="3" hidden="1">2</definedName>
    <definedName name="solver_rel70" localSheetId="4" hidden="1">2</definedName>
    <definedName name="solver_rel70" localSheetId="3" hidden="1">3</definedName>
    <definedName name="solver_rel71" localSheetId="4" hidden="1">1</definedName>
    <definedName name="solver_rel71" localSheetId="3" hidden="1">5</definedName>
    <definedName name="solver_rel72" localSheetId="4" hidden="1">3</definedName>
    <definedName name="solver_rel72" localSheetId="3" hidden="1">1</definedName>
    <definedName name="solver_rel73" localSheetId="4" hidden="1">1</definedName>
    <definedName name="solver_rel73" localSheetId="3" hidden="1">3</definedName>
    <definedName name="solver_rel74" localSheetId="4" hidden="1">1</definedName>
    <definedName name="solver_rel74" localSheetId="3" hidden="1">3</definedName>
    <definedName name="solver_rel75" localSheetId="4" hidden="1">2</definedName>
    <definedName name="solver_rel75" localSheetId="3" hidden="1">3</definedName>
    <definedName name="solver_rel76" localSheetId="4" hidden="1">1</definedName>
    <definedName name="solver_rel76" localSheetId="3" hidden="1">5</definedName>
    <definedName name="solver_rel77" localSheetId="4" hidden="1">3</definedName>
    <definedName name="solver_rel77" localSheetId="3" hidden="1">1</definedName>
    <definedName name="solver_rel78" localSheetId="4" hidden="1">1</definedName>
    <definedName name="solver_rel78" localSheetId="3" hidden="1">3</definedName>
    <definedName name="solver_rel79" localSheetId="4" hidden="1">1</definedName>
    <definedName name="solver_rel79" localSheetId="3" hidden="1">3</definedName>
    <definedName name="solver_rel8" localSheetId="4" hidden="1">1</definedName>
    <definedName name="solver_rel8" localSheetId="3" hidden="1">1</definedName>
    <definedName name="solver_rel80" localSheetId="4" hidden="1">2</definedName>
    <definedName name="solver_rel80" localSheetId="3" hidden="1">3</definedName>
    <definedName name="solver_rel81" localSheetId="4" hidden="1">1</definedName>
    <definedName name="solver_rel82" localSheetId="4" hidden="1">3</definedName>
    <definedName name="solver_rel83" localSheetId="4" hidden="1">1</definedName>
    <definedName name="solver_rel84" localSheetId="4" hidden="1">1</definedName>
    <definedName name="solver_rel85" localSheetId="4" hidden="1">2</definedName>
    <definedName name="solver_rel86" localSheetId="4" hidden="1">1</definedName>
    <definedName name="solver_rel87" localSheetId="4" hidden="1">3</definedName>
    <definedName name="solver_rel88" localSheetId="4" hidden="1">1</definedName>
    <definedName name="solver_rel89" localSheetId="4" hidden="1">1</definedName>
    <definedName name="solver_rel9" localSheetId="4" hidden="1">1</definedName>
    <definedName name="solver_rel9" localSheetId="3" hidden="1">1</definedName>
    <definedName name="solver_rel90" localSheetId="4" hidden="1">2</definedName>
    <definedName name="solver_rel91" localSheetId="4" hidden="1">1</definedName>
    <definedName name="solver_rel92" localSheetId="4" hidden="1">3</definedName>
    <definedName name="solver_rel93" localSheetId="4" hidden="1">1</definedName>
    <definedName name="solver_rel94" localSheetId="4" hidden="1">1</definedName>
    <definedName name="solver_rel95" localSheetId="4" hidden="1">2</definedName>
    <definedName name="solver_rel96" localSheetId="4" hidden="1">1</definedName>
    <definedName name="solver_rel97" localSheetId="4" hidden="1">3</definedName>
    <definedName name="solver_rel98" localSheetId="4" hidden="1">1</definedName>
    <definedName name="solver_rel99" localSheetId="4" hidden="1">1</definedName>
    <definedName name="solver_rep" localSheetId="3" hidden="1">0</definedName>
    <definedName name="solver_rhs1" localSheetId="2" hidden="1">0</definedName>
    <definedName name="solver_rhs1" localSheetId="4" hidden="1">1</definedName>
    <definedName name="solver_rhs1" localSheetId="3" hidden="1">integer</definedName>
    <definedName name="solver_rhs10" localSheetId="4" hidden="1">0</definedName>
    <definedName name="solver_rhs10" localSheetId="3" hidden="1">PFD!$U$54:$U$57</definedName>
    <definedName name="solver_rhs100" localSheetId="4" hidden="1">0</definedName>
    <definedName name="solver_rhs101" localSheetId="4" hidden="1">1</definedName>
    <definedName name="solver_rhs102" localSheetId="4" hidden="1">0</definedName>
    <definedName name="solver_rhs103" localSheetId="4" hidden="1">0</definedName>
    <definedName name="solver_rhs104" localSheetId="4" hidden="1">0</definedName>
    <definedName name="solver_rhs105" localSheetId="4" hidden="1">0</definedName>
    <definedName name="solver_rhs106" localSheetId="4" hidden="1">1</definedName>
    <definedName name="solver_rhs107" localSheetId="4" hidden="1">0</definedName>
    <definedName name="solver_rhs108" localSheetId="4" hidden="1">0</definedName>
    <definedName name="solver_rhs109" localSheetId="4" hidden="1">0</definedName>
    <definedName name="solver_rhs11" localSheetId="4" hidden="1">1</definedName>
    <definedName name="solver_rhs11" localSheetId="3" hidden="1">PFD!$U$60:$U$64</definedName>
    <definedName name="solver_rhs110" localSheetId="4" hidden="1">0</definedName>
    <definedName name="solver_rhs111" localSheetId="4" hidden="1">1</definedName>
    <definedName name="solver_rhs112" localSheetId="4" hidden="1">0</definedName>
    <definedName name="solver_rhs113" localSheetId="4" hidden="1">0</definedName>
    <definedName name="solver_rhs114" localSheetId="4" hidden="1">0</definedName>
    <definedName name="solver_rhs115" localSheetId="4" hidden="1">0</definedName>
    <definedName name="solver_rhs116" localSheetId="4" hidden="1">1</definedName>
    <definedName name="solver_rhs117" localSheetId="4" hidden="1">0</definedName>
    <definedName name="solver_rhs118" localSheetId="4" hidden="1">0</definedName>
    <definedName name="solver_rhs119" localSheetId="4" hidden="1">0</definedName>
    <definedName name="solver_rhs12" localSheetId="4" hidden="1">0</definedName>
    <definedName name="solver_rhs12" localSheetId="3" hidden="1">0</definedName>
    <definedName name="solver_rhs120" localSheetId="4" hidden="1">0</definedName>
    <definedName name="solver_rhs121" localSheetId="4" hidden="1">1</definedName>
    <definedName name="solver_rhs122" localSheetId="4" hidden="1">0</definedName>
    <definedName name="solver_rhs123" localSheetId="4" hidden="1">0</definedName>
    <definedName name="solver_rhs124" localSheetId="4" hidden="1">0</definedName>
    <definedName name="solver_rhs125" localSheetId="4" hidden="1">0</definedName>
    <definedName name="solver_rhs126" localSheetId="4" hidden="1">1</definedName>
    <definedName name="solver_rhs127" localSheetId="4" hidden="1">0</definedName>
    <definedName name="solver_rhs128" localSheetId="4" hidden="1">0</definedName>
    <definedName name="solver_rhs129" localSheetId="4" hidden="1">0</definedName>
    <definedName name="solver_rhs13" localSheetId="4" hidden="1">0</definedName>
    <definedName name="solver_rhs13" localSheetId="3" hidden="1">VARbinMAX</definedName>
    <definedName name="solver_rhs130" localSheetId="4" hidden="1">0</definedName>
    <definedName name="solver_rhs131" localSheetId="4" hidden="1">1</definedName>
    <definedName name="solver_rhs132" localSheetId="4" hidden="1">0</definedName>
    <definedName name="solver_rhs133" localSheetId="4" hidden="1">0</definedName>
    <definedName name="solver_rhs134" localSheetId="4" hidden="1">0</definedName>
    <definedName name="solver_rhs135" localSheetId="4" hidden="1">0</definedName>
    <definedName name="solver_rhs136" localSheetId="4" hidden="1">1</definedName>
    <definedName name="solver_rhs137" localSheetId="4" hidden="1">0</definedName>
    <definedName name="solver_rhs138" localSheetId="4" hidden="1">0</definedName>
    <definedName name="solver_rhs139" localSheetId="4" hidden="1">0</definedName>
    <definedName name="solver_rhs14" localSheetId="4" hidden="1">0</definedName>
    <definedName name="solver_rhs14" localSheetId="3" hidden="1">VARbinMIN</definedName>
    <definedName name="solver_rhs140" localSheetId="4" hidden="1">0</definedName>
    <definedName name="solver_rhs141" localSheetId="4" hidden="1">1</definedName>
    <definedName name="solver_rhs142" localSheetId="4" hidden="1">0</definedName>
    <definedName name="solver_rhs143" localSheetId="4" hidden="1">0</definedName>
    <definedName name="solver_rhs144" localSheetId="4" hidden="1">0</definedName>
    <definedName name="solver_rhs145" localSheetId="4" hidden="1">0</definedName>
    <definedName name="solver_rhs146" localSheetId="4" hidden="1">1</definedName>
    <definedName name="solver_rhs147" localSheetId="4" hidden="1">0</definedName>
    <definedName name="solver_rhs148" localSheetId="4" hidden="1">0</definedName>
    <definedName name="solver_rhs149" localSheetId="4" hidden="1">0</definedName>
    <definedName name="solver_rhs15" localSheetId="4" hidden="1">0</definedName>
    <definedName name="solver_rhs15" localSheetId="3" hidden="1">0</definedName>
    <definedName name="solver_rhs150" localSheetId="4" hidden="1">0</definedName>
    <definedName name="solver_rhs151" localSheetId="4" hidden="1">1</definedName>
    <definedName name="solver_rhs152" localSheetId="4" hidden="1">0</definedName>
    <definedName name="solver_rhs153" localSheetId="4" hidden="1">0</definedName>
    <definedName name="solver_rhs154" localSheetId="4" hidden="1">0</definedName>
    <definedName name="solver_rhs155" localSheetId="4" hidden="1">0</definedName>
    <definedName name="solver_rhs156" localSheetId="4" hidden="1">1</definedName>
    <definedName name="solver_rhs157" localSheetId="4" hidden="1">0</definedName>
    <definedName name="solver_rhs158" localSheetId="4" hidden="1">0</definedName>
    <definedName name="solver_rhs159" localSheetId="4" hidden="1">0</definedName>
    <definedName name="solver_rhs16" localSheetId="4" hidden="1">1</definedName>
    <definedName name="solver_rhs16" localSheetId="3" hidden="1">0</definedName>
    <definedName name="solver_rhs160" localSheetId="4" hidden="1">0</definedName>
    <definedName name="solver_rhs161" localSheetId="4" hidden="1">1</definedName>
    <definedName name="solver_rhs162" localSheetId="4" hidden="1">0</definedName>
    <definedName name="solver_rhs163" localSheetId="4" hidden="1">0</definedName>
    <definedName name="solver_rhs164" localSheetId="4" hidden="1">0</definedName>
    <definedName name="solver_rhs165" localSheetId="4" hidden="1">0</definedName>
    <definedName name="solver_rhs17" localSheetId="4" hidden="1">0</definedName>
    <definedName name="solver_rhs17" localSheetId="3" hidden="1">0</definedName>
    <definedName name="solver_rhs18" localSheetId="4" hidden="1">0</definedName>
    <definedName name="solver_rhs18" localSheetId="3" hidden="1">0</definedName>
    <definedName name="solver_rhs19" localSheetId="4" hidden="1">0</definedName>
    <definedName name="solver_rhs19" localSheetId="3" hidden="1">0</definedName>
    <definedName name="solver_rhs2" localSheetId="4" hidden="1">0</definedName>
    <definedName name="solver_rhs2" localSheetId="3" hidden="1">PFD!$F$58:$F$75</definedName>
    <definedName name="solver_rhs20" localSheetId="4" hidden="1">0</definedName>
    <definedName name="solver_rhs20" localSheetId="3" hidden="1">ConstrST2RHS</definedName>
    <definedName name="solver_rhs21" localSheetId="4" hidden="1">1</definedName>
    <definedName name="solver_rhs21" localSheetId="3" hidden="1">ConstrST5RHS</definedName>
    <definedName name="solver_rhs22" localSheetId="4" hidden="1">0</definedName>
    <definedName name="solver_rhs22" localSheetId="3" hidden="1">0</definedName>
    <definedName name="solver_rhs23" localSheetId="4" hidden="1">0</definedName>
    <definedName name="solver_rhs23" localSheetId="3" hidden="1">integer</definedName>
    <definedName name="solver_rhs24" localSheetId="4" hidden="1">0</definedName>
    <definedName name="solver_rhs24" localSheetId="3" hidden="1">VARbinMAX</definedName>
    <definedName name="solver_rhs25" localSheetId="4" hidden="1">0</definedName>
    <definedName name="solver_rhs25" localSheetId="3" hidden="1">VARbinMIN</definedName>
    <definedName name="solver_rhs26" localSheetId="4" hidden="1">1</definedName>
    <definedName name="solver_rhs26" localSheetId="3" hidden="1">0</definedName>
    <definedName name="solver_rhs27" localSheetId="4" hidden="1">0</definedName>
    <definedName name="solver_rhs27" localSheetId="3" hidden="1">0</definedName>
    <definedName name="solver_rhs28" localSheetId="4" hidden="1">0</definedName>
    <definedName name="solver_rhs28" localSheetId="3" hidden="1">0</definedName>
    <definedName name="solver_rhs29" localSheetId="4" hidden="1">0</definedName>
    <definedName name="solver_rhs29" localSheetId="3" hidden="1">0</definedName>
    <definedName name="solver_rhs3" localSheetId="4" hidden="1">0</definedName>
    <definedName name="solver_rhs3" localSheetId="3" hidden="1">PFD!$E$58:$E$75</definedName>
    <definedName name="solver_rhs30" localSheetId="4" hidden="1">0</definedName>
    <definedName name="solver_rhs30" localSheetId="3" hidden="1">0</definedName>
    <definedName name="solver_rhs31" localSheetId="4" hidden="1">1</definedName>
    <definedName name="solver_rhs31" localSheetId="3" hidden="1">ConstrST2RHS</definedName>
    <definedName name="solver_rhs32" localSheetId="4" hidden="1">0</definedName>
    <definedName name="solver_rhs32" localSheetId="3" hidden="1">ConstrST5RHS</definedName>
    <definedName name="solver_rhs33" localSheetId="4" hidden="1">0</definedName>
    <definedName name="solver_rhs33" localSheetId="3" hidden="1">0</definedName>
    <definedName name="solver_rhs34" localSheetId="4" hidden="1">0</definedName>
    <definedName name="solver_rhs34" localSheetId="3" hidden="1">0</definedName>
    <definedName name="solver_rhs35" localSheetId="4" hidden="1">0</definedName>
    <definedName name="solver_rhs35" localSheetId="3" hidden="1">0</definedName>
    <definedName name="solver_rhs36" localSheetId="4" hidden="1">1</definedName>
    <definedName name="solver_rhs36" localSheetId="3" hidden="1">0</definedName>
    <definedName name="solver_rhs37" localSheetId="4" hidden="1">0</definedName>
    <definedName name="solver_rhs37" localSheetId="3" hidden="1">0</definedName>
    <definedName name="solver_rhs38" localSheetId="4" hidden="1">0</definedName>
    <definedName name="solver_rhs38" localSheetId="3" hidden="1">0</definedName>
    <definedName name="solver_rhs39" localSheetId="4" hidden="1">0</definedName>
    <definedName name="solver_rhs39" localSheetId="3" hidden="1">ConstrST2RHS</definedName>
    <definedName name="solver_rhs4" localSheetId="4" hidden="1">0</definedName>
    <definedName name="solver_rhs4" localSheetId="3" hidden="1">0</definedName>
    <definedName name="solver_rhs40" localSheetId="4" hidden="1">0</definedName>
    <definedName name="solver_rhs40" localSheetId="3" hidden="1">ConstrST5RHS</definedName>
    <definedName name="solver_rhs41" localSheetId="4" hidden="1">1</definedName>
    <definedName name="solver_rhs41" localSheetId="3" hidden="1">integer</definedName>
    <definedName name="solver_rhs42" localSheetId="4" hidden="1">0</definedName>
    <definedName name="solver_rhs42" localSheetId="3" hidden="1">VARbinMAX</definedName>
    <definedName name="solver_rhs43" localSheetId="4" hidden="1">0</definedName>
    <definedName name="solver_rhs43" localSheetId="3" hidden="1">VARbinMIN</definedName>
    <definedName name="solver_rhs44" localSheetId="4" hidden="1">0</definedName>
    <definedName name="solver_rhs44" localSheetId="3" hidden="1">0</definedName>
    <definedName name="solver_rhs45" localSheetId="4" hidden="1">0</definedName>
    <definedName name="solver_rhs45" localSheetId="3" hidden="1">0</definedName>
    <definedName name="solver_rhs46" localSheetId="4" hidden="1">1</definedName>
    <definedName name="solver_rhs46" localSheetId="3" hidden="1">0</definedName>
    <definedName name="solver_rhs47" localSheetId="4" hidden="1">0</definedName>
    <definedName name="solver_rhs47" localSheetId="3" hidden="1">0</definedName>
    <definedName name="solver_rhs48" localSheetId="4" hidden="1">0</definedName>
    <definedName name="solver_rhs48" localSheetId="3" hidden="1">0</definedName>
    <definedName name="solver_rhs49" localSheetId="4" hidden="1">0</definedName>
    <definedName name="solver_rhs49" localSheetId="3" hidden="1">ConstrST2RHS</definedName>
    <definedName name="solver_rhs5" localSheetId="4" hidden="1">0</definedName>
    <definedName name="solver_rhs5" localSheetId="3" hidden="1">0</definedName>
    <definedName name="solver_rhs50" localSheetId="4" hidden="1">0</definedName>
    <definedName name="solver_rhs50" localSheetId="3" hidden="1">ConstrST5RHS</definedName>
    <definedName name="solver_rhs51" localSheetId="4" hidden="1">1</definedName>
    <definedName name="solver_rhs51" localSheetId="3" hidden="1">integer</definedName>
    <definedName name="solver_rhs52" localSheetId="4" hidden="1">0</definedName>
    <definedName name="solver_rhs52" localSheetId="3" hidden="1">VARbinMAX</definedName>
    <definedName name="solver_rhs53" localSheetId="4" hidden="1">0</definedName>
    <definedName name="solver_rhs53" localSheetId="3" hidden="1">VARbinMIN</definedName>
    <definedName name="solver_rhs54" localSheetId="4" hidden="1">0</definedName>
    <definedName name="solver_rhs54" localSheetId="3" hidden="1">0</definedName>
    <definedName name="solver_rhs55" localSheetId="4" hidden="1">0</definedName>
    <definedName name="solver_rhs55" localSheetId="3" hidden="1">0</definedName>
    <definedName name="solver_rhs56" localSheetId="4" hidden="1">1</definedName>
    <definedName name="solver_rhs56" localSheetId="3" hidden="1">0</definedName>
    <definedName name="solver_rhs57" localSheetId="4" hidden="1">0</definedName>
    <definedName name="solver_rhs57" localSheetId="3" hidden="1">0</definedName>
    <definedName name="solver_rhs58" localSheetId="4" hidden="1">0</definedName>
    <definedName name="solver_rhs58" localSheetId="3" hidden="1">0</definedName>
    <definedName name="solver_rhs59" localSheetId="4" hidden="1">0</definedName>
    <definedName name="solver_rhs59" localSheetId="3" hidden="1">ConstrST2RHS</definedName>
    <definedName name="solver_rhs6" localSheetId="4" hidden="1">1</definedName>
    <definedName name="solver_rhs6" localSheetId="3" hidden="1">0</definedName>
    <definedName name="solver_rhs60" localSheetId="4" hidden="1">0</definedName>
    <definedName name="solver_rhs60" localSheetId="3" hidden="1">ConstrST5RHS</definedName>
    <definedName name="solver_rhs61" localSheetId="4" hidden="1">1</definedName>
    <definedName name="solver_rhs61" localSheetId="3" hidden="1">binary</definedName>
    <definedName name="solver_rhs62" localSheetId="4" hidden="1">0</definedName>
    <definedName name="solver_rhs62" localSheetId="3" hidden="1">maxinputs</definedName>
    <definedName name="solver_rhs63" localSheetId="4" hidden="1">0</definedName>
    <definedName name="solver_rhs63" localSheetId="3" hidden="1">mininputs</definedName>
    <definedName name="solver_rhs64" localSheetId="4" hidden="1">0</definedName>
    <definedName name="solver_rhs64" localSheetId="3" hidden="1">0</definedName>
    <definedName name="solver_rhs65" localSheetId="4" hidden="1">0</definedName>
    <definedName name="solver_rhs65" localSheetId="3" hidden="1">0</definedName>
    <definedName name="solver_rhs66" localSheetId="4" hidden="1">1</definedName>
    <definedName name="solver_rhs66" localSheetId="3" hidden="1">binary</definedName>
    <definedName name="solver_rhs67" localSheetId="4" hidden="1">0</definedName>
    <definedName name="solver_rhs67" localSheetId="3" hidden="1">maxinputs</definedName>
    <definedName name="solver_rhs68" localSheetId="4" hidden="1">0</definedName>
    <definedName name="solver_rhs68" localSheetId="3" hidden="1">mininputs</definedName>
    <definedName name="solver_rhs69" localSheetId="4" hidden="1">0</definedName>
    <definedName name="solver_rhs69" localSheetId="3" hidden="1">0</definedName>
    <definedName name="solver_rhs7" localSheetId="4" hidden="1">0</definedName>
    <definedName name="solver_rhs7" localSheetId="3" hidden="1">0</definedName>
    <definedName name="solver_rhs70" localSheetId="4" hidden="1">0</definedName>
    <definedName name="solver_rhs70" localSheetId="3" hidden="1">0</definedName>
    <definedName name="solver_rhs71" localSheetId="4" hidden="1">1</definedName>
    <definedName name="solver_rhs71" localSheetId="3" hidden="1">binary</definedName>
    <definedName name="solver_rhs72" localSheetId="4" hidden="1">0</definedName>
    <definedName name="solver_rhs72" localSheetId="3" hidden="1">maxinputs</definedName>
    <definedName name="solver_rhs73" localSheetId="4" hidden="1">0</definedName>
    <definedName name="solver_rhs73" localSheetId="3" hidden="1">mininputs</definedName>
    <definedName name="solver_rhs74" localSheetId="4" hidden="1">0</definedName>
    <definedName name="solver_rhs74" localSheetId="3" hidden="1">0</definedName>
    <definedName name="solver_rhs75" localSheetId="4" hidden="1">0</definedName>
    <definedName name="solver_rhs75" localSheetId="3" hidden="1">0</definedName>
    <definedName name="solver_rhs76" localSheetId="4" hidden="1">1</definedName>
    <definedName name="solver_rhs76" localSheetId="3" hidden="1">binary</definedName>
    <definedName name="solver_rhs77" localSheetId="4" hidden="1">0</definedName>
    <definedName name="solver_rhs77" localSheetId="3" hidden="1">maxinputs</definedName>
    <definedName name="solver_rhs78" localSheetId="4" hidden="1">0</definedName>
    <definedName name="solver_rhs78" localSheetId="3" hidden="1">mininputs</definedName>
    <definedName name="solver_rhs79" localSheetId="4" hidden="1">0</definedName>
    <definedName name="solver_rhs79" localSheetId="3" hidden="1">0</definedName>
    <definedName name="solver_rhs8" localSheetId="4" hidden="1">0</definedName>
    <definedName name="solver_rhs8" localSheetId="3" hidden="1">1</definedName>
    <definedName name="solver_rhs80" localSheetId="4" hidden="1">0</definedName>
    <definedName name="solver_rhs80" localSheetId="3" hidden="1">0</definedName>
    <definedName name="solver_rhs81" localSheetId="4" hidden="1">1</definedName>
    <definedName name="solver_rhs82" localSheetId="4" hidden="1">0</definedName>
    <definedName name="solver_rhs83" localSheetId="4" hidden="1">0</definedName>
    <definedName name="solver_rhs84" localSheetId="4" hidden="1">0</definedName>
    <definedName name="solver_rhs85" localSheetId="4" hidden="1">0</definedName>
    <definedName name="solver_rhs86" localSheetId="4" hidden="1">1</definedName>
    <definedName name="solver_rhs87" localSheetId="4" hidden="1">0</definedName>
    <definedName name="solver_rhs88" localSheetId="4" hidden="1">0</definedName>
    <definedName name="solver_rhs89" localSheetId="4" hidden="1">0</definedName>
    <definedName name="solver_rhs9" localSheetId="4" hidden="1">0</definedName>
    <definedName name="solver_rhs9" localSheetId="3" hidden="1">0</definedName>
    <definedName name="solver_rhs90" localSheetId="4" hidden="1">0</definedName>
    <definedName name="solver_rhs91" localSheetId="4" hidden="1">1</definedName>
    <definedName name="solver_rhs92" localSheetId="4" hidden="1">0</definedName>
    <definedName name="solver_rhs93" localSheetId="4" hidden="1">0</definedName>
    <definedName name="solver_rhs94" localSheetId="4" hidden="1">0</definedName>
    <definedName name="solver_rhs95" localSheetId="4" hidden="1">0</definedName>
    <definedName name="solver_rhs96" localSheetId="4" hidden="1">1</definedName>
    <definedName name="solver_rhs97" localSheetId="4" hidden="1">0</definedName>
    <definedName name="solver_rhs98" localSheetId="4" hidden="1">0</definedName>
    <definedName name="solver_rhs99" localSheetId="4" hidden="1">0</definedName>
    <definedName name="solver_rlx" localSheetId="2" hidden="1">2</definedName>
    <definedName name="solver_rlx" localSheetId="4" hidden="1">0</definedName>
    <definedName name="solver_rlx" localSheetId="3" hidden="1">2</definedName>
    <definedName name="solver_rsd" localSheetId="2" hidden="1">0</definedName>
    <definedName name="solver_rsd" localSheetId="3" hidden="1">0</definedName>
    <definedName name="solver_rsmp" hidden="1">2</definedName>
    <definedName name="solver_rtr" localSheetId="4" hidden="1">0</definedName>
    <definedName name="solver_rtr" localSheetId="3" hidden="1">0</definedName>
    <definedName name="solver_rxc1" localSheetId="3" hidden="1">1</definedName>
    <definedName name="solver_rxc10" localSheetId="3" hidden="1">1</definedName>
    <definedName name="solver_rxc2" localSheetId="3" hidden="1">1</definedName>
    <definedName name="solver_rxc3" localSheetId="3" hidden="1">1</definedName>
    <definedName name="solver_rxc4" localSheetId="3" hidden="1">1</definedName>
    <definedName name="solver_rxc5" localSheetId="3" hidden="1">1</definedName>
    <definedName name="solver_rxc6" localSheetId="3" hidden="1">1</definedName>
    <definedName name="solver_rxc7" localSheetId="3" hidden="1">1</definedName>
    <definedName name="solver_rxc8" localSheetId="3" hidden="1">1</definedName>
    <definedName name="solver_rxc9" localSheetId="3" hidden="1">1</definedName>
    <definedName name="solver_rxv" localSheetId="4" hidden="1">1</definedName>
    <definedName name="solver_rxv" localSheetId="3" hidden="1">1</definedName>
    <definedName name="solver_scl" localSheetId="2" hidden="1">2</definedName>
    <definedName name="solver_scl" localSheetId="4" hidden="1">2</definedName>
    <definedName name="solver_scl" localSheetId="1" hidden="1">2</definedName>
    <definedName name="solver_scl" localSheetId="3" hidden="1">1</definedName>
    <definedName name="solver_seed" hidden="1">0</definedName>
    <definedName name="solver_sel" localSheetId="4" hidden="1">1</definedName>
    <definedName name="solver_sel" localSheetId="3" hidden="1">1</definedName>
    <definedName name="solver_sho" localSheetId="2" hidden="1">2</definedName>
    <definedName name="solver_sho" localSheetId="4" hidden="1">2</definedName>
    <definedName name="solver_sho" localSheetId="1" hidden="1">2</definedName>
    <definedName name="solver_sho" localSheetId="3" hidden="1">2</definedName>
    <definedName name="solver_slv" localSheetId="4" hidden="1">0</definedName>
    <definedName name="solver_slv" localSheetId="3" hidden="1">0</definedName>
    <definedName name="solver_slvu" localSheetId="4" hidden="1">0</definedName>
    <definedName name="solver_slvu" localSheetId="3" hidden="1">0</definedName>
    <definedName name="solver_spid" localSheetId="4" hidden="1">" "</definedName>
    <definedName name="solver_spid" localSheetId="3" hidden="1">" "</definedName>
    <definedName name="solver_srvr" localSheetId="4" hidden="1">" "</definedName>
    <definedName name="solver_srvr" localSheetId="3" hidden="1">" "</definedName>
    <definedName name="solver_ssz" localSheetId="2" hidden="1">100</definedName>
    <definedName name="solver_ssz" localSheetId="3" hidden="1">0</definedName>
    <definedName name="solver_tim" localSheetId="2" hidden="1">2147483647</definedName>
    <definedName name="solver_tim" localSheetId="4" hidden="1">100</definedName>
    <definedName name="solver_tim" localSheetId="1" hidden="1">9999999999</definedName>
    <definedName name="solver_tim" localSheetId="3" hidden="1">9999</definedName>
    <definedName name="solver_tms" localSheetId="3" hidden="1">0</definedName>
    <definedName name="solver_tol" localSheetId="2" hidden="1">0.01</definedName>
    <definedName name="solver_tol" localSheetId="4" hidden="1">0.05</definedName>
    <definedName name="solver_tol" localSheetId="1" hidden="1">0.05</definedName>
    <definedName name="solver_tol" localSheetId="3" hidden="1">0</definedName>
    <definedName name="solver_typ" localSheetId="2" hidden="1">2</definedName>
    <definedName name="solver_typ" localSheetId="0" hidden="1">2</definedName>
    <definedName name="solver_typ" localSheetId="4" hidden="1">3</definedName>
    <definedName name="solver_typ" localSheetId="1" hidden="1">1</definedName>
    <definedName name="solver_typ" localSheetId="3" hidden="1">1</definedName>
    <definedName name="solver_typ" localSheetId="6" hidden="1">2</definedName>
    <definedName name="solver_umod" localSheetId="4" hidden="1">1</definedName>
    <definedName name="solver_umod" localSheetId="3" hidden="1">1</definedName>
    <definedName name="solver_urs" localSheetId="4" hidden="1">0</definedName>
    <definedName name="solver_urs" localSheetId="3" hidden="1">0</definedName>
    <definedName name="solver_val" localSheetId="2" hidden="1">0</definedName>
    <definedName name="solver_val" localSheetId="4" hidden="1">6.5</definedName>
    <definedName name="solver_val" localSheetId="1" hidden="1">0</definedName>
    <definedName name="solver_val" localSheetId="3" hidden="1">0</definedName>
    <definedName name="solver_var" localSheetId="4" hidden="1">" "</definedName>
    <definedName name="solver_var" localSheetId="3" hidden="1">" "</definedName>
    <definedName name="solver_ver" localSheetId="2" hidden="1">3</definedName>
    <definedName name="solver_ver" localSheetId="0" hidden="1">12</definedName>
    <definedName name="solver_ver" localSheetId="4" hidden="1">12</definedName>
    <definedName name="solver_ver" localSheetId="3" hidden="1">3</definedName>
    <definedName name="solver_ver" localSheetId="6" hidden="1">12</definedName>
    <definedName name="solver_vir" localSheetId="4" hidden="1">1</definedName>
    <definedName name="solver_vir" localSheetId="3" hidden="1">1</definedName>
    <definedName name="solver_vol" localSheetId="4" hidden="1">0</definedName>
    <definedName name="solver_vol" localSheetId="3" hidden="1">0</definedName>
    <definedName name="solver_vst" localSheetId="4" hidden="1">0</definedName>
    <definedName name="solver_vst" localSheetId="3" hidden="1">0</definedName>
    <definedName name="solverarray">PFD!$J$73:$N$82</definedName>
    <definedName name="solverchoice">Operator!$C$4</definedName>
    <definedName name="steampriceLPBLUEopr">Model!$D$696</definedName>
    <definedName name="steampriceLPLENZopr">Model!$C$696</definedName>
    <definedName name="steampriceMPBLUEopr">Model!$D$695</definedName>
    <definedName name="steampriceMPLENZopr">Model!$C$695</definedName>
    <definedName name="TCRres">Results!$D$520</definedName>
    <definedName name="TextRefCopyRangeCount" hidden="1">12</definedName>
    <definedName name="thermAREA">Model!$A$144</definedName>
    <definedName name="TMUact">Model!$C$535</definedName>
    <definedName name="TMUres">Results!$D$516</definedName>
    <definedName name="TMUrig">Model!$L$669</definedName>
    <definedName name="TMUrig0">Model!$C$140</definedName>
    <definedName name="VARbin">PFD!$G$58:$G$75</definedName>
    <definedName name="VARbinMAX">PFD!$F$58:$F$75</definedName>
    <definedName name="VARbinMIN">PFD!$E$58:$E$75</definedName>
    <definedName name="VARelect">PFD!$G$76:$G$77</definedName>
    <definedName name="VARelectmax">PFD!$F$76:$F$77</definedName>
    <definedName name="varelectMAXCR">PFD!$L$58:$L$59</definedName>
    <definedName name="VARelectmin">PFD!$E$76:$E$77</definedName>
    <definedName name="varelectMINCR">PFD!$L$80:$L$81</definedName>
    <definedName name="VARintMAX">PFD!$F$40:$F$57</definedName>
    <definedName name="VARintMIN">PFD!$E$40:$E$57</definedName>
    <definedName name="wrn.Aging._.and._.Trend._.Analysis." hidden="1">{#N/A,#N/A,FALSE,"Aging Summary";#N/A,#N/A,FALSE,"Ratio Analysis";#N/A,#N/A,FALSE,"Test 120 Day Accts";#N/A,#N/A,FALSE,"Tickmarks"}</definedName>
    <definedName name="XRefColumnsCount" hidden="1">3</definedName>
    <definedName name="XRefCopyRangeCount" hidden="1">21</definedName>
    <definedName name="XRefPasteRangeCount" hidden="1">27</definedName>
  </definedNames>
  <calcPr calcId="179017"/>
</workbook>
</file>

<file path=xl/calcChain.xml><?xml version="1.0" encoding="utf-8"?>
<calcChain xmlns="http://schemas.openxmlformats.org/spreadsheetml/2006/main">
  <c r="K344" i="3" l="1"/>
  <c r="B156" i="3" l="1"/>
  <c r="D452" i="3" l="1"/>
  <c r="C452" i="3"/>
  <c r="A605" i="27"/>
  <c r="B605" i="27"/>
  <c r="C605" i="27"/>
  <c r="A206" i="27"/>
  <c r="B206" i="27"/>
  <c r="C206" i="27"/>
  <c r="C36" i="27"/>
  <c r="J723" i="34"/>
  <c r="K723" i="34"/>
  <c r="F723" i="34"/>
  <c r="E1" i="27"/>
  <c r="F1" i="27"/>
  <c r="G1" i="27"/>
  <c r="H1" i="27"/>
  <c r="H49" i="21"/>
  <c r="H50" i="21"/>
  <c r="H51" i="21"/>
  <c r="H52" i="21"/>
  <c r="H53" i="21"/>
  <c r="H54" i="21"/>
  <c r="H56" i="21"/>
  <c r="H57" i="21"/>
  <c r="H58" i="21"/>
  <c r="F724" i="34"/>
  <c r="G724" i="34" s="1"/>
  <c r="C62" i="27"/>
  <c r="C63" i="27"/>
  <c r="C64" i="27"/>
  <c r="C56" i="27"/>
  <c r="C57" i="27"/>
  <c r="C58" i="27"/>
  <c r="C59" i="27"/>
  <c r="C61" i="27"/>
  <c r="C39" i="27"/>
  <c r="C40" i="27"/>
  <c r="C41" i="27"/>
  <c r="C42" i="27"/>
  <c r="C44" i="27"/>
  <c r="C45" i="27"/>
  <c r="C46" i="27"/>
  <c r="C48" i="27"/>
  <c r="C49" i="27"/>
  <c r="C50" i="27"/>
  <c r="C52" i="27"/>
  <c r="C53" i="27"/>
  <c r="C54" i="27"/>
  <c r="C21" i="27"/>
  <c r="C22" i="27"/>
  <c r="C23" i="27"/>
  <c r="C24" i="27"/>
  <c r="C25" i="27"/>
  <c r="C26" i="27"/>
  <c r="C27" i="27"/>
  <c r="C28" i="27"/>
  <c r="C29" i="27"/>
  <c r="C30" i="27"/>
  <c r="C31" i="27"/>
  <c r="C32" i="27"/>
  <c r="C33" i="27"/>
  <c r="C34" i="27"/>
  <c r="C35" i="27"/>
  <c r="C20" i="27"/>
  <c r="E56" i="21"/>
  <c r="F56" i="21"/>
  <c r="G56" i="21"/>
  <c r="E57" i="21"/>
  <c r="F57" i="21"/>
  <c r="G57" i="21"/>
  <c r="E58" i="21"/>
  <c r="F58" i="21"/>
  <c r="G58" i="21"/>
  <c r="D58" i="21"/>
  <c r="D57" i="21"/>
  <c r="D56" i="21"/>
  <c r="A204" i="3"/>
  <c r="A203" i="27" s="1"/>
  <c r="A205" i="3"/>
  <c r="A204" i="27" s="1"/>
  <c r="A203" i="3"/>
  <c r="A202" i="27" s="1"/>
  <c r="F746" i="3"/>
  <c r="E746" i="3"/>
  <c r="F745" i="3"/>
  <c r="E745" i="3"/>
  <c r="F744" i="3"/>
  <c r="E744" i="3"/>
  <c r="F743" i="3"/>
  <c r="E743" i="3"/>
  <c r="F742" i="3"/>
  <c r="E742" i="3"/>
  <c r="F741" i="3"/>
  <c r="E741" i="3"/>
  <c r="F740" i="3"/>
  <c r="E740" i="3"/>
  <c r="F739" i="3"/>
  <c r="E739" i="3"/>
  <c r="F738" i="3"/>
  <c r="E738" i="3"/>
  <c r="F737" i="3"/>
  <c r="E737" i="3"/>
  <c r="F736" i="3"/>
  <c r="E736" i="3"/>
  <c r="F735" i="3"/>
  <c r="E735" i="3"/>
  <c r="F734" i="3"/>
  <c r="E734" i="3"/>
  <c r="F733" i="3"/>
  <c r="E733" i="3"/>
  <c r="F732" i="3"/>
  <c r="E732" i="3"/>
  <c r="F731" i="3"/>
  <c r="E731" i="3"/>
  <c r="B37" i="21"/>
  <c r="B38" i="21"/>
  <c r="B39" i="21"/>
  <c r="A38" i="21"/>
  <c r="A39" i="21"/>
  <c r="A37" i="21"/>
  <c r="E27" i="3"/>
  <c r="C302" i="3" s="1"/>
  <c r="C256" i="27" s="1"/>
  <c r="C155" i="3"/>
  <c r="C149" i="3" s="1"/>
  <c r="D149" i="3"/>
  <c r="A338" i="3"/>
  <c r="D494" i="3"/>
  <c r="C494" i="3"/>
  <c r="D443" i="3"/>
  <c r="D444" i="3"/>
  <c r="F444" i="3"/>
  <c r="C444" i="3"/>
  <c r="C516" i="27"/>
  <c r="C517" i="27"/>
  <c r="D535" i="3"/>
  <c r="E535" i="3"/>
  <c r="F535" i="3"/>
  <c r="G535" i="3"/>
  <c r="H535" i="3"/>
  <c r="I535" i="3"/>
  <c r="J535" i="3"/>
  <c r="K535" i="3"/>
  <c r="L535" i="3"/>
  <c r="Q33" i="1" s="1"/>
  <c r="G5" i="7" s="1"/>
  <c r="C734" i="27" s="1"/>
  <c r="D536" i="3"/>
  <c r="E536" i="3"/>
  <c r="F536" i="3"/>
  <c r="G536" i="3"/>
  <c r="H536" i="3"/>
  <c r="I536" i="3"/>
  <c r="J536" i="3"/>
  <c r="K536" i="3"/>
  <c r="L536" i="3"/>
  <c r="D53" i="21"/>
  <c r="C116" i="3"/>
  <c r="C601" i="3" s="1"/>
  <c r="C593" i="27" s="1"/>
  <c r="C669" i="3"/>
  <c r="C140" i="3"/>
  <c r="C142" i="3"/>
  <c r="C3" i="21"/>
  <c r="C4" i="27" s="1"/>
  <c r="B335" i="34"/>
  <c r="B290" i="34"/>
  <c r="D260" i="34"/>
  <c r="E260" i="34"/>
  <c r="F260" i="34"/>
  <c r="G260" i="34"/>
  <c r="H260" i="34"/>
  <c r="I260" i="34"/>
  <c r="J260" i="34"/>
  <c r="K260" i="34"/>
  <c r="L260" i="34"/>
  <c r="M260" i="34"/>
  <c r="N260" i="34"/>
  <c r="O260" i="34"/>
  <c r="P260" i="34"/>
  <c r="Q260" i="34"/>
  <c r="R260" i="34"/>
  <c r="S260" i="34"/>
  <c r="T260" i="34"/>
  <c r="U260" i="34"/>
  <c r="V260" i="34"/>
  <c r="W260" i="34"/>
  <c r="X260" i="34"/>
  <c r="Y260" i="34"/>
  <c r="Z260" i="34"/>
  <c r="AA260" i="34"/>
  <c r="AB260" i="34"/>
  <c r="AC260" i="34"/>
  <c r="AD260" i="34"/>
  <c r="AE260" i="34"/>
  <c r="AF260" i="34"/>
  <c r="AG260" i="34"/>
  <c r="AH260" i="34"/>
  <c r="AI260" i="34"/>
  <c r="AJ260" i="34"/>
  <c r="AK260" i="34"/>
  <c r="AL260" i="34"/>
  <c r="AM260" i="34"/>
  <c r="AN260" i="34"/>
  <c r="AO260" i="34"/>
  <c r="AP260" i="34"/>
  <c r="AQ260" i="34"/>
  <c r="AR260" i="34"/>
  <c r="AS260" i="34"/>
  <c r="AT260" i="34"/>
  <c r="AU260" i="34"/>
  <c r="AV260" i="34"/>
  <c r="AW260" i="34"/>
  <c r="AX260" i="34"/>
  <c r="D261" i="34"/>
  <c r="E261" i="34"/>
  <c r="F261" i="34"/>
  <c r="G261" i="34"/>
  <c r="H261" i="34"/>
  <c r="I261" i="34"/>
  <c r="J261" i="34"/>
  <c r="K261" i="34"/>
  <c r="L261" i="34"/>
  <c r="M261" i="34"/>
  <c r="N261" i="34"/>
  <c r="O261" i="34"/>
  <c r="P261" i="34"/>
  <c r="Q261" i="34"/>
  <c r="R261" i="34"/>
  <c r="S261" i="34"/>
  <c r="T261" i="34"/>
  <c r="U261" i="34"/>
  <c r="V261" i="34"/>
  <c r="W261" i="34"/>
  <c r="X261" i="34"/>
  <c r="Y261" i="34"/>
  <c r="Z261" i="34"/>
  <c r="AA261" i="34"/>
  <c r="AB261" i="34"/>
  <c r="AC261" i="34"/>
  <c r="AD261" i="34"/>
  <c r="AE261" i="34"/>
  <c r="AF261" i="34"/>
  <c r="AG261" i="34"/>
  <c r="AH261" i="34"/>
  <c r="AI261" i="34"/>
  <c r="AJ261" i="34"/>
  <c r="AK261" i="34"/>
  <c r="AL261" i="34"/>
  <c r="AM261" i="34"/>
  <c r="AN261" i="34"/>
  <c r="AO261" i="34"/>
  <c r="AP261" i="34"/>
  <c r="AQ261" i="34"/>
  <c r="AR261" i="34"/>
  <c r="AS261" i="34"/>
  <c r="AT261" i="34"/>
  <c r="AU261" i="34"/>
  <c r="AV261" i="34"/>
  <c r="AW261" i="34"/>
  <c r="AX261" i="34"/>
  <c r="D262" i="34"/>
  <c r="E262" i="34"/>
  <c r="F262" i="34"/>
  <c r="G262" i="34"/>
  <c r="H262" i="34"/>
  <c r="I262" i="34"/>
  <c r="J262" i="34"/>
  <c r="K262" i="34"/>
  <c r="L262" i="34"/>
  <c r="M262" i="34"/>
  <c r="N262" i="34"/>
  <c r="O262" i="34"/>
  <c r="P262" i="34"/>
  <c r="Q262" i="34"/>
  <c r="R262" i="34"/>
  <c r="S262" i="34"/>
  <c r="T262" i="34"/>
  <c r="U262" i="34"/>
  <c r="V262" i="34"/>
  <c r="W262" i="34"/>
  <c r="X262" i="34"/>
  <c r="Y262" i="34"/>
  <c r="Z262" i="34"/>
  <c r="AA262" i="34"/>
  <c r="AB262" i="34"/>
  <c r="AC262" i="34"/>
  <c r="AD262" i="34"/>
  <c r="AE262" i="34"/>
  <c r="AF262" i="34"/>
  <c r="AG262" i="34"/>
  <c r="AH262" i="34"/>
  <c r="AI262" i="34"/>
  <c r="AJ262" i="34"/>
  <c r="AK262" i="34"/>
  <c r="AL262" i="34"/>
  <c r="AM262" i="34"/>
  <c r="AN262" i="34"/>
  <c r="AO262" i="34"/>
  <c r="AP262" i="34"/>
  <c r="AQ262" i="34"/>
  <c r="AR262" i="34"/>
  <c r="AS262" i="34"/>
  <c r="AT262" i="34"/>
  <c r="AU262" i="34"/>
  <c r="AV262" i="34"/>
  <c r="AW262" i="34"/>
  <c r="AX262" i="34"/>
  <c r="D263" i="34"/>
  <c r="E263" i="34"/>
  <c r="F263" i="34"/>
  <c r="G263" i="34"/>
  <c r="H263" i="34"/>
  <c r="I263" i="34"/>
  <c r="J263" i="34"/>
  <c r="K263" i="34"/>
  <c r="L263" i="34"/>
  <c r="M263" i="34"/>
  <c r="N263" i="34"/>
  <c r="O263" i="34"/>
  <c r="P263" i="34"/>
  <c r="Q263" i="34"/>
  <c r="R263" i="34"/>
  <c r="S263" i="34"/>
  <c r="T263" i="34"/>
  <c r="U263" i="34"/>
  <c r="V263" i="34"/>
  <c r="W263" i="34"/>
  <c r="X263" i="34"/>
  <c r="Y263" i="34"/>
  <c r="Z263" i="34"/>
  <c r="AA263" i="34"/>
  <c r="AB263" i="34"/>
  <c r="AC263" i="34"/>
  <c r="AD263" i="34"/>
  <c r="AE263" i="34"/>
  <c r="AF263" i="34"/>
  <c r="AG263" i="34"/>
  <c r="AH263" i="34"/>
  <c r="AI263" i="34"/>
  <c r="AJ263" i="34"/>
  <c r="AK263" i="34"/>
  <c r="AL263" i="34"/>
  <c r="AM263" i="34"/>
  <c r="AN263" i="34"/>
  <c r="AO263" i="34"/>
  <c r="AP263" i="34"/>
  <c r="AQ263" i="34"/>
  <c r="AR263" i="34"/>
  <c r="AS263" i="34"/>
  <c r="AT263" i="34"/>
  <c r="AU263" i="34"/>
  <c r="AV263" i="34"/>
  <c r="AW263" i="34"/>
  <c r="AX263" i="34"/>
  <c r="C261" i="34"/>
  <c r="C262" i="34"/>
  <c r="C263" i="34"/>
  <c r="C260" i="34"/>
  <c r="D266" i="34"/>
  <c r="E266" i="34"/>
  <c r="F266" i="34"/>
  <c r="G266" i="34"/>
  <c r="H266" i="34"/>
  <c r="I266" i="34"/>
  <c r="J266" i="34"/>
  <c r="K266" i="34"/>
  <c r="L266" i="34"/>
  <c r="M266" i="34"/>
  <c r="N266" i="34"/>
  <c r="O266" i="34"/>
  <c r="P266" i="34"/>
  <c r="Q266" i="34"/>
  <c r="R266" i="34"/>
  <c r="S266" i="34"/>
  <c r="T266" i="34"/>
  <c r="U266" i="34"/>
  <c r="V266" i="34"/>
  <c r="W266" i="34"/>
  <c r="X266" i="34"/>
  <c r="Y266" i="34"/>
  <c r="Z266" i="34"/>
  <c r="AA266" i="34"/>
  <c r="AB266" i="34"/>
  <c r="AC266" i="34"/>
  <c r="AD266" i="34"/>
  <c r="AE266" i="34"/>
  <c r="AF266" i="34"/>
  <c r="AG266" i="34"/>
  <c r="AH266" i="34"/>
  <c r="AI266" i="34"/>
  <c r="AJ266" i="34"/>
  <c r="AK266" i="34"/>
  <c r="AL266" i="34"/>
  <c r="AM266" i="34"/>
  <c r="AN266" i="34"/>
  <c r="AO266" i="34"/>
  <c r="AP266" i="34"/>
  <c r="AQ266" i="34"/>
  <c r="AR266" i="34"/>
  <c r="AS266" i="34"/>
  <c r="AT266" i="34"/>
  <c r="AU266" i="34"/>
  <c r="AV266" i="34"/>
  <c r="AW266" i="34"/>
  <c r="AX266" i="34"/>
  <c r="D267" i="34"/>
  <c r="E267" i="34"/>
  <c r="F267" i="34"/>
  <c r="G267" i="34"/>
  <c r="H267" i="34"/>
  <c r="I267" i="34"/>
  <c r="J267" i="34"/>
  <c r="K267" i="34"/>
  <c r="L267" i="34"/>
  <c r="M267" i="34"/>
  <c r="N267" i="34"/>
  <c r="O267" i="34"/>
  <c r="P267" i="34"/>
  <c r="Q267" i="34"/>
  <c r="R267" i="34"/>
  <c r="S267" i="34"/>
  <c r="T267" i="34"/>
  <c r="U267" i="34"/>
  <c r="V267" i="34"/>
  <c r="W267" i="34"/>
  <c r="X267" i="34"/>
  <c r="Y267" i="34"/>
  <c r="Z267" i="34"/>
  <c r="AA267" i="34"/>
  <c r="AB267" i="34"/>
  <c r="AC267" i="34"/>
  <c r="AD267" i="34"/>
  <c r="AE267" i="34"/>
  <c r="AF267" i="34"/>
  <c r="AG267" i="34"/>
  <c r="AH267" i="34"/>
  <c r="AI267" i="34"/>
  <c r="AJ267" i="34"/>
  <c r="AK267" i="34"/>
  <c r="AL267" i="34"/>
  <c r="AM267" i="34"/>
  <c r="AN267" i="34"/>
  <c r="AO267" i="34"/>
  <c r="AP267" i="34"/>
  <c r="AQ267" i="34"/>
  <c r="AR267" i="34"/>
  <c r="AS267" i="34"/>
  <c r="AT267" i="34"/>
  <c r="AU267" i="34"/>
  <c r="AV267" i="34"/>
  <c r="AW267" i="34"/>
  <c r="AX267" i="34"/>
  <c r="D268" i="34"/>
  <c r="E268" i="34"/>
  <c r="F268" i="34"/>
  <c r="G268" i="34"/>
  <c r="H268" i="34"/>
  <c r="I268" i="34"/>
  <c r="J268" i="34"/>
  <c r="K268" i="34"/>
  <c r="L268" i="34"/>
  <c r="M268" i="34"/>
  <c r="N268" i="34"/>
  <c r="O268" i="34"/>
  <c r="P268" i="34"/>
  <c r="Q268" i="34"/>
  <c r="R268" i="34"/>
  <c r="S268" i="34"/>
  <c r="T268" i="34"/>
  <c r="U268" i="34"/>
  <c r="V268" i="34"/>
  <c r="W268" i="34"/>
  <c r="X268" i="34"/>
  <c r="Y268" i="34"/>
  <c r="Z268" i="34"/>
  <c r="AA268" i="34"/>
  <c r="AB268" i="34"/>
  <c r="AC268" i="34"/>
  <c r="AD268" i="34"/>
  <c r="AE268" i="34"/>
  <c r="AF268" i="34"/>
  <c r="AG268" i="34"/>
  <c r="AH268" i="34"/>
  <c r="AI268" i="34"/>
  <c r="AJ268" i="34"/>
  <c r="AK268" i="34"/>
  <c r="AL268" i="34"/>
  <c r="AM268" i="34"/>
  <c r="AN268" i="34"/>
  <c r="AO268" i="34"/>
  <c r="AP268" i="34"/>
  <c r="AQ268" i="34"/>
  <c r="AR268" i="34"/>
  <c r="AS268" i="34"/>
  <c r="AT268" i="34"/>
  <c r="AU268" i="34"/>
  <c r="AV268" i="34"/>
  <c r="AW268" i="34"/>
  <c r="AX268" i="34"/>
  <c r="D269" i="34"/>
  <c r="E269" i="34"/>
  <c r="F269" i="34"/>
  <c r="G269" i="34"/>
  <c r="H269" i="34"/>
  <c r="I269" i="34"/>
  <c r="J269" i="34"/>
  <c r="K269" i="34"/>
  <c r="L269" i="34"/>
  <c r="M269" i="34"/>
  <c r="N269" i="34"/>
  <c r="O269" i="34"/>
  <c r="P269" i="34"/>
  <c r="Q269" i="34"/>
  <c r="R269" i="34"/>
  <c r="S269" i="34"/>
  <c r="T269" i="34"/>
  <c r="U269" i="34"/>
  <c r="V269" i="34"/>
  <c r="W269" i="34"/>
  <c r="X269" i="34"/>
  <c r="Y269" i="34"/>
  <c r="Z269" i="34"/>
  <c r="AA269" i="34"/>
  <c r="AB269" i="34"/>
  <c r="AC269" i="34"/>
  <c r="AD269" i="34"/>
  <c r="AE269" i="34"/>
  <c r="AF269" i="34"/>
  <c r="AG269" i="34"/>
  <c r="AH269" i="34"/>
  <c r="AI269" i="34"/>
  <c r="AJ269" i="34"/>
  <c r="AK269" i="34"/>
  <c r="AL269" i="34"/>
  <c r="AM269" i="34"/>
  <c r="AN269" i="34"/>
  <c r="AO269" i="34"/>
  <c r="AP269" i="34"/>
  <c r="AQ269" i="34"/>
  <c r="AR269" i="34"/>
  <c r="AS269" i="34"/>
  <c r="AT269" i="34"/>
  <c r="AU269" i="34"/>
  <c r="AV269" i="34"/>
  <c r="AW269" i="34"/>
  <c r="AX269" i="34"/>
  <c r="D270" i="34"/>
  <c r="E270" i="34"/>
  <c r="F270" i="34"/>
  <c r="G270" i="34"/>
  <c r="H270" i="34"/>
  <c r="I270" i="34"/>
  <c r="J270" i="34"/>
  <c r="K270" i="34"/>
  <c r="L270" i="34"/>
  <c r="M270" i="34"/>
  <c r="N270" i="34"/>
  <c r="O270" i="34"/>
  <c r="P270" i="34"/>
  <c r="Q270" i="34"/>
  <c r="R270" i="34"/>
  <c r="S270" i="34"/>
  <c r="T270" i="34"/>
  <c r="U270" i="34"/>
  <c r="V270" i="34"/>
  <c r="W270" i="34"/>
  <c r="X270" i="34"/>
  <c r="Y270" i="34"/>
  <c r="Z270" i="34"/>
  <c r="AA270" i="34"/>
  <c r="AB270" i="34"/>
  <c r="AC270" i="34"/>
  <c r="AD270" i="34"/>
  <c r="AE270" i="34"/>
  <c r="AF270" i="34"/>
  <c r="AG270" i="34"/>
  <c r="AH270" i="34"/>
  <c r="AI270" i="34"/>
  <c r="AJ270" i="34"/>
  <c r="AK270" i="34"/>
  <c r="AL270" i="34"/>
  <c r="AM270" i="34"/>
  <c r="AN270" i="34"/>
  <c r="AO270" i="34"/>
  <c r="AP270" i="34"/>
  <c r="AQ270" i="34"/>
  <c r="AR270" i="34"/>
  <c r="AS270" i="34"/>
  <c r="AT270" i="34"/>
  <c r="AU270" i="34"/>
  <c r="AV270" i="34"/>
  <c r="AW270" i="34"/>
  <c r="AX270" i="34"/>
  <c r="D271" i="34"/>
  <c r="E271" i="34"/>
  <c r="F271" i="34"/>
  <c r="G271" i="34"/>
  <c r="H271" i="34"/>
  <c r="I271" i="34"/>
  <c r="J271" i="34"/>
  <c r="K271" i="34"/>
  <c r="L271" i="34"/>
  <c r="M271" i="34"/>
  <c r="N271" i="34"/>
  <c r="O271" i="34"/>
  <c r="P271" i="34"/>
  <c r="Q271" i="34"/>
  <c r="R271" i="34"/>
  <c r="S271" i="34"/>
  <c r="T271" i="34"/>
  <c r="U271" i="34"/>
  <c r="V271" i="34"/>
  <c r="W271" i="34"/>
  <c r="X271" i="34"/>
  <c r="Y271" i="34"/>
  <c r="Z271" i="34"/>
  <c r="AA271" i="34"/>
  <c r="AB271" i="34"/>
  <c r="AC271" i="34"/>
  <c r="AD271" i="34"/>
  <c r="AE271" i="34"/>
  <c r="AF271" i="34"/>
  <c r="AG271" i="34"/>
  <c r="AH271" i="34"/>
  <c r="AI271" i="34"/>
  <c r="AJ271" i="34"/>
  <c r="AK271" i="34"/>
  <c r="AL271" i="34"/>
  <c r="AM271" i="34"/>
  <c r="AN271" i="34"/>
  <c r="AO271" i="34"/>
  <c r="AP271" i="34"/>
  <c r="AQ271" i="34"/>
  <c r="AR271" i="34"/>
  <c r="AS271" i="34"/>
  <c r="AT271" i="34"/>
  <c r="AU271" i="34"/>
  <c r="AV271" i="34"/>
  <c r="AW271" i="34"/>
  <c r="AX271" i="34"/>
  <c r="D272" i="34"/>
  <c r="E272" i="34"/>
  <c r="F272" i="34"/>
  <c r="G272" i="34"/>
  <c r="H272" i="34"/>
  <c r="I272" i="34"/>
  <c r="J272" i="34"/>
  <c r="K272" i="34"/>
  <c r="L272" i="34"/>
  <c r="M272" i="34"/>
  <c r="N272" i="34"/>
  <c r="O272" i="34"/>
  <c r="P272" i="34"/>
  <c r="Q272" i="34"/>
  <c r="R272" i="34"/>
  <c r="S272" i="34"/>
  <c r="T272" i="34"/>
  <c r="U272" i="34"/>
  <c r="V272" i="34"/>
  <c r="W272" i="34"/>
  <c r="X272" i="34"/>
  <c r="Y272" i="34"/>
  <c r="Z272" i="34"/>
  <c r="AA272" i="34"/>
  <c r="AB272" i="34"/>
  <c r="AC272" i="34"/>
  <c r="AD272" i="34"/>
  <c r="AE272" i="34"/>
  <c r="AF272" i="34"/>
  <c r="AG272" i="34"/>
  <c r="AH272" i="34"/>
  <c r="AI272" i="34"/>
  <c r="AJ272" i="34"/>
  <c r="AK272" i="34"/>
  <c r="AL272" i="34"/>
  <c r="AM272" i="34"/>
  <c r="AN272" i="34"/>
  <c r="AO272" i="34"/>
  <c r="AP272" i="34"/>
  <c r="AQ272" i="34"/>
  <c r="AR272" i="34"/>
  <c r="AS272" i="34"/>
  <c r="AT272" i="34"/>
  <c r="AU272" i="34"/>
  <c r="AV272" i="34"/>
  <c r="AW272" i="34"/>
  <c r="AX272" i="34"/>
  <c r="D273" i="34"/>
  <c r="E273" i="34"/>
  <c r="F273" i="34"/>
  <c r="G273" i="34"/>
  <c r="H273" i="34"/>
  <c r="I273" i="34"/>
  <c r="J273" i="34"/>
  <c r="K273" i="34"/>
  <c r="L273" i="34"/>
  <c r="M273" i="34"/>
  <c r="N273" i="34"/>
  <c r="O273" i="34"/>
  <c r="P273" i="34"/>
  <c r="Q273" i="34"/>
  <c r="R273" i="34"/>
  <c r="S273" i="34"/>
  <c r="T273" i="34"/>
  <c r="U273" i="34"/>
  <c r="V273" i="34"/>
  <c r="W273" i="34"/>
  <c r="X273" i="34"/>
  <c r="Y273" i="34"/>
  <c r="Z273" i="34"/>
  <c r="AA273" i="34"/>
  <c r="AB273" i="34"/>
  <c r="AC273" i="34"/>
  <c r="AD273" i="34"/>
  <c r="AE273" i="34"/>
  <c r="AF273" i="34"/>
  <c r="AG273" i="34"/>
  <c r="AH273" i="34"/>
  <c r="AI273" i="34"/>
  <c r="AJ273" i="34"/>
  <c r="AK273" i="34"/>
  <c r="AL273" i="34"/>
  <c r="AM273" i="34"/>
  <c r="AN273" i="34"/>
  <c r="AO273" i="34"/>
  <c r="AP273" i="34"/>
  <c r="AQ273" i="34"/>
  <c r="AR273" i="34"/>
  <c r="AS273" i="34"/>
  <c r="AT273" i="34"/>
  <c r="AU273" i="34"/>
  <c r="AV273" i="34"/>
  <c r="AW273" i="34"/>
  <c r="AX273" i="34"/>
  <c r="D274" i="34"/>
  <c r="E274" i="34"/>
  <c r="F274" i="34"/>
  <c r="G274" i="34"/>
  <c r="H274" i="34"/>
  <c r="I274" i="34"/>
  <c r="J274" i="34"/>
  <c r="K274" i="34"/>
  <c r="L274" i="34"/>
  <c r="M274" i="34"/>
  <c r="N274" i="34"/>
  <c r="O274" i="34"/>
  <c r="P274" i="34"/>
  <c r="Q274" i="34"/>
  <c r="R274" i="34"/>
  <c r="S274" i="34"/>
  <c r="T274" i="34"/>
  <c r="U274" i="34"/>
  <c r="V274" i="34"/>
  <c r="W274" i="34"/>
  <c r="X274" i="34"/>
  <c r="Y274" i="34"/>
  <c r="Z274" i="34"/>
  <c r="AA274" i="34"/>
  <c r="AB274" i="34"/>
  <c r="AC274" i="34"/>
  <c r="AD274" i="34"/>
  <c r="AE274" i="34"/>
  <c r="AF274" i="34"/>
  <c r="AG274" i="34"/>
  <c r="AH274" i="34"/>
  <c r="AI274" i="34"/>
  <c r="AJ274" i="34"/>
  <c r="AK274" i="34"/>
  <c r="AL274" i="34"/>
  <c r="AM274" i="34"/>
  <c r="AN274" i="34"/>
  <c r="AO274" i="34"/>
  <c r="AP274" i="34"/>
  <c r="AQ274" i="34"/>
  <c r="AR274" i="34"/>
  <c r="AS274" i="34"/>
  <c r="AT274" i="34"/>
  <c r="AU274" i="34"/>
  <c r="AV274" i="34"/>
  <c r="AW274" i="34"/>
  <c r="AX274" i="34"/>
  <c r="D275" i="34"/>
  <c r="E275" i="34"/>
  <c r="F275" i="34"/>
  <c r="G275" i="34"/>
  <c r="H275" i="34"/>
  <c r="I275" i="34"/>
  <c r="J275" i="34"/>
  <c r="K275" i="34"/>
  <c r="L275" i="34"/>
  <c r="M275" i="34"/>
  <c r="N275" i="34"/>
  <c r="O275" i="34"/>
  <c r="P275" i="34"/>
  <c r="Q275" i="34"/>
  <c r="R275" i="34"/>
  <c r="S275" i="34"/>
  <c r="T275" i="34"/>
  <c r="U275" i="34"/>
  <c r="V275" i="34"/>
  <c r="W275" i="34"/>
  <c r="X275" i="34"/>
  <c r="Y275" i="34"/>
  <c r="Z275" i="34"/>
  <c r="AA275" i="34"/>
  <c r="AB275" i="34"/>
  <c r="AC275" i="34"/>
  <c r="AD275" i="34"/>
  <c r="AE275" i="34"/>
  <c r="AF275" i="34"/>
  <c r="AG275" i="34"/>
  <c r="AH275" i="34"/>
  <c r="AI275" i="34"/>
  <c r="AJ275" i="34"/>
  <c r="AK275" i="34"/>
  <c r="AL275" i="34"/>
  <c r="AM275" i="34"/>
  <c r="AN275" i="34"/>
  <c r="AO275" i="34"/>
  <c r="AP275" i="34"/>
  <c r="AQ275" i="34"/>
  <c r="AR275" i="34"/>
  <c r="AS275" i="34"/>
  <c r="AT275" i="34"/>
  <c r="AU275" i="34"/>
  <c r="AV275" i="34"/>
  <c r="AW275" i="34"/>
  <c r="AX275" i="34"/>
  <c r="D276" i="34"/>
  <c r="E276" i="34"/>
  <c r="F276" i="34"/>
  <c r="G276" i="34"/>
  <c r="H276" i="34"/>
  <c r="I276" i="34"/>
  <c r="J276" i="34"/>
  <c r="K276" i="34"/>
  <c r="L276" i="34"/>
  <c r="M276" i="34"/>
  <c r="N276" i="34"/>
  <c r="O276" i="34"/>
  <c r="P276" i="34"/>
  <c r="Q276" i="34"/>
  <c r="R276" i="34"/>
  <c r="S276" i="34"/>
  <c r="T276" i="34"/>
  <c r="U276" i="34"/>
  <c r="V276" i="34"/>
  <c r="W276" i="34"/>
  <c r="X276" i="34"/>
  <c r="Y276" i="34"/>
  <c r="Z276" i="34"/>
  <c r="AA276" i="34"/>
  <c r="AB276" i="34"/>
  <c r="AC276" i="34"/>
  <c r="AD276" i="34"/>
  <c r="AE276" i="34"/>
  <c r="AF276" i="34"/>
  <c r="AG276" i="34"/>
  <c r="AH276" i="34"/>
  <c r="AI276" i="34"/>
  <c r="AJ276" i="34"/>
  <c r="AK276" i="34"/>
  <c r="AL276" i="34"/>
  <c r="AM276" i="34"/>
  <c r="AN276" i="34"/>
  <c r="AO276" i="34"/>
  <c r="AP276" i="34"/>
  <c r="AQ276" i="34"/>
  <c r="AR276" i="34"/>
  <c r="AS276" i="34"/>
  <c r="AT276" i="34"/>
  <c r="AU276" i="34"/>
  <c r="AV276" i="34"/>
  <c r="AW276" i="34"/>
  <c r="AX276" i="34"/>
  <c r="D277" i="34"/>
  <c r="E277" i="34"/>
  <c r="F277" i="34"/>
  <c r="G277" i="34"/>
  <c r="H277" i="34"/>
  <c r="I277" i="34"/>
  <c r="J277" i="34"/>
  <c r="K277" i="34"/>
  <c r="L277" i="34"/>
  <c r="M277" i="34"/>
  <c r="N277" i="34"/>
  <c r="O277" i="34"/>
  <c r="P277" i="34"/>
  <c r="Q277" i="34"/>
  <c r="R277" i="34"/>
  <c r="S277" i="34"/>
  <c r="T277" i="34"/>
  <c r="U277" i="34"/>
  <c r="V277" i="34"/>
  <c r="W277" i="34"/>
  <c r="X277" i="34"/>
  <c r="Y277" i="34"/>
  <c r="Z277" i="34"/>
  <c r="AA277" i="34"/>
  <c r="AB277" i="34"/>
  <c r="AC277" i="34"/>
  <c r="AD277" i="34"/>
  <c r="AE277" i="34"/>
  <c r="AF277" i="34"/>
  <c r="AG277" i="34"/>
  <c r="AH277" i="34"/>
  <c r="AI277" i="34"/>
  <c r="AJ277" i="34"/>
  <c r="AK277" i="34"/>
  <c r="AL277" i="34"/>
  <c r="AM277" i="34"/>
  <c r="AN277" i="34"/>
  <c r="AO277" i="34"/>
  <c r="AP277" i="34"/>
  <c r="AQ277" i="34"/>
  <c r="AR277" i="34"/>
  <c r="AS277" i="34"/>
  <c r="AT277" i="34"/>
  <c r="AU277" i="34"/>
  <c r="AV277" i="34"/>
  <c r="AW277" i="34"/>
  <c r="AX277" i="34"/>
  <c r="C267" i="34"/>
  <c r="C268" i="34"/>
  <c r="C269" i="34"/>
  <c r="C270" i="34"/>
  <c r="C271" i="34"/>
  <c r="C272" i="34"/>
  <c r="C273" i="34"/>
  <c r="C274" i="34"/>
  <c r="C275" i="34"/>
  <c r="C276" i="34"/>
  <c r="C277" i="34"/>
  <c r="C266" i="34"/>
  <c r="B281" i="34"/>
  <c r="C281" i="34"/>
  <c r="B282" i="34"/>
  <c r="C282" i="34"/>
  <c r="B283" i="34"/>
  <c r="C283" i="34"/>
  <c r="B284" i="34"/>
  <c r="C284" i="34"/>
  <c r="B285" i="34"/>
  <c r="C285" i="34"/>
  <c r="B286" i="34"/>
  <c r="C286" i="34"/>
  <c r="B287" i="34"/>
  <c r="C287" i="34"/>
  <c r="C293" i="34"/>
  <c r="D293" i="34"/>
  <c r="E293" i="34" s="1"/>
  <c r="F293" i="34" s="1"/>
  <c r="G293" i="34" s="1"/>
  <c r="J296" i="34"/>
  <c r="J297" i="34"/>
  <c r="B305" i="34"/>
  <c r="C308" i="34"/>
  <c r="D308" i="34" s="1"/>
  <c r="E308" i="34" s="1"/>
  <c r="F308" i="34" s="1"/>
  <c r="G308" i="34" s="1"/>
  <c r="A309" i="34"/>
  <c r="A339" i="34" s="1"/>
  <c r="A310" i="34"/>
  <c r="A340" i="34" s="1"/>
  <c r="A311" i="34"/>
  <c r="A341" i="34" s="1"/>
  <c r="J311" i="34"/>
  <c r="A312" i="34"/>
  <c r="A342" i="34" s="1"/>
  <c r="J312" i="34"/>
  <c r="A313" i="34"/>
  <c r="A343" i="34" s="1"/>
  <c r="A314" i="34"/>
  <c r="A315" i="34"/>
  <c r="A345" i="34" s="1"/>
  <c r="B320" i="34"/>
  <c r="A324" i="34"/>
  <c r="A354" i="34" s="1"/>
  <c r="A325" i="34"/>
  <c r="A355" i="34" s="1"/>
  <c r="A326" i="34"/>
  <c r="A356" i="34" s="1"/>
  <c r="J326" i="34"/>
  <c r="A327" i="34"/>
  <c r="A357" i="34" s="1"/>
  <c r="J327" i="34"/>
  <c r="A328" i="34"/>
  <c r="A358" i="34" s="1"/>
  <c r="A329" i="34"/>
  <c r="A359" i="34" s="1"/>
  <c r="A330" i="34"/>
  <c r="A360" i="34" s="1"/>
  <c r="J341" i="34"/>
  <c r="J342" i="34"/>
  <c r="A344" i="34"/>
  <c r="B350" i="34"/>
  <c r="J356" i="34"/>
  <c r="J357" i="34"/>
  <c r="B242" i="34"/>
  <c r="B165" i="34"/>
  <c r="C165" i="34"/>
  <c r="D165" i="34"/>
  <c r="E165" i="34"/>
  <c r="F165" i="34"/>
  <c r="G165" i="34"/>
  <c r="H165" i="34"/>
  <c r="I165" i="34"/>
  <c r="J165" i="34"/>
  <c r="K165" i="34"/>
  <c r="L165" i="34"/>
  <c r="M165" i="34"/>
  <c r="N165" i="34"/>
  <c r="O165" i="34"/>
  <c r="P165" i="34"/>
  <c r="Q165" i="34"/>
  <c r="R165" i="34"/>
  <c r="S165" i="34"/>
  <c r="T165" i="34"/>
  <c r="U165" i="34"/>
  <c r="V165" i="34"/>
  <c r="W165" i="34"/>
  <c r="X165" i="34"/>
  <c r="Y165" i="34"/>
  <c r="Z165" i="34"/>
  <c r="AA165" i="34"/>
  <c r="AB165" i="34"/>
  <c r="AC165" i="34"/>
  <c r="AD165" i="34"/>
  <c r="AE165" i="34"/>
  <c r="AF165" i="34"/>
  <c r="AG165" i="34"/>
  <c r="AH165" i="34"/>
  <c r="AI165" i="34"/>
  <c r="AJ165" i="34"/>
  <c r="AK165" i="34"/>
  <c r="AL165" i="34"/>
  <c r="AM165" i="34"/>
  <c r="AN165" i="34"/>
  <c r="AO165" i="34"/>
  <c r="AP165" i="34"/>
  <c r="AQ165" i="34"/>
  <c r="AR165" i="34"/>
  <c r="AS165" i="34"/>
  <c r="AT165" i="34"/>
  <c r="AU165" i="34"/>
  <c r="AV165" i="34"/>
  <c r="AW165" i="34"/>
  <c r="AX165" i="34"/>
  <c r="A165" i="34"/>
  <c r="B134" i="34"/>
  <c r="A137" i="34"/>
  <c r="A136" i="34"/>
  <c r="A124" i="34"/>
  <c r="A139" i="34" s="1"/>
  <c r="A125" i="34"/>
  <c r="A140" i="34" s="1"/>
  <c r="A126" i="34"/>
  <c r="A141" i="34" s="1"/>
  <c r="A127" i="34"/>
  <c r="A142" i="34" s="1"/>
  <c r="A128" i="34"/>
  <c r="A143" i="34" s="1"/>
  <c r="A129" i="34"/>
  <c r="A144" i="34" s="1"/>
  <c r="A123" i="34"/>
  <c r="A138" i="34" s="1"/>
  <c r="B119" i="34"/>
  <c r="J125" i="34"/>
  <c r="J126" i="34"/>
  <c r="D203" i="3"/>
  <c r="C202" i="27" s="1"/>
  <c r="D205" i="3"/>
  <c r="C204" i="27" s="1"/>
  <c r="L62" i="1"/>
  <c r="L40" i="1"/>
  <c r="B508" i="27"/>
  <c r="B509" i="27"/>
  <c r="B510" i="27"/>
  <c r="B511" i="27"/>
  <c r="B512" i="27"/>
  <c r="C512" i="27"/>
  <c r="B513" i="27"/>
  <c r="B514" i="27"/>
  <c r="C514" i="27"/>
  <c r="B515" i="27"/>
  <c r="B516" i="27"/>
  <c r="B517" i="27"/>
  <c r="B518" i="27"/>
  <c r="C518" i="27"/>
  <c r="B519" i="27"/>
  <c r="B520" i="27"/>
  <c r="C520" i="27"/>
  <c r="B521" i="27"/>
  <c r="C521" i="27"/>
  <c r="B522" i="27"/>
  <c r="B523" i="27"/>
  <c r="A509" i="27"/>
  <c r="A510" i="27"/>
  <c r="A511" i="27"/>
  <c r="A512" i="27"/>
  <c r="A513" i="27"/>
  <c r="A514" i="27"/>
  <c r="A515" i="27"/>
  <c r="A516" i="27"/>
  <c r="A517" i="27"/>
  <c r="A518" i="27"/>
  <c r="A519" i="27"/>
  <c r="A520" i="27"/>
  <c r="A521" i="27"/>
  <c r="A522" i="27"/>
  <c r="A523" i="27"/>
  <c r="A508" i="27"/>
  <c r="E706" i="34"/>
  <c r="D706" i="34"/>
  <c r="C706" i="34"/>
  <c r="E700" i="34"/>
  <c r="E701" i="34" s="1"/>
  <c r="E703" i="34" s="1"/>
  <c r="E704" i="34" s="1"/>
  <c r="D700" i="34"/>
  <c r="C700" i="34"/>
  <c r="N33" i="1"/>
  <c r="D665" i="3"/>
  <c r="E665" i="3" s="1"/>
  <c r="F665" i="3" s="1"/>
  <c r="G665" i="3" s="1"/>
  <c r="H665" i="3" s="1"/>
  <c r="I665" i="3" s="1"/>
  <c r="J665" i="3" s="1"/>
  <c r="K665" i="3" s="1"/>
  <c r="L665" i="3" s="1"/>
  <c r="C693" i="27" s="1"/>
  <c r="C71" i="3"/>
  <c r="C77" i="27" s="1"/>
  <c r="S50" i="1"/>
  <c r="L67" i="1"/>
  <c r="L45" i="1"/>
  <c r="L69" i="1"/>
  <c r="A573" i="27"/>
  <c r="B573" i="27"/>
  <c r="C124" i="27"/>
  <c r="C125" i="27"/>
  <c r="A145" i="27"/>
  <c r="B145" i="27"/>
  <c r="C119" i="3"/>
  <c r="C145" i="27" s="1"/>
  <c r="C193" i="27"/>
  <c r="A208" i="27"/>
  <c r="B208" i="27"/>
  <c r="B209" i="27"/>
  <c r="A207" i="27"/>
  <c r="B207" i="27"/>
  <c r="B202" i="27"/>
  <c r="B203" i="27"/>
  <c r="B204" i="27"/>
  <c r="B205" i="27"/>
  <c r="A191" i="27"/>
  <c r="B191" i="27"/>
  <c r="C191" i="27"/>
  <c r="A192" i="27"/>
  <c r="B192" i="27"/>
  <c r="C192" i="27"/>
  <c r="A193" i="27"/>
  <c r="B193" i="27"/>
  <c r="A194" i="27"/>
  <c r="B194" i="27"/>
  <c r="A195" i="27"/>
  <c r="B195" i="27"/>
  <c r="B196" i="27"/>
  <c r="B197" i="27"/>
  <c r="B198" i="27"/>
  <c r="B199" i="27"/>
  <c r="B200" i="27"/>
  <c r="A201" i="27"/>
  <c r="B201" i="27"/>
  <c r="B176" i="27"/>
  <c r="C176" i="27"/>
  <c r="B177" i="27"/>
  <c r="B178" i="27"/>
  <c r="A176" i="27"/>
  <c r="A177" i="27"/>
  <c r="A178" i="27"/>
  <c r="A179" i="27"/>
  <c r="A180" i="27"/>
  <c r="A181" i="27"/>
  <c r="A188" i="27"/>
  <c r="A189" i="27"/>
  <c r="A190" i="27"/>
  <c r="A173" i="27"/>
  <c r="D208" i="3"/>
  <c r="C208" i="27" s="1"/>
  <c r="C207" i="3"/>
  <c r="C207" i="27" s="1"/>
  <c r="A206" i="3"/>
  <c r="A205" i="27"/>
  <c r="A197" i="3"/>
  <c r="A196" i="27" s="1"/>
  <c r="A198" i="3"/>
  <c r="A197" i="27" s="1"/>
  <c r="A199" i="3"/>
  <c r="A198" i="27" s="1"/>
  <c r="A200" i="3"/>
  <c r="A199" i="27" s="1"/>
  <c r="A201" i="3"/>
  <c r="A200" i="27" s="1"/>
  <c r="A184" i="3"/>
  <c r="A183" i="27" s="1"/>
  <c r="A185" i="3"/>
  <c r="A184" i="27" s="1"/>
  <c r="B180" i="3"/>
  <c r="B179" i="27" s="1"/>
  <c r="C805" i="27"/>
  <c r="A805" i="27"/>
  <c r="B805" i="27"/>
  <c r="E23" i="3"/>
  <c r="D459" i="3" s="1"/>
  <c r="D471" i="3" s="1"/>
  <c r="E24" i="3"/>
  <c r="E459" i="3" s="1"/>
  <c r="E25" i="3"/>
  <c r="C300" i="3" s="1"/>
  <c r="C254" i="27" s="1"/>
  <c r="E26" i="3"/>
  <c r="D300" i="3" s="1"/>
  <c r="C259" i="27" s="1"/>
  <c r="E28" i="3"/>
  <c r="D302" i="3" s="1"/>
  <c r="E29" i="3"/>
  <c r="H459" i="3" s="1"/>
  <c r="F471" i="3" s="1"/>
  <c r="H466" i="3" s="1"/>
  <c r="C479" i="27" s="1"/>
  <c r="E30" i="3"/>
  <c r="F459" i="3" s="1"/>
  <c r="E31" i="3"/>
  <c r="G459" i="3" s="1"/>
  <c r="E32" i="3"/>
  <c r="C349" i="3" s="1"/>
  <c r="C325" i="27" s="1"/>
  <c r="E33" i="3"/>
  <c r="C350" i="3" s="1"/>
  <c r="C326" i="27" s="1"/>
  <c r="F392" i="34"/>
  <c r="R401" i="34" s="1"/>
  <c r="E392" i="34"/>
  <c r="E34" i="3"/>
  <c r="D349" i="3" s="1"/>
  <c r="E35" i="3"/>
  <c r="D350" i="3" s="1"/>
  <c r="C386" i="3"/>
  <c r="C377" i="27" s="1"/>
  <c r="C387" i="3"/>
  <c r="C378" i="27" s="1"/>
  <c r="E36" i="3"/>
  <c r="E349" i="3" s="1"/>
  <c r="C333" i="27" s="1"/>
  <c r="E37" i="3"/>
  <c r="F349" i="3" s="1"/>
  <c r="E38" i="3"/>
  <c r="G349" i="3" s="1"/>
  <c r="E39" i="3"/>
  <c r="C619" i="3" s="1"/>
  <c r="C611" i="27" s="1"/>
  <c r="E40" i="3"/>
  <c r="C569" i="3" s="1"/>
  <c r="C589" i="3" s="1"/>
  <c r="C582" i="27" s="1"/>
  <c r="E41" i="3"/>
  <c r="C570" i="3" s="1"/>
  <c r="C567" i="27" s="1"/>
  <c r="E42" i="3"/>
  <c r="E43" i="3"/>
  <c r="C572" i="3" s="1"/>
  <c r="E44" i="3"/>
  <c r="E45" i="3"/>
  <c r="C303" i="3" s="1"/>
  <c r="C257" i="27" s="1"/>
  <c r="E46" i="3"/>
  <c r="E47" i="3"/>
  <c r="H458" i="3" s="1"/>
  <c r="F470" i="3" s="1"/>
  <c r="E48" i="3"/>
  <c r="F458" i="3" s="1"/>
  <c r="C481" i="3" s="1"/>
  <c r="E49" i="3"/>
  <c r="G458" i="3" s="1"/>
  <c r="E50" i="3"/>
  <c r="C348" i="3" s="1"/>
  <c r="C324" i="27" s="1"/>
  <c r="E51" i="3"/>
  <c r="D348" i="3" s="1"/>
  <c r="C328" i="27" s="1"/>
  <c r="E52" i="3"/>
  <c r="E348" i="3" s="1"/>
  <c r="E53" i="3"/>
  <c r="F348" i="3" s="1"/>
  <c r="C335" i="27" s="1"/>
  <c r="E54" i="3"/>
  <c r="G348" i="3" s="1"/>
  <c r="C338" i="27" s="1"/>
  <c r="E55" i="3"/>
  <c r="E56" i="3"/>
  <c r="C580" i="3" s="1"/>
  <c r="E57" i="3"/>
  <c r="C581" i="3" s="1"/>
  <c r="E58" i="3"/>
  <c r="C582" i="3" s="1"/>
  <c r="E59" i="3"/>
  <c r="C583" i="3" s="1"/>
  <c r="C612" i="3" s="1"/>
  <c r="C603" i="27" s="1"/>
  <c r="C787" i="27"/>
  <c r="A787" i="27"/>
  <c r="B787" i="27"/>
  <c r="C481" i="27"/>
  <c r="L47" i="1"/>
  <c r="K47" i="1"/>
  <c r="K69" i="1" s="1"/>
  <c r="C738" i="3"/>
  <c r="D738" i="3"/>
  <c r="A738" i="3"/>
  <c r="E720" i="3"/>
  <c r="F720" i="3"/>
  <c r="E719" i="3"/>
  <c r="C720" i="3"/>
  <c r="D720" i="3"/>
  <c r="A720" i="3"/>
  <c r="B720" i="3"/>
  <c r="F12" i="1"/>
  <c r="C258" i="3" s="1"/>
  <c r="H462" i="3"/>
  <c r="C475" i="27"/>
  <c r="F472" i="3"/>
  <c r="C480" i="27"/>
  <c r="A47" i="3"/>
  <c r="B47" i="3"/>
  <c r="D28" i="3"/>
  <c r="D329" i="3" s="1"/>
  <c r="A29" i="3"/>
  <c r="B29" i="3"/>
  <c r="C481" i="34"/>
  <c r="F721" i="34"/>
  <c r="G721" i="34" s="1"/>
  <c r="F722" i="34"/>
  <c r="F734" i="34"/>
  <c r="F735" i="34"/>
  <c r="G735" i="34" s="1"/>
  <c r="F736" i="34"/>
  <c r="F737" i="34"/>
  <c r="F738" i="34"/>
  <c r="G738" i="34" s="1"/>
  <c r="F741" i="34"/>
  <c r="F742" i="34"/>
  <c r="F743" i="34"/>
  <c r="F744" i="34"/>
  <c r="F745" i="34"/>
  <c r="G745" i="34" s="1"/>
  <c r="F746" i="34"/>
  <c r="C714" i="34"/>
  <c r="Y21" i="1"/>
  <c r="AA21" i="1"/>
  <c r="Y22" i="1"/>
  <c r="AA22" i="1"/>
  <c r="AA20" i="1"/>
  <c r="Y20" i="1"/>
  <c r="B624" i="3"/>
  <c r="B616" i="27"/>
  <c r="A624" i="3"/>
  <c r="A616" i="27" s="1"/>
  <c r="S720" i="34"/>
  <c r="S721" i="34"/>
  <c r="S722" i="34"/>
  <c r="S723" i="34"/>
  <c r="S724" i="34"/>
  <c r="R721" i="34"/>
  <c r="R722" i="34"/>
  <c r="R723" i="34"/>
  <c r="R724" i="34"/>
  <c r="R720" i="34"/>
  <c r="R718" i="34"/>
  <c r="I732" i="34" s="1"/>
  <c r="C708" i="34"/>
  <c r="C711" i="34"/>
  <c r="B632" i="27"/>
  <c r="B633" i="27"/>
  <c r="B634" i="27"/>
  <c r="B635" i="27"/>
  <c r="A636" i="27"/>
  <c r="B636" i="27"/>
  <c r="A637" i="27"/>
  <c r="B637" i="27"/>
  <c r="A638" i="27"/>
  <c r="B638" i="27"/>
  <c r="A639" i="27"/>
  <c r="B639" i="27"/>
  <c r="A640" i="27"/>
  <c r="B640" i="27"/>
  <c r="A641" i="27"/>
  <c r="B641" i="27"/>
  <c r="B631" i="27"/>
  <c r="A635" i="3"/>
  <c r="C633" i="3"/>
  <c r="A638" i="3"/>
  <c r="J718" i="34"/>
  <c r="J724" i="34"/>
  <c r="J721" i="34"/>
  <c r="A636" i="3"/>
  <c r="A626" i="27" s="1"/>
  <c r="A637" i="3"/>
  <c r="A644" i="3" s="1"/>
  <c r="A634" i="27" s="1"/>
  <c r="A634" i="3"/>
  <c r="A624" i="27" s="1"/>
  <c r="I728" i="34"/>
  <c r="K721" i="34"/>
  <c r="J722" i="34"/>
  <c r="K722" i="34"/>
  <c r="K724" i="34"/>
  <c r="K720" i="34"/>
  <c r="L724" i="34"/>
  <c r="Q720" i="34"/>
  <c r="Q721" i="34"/>
  <c r="Q722" i="34"/>
  <c r="Q723" i="34"/>
  <c r="Q724" i="34"/>
  <c r="P721" i="34"/>
  <c r="P722" i="34"/>
  <c r="P723" i="34"/>
  <c r="P724" i="34"/>
  <c r="P720" i="34"/>
  <c r="P718" i="34"/>
  <c r="I731" i="34" s="1"/>
  <c r="O720" i="34"/>
  <c r="O721" i="34"/>
  <c r="O722" i="34"/>
  <c r="O723" i="34"/>
  <c r="O724" i="34"/>
  <c r="N721" i="34"/>
  <c r="N722" i="34"/>
  <c r="N723" i="34"/>
  <c r="N724" i="34"/>
  <c r="N720" i="34"/>
  <c r="N718" i="34"/>
  <c r="I730" i="34" s="1"/>
  <c r="M719" i="34"/>
  <c r="O719" i="34" s="1"/>
  <c r="L719" i="34"/>
  <c r="N719" i="34" s="1"/>
  <c r="M720" i="34"/>
  <c r="M721" i="34"/>
  <c r="M722" i="34"/>
  <c r="M723" i="34"/>
  <c r="M724" i="34"/>
  <c r="L721" i="34"/>
  <c r="L722" i="34"/>
  <c r="L723" i="34"/>
  <c r="L720" i="34"/>
  <c r="L718" i="34"/>
  <c r="I729" i="34"/>
  <c r="J720" i="34"/>
  <c r="H98" i="3"/>
  <c r="C121" i="27" s="1"/>
  <c r="D780" i="34"/>
  <c r="E780" i="34" s="1"/>
  <c r="F780" i="34" s="1"/>
  <c r="G780" i="34" s="1"/>
  <c r="H780" i="34" s="1"/>
  <c r="I780" i="34" s="1"/>
  <c r="J780" i="34" s="1"/>
  <c r="K780" i="34" s="1"/>
  <c r="L780" i="34" s="1"/>
  <c r="C813" i="34" s="1"/>
  <c r="A706" i="27"/>
  <c r="B706" i="27"/>
  <c r="A707" i="27"/>
  <c r="B707" i="27"/>
  <c r="A708" i="27"/>
  <c r="B708" i="27"/>
  <c r="B701" i="27"/>
  <c r="B702" i="27"/>
  <c r="B703" i="27"/>
  <c r="B704" i="27"/>
  <c r="B705" i="27"/>
  <c r="C690" i="27"/>
  <c r="C699" i="27"/>
  <c r="B690" i="27"/>
  <c r="B691" i="27"/>
  <c r="B692" i="27"/>
  <c r="B693" i="27"/>
  <c r="B694" i="27"/>
  <c r="B695" i="27"/>
  <c r="B696" i="27"/>
  <c r="B697" i="27"/>
  <c r="B698" i="27"/>
  <c r="B699" i="27"/>
  <c r="B700" i="27"/>
  <c r="A688" i="27"/>
  <c r="B688" i="27"/>
  <c r="A691" i="27"/>
  <c r="A692" i="27"/>
  <c r="A693" i="27"/>
  <c r="A694" i="27"/>
  <c r="A695" i="27"/>
  <c r="A696" i="27"/>
  <c r="A697" i="27"/>
  <c r="A698" i="27"/>
  <c r="A699" i="27"/>
  <c r="A700" i="27"/>
  <c r="A701" i="27"/>
  <c r="A702" i="27"/>
  <c r="A703" i="27"/>
  <c r="A704" i="27"/>
  <c r="A705" i="27"/>
  <c r="A690" i="27"/>
  <c r="B628" i="27"/>
  <c r="B629" i="27"/>
  <c r="C629" i="27"/>
  <c r="B630" i="27"/>
  <c r="C630" i="27"/>
  <c r="A629" i="27"/>
  <c r="A630" i="27"/>
  <c r="D152" i="3"/>
  <c r="B152" i="3"/>
  <c r="A658" i="3"/>
  <c r="A686" i="27" s="1"/>
  <c r="B658" i="3"/>
  <c r="B686" i="27"/>
  <c r="A659" i="3"/>
  <c r="A687" i="27"/>
  <c r="B659" i="3"/>
  <c r="B687" i="27" s="1"/>
  <c r="B657" i="3"/>
  <c r="B685" i="27" s="1"/>
  <c r="A657" i="3"/>
  <c r="A685" i="27"/>
  <c r="A93" i="4"/>
  <c r="K812" i="34"/>
  <c r="D812" i="34" s="1"/>
  <c r="E812" i="34" s="1"/>
  <c r="F812" i="34" s="1"/>
  <c r="G812" i="34" s="1"/>
  <c r="H812" i="34" s="1"/>
  <c r="I812" i="34" s="1"/>
  <c r="J812" i="34" s="1"/>
  <c r="F720" i="34"/>
  <c r="G720" i="34" s="1"/>
  <c r="G741" i="34"/>
  <c r="A618" i="27"/>
  <c r="B618" i="27"/>
  <c r="B617" i="27"/>
  <c r="A617" i="27"/>
  <c r="A91" i="4"/>
  <c r="I98" i="3"/>
  <c r="C122" i="27" s="1"/>
  <c r="G98" i="3"/>
  <c r="C119" i="27" s="1"/>
  <c r="F98" i="3"/>
  <c r="C117" i="27" s="1"/>
  <c r="A456" i="27"/>
  <c r="A462" i="27"/>
  <c r="A468" i="27" s="1"/>
  <c r="A474" i="27" s="1"/>
  <c r="A480" i="27" s="1"/>
  <c r="B456" i="27"/>
  <c r="B462" i="27" s="1"/>
  <c r="B468" i="27" s="1"/>
  <c r="B474" i="27" s="1"/>
  <c r="B480" i="27" s="1"/>
  <c r="N19" i="1"/>
  <c r="C270" i="3" s="1"/>
  <c r="C329" i="3"/>
  <c r="A88" i="27"/>
  <c r="A81" i="27"/>
  <c r="A296" i="27"/>
  <c r="A314" i="27" s="1"/>
  <c r="B296" i="27"/>
  <c r="B314" i="27" s="1"/>
  <c r="A297" i="27"/>
  <c r="A315" i="27" s="1"/>
  <c r="B297" i="27"/>
  <c r="B315" i="27" s="1"/>
  <c r="A298" i="27"/>
  <c r="A316" i="27" s="1"/>
  <c r="B298" i="27"/>
  <c r="B316" i="27" s="1"/>
  <c r="C75" i="3"/>
  <c r="D75" i="3" s="1"/>
  <c r="C88" i="27" s="1"/>
  <c r="C74" i="3"/>
  <c r="C80" i="27" s="1"/>
  <c r="D772" i="34"/>
  <c r="E772" i="34"/>
  <c r="F772" i="34"/>
  <c r="G772" i="34"/>
  <c r="H772" i="34"/>
  <c r="I772" i="34"/>
  <c r="J772" i="34"/>
  <c r="K772" i="34"/>
  <c r="C772" i="34"/>
  <c r="B150" i="3"/>
  <c r="C150" i="3" s="1"/>
  <c r="A122" i="27"/>
  <c r="A121" i="27"/>
  <c r="A118" i="27"/>
  <c r="A117" i="27"/>
  <c r="F99" i="3"/>
  <c r="G99" i="3"/>
  <c r="H99" i="3" s="1"/>
  <c r="B174" i="27"/>
  <c r="A174" i="27"/>
  <c r="D484" i="3"/>
  <c r="C484" i="3"/>
  <c r="D1" i="27"/>
  <c r="B160" i="3"/>
  <c r="B149" i="3"/>
  <c r="D148" i="3"/>
  <c r="B148" i="3"/>
  <c r="C92" i="3"/>
  <c r="C630" i="34"/>
  <c r="A86" i="4"/>
  <c r="D729" i="3"/>
  <c r="L81" i="1"/>
  <c r="L80" i="1"/>
  <c r="S71" i="1"/>
  <c r="C158" i="34"/>
  <c r="A594" i="27"/>
  <c r="B594" i="27"/>
  <c r="C594" i="27"/>
  <c r="A595" i="27"/>
  <c r="B595" i="27"/>
  <c r="A596" i="27"/>
  <c r="B596" i="27"/>
  <c r="C596" i="27"/>
  <c r="A597" i="27"/>
  <c r="B597" i="27"/>
  <c r="A598" i="27"/>
  <c r="B598" i="27"/>
  <c r="A599" i="27"/>
  <c r="B599" i="27"/>
  <c r="A600" i="27"/>
  <c r="B600" i="27"/>
  <c r="A601" i="27"/>
  <c r="B601" i="27"/>
  <c r="A602" i="27"/>
  <c r="B602" i="27"/>
  <c r="A603" i="27"/>
  <c r="B603" i="27"/>
  <c r="A604" i="27"/>
  <c r="B604" i="27"/>
  <c r="A606" i="27"/>
  <c r="B606" i="27"/>
  <c r="C148" i="27"/>
  <c r="C149" i="27"/>
  <c r="C150" i="27"/>
  <c r="C151" i="27"/>
  <c r="A150" i="27"/>
  <c r="B150" i="27"/>
  <c r="A151" i="27"/>
  <c r="B151" i="27"/>
  <c r="C604" i="3"/>
  <c r="S68" i="1"/>
  <c r="L58" i="1"/>
  <c r="L57" i="1"/>
  <c r="L59" i="1"/>
  <c r="C606" i="3"/>
  <c r="A80" i="4"/>
  <c r="A81" i="4"/>
  <c r="A82" i="4" s="1"/>
  <c r="D59" i="3"/>
  <c r="D58" i="3"/>
  <c r="B23" i="3"/>
  <c r="B24" i="3"/>
  <c r="B25" i="3"/>
  <c r="B26" i="3"/>
  <c r="B37" i="3"/>
  <c r="B38" i="3"/>
  <c r="B39" i="3"/>
  <c r="B40" i="3"/>
  <c r="B41" i="3"/>
  <c r="B42" i="3"/>
  <c r="B43" i="3"/>
  <c r="B44" i="3"/>
  <c r="B45" i="3"/>
  <c r="B46" i="3"/>
  <c r="B48" i="3"/>
  <c r="B49" i="3"/>
  <c r="B50" i="3"/>
  <c r="B51" i="3"/>
  <c r="B52" i="3"/>
  <c r="B53" i="3"/>
  <c r="B54" i="3"/>
  <c r="B55" i="3"/>
  <c r="B56" i="3"/>
  <c r="B580" i="3" s="1"/>
  <c r="B57" i="3"/>
  <c r="B581" i="3" s="1"/>
  <c r="B58" i="3"/>
  <c r="B582" i="3" s="1"/>
  <c r="B59" i="3"/>
  <c r="B583" i="3" s="1"/>
  <c r="B22" i="3"/>
  <c r="A56" i="3"/>
  <c r="A580" i="3" s="1"/>
  <c r="A57" i="3"/>
  <c r="A581" i="3" s="1"/>
  <c r="A58" i="3"/>
  <c r="A582" i="3" s="1"/>
  <c r="A59" i="3"/>
  <c r="A583" i="3" s="1"/>
  <c r="C551" i="27"/>
  <c r="C557" i="27"/>
  <c r="C529" i="27"/>
  <c r="C531" i="27"/>
  <c r="A77" i="4"/>
  <c r="E54" i="21"/>
  <c r="F54" i="21"/>
  <c r="G54" i="21"/>
  <c r="D54" i="21"/>
  <c r="C781" i="27"/>
  <c r="C782" i="27"/>
  <c r="C783" i="27"/>
  <c r="C784" i="27"/>
  <c r="C785" i="27"/>
  <c r="C786" i="27"/>
  <c r="C788" i="27"/>
  <c r="C789" i="27"/>
  <c r="C790" i="27"/>
  <c r="C791" i="27"/>
  <c r="C792" i="27"/>
  <c r="C793" i="27"/>
  <c r="C794" i="27"/>
  <c r="C795" i="27"/>
  <c r="C796" i="27"/>
  <c r="C797" i="27"/>
  <c r="C798" i="27"/>
  <c r="C799" i="27"/>
  <c r="C800" i="27"/>
  <c r="C801" i="27"/>
  <c r="C802" i="27"/>
  <c r="C803" i="27"/>
  <c r="C804" i="27"/>
  <c r="C806" i="27"/>
  <c r="C807" i="27"/>
  <c r="C808" i="27"/>
  <c r="C809" i="27"/>
  <c r="C810" i="27"/>
  <c r="C811" i="27"/>
  <c r="C812" i="27"/>
  <c r="C813" i="27"/>
  <c r="C814" i="27"/>
  <c r="C815" i="27"/>
  <c r="C816" i="27"/>
  <c r="C817" i="27"/>
  <c r="C780" i="27"/>
  <c r="C327" i="27"/>
  <c r="C331" i="27"/>
  <c r="C334" i="27"/>
  <c r="C337" i="27"/>
  <c r="E49" i="21"/>
  <c r="F49" i="21"/>
  <c r="G49" i="21"/>
  <c r="E50" i="21"/>
  <c r="F50" i="21"/>
  <c r="G50" i="21"/>
  <c r="E51" i="21"/>
  <c r="F51" i="21"/>
  <c r="G51" i="21"/>
  <c r="E52" i="21"/>
  <c r="F52" i="21"/>
  <c r="G52" i="21"/>
  <c r="E53" i="21"/>
  <c r="F53" i="21"/>
  <c r="G53" i="21"/>
  <c r="D52" i="21"/>
  <c r="D51" i="21"/>
  <c r="D50" i="21"/>
  <c r="D49" i="21"/>
  <c r="A781" i="27"/>
  <c r="B781" i="27"/>
  <c r="A782" i="27"/>
  <c r="B782" i="27"/>
  <c r="A783" i="27"/>
  <c r="B783" i="27"/>
  <c r="A784" i="27"/>
  <c r="B784" i="27"/>
  <c r="A785" i="27"/>
  <c r="A786" i="27"/>
  <c r="A788" i="27"/>
  <c r="A789" i="27"/>
  <c r="A790" i="27"/>
  <c r="A791" i="27"/>
  <c r="A792" i="27"/>
  <c r="A793" i="27"/>
  <c r="A794" i="27"/>
  <c r="A795" i="27"/>
  <c r="B795" i="27"/>
  <c r="A796" i="27"/>
  <c r="B796" i="27"/>
  <c r="A797" i="27"/>
  <c r="B797" i="27"/>
  <c r="A798" i="27"/>
  <c r="B798" i="27"/>
  <c r="A799" i="27"/>
  <c r="B799" i="27"/>
  <c r="A800" i="27"/>
  <c r="B800" i="27"/>
  <c r="A801" i="27"/>
  <c r="B801" i="27"/>
  <c r="A802" i="27"/>
  <c r="B802" i="27"/>
  <c r="A803" i="27"/>
  <c r="B803" i="27"/>
  <c r="A804" i="27"/>
  <c r="B804" i="27"/>
  <c r="A806" i="27"/>
  <c r="B806" i="27"/>
  <c r="A807" i="27"/>
  <c r="B807" i="27"/>
  <c r="A808" i="27"/>
  <c r="B808" i="27"/>
  <c r="A809" i="27"/>
  <c r="B809" i="27"/>
  <c r="A810" i="27"/>
  <c r="B810" i="27"/>
  <c r="A811" i="27"/>
  <c r="B811" i="27"/>
  <c r="A812" i="27"/>
  <c r="B812" i="27"/>
  <c r="A813" i="27"/>
  <c r="B813" i="27"/>
  <c r="A814" i="27"/>
  <c r="B814" i="27"/>
  <c r="A815" i="27"/>
  <c r="B815" i="27"/>
  <c r="A816" i="27"/>
  <c r="B816" i="27"/>
  <c r="A817" i="27"/>
  <c r="B817" i="27"/>
  <c r="B780" i="27"/>
  <c r="A780" i="27"/>
  <c r="B73" i="27"/>
  <c r="C73" i="27"/>
  <c r="B10" i="27"/>
  <c r="B11" i="27"/>
  <c r="B12" i="27"/>
  <c r="B13" i="27"/>
  <c r="B14" i="27"/>
  <c r="B15" i="27"/>
  <c r="B16" i="27"/>
  <c r="B17" i="27"/>
  <c r="A17" i="27"/>
  <c r="A14" i="27"/>
  <c r="A15" i="27"/>
  <c r="A16" i="27"/>
  <c r="A12" i="27"/>
  <c r="A13" i="27"/>
  <c r="A11" i="27"/>
  <c r="A10" i="27"/>
  <c r="C6" i="27"/>
  <c r="A776" i="27"/>
  <c r="A9" i="27"/>
  <c r="B776" i="27"/>
  <c r="B9" i="27" s="1"/>
  <c r="A777" i="27"/>
  <c r="A8" i="27"/>
  <c r="B777" i="27"/>
  <c r="B8" i="27"/>
  <c r="A778" i="27"/>
  <c r="B778" i="27"/>
  <c r="B7" i="27" s="1"/>
  <c r="C753" i="27"/>
  <c r="C764" i="27"/>
  <c r="A753" i="27"/>
  <c r="B753" i="27"/>
  <c r="B754" i="27"/>
  <c r="B755" i="27"/>
  <c r="A756" i="27"/>
  <c r="B756" i="27"/>
  <c r="B757" i="27"/>
  <c r="B758" i="27"/>
  <c r="B759" i="27"/>
  <c r="B760" i="27"/>
  <c r="A761" i="27"/>
  <c r="B761" i="27"/>
  <c r="B762" i="27"/>
  <c r="A763" i="27"/>
  <c r="B763" i="27"/>
  <c r="A764" i="27"/>
  <c r="B764" i="27"/>
  <c r="B765" i="27"/>
  <c r="B766" i="27"/>
  <c r="B767" i="27"/>
  <c r="B768" i="27"/>
  <c r="B769" i="27"/>
  <c r="B770" i="27"/>
  <c r="B771" i="27"/>
  <c r="B772" i="27"/>
  <c r="B773" i="27"/>
  <c r="B774" i="27"/>
  <c r="A775" i="27"/>
  <c r="B775" i="27"/>
  <c r="A732" i="27"/>
  <c r="B732" i="27"/>
  <c r="C732" i="27"/>
  <c r="B733" i="27"/>
  <c r="B734" i="27"/>
  <c r="B735" i="27"/>
  <c r="B736" i="27"/>
  <c r="B737" i="27"/>
  <c r="B738" i="27"/>
  <c r="A739" i="27"/>
  <c r="B739" i="27"/>
  <c r="A740" i="27"/>
  <c r="B740" i="27"/>
  <c r="B741" i="27"/>
  <c r="A742" i="27"/>
  <c r="B742" i="27"/>
  <c r="C742" i="27"/>
  <c r="A743" i="27"/>
  <c r="B743" i="27"/>
  <c r="A744" i="27"/>
  <c r="B744" i="27"/>
  <c r="A745" i="27"/>
  <c r="B745" i="27"/>
  <c r="A746" i="27"/>
  <c r="B746" i="27"/>
  <c r="A747" i="27"/>
  <c r="B747" i="27"/>
  <c r="A748" i="27"/>
  <c r="B748" i="27"/>
  <c r="A749" i="27"/>
  <c r="B749" i="27"/>
  <c r="A750" i="27"/>
  <c r="B750" i="27"/>
  <c r="A751" i="27"/>
  <c r="B751" i="27"/>
  <c r="A752" i="27"/>
  <c r="B752" i="27"/>
  <c r="B710" i="27"/>
  <c r="C710" i="27"/>
  <c r="B711" i="27"/>
  <c r="C711" i="27"/>
  <c r="B712" i="27"/>
  <c r="B713" i="27"/>
  <c r="B714" i="27"/>
  <c r="B715" i="27"/>
  <c r="B716" i="27"/>
  <c r="B717" i="27"/>
  <c r="B718" i="27"/>
  <c r="B719" i="27"/>
  <c r="B720" i="27"/>
  <c r="B721" i="27"/>
  <c r="C721" i="27"/>
  <c r="B722" i="27"/>
  <c r="B723" i="27"/>
  <c r="B724" i="27"/>
  <c r="B725" i="27"/>
  <c r="B726" i="27"/>
  <c r="B727" i="27"/>
  <c r="B728" i="27"/>
  <c r="B729" i="27"/>
  <c r="B730" i="27"/>
  <c r="B731" i="27"/>
  <c r="A711" i="27"/>
  <c r="A712" i="27"/>
  <c r="A713" i="27"/>
  <c r="A714" i="27"/>
  <c r="A715" i="27"/>
  <c r="A716" i="27"/>
  <c r="A717" i="27"/>
  <c r="A718" i="27"/>
  <c r="A719" i="27"/>
  <c r="A720" i="27"/>
  <c r="A721" i="27"/>
  <c r="A722" i="27"/>
  <c r="A723" i="27"/>
  <c r="A724" i="27"/>
  <c r="A725" i="27"/>
  <c r="A726" i="27"/>
  <c r="A727" i="27"/>
  <c r="A728" i="27"/>
  <c r="A729" i="27"/>
  <c r="A730" i="27"/>
  <c r="A731" i="27"/>
  <c r="A710" i="27"/>
  <c r="C657" i="27"/>
  <c r="C670" i="27"/>
  <c r="C671" i="27"/>
  <c r="C659" i="27"/>
  <c r="C672" i="27"/>
  <c r="C673" i="27"/>
  <c r="C661" i="27"/>
  <c r="C674" i="27"/>
  <c r="C662" i="27"/>
  <c r="C675" i="27"/>
  <c r="C681" i="27"/>
  <c r="C451" i="27"/>
  <c r="C457" i="27"/>
  <c r="C432" i="27"/>
  <c r="C435" i="27"/>
  <c r="C438" i="27"/>
  <c r="C441" i="27"/>
  <c r="C369" i="27"/>
  <c r="C370" i="27"/>
  <c r="C364" i="27"/>
  <c r="B370" i="27"/>
  <c r="B371" i="27"/>
  <c r="B372" i="27"/>
  <c r="B373" i="27"/>
  <c r="B374" i="27"/>
  <c r="B375" i="27"/>
  <c r="B376" i="27"/>
  <c r="B377" i="27"/>
  <c r="B378" i="27"/>
  <c r="B379" i="27"/>
  <c r="B380" i="27"/>
  <c r="B381" i="27"/>
  <c r="B382" i="27"/>
  <c r="A379" i="27"/>
  <c r="A380" i="27"/>
  <c r="A381" i="27"/>
  <c r="A382" i="27"/>
  <c r="A371" i="27"/>
  <c r="A372" i="27"/>
  <c r="A373" i="27"/>
  <c r="A374" i="27"/>
  <c r="A375" i="27"/>
  <c r="A376" i="27"/>
  <c r="A377" i="27"/>
  <c r="A378" i="27"/>
  <c r="A370" i="27"/>
  <c r="A368" i="27"/>
  <c r="D35" i="3"/>
  <c r="D726" i="3" s="1"/>
  <c r="F726" i="3" s="1"/>
  <c r="C35" i="3"/>
  <c r="C726" i="3" s="1"/>
  <c r="E726" i="3" s="1"/>
  <c r="A358" i="27"/>
  <c r="B358" i="27"/>
  <c r="A359" i="27"/>
  <c r="B359" i="27"/>
  <c r="A360" i="27"/>
  <c r="B360" i="27"/>
  <c r="A361" i="27"/>
  <c r="B361" i="27"/>
  <c r="A362" i="27"/>
  <c r="B362" i="27"/>
  <c r="A363" i="27"/>
  <c r="B363" i="27"/>
  <c r="A364" i="27"/>
  <c r="B364" i="27"/>
  <c r="A365" i="27"/>
  <c r="B365" i="27"/>
  <c r="A366" i="27"/>
  <c r="B366" i="27"/>
  <c r="A367" i="27"/>
  <c r="B367" i="27"/>
  <c r="B368" i="27"/>
  <c r="B357" i="27"/>
  <c r="A357" i="27"/>
  <c r="C258" i="27"/>
  <c r="C242" i="27"/>
  <c r="C224" i="27"/>
  <c r="C233" i="27"/>
  <c r="C110" i="27"/>
  <c r="C113" i="27"/>
  <c r="C112" i="27"/>
  <c r="C115" i="27"/>
  <c r="A89" i="27"/>
  <c r="B89" i="27"/>
  <c r="A90" i="27"/>
  <c r="B90" i="27"/>
  <c r="A91" i="27"/>
  <c r="B91" i="27"/>
  <c r="A92" i="27"/>
  <c r="B92" i="27"/>
  <c r="B87" i="27"/>
  <c r="A87" i="27"/>
  <c r="A80" i="27"/>
  <c r="C86" i="27"/>
  <c r="C91" i="27"/>
  <c r="C92" i="27"/>
  <c r="C71" i="27"/>
  <c r="C75" i="27"/>
  <c r="C76" i="27"/>
  <c r="C78" i="27"/>
  <c r="C79" i="27"/>
  <c r="C82" i="27"/>
  <c r="C83" i="27"/>
  <c r="C84" i="27"/>
  <c r="C85" i="27"/>
  <c r="C93" i="27"/>
  <c r="C94" i="27"/>
  <c r="C95" i="27"/>
  <c r="C96" i="27"/>
  <c r="C97" i="27"/>
  <c r="C98" i="27"/>
  <c r="C99" i="27"/>
  <c r="C100" i="27"/>
  <c r="C101" i="27"/>
  <c r="C102" i="27"/>
  <c r="C103" i="27"/>
  <c r="C104" i="27"/>
  <c r="C105" i="27"/>
  <c r="C106" i="27"/>
  <c r="C107" i="27"/>
  <c r="C108" i="27"/>
  <c r="C109" i="27"/>
  <c r="C127" i="27"/>
  <c r="C128" i="27"/>
  <c r="C129" i="27"/>
  <c r="C130" i="27"/>
  <c r="C131" i="27"/>
  <c r="C132" i="27"/>
  <c r="C133" i="27"/>
  <c r="C134" i="27"/>
  <c r="C135" i="27"/>
  <c r="C136" i="27"/>
  <c r="C138" i="27"/>
  <c r="C139" i="27"/>
  <c r="C140" i="27"/>
  <c r="C141" i="27"/>
  <c r="C143" i="27"/>
  <c r="C144" i="27"/>
  <c r="C146" i="27"/>
  <c r="C147" i="27"/>
  <c r="C152" i="27"/>
  <c r="C154" i="27"/>
  <c r="C155" i="27"/>
  <c r="C156" i="27"/>
  <c r="C157" i="27"/>
  <c r="C158" i="27"/>
  <c r="C159" i="27"/>
  <c r="C160" i="27"/>
  <c r="C161" i="27"/>
  <c r="C162" i="27"/>
  <c r="C164" i="27"/>
  <c r="C212" i="27"/>
  <c r="C214" i="27"/>
  <c r="C215" i="27"/>
  <c r="C251" i="27"/>
  <c r="C252" i="27"/>
  <c r="C253" i="27"/>
  <c r="C263" i="27"/>
  <c r="C321" i="27"/>
  <c r="C322" i="27"/>
  <c r="C323" i="27"/>
  <c r="C340" i="27"/>
  <c r="C356" i="27"/>
  <c r="C384" i="27"/>
  <c r="C387" i="27"/>
  <c r="C389" i="27"/>
  <c r="C396" i="27"/>
  <c r="C397" i="27"/>
  <c r="C398" i="27"/>
  <c r="C401" i="27"/>
  <c r="C403" i="27"/>
  <c r="C410" i="27"/>
  <c r="C411" i="27"/>
  <c r="C426" i="27"/>
  <c r="C427" i="27"/>
  <c r="C428" i="27"/>
  <c r="C429" i="27"/>
  <c r="C444" i="27"/>
  <c r="C482" i="27"/>
  <c r="C483" i="27"/>
  <c r="C491" i="27"/>
  <c r="C492" i="27"/>
  <c r="C495" i="27"/>
  <c r="C496" i="27"/>
  <c r="C501" i="27"/>
  <c r="C502" i="27"/>
  <c r="C524" i="27"/>
  <c r="C525" i="27"/>
  <c r="C526" i="27"/>
  <c r="C527" i="27"/>
  <c r="C533" i="27"/>
  <c r="C545" i="27"/>
  <c r="C563" i="27"/>
  <c r="C564" i="27"/>
  <c r="C565" i="27"/>
  <c r="C577" i="27"/>
  <c r="C578" i="27"/>
  <c r="C580" i="27"/>
  <c r="C581" i="27"/>
  <c r="C607" i="27"/>
  <c r="C608" i="27"/>
  <c r="C609" i="27"/>
  <c r="C612" i="27"/>
  <c r="C613" i="27"/>
  <c r="C619" i="27"/>
  <c r="C620" i="27"/>
  <c r="C621" i="27"/>
  <c r="C622" i="27"/>
  <c r="C642" i="27"/>
  <c r="C643" i="27"/>
  <c r="C644" i="27"/>
  <c r="C645" i="27"/>
  <c r="C648" i="27"/>
  <c r="C649" i="27"/>
  <c r="C684" i="27"/>
  <c r="C69" i="27"/>
  <c r="B69" i="27"/>
  <c r="A585" i="27"/>
  <c r="B585" i="27"/>
  <c r="A586" i="27"/>
  <c r="B586" i="27"/>
  <c r="A587" i="27"/>
  <c r="B587" i="27"/>
  <c r="A588" i="27"/>
  <c r="B588" i="27"/>
  <c r="A589" i="27"/>
  <c r="B589" i="27"/>
  <c r="A590" i="27"/>
  <c r="B590" i="27"/>
  <c r="A591" i="27"/>
  <c r="B591" i="27"/>
  <c r="B592" i="27"/>
  <c r="A593" i="27"/>
  <c r="B593" i="27"/>
  <c r="A607" i="27"/>
  <c r="B607" i="27"/>
  <c r="A608" i="27"/>
  <c r="B608" i="27"/>
  <c r="A609" i="27"/>
  <c r="B609" i="27"/>
  <c r="B610" i="27"/>
  <c r="A611" i="27"/>
  <c r="B611" i="27"/>
  <c r="A612" i="27"/>
  <c r="B612" i="27"/>
  <c r="A613" i="27"/>
  <c r="B613" i="27"/>
  <c r="A614" i="27"/>
  <c r="B614" i="27"/>
  <c r="A615" i="27"/>
  <c r="B615" i="27"/>
  <c r="A619" i="27"/>
  <c r="B619" i="27"/>
  <c r="A620" i="27"/>
  <c r="B620" i="27"/>
  <c r="A621" i="27"/>
  <c r="B621" i="27"/>
  <c r="A622" i="27"/>
  <c r="B622" i="27"/>
  <c r="B623" i="27"/>
  <c r="B624" i="27"/>
  <c r="B625" i="27"/>
  <c r="B626" i="27"/>
  <c r="B627" i="27"/>
  <c r="A642" i="27"/>
  <c r="B642" i="27"/>
  <c r="A643" i="27"/>
  <c r="B643" i="27"/>
  <c r="A644" i="27"/>
  <c r="B644" i="27"/>
  <c r="A645" i="27"/>
  <c r="A658" i="27" s="1"/>
  <c r="A671" i="27" s="1"/>
  <c r="B645" i="27"/>
  <c r="B658" i="27" s="1"/>
  <c r="B671" i="27" s="1"/>
  <c r="A646" i="27"/>
  <c r="A659" i="27" s="1"/>
  <c r="A672" i="27" s="1"/>
  <c r="B646" i="27"/>
  <c r="B659" i="27" s="1"/>
  <c r="B672" i="27" s="1"/>
  <c r="A647" i="27"/>
  <c r="A660" i="27" s="1"/>
  <c r="A673" i="27" s="1"/>
  <c r="B647" i="27"/>
  <c r="B660" i="27" s="1"/>
  <c r="B673" i="27" s="1"/>
  <c r="A648" i="27"/>
  <c r="A661" i="27" s="1"/>
  <c r="A674" i="27" s="1"/>
  <c r="B648" i="27"/>
  <c r="B661" i="27" s="1"/>
  <c r="B674" i="27" s="1"/>
  <c r="A649" i="27"/>
  <c r="A662" i="27" s="1"/>
  <c r="A675" i="27" s="1"/>
  <c r="B649" i="27"/>
  <c r="B662" i="27" s="1"/>
  <c r="B675" i="27" s="1"/>
  <c r="A650" i="27"/>
  <c r="A663" i="27" s="1"/>
  <c r="A676" i="27" s="1"/>
  <c r="B650" i="27"/>
  <c r="B663" i="27" s="1"/>
  <c r="B676" i="27" s="1"/>
  <c r="A651" i="27"/>
  <c r="A664" i="27" s="1"/>
  <c r="A677" i="27" s="1"/>
  <c r="B651" i="27"/>
  <c r="B664" i="27" s="1"/>
  <c r="B677" i="27" s="1"/>
  <c r="A652" i="27"/>
  <c r="A665" i="27" s="1"/>
  <c r="A678" i="27" s="1"/>
  <c r="B652" i="27"/>
  <c r="B665" i="27" s="1"/>
  <c r="B678" i="27" s="1"/>
  <c r="B653" i="27"/>
  <c r="B666" i="27" s="1"/>
  <c r="B679" i="27" s="1"/>
  <c r="A654" i="27"/>
  <c r="A667" i="27" s="1"/>
  <c r="A680" i="27" s="1"/>
  <c r="B654" i="27"/>
  <c r="B667" i="27" s="1"/>
  <c r="B680" i="27" s="1"/>
  <c r="A655" i="27"/>
  <c r="A668" i="27" s="1"/>
  <c r="A681" i="27" s="1"/>
  <c r="B655" i="27"/>
  <c r="B668" i="27" s="1"/>
  <c r="B681" i="27" s="1"/>
  <c r="A656" i="27"/>
  <c r="A669" i="27" s="1"/>
  <c r="A682" i="27" s="1"/>
  <c r="B656" i="27"/>
  <c r="B669" i="27" s="1"/>
  <c r="B682" i="27" s="1"/>
  <c r="A684" i="27"/>
  <c r="B684" i="27"/>
  <c r="A290" i="27"/>
  <c r="A308" i="27" s="1"/>
  <c r="B290" i="27"/>
  <c r="B308" i="27" s="1"/>
  <c r="A291" i="27"/>
  <c r="A309" i="27" s="1"/>
  <c r="B291" i="27"/>
  <c r="B309" i="27" s="1"/>
  <c r="A292" i="27"/>
  <c r="A310" i="27" s="1"/>
  <c r="B292" i="27"/>
  <c r="B310" i="27" s="1"/>
  <c r="A293" i="27"/>
  <c r="A311" i="27" s="1"/>
  <c r="B293" i="27"/>
  <c r="B311" i="27" s="1"/>
  <c r="A294" i="27"/>
  <c r="A312" i="27" s="1"/>
  <c r="B294" i="27"/>
  <c r="B312" i="27" s="1"/>
  <c r="A295" i="27"/>
  <c r="A313" i="27" s="1"/>
  <c r="B295" i="27"/>
  <c r="B313" i="27" s="1"/>
  <c r="A299" i="27"/>
  <c r="A317" i="27" s="1"/>
  <c r="B299" i="27"/>
  <c r="B317" i="27" s="1"/>
  <c r="A300" i="27"/>
  <c r="A318" i="27" s="1"/>
  <c r="B300" i="27"/>
  <c r="B318" i="27" s="1"/>
  <c r="A319" i="27"/>
  <c r="B319" i="27"/>
  <c r="A320" i="27"/>
  <c r="B320" i="27"/>
  <c r="A321" i="27"/>
  <c r="B321" i="27"/>
  <c r="A322" i="27"/>
  <c r="B322" i="27"/>
  <c r="A323" i="27"/>
  <c r="B323" i="27"/>
  <c r="A324" i="27"/>
  <c r="A328" i="27" s="1"/>
  <c r="A332" i="27" s="1"/>
  <c r="A335" i="27" s="1"/>
  <c r="A338" i="27" s="1"/>
  <c r="B324" i="27"/>
  <c r="B328" i="27" s="1"/>
  <c r="B332" i="27" s="1"/>
  <c r="B335" i="27" s="1"/>
  <c r="B338" i="27" s="1"/>
  <c r="A325" i="27"/>
  <c r="A329" i="27" s="1"/>
  <c r="A333" i="27" s="1"/>
  <c r="A336" i="27" s="1"/>
  <c r="A339" i="27" s="1"/>
  <c r="B325" i="27"/>
  <c r="B329" i="27" s="1"/>
  <c r="B333" i="27" s="1"/>
  <c r="B336" i="27" s="1"/>
  <c r="B339" i="27" s="1"/>
  <c r="A326" i="27"/>
  <c r="A330" i="27" s="1"/>
  <c r="B326" i="27"/>
  <c r="B330" i="27" s="1"/>
  <c r="A340" i="27"/>
  <c r="B340" i="27"/>
  <c r="A341" i="27"/>
  <c r="B341" i="27"/>
  <c r="A342" i="27"/>
  <c r="A345" i="27" s="1"/>
  <c r="A348" i="27" s="1"/>
  <c r="A351" i="27" s="1"/>
  <c r="A354" i="27" s="1"/>
  <c r="B342" i="27"/>
  <c r="B345" i="27" s="1"/>
  <c r="B348" i="27" s="1"/>
  <c r="B351" i="27" s="1"/>
  <c r="B354" i="27" s="1"/>
  <c r="A343" i="27"/>
  <c r="A346" i="27" s="1"/>
  <c r="A349" i="27" s="1"/>
  <c r="A352" i="27" s="1"/>
  <c r="A355" i="27" s="1"/>
  <c r="B343" i="27"/>
  <c r="B346" i="27" s="1"/>
  <c r="B349" i="27" s="1"/>
  <c r="B352" i="27" s="1"/>
  <c r="B355" i="27" s="1"/>
  <c r="A356" i="27"/>
  <c r="B356" i="27"/>
  <c r="A369" i="27"/>
  <c r="B369" i="27"/>
  <c r="A383" i="27"/>
  <c r="B383" i="27"/>
  <c r="A384" i="27"/>
  <c r="B384" i="27"/>
  <c r="A385" i="27"/>
  <c r="B385" i="27"/>
  <c r="A386" i="27"/>
  <c r="B386" i="27"/>
  <c r="A387" i="27"/>
  <c r="B387" i="27"/>
  <c r="A388" i="27"/>
  <c r="B388" i="27"/>
  <c r="A389" i="27"/>
  <c r="B389" i="27"/>
  <c r="A390" i="27"/>
  <c r="B390" i="27"/>
  <c r="A391" i="27"/>
  <c r="B391" i="27"/>
  <c r="A392" i="27"/>
  <c r="B392" i="27"/>
  <c r="A393" i="27"/>
  <c r="B393" i="27"/>
  <c r="A394" i="27"/>
  <c r="B394" i="27"/>
  <c r="A395" i="27"/>
  <c r="B395" i="27"/>
  <c r="A396" i="27"/>
  <c r="B396" i="27"/>
  <c r="A397" i="27"/>
  <c r="B397" i="27"/>
  <c r="A398" i="27"/>
  <c r="B398" i="27"/>
  <c r="A399" i="27"/>
  <c r="B399" i="27"/>
  <c r="A400" i="27"/>
  <c r="B400" i="27"/>
  <c r="A401" i="27"/>
  <c r="B401" i="27"/>
  <c r="A402" i="27"/>
  <c r="B402" i="27"/>
  <c r="A403" i="27"/>
  <c r="B403" i="27"/>
  <c r="A404" i="27"/>
  <c r="B404" i="27"/>
  <c r="A405" i="27"/>
  <c r="B405" i="27"/>
  <c r="A406" i="27"/>
  <c r="B406" i="27"/>
  <c r="A407" i="27"/>
  <c r="B407" i="27"/>
  <c r="A408" i="27"/>
  <c r="B408" i="27"/>
  <c r="A409" i="27"/>
  <c r="B409" i="27"/>
  <c r="A410" i="27"/>
  <c r="B410" i="27"/>
  <c r="A411" i="27"/>
  <c r="B411" i="27"/>
  <c r="A412" i="27"/>
  <c r="B412" i="27"/>
  <c r="A413" i="27"/>
  <c r="B413" i="27"/>
  <c r="A414" i="27"/>
  <c r="B414" i="27"/>
  <c r="A415" i="27"/>
  <c r="B415" i="27"/>
  <c r="A416" i="27"/>
  <c r="B416" i="27"/>
  <c r="A417" i="27"/>
  <c r="B417" i="27"/>
  <c r="A418" i="27"/>
  <c r="B418" i="27"/>
  <c r="A419" i="27"/>
  <c r="B419" i="27"/>
  <c r="A420" i="27"/>
  <c r="B420" i="27"/>
  <c r="A421" i="27"/>
  <c r="B421" i="27"/>
  <c r="A422" i="27"/>
  <c r="B422" i="27"/>
  <c r="A423" i="27"/>
  <c r="B423" i="27"/>
  <c r="A424" i="27"/>
  <c r="B424" i="27"/>
  <c r="A425" i="27"/>
  <c r="B425" i="27"/>
  <c r="A426" i="27"/>
  <c r="B426" i="27"/>
  <c r="A427" i="27"/>
  <c r="B427" i="27"/>
  <c r="A428" i="27"/>
  <c r="B428" i="27"/>
  <c r="A429" i="27"/>
  <c r="B429" i="27"/>
  <c r="A430" i="27"/>
  <c r="A433" i="27" s="1"/>
  <c r="A436" i="27" s="1"/>
  <c r="A439" i="27" s="1"/>
  <c r="A442" i="27" s="1"/>
  <c r="B430" i="27"/>
  <c r="B433" i="27" s="1"/>
  <c r="B436" i="27" s="1"/>
  <c r="B439" i="27" s="1"/>
  <c r="B442" i="27" s="1"/>
  <c r="A431" i="27"/>
  <c r="A434" i="27" s="1"/>
  <c r="A437" i="27" s="1"/>
  <c r="A440" i="27" s="1"/>
  <c r="A443" i="27" s="1"/>
  <c r="B431" i="27"/>
  <c r="B434" i="27" s="1"/>
  <c r="B437" i="27" s="1"/>
  <c r="B440" i="27" s="1"/>
  <c r="B443" i="27" s="1"/>
  <c r="A444" i="27"/>
  <c r="B444" i="27"/>
  <c r="A445" i="27"/>
  <c r="B445" i="27"/>
  <c r="A446" i="27"/>
  <c r="A452" i="27" s="1"/>
  <c r="A458" i="27" s="1"/>
  <c r="A464" i="27" s="1"/>
  <c r="A470" i="27" s="1"/>
  <c r="A476" i="27" s="1"/>
  <c r="B446" i="27"/>
  <c r="B452" i="27" s="1"/>
  <c r="B458" i="27" s="1"/>
  <c r="B464" i="27" s="1"/>
  <c r="B470" i="27" s="1"/>
  <c r="B476" i="27" s="1"/>
  <c r="A447" i="27"/>
  <c r="A453" i="27" s="1"/>
  <c r="A459" i="27" s="1"/>
  <c r="A465" i="27" s="1"/>
  <c r="A471" i="27" s="1"/>
  <c r="A477" i="27" s="1"/>
  <c r="B447" i="27"/>
  <c r="B453" i="27" s="1"/>
  <c r="B459" i="27" s="1"/>
  <c r="B465" i="27" s="1"/>
  <c r="B471" i="27" s="1"/>
  <c r="B477" i="27" s="1"/>
  <c r="A448" i="27"/>
  <c r="A454" i="27" s="1"/>
  <c r="A460" i="27" s="1"/>
  <c r="A466" i="27" s="1"/>
  <c r="A472" i="27" s="1"/>
  <c r="A478" i="27" s="1"/>
  <c r="B448" i="27"/>
  <c r="B454" i="27" s="1"/>
  <c r="B460" i="27" s="1"/>
  <c r="B466" i="27" s="1"/>
  <c r="B472" i="27" s="1"/>
  <c r="B478" i="27" s="1"/>
  <c r="A449" i="27"/>
  <c r="A455" i="27" s="1"/>
  <c r="A461" i="27" s="1"/>
  <c r="A467" i="27" s="1"/>
  <c r="A473" i="27" s="1"/>
  <c r="A479" i="27" s="1"/>
  <c r="B449" i="27"/>
  <c r="B455" i="27" s="1"/>
  <c r="B461" i="27" s="1"/>
  <c r="B467" i="27" s="1"/>
  <c r="B473" i="27" s="1"/>
  <c r="B479" i="27" s="1"/>
  <c r="A481" i="27"/>
  <c r="B481" i="27"/>
  <c r="A482" i="27"/>
  <c r="B482" i="27"/>
  <c r="A483" i="27"/>
  <c r="B483" i="27"/>
  <c r="A484" i="27"/>
  <c r="B484" i="27"/>
  <c r="A485" i="27"/>
  <c r="B485" i="27"/>
  <c r="A486" i="27"/>
  <c r="B486" i="27"/>
  <c r="A487" i="27"/>
  <c r="B487" i="27"/>
  <c r="A488" i="27"/>
  <c r="B488" i="27"/>
  <c r="A489" i="27"/>
  <c r="B489" i="27"/>
  <c r="A490" i="27"/>
  <c r="B490" i="27"/>
  <c r="A491" i="27"/>
  <c r="B491" i="27"/>
  <c r="A492" i="27"/>
  <c r="B492" i="27"/>
  <c r="A493" i="27"/>
  <c r="B493" i="27"/>
  <c r="A494" i="27"/>
  <c r="B494" i="27"/>
  <c r="A495" i="27"/>
  <c r="B495" i="27"/>
  <c r="A496" i="27"/>
  <c r="B496" i="27"/>
  <c r="A497" i="27"/>
  <c r="B497" i="27"/>
  <c r="A498" i="27"/>
  <c r="B498" i="27"/>
  <c r="A499" i="27"/>
  <c r="B499" i="27"/>
  <c r="A500" i="27"/>
  <c r="B500" i="27"/>
  <c r="A501" i="27"/>
  <c r="B501" i="27"/>
  <c r="A502" i="27"/>
  <c r="B502" i="27"/>
  <c r="A503" i="27"/>
  <c r="B503" i="27"/>
  <c r="A504" i="27"/>
  <c r="B504" i="27"/>
  <c r="A505" i="27"/>
  <c r="B505" i="27"/>
  <c r="A507" i="27"/>
  <c r="B507" i="27"/>
  <c r="A524" i="27"/>
  <c r="B524" i="27"/>
  <c r="A525" i="27"/>
  <c r="B525" i="27"/>
  <c r="A526" i="27"/>
  <c r="B526" i="27"/>
  <c r="A527" i="27"/>
  <c r="B527" i="27"/>
  <c r="A528" i="27"/>
  <c r="A530" i="27" s="1"/>
  <c r="A532" i="27" s="1"/>
  <c r="B528" i="27"/>
  <c r="B530" i="27" s="1"/>
  <c r="B532" i="27" s="1"/>
  <c r="A533" i="27"/>
  <c r="B533" i="27"/>
  <c r="A534" i="27"/>
  <c r="B534" i="27"/>
  <c r="A535" i="27"/>
  <c r="A538" i="27" s="1"/>
  <c r="A541" i="27" s="1"/>
  <c r="B535" i="27"/>
  <c r="B538" i="27" s="1"/>
  <c r="B541" i="27" s="1"/>
  <c r="A536" i="27"/>
  <c r="A539" i="27" s="1"/>
  <c r="A542" i="27" s="1"/>
  <c r="B536" i="27"/>
  <c r="B539" i="27" s="1"/>
  <c r="B542" i="27" s="1"/>
  <c r="B543" i="27"/>
  <c r="A544" i="27"/>
  <c r="B544" i="27"/>
  <c r="A545" i="27"/>
  <c r="B545" i="27"/>
  <c r="A546" i="27"/>
  <c r="A552" i="27" s="1"/>
  <c r="A558" i="27" s="1"/>
  <c r="B546" i="27"/>
  <c r="B552" i="27" s="1"/>
  <c r="B558" i="27" s="1"/>
  <c r="A547" i="27"/>
  <c r="A553" i="27" s="1"/>
  <c r="A559" i="27" s="1"/>
  <c r="B547" i="27"/>
  <c r="B553" i="27" s="1"/>
  <c r="B559" i="27" s="1"/>
  <c r="A548" i="27"/>
  <c r="A554" i="27" s="1"/>
  <c r="A560" i="27" s="1"/>
  <c r="B548" i="27"/>
  <c r="B554" i="27" s="1"/>
  <c r="B560" i="27" s="1"/>
  <c r="A549" i="27"/>
  <c r="A555" i="27" s="1"/>
  <c r="A561" i="27" s="1"/>
  <c r="B549" i="27"/>
  <c r="B555" i="27" s="1"/>
  <c r="B561" i="27" s="1"/>
  <c r="A550" i="27"/>
  <c r="A556" i="27" s="1"/>
  <c r="A562" i="27" s="1"/>
  <c r="B550" i="27"/>
  <c r="B556" i="27" s="1"/>
  <c r="B562" i="27" s="1"/>
  <c r="A563" i="27"/>
  <c r="B563" i="27"/>
  <c r="A564" i="27"/>
  <c r="B564" i="27"/>
  <c r="A565" i="27"/>
  <c r="B565" i="27"/>
  <c r="A566" i="27"/>
  <c r="B566" i="27"/>
  <c r="A567" i="27"/>
  <c r="B567" i="27"/>
  <c r="A568" i="27"/>
  <c r="B568" i="27"/>
  <c r="A569" i="27"/>
  <c r="B569" i="27"/>
  <c r="A570" i="27"/>
  <c r="B570" i="27"/>
  <c r="A571" i="27"/>
  <c r="B571" i="27"/>
  <c r="A572" i="27"/>
  <c r="B572" i="27"/>
  <c r="A574" i="27"/>
  <c r="B574" i="27"/>
  <c r="A575" i="27"/>
  <c r="B575" i="27"/>
  <c r="A576" i="27"/>
  <c r="B576" i="27"/>
  <c r="A577" i="27"/>
  <c r="B577" i="27"/>
  <c r="A578" i="27"/>
  <c r="B578" i="27"/>
  <c r="A579" i="27"/>
  <c r="B579" i="27"/>
  <c r="A580" i="27"/>
  <c r="B580" i="27"/>
  <c r="A581" i="27"/>
  <c r="B581" i="27"/>
  <c r="A582" i="27"/>
  <c r="B582" i="27"/>
  <c r="A583" i="27"/>
  <c r="B583" i="27"/>
  <c r="A584" i="27"/>
  <c r="B584" i="27"/>
  <c r="A95" i="27"/>
  <c r="B95" i="27"/>
  <c r="A96" i="27"/>
  <c r="B96" i="27"/>
  <c r="A97" i="27"/>
  <c r="B97" i="27"/>
  <c r="A98" i="27"/>
  <c r="B98" i="27"/>
  <c r="A99" i="27"/>
  <c r="B99" i="27"/>
  <c r="A100" i="27"/>
  <c r="B100" i="27"/>
  <c r="A101" i="27"/>
  <c r="B101" i="27"/>
  <c r="A102" i="27"/>
  <c r="B102" i="27"/>
  <c r="A103" i="27"/>
  <c r="B103" i="27"/>
  <c r="A104" i="27"/>
  <c r="B104" i="27"/>
  <c r="A105" i="27"/>
  <c r="B105" i="27"/>
  <c r="A106" i="27"/>
  <c r="B106" i="27"/>
  <c r="A107" i="27"/>
  <c r="B107" i="27"/>
  <c r="A108" i="27"/>
  <c r="A111" i="27" s="1"/>
  <c r="A114" i="27" s="1"/>
  <c r="A125" i="27" s="1"/>
  <c r="B108" i="27"/>
  <c r="B111" i="27" s="1"/>
  <c r="B114" i="27" s="1"/>
  <c r="B125" i="27" s="1"/>
  <c r="A109" i="27"/>
  <c r="A112" i="27" s="1"/>
  <c r="A115" i="27" s="1"/>
  <c r="A119" i="27" s="1"/>
  <c r="A123" i="27" s="1"/>
  <c r="B109" i="27"/>
  <c r="B112" i="27" s="1"/>
  <c r="B115" i="27" s="1"/>
  <c r="B126" i="27" s="1"/>
  <c r="A127" i="27"/>
  <c r="B127" i="27"/>
  <c r="A128" i="27"/>
  <c r="B128" i="27"/>
  <c r="A129" i="27"/>
  <c r="B129" i="27"/>
  <c r="A130" i="27"/>
  <c r="B130" i="27"/>
  <c r="A131" i="27"/>
  <c r="B131" i="27"/>
  <c r="A132" i="27"/>
  <c r="B132" i="27"/>
  <c r="A133" i="27"/>
  <c r="B133" i="27"/>
  <c r="A134" i="27"/>
  <c r="B134" i="27"/>
  <c r="A135" i="27"/>
  <c r="B135" i="27"/>
  <c r="A136" i="27"/>
  <c r="B136" i="27"/>
  <c r="A137" i="27"/>
  <c r="B137" i="27"/>
  <c r="A138" i="27"/>
  <c r="B138" i="27"/>
  <c r="A139" i="27"/>
  <c r="B139" i="27"/>
  <c r="A140" i="27"/>
  <c r="B140" i="27"/>
  <c r="A141" i="27"/>
  <c r="B141" i="27"/>
  <c r="A142" i="27"/>
  <c r="B142" i="27"/>
  <c r="A143" i="27"/>
  <c r="B143" i="27"/>
  <c r="A144" i="27"/>
  <c r="B144" i="27"/>
  <c r="A146" i="27"/>
  <c r="B146" i="27"/>
  <c r="A147" i="27"/>
  <c r="B147" i="27"/>
  <c r="A148" i="27"/>
  <c r="B148" i="27"/>
  <c r="A149" i="27"/>
  <c r="B149" i="27"/>
  <c r="A152" i="27"/>
  <c r="B152" i="27"/>
  <c r="A153" i="27"/>
  <c r="B153" i="27"/>
  <c r="A154" i="27"/>
  <c r="B154" i="27"/>
  <c r="A155" i="27"/>
  <c r="B155" i="27"/>
  <c r="A156" i="27"/>
  <c r="B156" i="27"/>
  <c r="A157" i="27"/>
  <c r="B157" i="27"/>
  <c r="A158" i="27"/>
  <c r="B158" i="27"/>
  <c r="A159" i="27"/>
  <c r="B159" i="27"/>
  <c r="A160" i="27"/>
  <c r="B160" i="27"/>
  <c r="A161" i="27"/>
  <c r="B161" i="27"/>
  <c r="A162" i="27"/>
  <c r="B162" i="27"/>
  <c r="A164" i="27"/>
  <c r="B164" i="27"/>
  <c r="A165" i="27"/>
  <c r="B165" i="27"/>
  <c r="A166" i="27"/>
  <c r="B166" i="27"/>
  <c r="A167" i="27"/>
  <c r="B167" i="27"/>
  <c r="A168" i="27"/>
  <c r="B168" i="27"/>
  <c r="A169" i="27"/>
  <c r="B169" i="27"/>
  <c r="A170" i="27"/>
  <c r="B170" i="27"/>
  <c r="A171" i="27"/>
  <c r="B171" i="27"/>
  <c r="A172" i="27"/>
  <c r="B172" i="27"/>
  <c r="B173" i="27"/>
  <c r="A212" i="27"/>
  <c r="B212" i="27"/>
  <c r="A214" i="27"/>
  <c r="B214" i="27"/>
  <c r="A215" i="27"/>
  <c r="B215" i="27"/>
  <c r="A216" i="27"/>
  <c r="A225" i="27" s="1"/>
  <c r="A234" i="27" s="1"/>
  <c r="A243" i="27" s="1"/>
  <c r="B216" i="27"/>
  <c r="B225" i="27" s="1"/>
  <c r="B234" i="27" s="1"/>
  <c r="B243" i="27" s="1"/>
  <c r="A217" i="27"/>
  <c r="A226" i="27" s="1"/>
  <c r="A235" i="27" s="1"/>
  <c r="A244" i="27" s="1"/>
  <c r="B217" i="27"/>
  <c r="B226" i="27" s="1"/>
  <c r="B235" i="27" s="1"/>
  <c r="B244" i="27" s="1"/>
  <c r="A218" i="27"/>
  <c r="A227" i="27" s="1"/>
  <c r="A236" i="27" s="1"/>
  <c r="A245" i="27" s="1"/>
  <c r="B218" i="27"/>
  <c r="B227" i="27" s="1"/>
  <c r="B236" i="27" s="1"/>
  <c r="B245" i="27" s="1"/>
  <c r="A219" i="27"/>
  <c r="A228" i="27" s="1"/>
  <c r="A237" i="27" s="1"/>
  <c r="A246" i="27" s="1"/>
  <c r="B219" i="27"/>
  <c r="B228" i="27" s="1"/>
  <c r="B237" i="27" s="1"/>
  <c r="B246" i="27" s="1"/>
  <c r="A220" i="27"/>
  <c r="A229" i="27" s="1"/>
  <c r="A238" i="27" s="1"/>
  <c r="A247" i="27" s="1"/>
  <c r="B220" i="27"/>
  <c r="B229" i="27" s="1"/>
  <c r="B238" i="27" s="1"/>
  <c r="B247" i="27" s="1"/>
  <c r="A221" i="27"/>
  <c r="A230" i="27" s="1"/>
  <c r="A239" i="27" s="1"/>
  <c r="A248" i="27" s="1"/>
  <c r="B221" i="27"/>
  <c r="B230" i="27" s="1"/>
  <c r="B239" i="27" s="1"/>
  <c r="B248" i="27" s="1"/>
  <c r="A222" i="27"/>
  <c r="A231" i="27" s="1"/>
  <c r="A240" i="27" s="1"/>
  <c r="A249" i="27" s="1"/>
  <c r="B222" i="27"/>
  <c r="B231" i="27" s="1"/>
  <c r="B240" i="27" s="1"/>
  <c r="B249" i="27" s="1"/>
  <c r="A223" i="27"/>
  <c r="A232" i="27" s="1"/>
  <c r="A241" i="27" s="1"/>
  <c r="A250" i="27" s="1"/>
  <c r="B223" i="27"/>
  <c r="B232" i="27" s="1"/>
  <c r="B241" i="27" s="1"/>
  <c r="B250" i="27" s="1"/>
  <c r="A251" i="27"/>
  <c r="B251" i="27"/>
  <c r="A252" i="27"/>
  <c r="B252" i="27"/>
  <c r="A253" i="27"/>
  <c r="B253" i="27"/>
  <c r="A254" i="27"/>
  <c r="A259" i="27" s="1"/>
  <c r="B254" i="27"/>
  <c r="B259" i="27" s="1"/>
  <c r="A255" i="27"/>
  <c r="A260" i="27" s="1"/>
  <c r="B255" i="27"/>
  <c r="B260" i="27" s="1"/>
  <c r="A256" i="27"/>
  <c r="A261" i="27" s="1"/>
  <c r="B256" i="27"/>
  <c r="B261" i="27" s="1"/>
  <c r="A257" i="27"/>
  <c r="A262" i="27" s="1"/>
  <c r="B257" i="27"/>
  <c r="B262" i="27" s="1"/>
  <c r="A263" i="27"/>
  <c r="B263" i="27"/>
  <c r="A264" i="27"/>
  <c r="B264" i="27"/>
  <c r="B265" i="27"/>
  <c r="B274" i="27" s="1"/>
  <c r="A266" i="27"/>
  <c r="A275" i="27" s="1"/>
  <c r="B266" i="27"/>
  <c r="B275" i="27" s="1"/>
  <c r="A267" i="27"/>
  <c r="A276" i="27" s="1"/>
  <c r="B267" i="27"/>
  <c r="B276" i="27" s="1"/>
  <c r="A268" i="27"/>
  <c r="A277" i="27" s="1"/>
  <c r="B268" i="27"/>
  <c r="B277" i="27" s="1"/>
  <c r="A269" i="27"/>
  <c r="A278" i="27" s="1"/>
  <c r="B269" i="27"/>
  <c r="B278" i="27" s="1"/>
  <c r="A270" i="27"/>
  <c r="A279" i="27" s="1"/>
  <c r="B270" i="27"/>
  <c r="B279" i="27" s="1"/>
  <c r="A271" i="27"/>
  <c r="A280" i="27" s="1"/>
  <c r="B271" i="27"/>
  <c r="B280" i="27" s="1"/>
  <c r="A272" i="27"/>
  <c r="A281" i="27" s="1"/>
  <c r="B272" i="27"/>
  <c r="B281" i="27" s="1"/>
  <c r="A283" i="27"/>
  <c r="B283" i="27"/>
  <c r="A284" i="27"/>
  <c r="A302" i="27" s="1"/>
  <c r="B284" i="27"/>
  <c r="B302" i="27" s="1"/>
  <c r="A285" i="27"/>
  <c r="A303" i="27" s="1"/>
  <c r="B285" i="27"/>
  <c r="B303" i="27" s="1"/>
  <c r="A286" i="27"/>
  <c r="A304" i="27" s="1"/>
  <c r="B286" i="27"/>
  <c r="B304" i="27" s="1"/>
  <c r="A287" i="27"/>
  <c r="A305" i="27" s="1"/>
  <c r="B287" i="27"/>
  <c r="B305" i="27" s="1"/>
  <c r="A288" i="27"/>
  <c r="A306" i="27" s="1"/>
  <c r="B288" i="27"/>
  <c r="B306" i="27" s="1"/>
  <c r="A289" i="27"/>
  <c r="A307" i="27" s="1"/>
  <c r="B289" i="27"/>
  <c r="B307" i="27" s="1"/>
  <c r="B67" i="27"/>
  <c r="B68" i="27"/>
  <c r="B70" i="27"/>
  <c r="B71" i="27"/>
  <c r="B72" i="27"/>
  <c r="B74" i="27"/>
  <c r="B75" i="27"/>
  <c r="B76" i="27"/>
  <c r="B77" i="27"/>
  <c r="B78" i="27"/>
  <c r="B79" i="27"/>
  <c r="B80" i="27"/>
  <c r="B82" i="27"/>
  <c r="B83" i="27"/>
  <c r="B84" i="27"/>
  <c r="B85" i="27"/>
  <c r="B93" i="27"/>
  <c r="B94" i="27"/>
  <c r="A68" i="27"/>
  <c r="A69" i="27"/>
  <c r="A70" i="27"/>
  <c r="A71" i="27"/>
  <c r="A72" i="27"/>
  <c r="A73" i="27"/>
  <c r="A74" i="27"/>
  <c r="A75" i="27"/>
  <c r="A76" i="27"/>
  <c r="A77" i="27"/>
  <c r="A78" i="27"/>
  <c r="A79" i="27"/>
  <c r="A82" i="27"/>
  <c r="A83" i="27"/>
  <c r="A84" i="27"/>
  <c r="A85" i="27"/>
  <c r="A93" i="27"/>
  <c r="A94" i="27"/>
  <c r="A67" i="27"/>
  <c r="A7" i="27"/>
  <c r="L78" i="1"/>
  <c r="L77" i="1"/>
  <c r="F729" i="3"/>
  <c r="B729" i="3"/>
  <c r="A729" i="3"/>
  <c r="D731" i="3"/>
  <c r="D732" i="3"/>
  <c r="D733" i="3"/>
  <c r="D734" i="3"/>
  <c r="D735" i="3"/>
  <c r="D736" i="3"/>
  <c r="D737" i="3"/>
  <c r="D739" i="3"/>
  <c r="D740" i="3"/>
  <c r="D741" i="3"/>
  <c r="D742" i="3"/>
  <c r="D743" i="3"/>
  <c r="D744" i="3"/>
  <c r="D745" i="3"/>
  <c r="D746" i="3"/>
  <c r="C732" i="3"/>
  <c r="C733" i="3"/>
  <c r="C734" i="3"/>
  <c r="C735" i="3"/>
  <c r="C736" i="3"/>
  <c r="C737" i="3"/>
  <c r="C739" i="3"/>
  <c r="C740" i="3"/>
  <c r="C741" i="3"/>
  <c r="C742" i="3"/>
  <c r="C743" i="3"/>
  <c r="C744" i="3"/>
  <c r="C745" i="3"/>
  <c r="C746" i="3"/>
  <c r="C731" i="3"/>
  <c r="B744" i="3"/>
  <c r="B745" i="3"/>
  <c r="A745" i="3"/>
  <c r="O9" i="1"/>
  <c r="I9" i="1"/>
  <c r="B472" i="3"/>
  <c r="B473" i="3"/>
  <c r="A473" i="3"/>
  <c r="A472" i="3"/>
  <c r="D306" i="3"/>
  <c r="C273" i="27" s="1"/>
  <c r="C306" i="3"/>
  <c r="C264" i="27" s="1"/>
  <c r="G10" i="7"/>
  <c r="C739" i="27" s="1"/>
  <c r="C66" i="3"/>
  <c r="A23" i="3"/>
  <c r="A24" i="3"/>
  <c r="A25" i="3"/>
  <c r="A26" i="3"/>
  <c r="A27" i="3"/>
  <c r="A28" i="3"/>
  <c r="A30" i="3"/>
  <c r="A31" i="3"/>
  <c r="A32" i="3"/>
  <c r="A33" i="3"/>
  <c r="A34" i="3"/>
  <c r="A35" i="3"/>
  <c r="A36" i="3"/>
  <c r="A37" i="3"/>
  <c r="A38" i="3"/>
  <c r="A39" i="3"/>
  <c r="A40" i="3"/>
  <c r="A41" i="3"/>
  <c r="A42" i="3"/>
  <c r="A43" i="3"/>
  <c r="A44" i="3"/>
  <c r="A45" i="3"/>
  <c r="A46" i="3"/>
  <c r="A48" i="3"/>
  <c r="A49" i="3"/>
  <c r="A50" i="3"/>
  <c r="A51" i="3"/>
  <c r="A52" i="3"/>
  <c r="A53" i="3"/>
  <c r="A54" i="3"/>
  <c r="A55" i="3"/>
  <c r="A618" i="3" s="1"/>
  <c r="A610" i="27" s="1"/>
  <c r="C72" i="27"/>
  <c r="K78" i="1"/>
  <c r="L56" i="1"/>
  <c r="L55" i="1"/>
  <c r="C424" i="3"/>
  <c r="C413" i="27"/>
  <c r="C425" i="3"/>
  <c r="C414" i="27" s="1"/>
  <c r="C423" i="3"/>
  <c r="C412" i="27"/>
  <c r="K15" i="1"/>
  <c r="L26" i="1" s="1"/>
  <c r="C286" i="3" s="1"/>
  <c r="D353" i="3"/>
  <c r="C344" i="27" s="1"/>
  <c r="E353" i="3"/>
  <c r="C347" i="27" s="1"/>
  <c r="F353" i="3"/>
  <c r="C350" i="27"/>
  <c r="G353" i="3"/>
  <c r="C353" i="27" s="1"/>
  <c r="C353" i="3"/>
  <c r="C341" i="27" s="1"/>
  <c r="A6" i="3"/>
  <c r="A74" i="4"/>
  <c r="B463" i="34"/>
  <c r="C38" i="3" s="1"/>
  <c r="C612" i="34"/>
  <c r="A612" i="34"/>
  <c r="C589" i="34"/>
  <c r="C590" i="34" s="1"/>
  <c r="C591" i="34" s="1"/>
  <c r="A582" i="34"/>
  <c r="C582" i="34"/>
  <c r="C579" i="34"/>
  <c r="A579" i="34"/>
  <c r="C381" i="3"/>
  <c r="C372" i="27" s="1"/>
  <c r="C34" i="3"/>
  <c r="D589" i="34"/>
  <c r="D590" i="34" s="1"/>
  <c r="D591" i="34" s="1"/>
  <c r="C602" i="34" s="1"/>
  <c r="C588" i="34"/>
  <c r="A590" i="34"/>
  <c r="A71" i="4"/>
  <c r="A72" i="4"/>
  <c r="N10" i="1"/>
  <c r="D688" i="3"/>
  <c r="C660" i="27"/>
  <c r="C688" i="3"/>
  <c r="C695" i="3" s="1"/>
  <c r="G6" i="7"/>
  <c r="C735" i="27" s="1"/>
  <c r="A67" i="4"/>
  <c r="A68" i="4" s="1"/>
  <c r="E160" i="3"/>
  <c r="D692" i="3"/>
  <c r="C664" i="27" s="1"/>
  <c r="D750" i="3"/>
  <c r="D749" i="3"/>
  <c r="D96" i="3"/>
  <c r="E96" i="3"/>
  <c r="C392" i="34"/>
  <c r="C431" i="34" s="1"/>
  <c r="D392" i="34"/>
  <c r="D431" i="34" s="1"/>
  <c r="G392" i="34"/>
  <c r="D424" i="34" s="1"/>
  <c r="H392" i="34"/>
  <c r="E424" i="34" s="1"/>
  <c r="I392" i="34"/>
  <c r="J392" i="34"/>
  <c r="K392" i="34"/>
  <c r="D33" i="3" s="1"/>
  <c r="D393" i="34"/>
  <c r="E393" i="34" s="1"/>
  <c r="F393" i="34" s="1"/>
  <c r="G393" i="34" s="1"/>
  <c r="H393" i="34" s="1"/>
  <c r="I393" i="34" s="1"/>
  <c r="J393" i="34" s="1"/>
  <c r="B394" i="34"/>
  <c r="C413" i="34" s="1"/>
  <c r="B395" i="34"/>
  <c r="C432" i="34" s="1"/>
  <c r="B396" i="34"/>
  <c r="B397" i="34"/>
  <c r="D432" i="34" s="1"/>
  <c r="B398" i="34"/>
  <c r="B399" i="34"/>
  <c r="B400" i="34"/>
  <c r="B401" i="34"/>
  <c r="R400" i="34" s="1"/>
  <c r="B402" i="34"/>
  <c r="G412" i="34" s="1"/>
  <c r="B403" i="34"/>
  <c r="B404" i="34"/>
  <c r="E425" i="34" s="1"/>
  <c r="B405" i="34"/>
  <c r="B406" i="34"/>
  <c r="B407" i="34"/>
  <c r="A408" i="34"/>
  <c r="B408" i="34" s="1"/>
  <c r="B409" i="34"/>
  <c r="B411" i="34"/>
  <c r="R397" i="34" s="1"/>
  <c r="D462" i="34"/>
  <c r="E462" i="34" s="1"/>
  <c r="F462" i="34" s="1"/>
  <c r="G462" i="34" s="1"/>
  <c r="H462" i="34" s="1"/>
  <c r="N463" i="34"/>
  <c r="O463" i="34"/>
  <c r="B464" i="34"/>
  <c r="C475" i="34" s="1"/>
  <c r="B465" i="34"/>
  <c r="D477" i="34" s="1"/>
  <c r="B466" i="34"/>
  <c r="D488" i="34"/>
  <c r="B467" i="34"/>
  <c r="E495" i="34" s="1"/>
  <c r="U467" i="34"/>
  <c r="V467" i="34"/>
  <c r="U470" i="34" s="1"/>
  <c r="B468" i="34"/>
  <c r="B469" i="34"/>
  <c r="F495" i="34" s="1"/>
  <c r="B470" i="34"/>
  <c r="B471" i="34"/>
  <c r="B472" i="34"/>
  <c r="B473" i="34"/>
  <c r="U466" i="34" s="1"/>
  <c r="U473" i="34"/>
  <c r="V473" i="34" s="1"/>
  <c r="U476" i="34" s="1"/>
  <c r="B474" i="34"/>
  <c r="V466" i="34" s="1"/>
  <c r="V476" i="34"/>
  <c r="U479" i="34" s="1"/>
  <c r="C487" i="34"/>
  <c r="D487" i="34"/>
  <c r="E487" i="34"/>
  <c r="A494" i="34"/>
  <c r="C494" i="34"/>
  <c r="D494" i="34"/>
  <c r="E494" i="34"/>
  <c r="F494" i="34"/>
  <c r="G494" i="34"/>
  <c r="H494" i="34"/>
  <c r="B532" i="34"/>
  <c r="G532" i="34" s="1"/>
  <c r="D532" i="34"/>
  <c r="B533" i="34"/>
  <c r="C396" i="3" s="1"/>
  <c r="C386" i="27" s="1"/>
  <c r="D533" i="34"/>
  <c r="B563" i="34"/>
  <c r="E563" i="34" s="1"/>
  <c r="D563" i="34"/>
  <c r="B564" i="34"/>
  <c r="D564" i="34"/>
  <c r="B565" i="34"/>
  <c r="D565" i="34"/>
  <c r="B566" i="34"/>
  <c r="C566" i="34"/>
  <c r="D566" i="34" s="1"/>
  <c r="B567" i="34"/>
  <c r="D567" i="34"/>
  <c r="A701" i="34"/>
  <c r="A711" i="34"/>
  <c r="A712" i="34"/>
  <c r="A713" i="34"/>
  <c r="A714" i="34"/>
  <c r="A715" i="34"/>
  <c r="D34" i="3"/>
  <c r="D725" i="3" s="1"/>
  <c r="C33" i="3"/>
  <c r="D588" i="34"/>
  <c r="C594" i="34" s="1"/>
  <c r="V475" i="34"/>
  <c r="U478" i="34" s="1"/>
  <c r="C424" i="34"/>
  <c r="E431" i="34"/>
  <c r="K414" i="34"/>
  <c r="G495" i="34"/>
  <c r="E476" i="34"/>
  <c r="K412" i="34"/>
  <c r="R406" i="34"/>
  <c r="R403" i="34"/>
  <c r="N462" i="34"/>
  <c r="C476" i="34"/>
  <c r="D413" i="34"/>
  <c r="C495" i="34"/>
  <c r="U469" i="34"/>
  <c r="W469" i="34" s="1"/>
  <c r="U490" i="34" s="1"/>
  <c r="D425" i="34"/>
  <c r="F414" i="34"/>
  <c r="V469" i="34"/>
  <c r="U472" i="34" s="1"/>
  <c r="Q401" i="34"/>
  <c r="E413" i="34"/>
  <c r="C701" i="34"/>
  <c r="D701" i="34"/>
  <c r="D703" i="34" s="1"/>
  <c r="D704" i="34" s="1"/>
  <c r="D708" i="34"/>
  <c r="E708" i="34"/>
  <c r="C715" i="34" s="1"/>
  <c r="D711" i="34"/>
  <c r="E711" i="34"/>
  <c r="C713" i="34"/>
  <c r="D713" i="34"/>
  <c r="E713" i="34"/>
  <c r="U68" i="1"/>
  <c r="U67" i="1"/>
  <c r="S67" i="1"/>
  <c r="C714" i="3"/>
  <c r="C715" i="3"/>
  <c r="C716" i="3"/>
  <c r="D716" i="3"/>
  <c r="C717" i="3"/>
  <c r="D717" i="3"/>
  <c r="D718" i="3"/>
  <c r="C721" i="3"/>
  <c r="D721" i="3"/>
  <c r="C730" i="3"/>
  <c r="D730" i="3"/>
  <c r="D713" i="3"/>
  <c r="C713" i="3"/>
  <c r="I118" i="3"/>
  <c r="C600" i="3"/>
  <c r="C592" i="27" s="1"/>
  <c r="I104" i="3"/>
  <c r="C693" i="3"/>
  <c r="C692" i="3"/>
  <c r="C651" i="27" s="1"/>
  <c r="E693" i="3"/>
  <c r="E692" i="3"/>
  <c r="C677" i="27" s="1"/>
  <c r="D693" i="3"/>
  <c r="D691" i="3"/>
  <c r="C663" i="27" s="1"/>
  <c r="E691" i="3"/>
  <c r="C691" i="3"/>
  <c r="C650" i="27" s="1"/>
  <c r="C5" i="7"/>
  <c r="C713" i="27" s="1"/>
  <c r="C4" i="7"/>
  <c r="C712" i="27" s="1"/>
  <c r="C169" i="34"/>
  <c r="D169" i="34"/>
  <c r="E169" i="34"/>
  <c r="F169" i="34"/>
  <c r="G169" i="34"/>
  <c r="H169" i="34"/>
  <c r="I169" i="34"/>
  <c r="J169" i="34"/>
  <c r="K169" i="34"/>
  <c r="L169" i="34"/>
  <c r="M169" i="34"/>
  <c r="N169" i="34"/>
  <c r="O169" i="34"/>
  <c r="P169" i="34"/>
  <c r="Q169" i="34"/>
  <c r="R169" i="34"/>
  <c r="S169" i="34"/>
  <c r="T169" i="34"/>
  <c r="U169" i="34"/>
  <c r="V169" i="34"/>
  <c r="W169" i="34"/>
  <c r="X169" i="34"/>
  <c r="Y169" i="34"/>
  <c r="Z169" i="34"/>
  <c r="AA169" i="34"/>
  <c r="AB169" i="34"/>
  <c r="AC169" i="34"/>
  <c r="AD169" i="34"/>
  <c r="AE169" i="34"/>
  <c r="AF169" i="34"/>
  <c r="AG169" i="34"/>
  <c r="AH169" i="34"/>
  <c r="AI169" i="34"/>
  <c r="AJ169" i="34"/>
  <c r="AK169" i="34"/>
  <c r="AL169" i="34"/>
  <c r="AM169" i="34"/>
  <c r="AN169" i="34"/>
  <c r="AO169" i="34"/>
  <c r="AP169" i="34"/>
  <c r="AQ169" i="34"/>
  <c r="AR169" i="34"/>
  <c r="AS169" i="34"/>
  <c r="AT169" i="34"/>
  <c r="AU169" i="34"/>
  <c r="AV169" i="34"/>
  <c r="AW169" i="34"/>
  <c r="AX169" i="34"/>
  <c r="A169" i="34"/>
  <c r="B169" i="34"/>
  <c r="D666" i="3"/>
  <c r="E666" i="3" s="1"/>
  <c r="F666" i="3" s="1"/>
  <c r="G666" i="3" s="1"/>
  <c r="H666" i="3" s="1"/>
  <c r="I666" i="3" s="1"/>
  <c r="J666" i="3" s="1"/>
  <c r="K666" i="3" s="1"/>
  <c r="L666" i="3" s="1"/>
  <c r="C694" i="27" s="1"/>
  <c r="A18" i="3"/>
  <c r="A17" i="3"/>
  <c r="A7" i="3"/>
  <c r="E159" i="3"/>
  <c r="C111" i="3" s="1"/>
  <c r="B227" i="34"/>
  <c r="D158" i="34"/>
  <c r="E158" i="34"/>
  <c r="F158" i="34"/>
  <c r="G158" i="34"/>
  <c r="H158" i="34"/>
  <c r="I158" i="34"/>
  <c r="J158" i="34"/>
  <c r="K158" i="34"/>
  <c r="L158" i="34"/>
  <c r="M158" i="34"/>
  <c r="N158" i="34"/>
  <c r="O158" i="34"/>
  <c r="P158" i="34"/>
  <c r="Q158" i="34"/>
  <c r="R158" i="34"/>
  <c r="S158" i="34"/>
  <c r="T158" i="34"/>
  <c r="U158" i="34"/>
  <c r="V158" i="34"/>
  <c r="W158" i="34"/>
  <c r="X158" i="34"/>
  <c r="Y158" i="34"/>
  <c r="Z158" i="34"/>
  <c r="AA158" i="34"/>
  <c r="AB158" i="34"/>
  <c r="AC158" i="34"/>
  <c r="AD158" i="34"/>
  <c r="AE158" i="34"/>
  <c r="AF158" i="34"/>
  <c r="AG158" i="34"/>
  <c r="AH158" i="34"/>
  <c r="AI158" i="34"/>
  <c r="AJ158" i="34"/>
  <c r="AK158" i="34"/>
  <c r="AL158" i="34"/>
  <c r="AM158" i="34"/>
  <c r="AN158" i="34"/>
  <c r="AO158" i="34"/>
  <c r="AP158" i="34"/>
  <c r="AQ158" i="34"/>
  <c r="AR158" i="34"/>
  <c r="AS158" i="34"/>
  <c r="AT158" i="34"/>
  <c r="AU158" i="34"/>
  <c r="AV158" i="34"/>
  <c r="AW158" i="34"/>
  <c r="AX158" i="34"/>
  <c r="D159" i="34"/>
  <c r="E159" i="34"/>
  <c r="F159" i="34"/>
  <c r="G159" i="34"/>
  <c r="H159" i="34"/>
  <c r="I159" i="34"/>
  <c r="J159" i="34"/>
  <c r="K159" i="34"/>
  <c r="L159" i="34"/>
  <c r="M159" i="34"/>
  <c r="N159" i="34"/>
  <c r="O159" i="34"/>
  <c r="P159" i="34"/>
  <c r="Q159" i="34"/>
  <c r="R159" i="34"/>
  <c r="S159" i="34"/>
  <c r="T159" i="34"/>
  <c r="U159" i="34"/>
  <c r="V159" i="34"/>
  <c r="W159" i="34"/>
  <c r="X159" i="34"/>
  <c r="Y159" i="34"/>
  <c r="Z159" i="34"/>
  <c r="AA159" i="34"/>
  <c r="AB159" i="34"/>
  <c r="AC159" i="34"/>
  <c r="AD159" i="34"/>
  <c r="AE159" i="34"/>
  <c r="AF159" i="34"/>
  <c r="AG159" i="34"/>
  <c r="AH159" i="34"/>
  <c r="AI159" i="34"/>
  <c r="AJ159" i="34"/>
  <c r="AK159" i="34"/>
  <c r="AL159" i="34"/>
  <c r="AM159" i="34"/>
  <c r="AN159" i="34"/>
  <c r="AO159" i="34"/>
  <c r="AP159" i="34"/>
  <c r="AQ159" i="34"/>
  <c r="AR159" i="34"/>
  <c r="AS159" i="34"/>
  <c r="AT159" i="34"/>
  <c r="AU159" i="34"/>
  <c r="AV159" i="34"/>
  <c r="AW159" i="34"/>
  <c r="AX159" i="34"/>
  <c r="D160" i="34"/>
  <c r="E160" i="34"/>
  <c r="F160" i="34"/>
  <c r="G160" i="34"/>
  <c r="H160" i="34"/>
  <c r="I160" i="34"/>
  <c r="J160" i="34"/>
  <c r="K160" i="34"/>
  <c r="L160" i="34"/>
  <c r="M160" i="34"/>
  <c r="N160" i="34"/>
  <c r="O160" i="34"/>
  <c r="P160" i="34"/>
  <c r="Q160" i="34"/>
  <c r="R160" i="34"/>
  <c r="S160" i="34"/>
  <c r="T160" i="34"/>
  <c r="U160" i="34"/>
  <c r="V160" i="34"/>
  <c r="W160" i="34"/>
  <c r="X160" i="34"/>
  <c r="Y160" i="34"/>
  <c r="Z160" i="34"/>
  <c r="AA160" i="34"/>
  <c r="AB160" i="34"/>
  <c r="AC160" i="34"/>
  <c r="AD160" i="34"/>
  <c r="AE160" i="34"/>
  <c r="AF160" i="34"/>
  <c r="AG160" i="34"/>
  <c r="AH160" i="34"/>
  <c r="AI160" i="34"/>
  <c r="AJ160" i="34"/>
  <c r="AK160" i="34"/>
  <c r="AL160" i="34"/>
  <c r="AM160" i="34"/>
  <c r="AN160" i="34"/>
  <c r="AO160" i="34"/>
  <c r="AP160" i="34"/>
  <c r="AQ160" i="34"/>
  <c r="AR160" i="34"/>
  <c r="AS160" i="34"/>
  <c r="AT160" i="34"/>
  <c r="AU160" i="34"/>
  <c r="AV160" i="34"/>
  <c r="AW160" i="34"/>
  <c r="AX160" i="34"/>
  <c r="D161" i="34"/>
  <c r="E161" i="34"/>
  <c r="F161" i="34"/>
  <c r="G161" i="34"/>
  <c r="H161" i="34"/>
  <c r="I161" i="34"/>
  <c r="J161" i="34"/>
  <c r="K161" i="34"/>
  <c r="L161" i="34"/>
  <c r="M161" i="34"/>
  <c r="N161" i="34"/>
  <c r="O161" i="34"/>
  <c r="P161" i="34"/>
  <c r="Q161" i="34"/>
  <c r="R161" i="34"/>
  <c r="S161" i="34"/>
  <c r="T161" i="34"/>
  <c r="U161" i="34"/>
  <c r="V161" i="34"/>
  <c r="W161" i="34"/>
  <c r="X161" i="34"/>
  <c r="Y161" i="34"/>
  <c r="Z161" i="34"/>
  <c r="AA161" i="34"/>
  <c r="AB161" i="34"/>
  <c r="AC161" i="34"/>
  <c r="AD161" i="34"/>
  <c r="AE161" i="34"/>
  <c r="AF161" i="34"/>
  <c r="AG161" i="34"/>
  <c r="AH161" i="34"/>
  <c r="AI161" i="34"/>
  <c r="AJ161" i="34"/>
  <c r="AK161" i="34"/>
  <c r="AL161" i="34"/>
  <c r="AM161" i="34"/>
  <c r="AN161" i="34"/>
  <c r="AO161" i="34"/>
  <c r="AP161" i="34"/>
  <c r="AQ161" i="34"/>
  <c r="AR161" i="34"/>
  <c r="AS161" i="34"/>
  <c r="AT161" i="34"/>
  <c r="AU161" i="34"/>
  <c r="AV161" i="34"/>
  <c r="AW161" i="34"/>
  <c r="AX161" i="34"/>
  <c r="D162" i="34"/>
  <c r="E162" i="34"/>
  <c r="F162" i="34"/>
  <c r="G162" i="34"/>
  <c r="H162" i="34"/>
  <c r="I162" i="34"/>
  <c r="J162" i="34"/>
  <c r="K162" i="34"/>
  <c r="L162" i="34"/>
  <c r="M162" i="34"/>
  <c r="N162" i="34"/>
  <c r="O162" i="34"/>
  <c r="P162" i="34"/>
  <c r="Q162" i="34"/>
  <c r="R162" i="34"/>
  <c r="S162" i="34"/>
  <c r="T162" i="34"/>
  <c r="U162" i="34"/>
  <c r="V162" i="34"/>
  <c r="W162" i="34"/>
  <c r="X162" i="34"/>
  <c r="Y162" i="34"/>
  <c r="Z162" i="34"/>
  <c r="AA162" i="34"/>
  <c r="AB162" i="34"/>
  <c r="AC162" i="34"/>
  <c r="AD162" i="34"/>
  <c r="AE162" i="34"/>
  <c r="AF162" i="34"/>
  <c r="AG162" i="34"/>
  <c r="AH162" i="34"/>
  <c r="AI162" i="34"/>
  <c r="AJ162" i="34"/>
  <c r="AK162" i="34"/>
  <c r="AL162" i="34"/>
  <c r="AM162" i="34"/>
  <c r="AN162" i="34"/>
  <c r="AO162" i="34"/>
  <c r="AP162" i="34"/>
  <c r="AQ162" i="34"/>
  <c r="AR162" i="34"/>
  <c r="AS162" i="34"/>
  <c r="AT162" i="34"/>
  <c r="AU162" i="34"/>
  <c r="AV162" i="34"/>
  <c r="AW162" i="34"/>
  <c r="AX162" i="34"/>
  <c r="D163" i="34"/>
  <c r="E163" i="34"/>
  <c r="F163" i="34"/>
  <c r="G163" i="34"/>
  <c r="H163" i="34"/>
  <c r="I163" i="34"/>
  <c r="J163" i="34"/>
  <c r="K163" i="34"/>
  <c r="L163" i="34"/>
  <c r="M163" i="34"/>
  <c r="N163" i="34"/>
  <c r="O163" i="34"/>
  <c r="P163" i="34"/>
  <c r="Q163" i="34"/>
  <c r="R163" i="34"/>
  <c r="S163" i="34"/>
  <c r="T163" i="34"/>
  <c r="U163" i="34"/>
  <c r="V163" i="34"/>
  <c r="W163" i="34"/>
  <c r="X163" i="34"/>
  <c r="Y163" i="34"/>
  <c r="Z163" i="34"/>
  <c r="AA163" i="34"/>
  <c r="AB163" i="34"/>
  <c r="AC163" i="34"/>
  <c r="AD163" i="34"/>
  <c r="AE163" i="34"/>
  <c r="AF163" i="34"/>
  <c r="AG163" i="34"/>
  <c r="AH163" i="34"/>
  <c r="AI163" i="34"/>
  <c r="AJ163" i="34"/>
  <c r="AK163" i="34"/>
  <c r="AL163" i="34"/>
  <c r="AM163" i="34"/>
  <c r="AN163" i="34"/>
  <c r="AO163" i="34"/>
  <c r="AP163" i="34"/>
  <c r="AQ163" i="34"/>
  <c r="AR163" i="34"/>
  <c r="AS163" i="34"/>
  <c r="AT163" i="34"/>
  <c r="AU163" i="34"/>
  <c r="AV163" i="34"/>
  <c r="AW163" i="34"/>
  <c r="AX163" i="34"/>
  <c r="D164" i="34"/>
  <c r="E164" i="34"/>
  <c r="F164" i="34"/>
  <c r="G164" i="34"/>
  <c r="H164" i="34"/>
  <c r="I164" i="34"/>
  <c r="J164" i="34"/>
  <c r="K164" i="34"/>
  <c r="L164" i="34"/>
  <c r="M164" i="34"/>
  <c r="N164" i="34"/>
  <c r="O164" i="34"/>
  <c r="P164" i="34"/>
  <c r="Q164" i="34"/>
  <c r="R164" i="34"/>
  <c r="S164" i="34"/>
  <c r="T164" i="34"/>
  <c r="U164" i="34"/>
  <c r="V164" i="34"/>
  <c r="W164" i="34"/>
  <c r="X164" i="34"/>
  <c r="Y164" i="34"/>
  <c r="Z164" i="34"/>
  <c r="AA164" i="34"/>
  <c r="AB164" i="34"/>
  <c r="AC164" i="34"/>
  <c r="AD164" i="34"/>
  <c r="AE164" i="34"/>
  <c r="AF164" i="34"/>
  <c r="AG164" i="34"/>
  <c r="AH164" i="34"/>
  <c r="AI164" i="34"/>
  <c r="AJ164" i="34"/>
  <c r="AK164" i="34"/>
  <c r="AL164" i="34"/>
  <c r="AM164" i="34"/>
  <c r="AN164" i="34"/>
  <c r="AO164" i="34"/>
  <c r="AP164" i="34"/>
  <c r="AQ164" i="34"/>
  <c r="AR164" i="34"/>
  <c r="AS164" i="34"/>
  <c r="AT164" i="34"/>
  <c r="AU164" i="34"/>
  <c r="AV164" i="34"/>
  <c r="AW164" i="34"/>
  <c r="AX164" i="34"/>
  <c r="D166" i="34"/>
  <c r="E166" i="34"/>
  <c r="F166" i="34"/>
  <c r="G166" i="34"/>
  <c r="H166" i="34"/>
  <c r="I166" i="34"/>
  <c r="J166" i="34"/>
  <c r="K166" i="34"/>
  <c r="L166" i="34"/>
  <c r="M166" i="34"/>
  <c r="N166" i="34"/>
  <c r="O166" i="34"/>
  <c r="P166" i="34"/>
  <c r="Q166" i="34"/>
  <c r="R166" i="34"/>
  <c r="S166" i="34"/>
  <c r="T166" i="34"/>
  <c r="U166" i="34"/>
  <c r="V166" i="34"/>
  <c r="W166" i="34"/>
  <c r="X166" i="34"/>
  <c r="Y166" i="34"/>
  <c r="Z166" i="34"/>
  <c r="AA166" i="34"/>
  <c r="AB166" i="34"/>
  <c r="AC166" i="34"/>
  <c r="AD166" i="34"/>
  <c r="AE166" i="34"/>
  <c r="AF166" i="34"/>
  <c r="AG166" i="34"/>
  <c r="AH166" i="34"/>
  <c r="AI166" i="34"/>
  <c r="AJ166" i="34"/>
  <c r="AK166" i="34"/>
  <c r="AL166" i="34"/>
  <c r="AM166" i="34"/>
  <c r="AN166" i="34"/>
  <c r="AO166" i="34"/>
  <c r="AP166" i="34"/>
  <c r="AQ166" i="34"/>
  <c r="AR166" i="34"/>
  <c r="AS166" i="34"/>
  <c r="AT166" i="34"/>
  <c r="AU166" i="34"/>
  <c r="AV166" i="34"/>
  <c r="AW166" i="34"/>
  <c r="AX166" i="34"/>
  <c r="D167" i="34"/>
  <c r="E167" i="34"/>
  <c r="F167" i="34"/>
  <c r="G167" i="34"/>
  <c r="H167" i="34"/>
  <c r="I167" i="34"/>
  <c r="J167" i="34"/>
  <c r="K167" i="34"/>
  <c r="L167" i="34"/>
  <c r="M167" i="34"/>
  <c r="N167" i="34"/>
  <c r="O167" i="34"/>
  <c r="P167" i="34"/>
  <c r="Q167" i="34"/>
  <c r="R167" i="34"/>
  <c r="S167" i="34"/>
  <c r="T167" i="34"/>
  <c r="U167" i="34"/>
  <c r="V167" i="34"/>
  <c r="W167" i="34"/>
  <c r="X167" i="34"/>
  <c r="Y167" i="34"/>
  <c r="Z167" i="34"/>
  <c r="AA167" i="34"/>
  <c r="AB167" i="34"/>
  <c r="AC167" i="34"/>
  <c r="AD167" i="34"/>
  <c r="AE167" i="34"/>
  <c r="AF167" i="34"/>
  <c r="AG167" i="34"/>
  <c r="AH167" i="34"/>
  <c r="AI167" i="34"/>
  <c r="AJ167" i="34"/>
  <c r="AK167" i="34"/>
  <c r="AL167" i="34"/>
  <c r="AM167" i="34"/>
  <c r="AN167" i="34"/>
  <c r="AO167" i="34"/>
  <c r="AP167" i="34"/>
  <c r="AQ167" i="34"/>
  <c r="AR167" i="34"/>
  <c r="AS167" i="34"/>
  <c r="AT167" i="34"/>
  <c r="AU167" i="34"/>
  <c r="AV167" i="34"/>
  <c r="AW167" i="34"/>
  <c r="AX167" i="34"/>
  <c r="D168" i="34"/>
  <c r="E168" i="34"/>
  <c r="F168" i="34"/>
  <c r="G168" i="34"/>
  <c r="H168" i="34"/>
  <c r="I168" i="34"/>
  <c r="J168" i="34"/>
  <c r="K168" i="34"/>
  <c r="L168" i="34"/>
  <c r="M168" i="34"/>
  <c r="N168" i="34"/>
  <c r="O168" i="34"/>
  <c r="P168" i="34"/>
  <c r="Q168" i="34"/>
  <c r="R168" i="34"/>
  <c r="S168" i="34"/>
  <c r="T168" i="34"/>
  <c r="U168" i="34"/>
  <c r="V168" i="34"/>
  <c r="W168" i="34"/>
  <c r="X168" i="34"/>
  <c r="Y168" i="34"/>
  <c r="Z168" i="34"/>
  <c r="AA168" i="34"/>
  <c r="AB168" i="34"/>
  <c r="AC168" i="34"/>
  <c r="AD168" i="34"/>
  <c r="AE168" i="34"/>
  <c r="AF168" i="34"/>
  <c r="AG168" i="34"/>
  <c r="AH168" i="34"/>
  <c r="AI168" i="34"/>
  <c r="AJ168" i="34"/>
  <c r="AK168" i="34"/>
  <c r="AL168" i="34"/>
  <c r="AM168" i="34"/>
  <c r="AN168" i="34"/>
  <c r="AO168" i="34"/>
  <c r="AP168" i="34"/>
  <c r="AQ168" i="34"/>
  <c r="AR168" i="34"/>
  <c r="AS168" i="34"/>
  <c r="AT168" i="34"/>
  <c r="AU168" i="34"/>
  <c r="AV168" i="34"/>
  <c r="AW168" i="34"/>
  <c r="AX168" i="34"/>
  <c r="C159" i="34"/>
  <c r="C160" i="34"/>
  <c r="C161" i="34"/>
  <c r="C162" i="34"/>
  <c r="C163" i="34"/>
  <c r="C164" i="34"/>
  <c r="C166" i="34"/>
  <c r="C167" i="34"/>
  <c r="C168" i="34"/>
  <c r="A166" i="34"/>
  <c r="B166" i="34"/>
  <c r="A167" i="34"/>
  <c r="B167" i="34"/>
  <c r="A168" i="34"/>
  <c r="B168" i="34"/>
  <c r="C11" i="7"/>
  <c r="C719" i="27" s="1"/>
  <c r="D662" i="3"/>
  <c r="C90" i="27"/>
  <c r="I10" i="7"/>
  <c r="E5" i="7"/>
  <c r="I5" i="7" s="1"/>
  <c r="A755" i="27" s="1"/>
  <c r="E6" i="7"/>
  <c r="A735" i="27"/>
  <c r="E12" i="7"/>
  <c r="E7" i="7"/>
  <c r="I7" i="7" s="1"/>
  <c r="A757" i="27" s="1"/>
  <c r="E8" i="7"/>
  <c r="A737" i="27" s="1"/>
  <c r="E9" i="7"/>
  <c r="I9" i="7"/>
  <c r="A759" i="27" s="1"/>
  <c r="E4" i="7"/>
  <c r="A733" i="27" s="1"/>
  <c r="I16" i="7"/>
  <c r="A766" i="27" s="1"/>
  <c r="I17" i="7"/>
  <c r="I18" i="7"/>
  <c r="I19" i="7"/>
  <c r="I20" i="7"/>
  <c r="I21" i="7"/>
  <c r="A771" i="27" s="1"/>
  <c r="I22" i="7"/>
  <c r="A772" i="27"/>
  <c r="I23" i="7"/>
  <c r="A773" i="27"/>
  <c r="I24" i="7"/>
  <c r="A774" i="27" s="1"/>
  <c r="I15" i="7"/>
  <c r="G15" i="7"/>
  <c r="C743" i="27" s="1"/>
  <c r="A769" i="27"/>
  <c r="A741" i="27"/>
  <c r="A738" i="27"/>
  <c r="A765" i="27"/>
  <c r="A767" i="27"/>
  <c r="A768" i="27"/>
  <c r="A770" i="27"/>
  <c r="A760" i="27"/>
  <c r="I8" i="7"/>
  <c r="I12" i="7"/>
  <c r="A762" i="27" s="1"/>
  <c r="A758" i="27"/>
  <c r="C687" i="3"/>
  <c r="C697" i="3" s="1"/>
  <c r="D686" i="3"/>
  <c r="D697" i="3" s="1"/>
  <c r="C669" i="27" s="1"/>
  <c r="C658" i="27"/>
  <c r="A747" i="3"/>
  <c r="A748" i="3"/>
  <c r="A749" i="3"/>
  <c r="F749" i="3"/>
  <c r="A750" i="3"/>
  <c r="C64" i="3"/>
  <c r="Z2" i="1" s="1"/>
  <c r="C154" i="3"/>
  <c r="C148" i="3" s="1"/>
  <c r="C157" i="3"/>
  <c r="C152" i="3" s="1"/>
  <c r="C158" i="3"/>
  <c r="A16" i="3"/>
  <c r="D526" i="3"/>
  <c r="E526" i="3" s="1"/>
  <c r="F526" i="3" s="1"/>
  <c r="G526" i="3" s="1"/>
  <c r="H526" i="3" s="1"/>
  <c r="I526" i="3" s="1"/>
  <c r="J526" i="3" s="1"/>
  <c r="K526" i="3" s="1"/>
  <c r="L526" i="3" s="1"/>
  <c r="C507" i="27" s="1"/>
  <c r="A5" i="3"/>
  <c r="U21" i="1"/>
  <c r="U19" i="1"/>
  <c r="D275" i="3" s="1"/>
  <c r="U20" i="1"/>
  <c r="D276" i="3" s="1"/>
  <c r="C365" i="3"/>
  <c r="C364" i="3"/>
  <c r="A252" i="3"/>
  <c r="E713" i="3"/>
  <c r="C89" i="27"/>
  <c r="C472" i="3"/>
  <c r="C450" i="27" s="1"/>
  <c r="C473" i="3"/>
  <c r="D473" i="3"/>
  <c r="E473" i="3"/>
  <c r="C462" i="3"/>
  <c r="A183" i="3" s="1"/>
  <c r="A182" i="27" s="1"/>
  <c r="Z16" i="1"/>
  <c r="C237" i="3" s="1"/>
  <c r="F730" i="3"/>
  <c r="E730" i="3"/>
  <c r="B158" i="34"/>
  <c r="B159" i="34"/>
  <c r="B160" i="34"/>
  <c r="B161" i="34"/>
  <c r="B162" i="34"/>
  <c r="B163" i="34"/>
  <c r="B164" i="34"/>
  <c r="A159" i="34"/>
  <c r="A160" i="34"/>
  <c r="A161" i="34"/>
  <c r="A162" i="34"/>
  <c r="A163" i="34"/>
  <c r="A164" i="34"/>
  <c r="A158" i="34"/>
  <c r="C507" i="3"/>
  <c r="C488" i="27" s="1"/>
  <c r="C20" i="7"/>
  <c r="C727" i="27" s="1"/>
  <c r="G19" i="7"/>
  <c r="C747" i="27" s="1"/>
  <c r="A694" i="3"/>
  <c r="A653" i="27" s="1"/>
  <c r="A666" i="27" s="1"/>
  <c r="A679" i="27" s="1"/>
  <c r="D152" i="34"/>
  <c r="E152" i="34"/>
  <c r="F152" i="34"/>
  <c r="G152" i="34"/>
  <c r="H152" i="34"/>
  <c r="I152" i="34"/>
  <c r="J152" i="34"/>
  <c r="K152" i="34"/>
  <c r="L152" i="34"/>
  <c r="M152" i="34"/>
  <c r="N152" i="34"/>
  <c r="O152" i="34"/>
  <c r="P152" i="34"/>
  <c r="Q152" i="34"/>
  <c r="R152" i="34"/>
  <c r="S152" i="34"/>
  <c r="T152" i="34"/>
  <c r="U152" i="34"/>
  <c r="V152" i="34"/>
  <c r="W152" i="34"/>
  <c r="X152" i="34"/>
  <c r="Y152" i="34"/>
  <c r="Z152" i="34"/>
  <c r="AA152" i="34"/>
  <c r="AB152" i="34"/>
  <c r="AC152" i="34"/>
  <c r="AD152" i="34"/>
  <c r="AE152" i="34"/>
  <c r="AF152" i="34"/>
  <c r="AG152" i="34"/>
  <c r="AH152" i="34"/>
  <c r="AI152" i="34"/>
  <c r="AJ152" i="34"/>
  <c r="AK152" i="34"/>
  <c r="AL152" i="34"/>
  <c r="AM152" i="34"/>
  <c r="AN152" i="34"/>
  <c r="AO152" i="34"/>
  <c r="AP152" i="34"/>
  <c r="AQ152" i="34"/>
  <c r="AR152" i="34"/>
  <c r="AS152" i="34"/>
  <c r="AT152" i="34"/>
  <c r="AU152" i="34"/>
  <c r="AV152" i="34"/>
  <c r="AW152" i="34"/>
  <c r="AX152" i="34"/>
  <c r="D153" i="34"/>
  <c r="E153" i="34"/>
  <c r="F153" i="34"/>
  <c r="G153" i="34"/>
  <c r="H153" i="34"/>
  <c r="I153" i="34"/>
  <c r="J153" i="34"/>
  <c r="K153" i="34"/>
  <c r="L153" i="34"/>
  <c r="M153" i="34"/>
  <c r="N153" i="34"/>
  <c r="O153" i="34"/>
  <c r="P153" i="34"/>
  <c r="Q153" i="34"/>
  <c r="R153" i="34"/>
  <c r="S153" i="34"/>
  <c r="T153" i="34"/>
  <c r="U153" i="34"/>
  <c r="V153" i="34"/>
  <c r="W153" i="34"/>
  <c r="X153" i="34"/>
  <c r="Y153" i="34"/>
  <c r="Z153" i="34"/>
  <c r="AA153" i="34"/>
  <c r="AB153" i="34"/>
  <c r="AC153" i="34"/>
  <c r="AD153" i="34"/>
  <c r="AE153" i="34"/>
  <c r="AF153" i="34"/>
  <c r="AG153" i="34"/>
  <c r="AH153" i="34"/>
  <c r="AI153" i="34"/>
  <c r="AJ153" i="34"/>
  <c r="AK153" i="34"/>
  <c r="AL153" i="34"/>
  <c r="AM153" i="34"/>
  <c r="AN153" i="34"/>
  <c r="AO153" i="34"/>
  <c r="AP153" i="34"/>
  <c r="AQ153" i="34"/>
  <c r="AR153" i="34"/>
  <c r="AS153" i="34"/>
  <c r="AT153" i="34"/>
  <c r="AU153" i="34"/>
  <c r="AV153" i="34"/>
  <c r="AW153" i="34"/>
  <c r="AX153" i="34"/>
  <c r="D154" i="34"/>
  <c r="E154" i="34"/>
  <c r="F154" i="34"/>
  <c r="G154" i="34"/>
  <c r="H154" i="34"/>
  <c r="I154" i="34"/>
  <c r="J154" i="34"/>
  <c r="K154" i="34"/>
  <c r="L154" i="34"/>
  <c r="M154" i="34"/>
  <c r="N154" i="34"/>
  <c r="O154" i="34"/>
  <c r="P154" i="34"/>
  <c r="Q154" i="34"/>
  <c r="R154" i="34"/>
  <c r="S154" i="34"/>
  <c r="T154" i="34"/>
  <c r="U154" i="34"/>
  <c r="V154" i="34"/>
  <c r="W154" i="34"/>
  <c r="X154" i="34"/>
  <c r="Y154" i="34"/>
  <c r="Z154" i="34"/>
  <c r="AA154" i="34"/>
  <c r="AB154" i="34"/>
  <c r="AC154" i="34"/>
  <c r="AD154" i="34"/>
  <c r="AE154" i="34"/>
  <c r="AF154" i="34"/>
  <c r="AG154" i="34"/>
  <c r="AH154" i="34"/>
  <c r="AI154" i="34"/>
  <c r="AJ154" i="34"/>
  <c r="AK154" i="34"/>
  <c r="AL154" i="34"/>
  <c r="AM154" i="34"/>
  <c r="AN154" i="34"/>
  <c r="AO154" i="34"/>
  <c r="AP154" i="34"/>
  <c r="AQ154" i="34"/>
  <c r="AR154" i="34"/>
  <c r="AS154" i="34"/>
  <c r="AT154" i="34"/>
  <c r="AU154" i="34"/>
  <c r="AV154" i="34"/>
  <c r="AW154" i="34"/>
  <c r="AX154" i="34"/>
  <c r="D155" i="34"/>
  <c r="E155" i="34"/>
  <c r="F155" i="34"/>
  <c r="G155" i="34"/>
  <c r="H155" i="34"/>
  <c r="I155" i="34"/>
  <c r="J155" i="34"/>
  <c r="K155" i="34"/>
  <c r="L155" i="34"/>
  <c r="M155" i="34"/>
  <c r="N155" i="34"/>
  <c r="O155" i="34"/>
  <c r="P155" i="34"/>
  <c r="Q155" i="34"/>
  <c r="R155" i="34"/>
  <c r="S155" i="34"/>
  <c r="T155" i="34"/>
  <c r="U155" i="34"/>
  <c r="V155" i="34"/>
  <c r="W155" i="34"/>
  <c r="X155" i="34"/>
  <c r="Y155" i="34"/>
  <c r="Z155" i="34"/>
  <c r="AA155" i="34"/>
  <c r="AB155" i="34"/>
  <c r="AC155" i="34"/>
  <c r="AD155" i="34"/>
  <c r="AE155" i="34"/>
  <c r="AF155" i="34"/>
  <c r="AG155" i="34"/>
  <c r="AH155" i="34"/>
  <c r="AI155" i="34"/>
  <c r="AJ155" i="34"/>
  <c r="AK155" i="34"/>
  <c r="AL155" i="34"/>
  <c r="AM155" i="34"/>
  <c r="AN155" i="34"/>
  <c r="AO155" i="34"/>
  <c r="AP155" i="34"/>
  <c r="AQ155" i="34"/>
  <c r="AR155" i="34"/>
  <c r="AS155" i="34"/>
  <c r="AT155" i="34"/>
  <c r="AU155" i="34"/>
  <c r="AV155" i="34"/>
  <c r="AW155" i="34"/>
  <c r="AX155" i="34"/>
  <c r="C153" i="34"/>
  <c r="C154" i="34"/>
  <c r="C155" i="34"/>
  <c r="C152" i="34"/>
  <c r="C380" i="3"/>
  <c r="C371" i="27" s="1"/>
  <c r="B212" i="34"/>
  <c r="B182" i="34"/>
  <c r="J249" i="34"/>
  <c r="J248" i="34"/>
  <c r="B104" i="34"/>
  <c r="J234" i="34"/>
  <c r="J233" i="34"/>
  <c r="A222" i="34"/>
  <c r="A252" i="34" s="1"/>
  <c r="A221" i="34"/>
  <c r="A251" i="34" s="1"/>
  <c r="A220" i="34"/>
  <c r="A250" i="34"/>
  <c r="J219" i="34"/>
  <c r="A219" i="34"/>
  <c r="A249" i="34" s="1"/>
  <c r="J218" i="34"/>
  <c r="A218" i="34"/>
  <c r="A248" i="34" s="1"/>
  <c r="A217" i="34"/>
  <c r="A247" i="34" s="1"/>
  <c r="A216" i="34"/>
  <c r="A246" i="34" s="1"/>
  <c r="A207" i="34"/>
  <c r="A237" i="34" s="1"/>
  <c r="A206" i="34"/>
  <c r="A236" i="34" s="1"/>
  <c r="A205" i="34"/>
  <c r="A235" i="34" s="1"/>
  <c r="J204" i="34"/>
  <c r="A204" i="34"/>
  <c r="A234" i="34" s="1"/>
  <c r="J203" i="34"/>
  <c r="A203" i="34"/>
  <c r="A233" i="34" s="1"/>
  <c r="A202" i="34"/>
  <c r="A232" i="34" s="1"/>
  <c r="A201" i="34"/>
  <c r="A231" i="34" s="1"/>
  <c r="C200" i="34"/>
  <c r="D200" i="34" s="1"/>
  <c r="E200" i="34" s="1"/>
  <c r="F200" i="34" s="1"/>
  <c r="G200" i="34" s="1"/>
  <c r="B197" i="34"/>
  <c r="J189" i="34"/>
  <c r="J188" i="34"/>
  <c r="C185" i="34"/>
  <c r="D185" i="34" s="1"/>
  <c r="E185" i="34" s="1"/>
  <c r="F185" i="34" s="1"/>
  <c r="G185" i="34" s="1"/>
  <c r="C179" i="34"/>
  <c r="B179" i="34"/>
  <c r="C178" i="34"/>
  <c r="B178" i="34"/>
  <c r="C177" i="34"/>
  <c r="B177" i="34"/>
  <c r="C176" i="34"/>
  <c r="B176" i="34"/>
  <c r="C175" i="34"/>
  <c r="B175" i="34"/>
  <c r="C174" i="34"/>
  <c r="B174" i="34"/>
  <c r="C173" i="34"/>
  <c r="B173" i="34"/>
  <c r="J141" i="34"/>
  <c r="J140" i="34"/>
  <c r="E697" i="3"/>
  <c r="C23" i="7" s="1"/>
  <c r="B89" i="34"/>
  <c r="B84" i="34"/>
  <c r="C80" i="34"/>
  <c r="B80" i="34"/>
  <c r="C81" i="34"/>
  <c r="A114" i="34"/>
  <c r="A113" i="34"/>
  <c r="A112" i="34"/>
  <c r="J111" i="34"/>
  <c r="A111" i="34"/>
  <c r="J110" i="34"/>
  <c r="A110" i="34"/>
  <c r="A109" i="34"/>
  <c r="A108" i="34"/>
  <c r="J96" i="34"/>
  <c r="J95" i="34"/>
  <c r="C92" i="34"/>
  <c r="D92" i="34" s="1"/>
  <c r="E92" i="34" s="1"/>
  <c r="F92" i="34" s="1"/>
  <c r="G92" i="34" s="1"/>
  <c r="C86" i="34"/>
  <c r="B86" i="34"/>
  <c r="C85" i="34"/>
  <c r="B85" i="34"/>
  <c r="C84" i="34"/>
  <c r="C83" i="34"/>
  <c r="B83" i="34"/>
  <c r="C82" i="34"/>
  <c r="B82" i="34"/>
  <c r="B81" i="34"/>
  <c r="A600" i="3"/>
  <c r="A592" i="27" s="1"/>
  <c r="A15" i="3"/>
  <c r="A14" i="3"/>
  <c r="A13" i="3"/>
  <c r="A12" i="3"/>
  <c r="A11" i="3"/>
  <c r="A10" i="3"/>
  <c r="A9" i="3"/>
  <c r="A8" i="3"/>
  <c r="A4" i="3"/>
  <c r="D264" i="3"/>
  <c r="A746" i="3"/>
  <c r="B728" i="3"/>
  <c r="B730" i="3"/>
  <c r="A730" i="3"/>
  <c r="L79" i="1"/>
  <c r="Z3" i="1"/>
  <c r="F721" i="3"/>
  <c r="U15" i="1"/>
  <c r="D31" i="3"/>
  <c r="D722" i="3"/>
  <c r="F718" i="3"/>
  <c r="A556" i="3"/>
  <c r="A543" i="27" s="1"/>
  <c r="A271" i="3"/>
  <c r="A270" i="3"/>
  <c r="A269" i="3"/>
  <c r="A262" i="3"/>
  <c r="A261" i="3"/>
  <c r="A250" i="3"/>
  <c r="A259" i="3"/>
  <c r="A257" i="3"/>
  <c r="A256" i="3"/>
  <c r="A248" i="3"/>
  <c r="A249" i="3"/>
  <c r="A247" i="3"/>
  <c r="K81" i="1"/>
  <c r="K80" i="1"/>
  <c r="K59" i="1"/>
  <c r="K58" i="1"/>
  <c r="K55" i="1"/>
  <c r="K77" i="1" s="1"/>
  <c r="K53" i="1"/>
  <c r="K75" i="1" s="1"/>
  <c r="K54" i="1"/>
  <c r="K76" i="1" s="1"/>
  <c r="K51" i="1"/>
  <c r="K73" i="1" s="1"/>
  <c r="K52" i="1"/>
  <c r="K74" i="1" s="1"/>
  <c r="K48" i="1"/>
  <c r="K70" i="1" s="1"/>
  <c r="K49" i="1"/>
  <c r="K71" i="1" s="1"/>
  <c r="K50" i="1"/>
  <c r="K72" i="1" s="1"/>
  <c r="K45" i="1"/>
  <c r="K67" i="1" s="1"/>
  <c r="K46" i="1"/>
  <c r="K68" i="1" s="1"/>
  <c r="K43" i="1"/>
  <c r="K65" i="1" s="1"/>
  <c r="K44" i="1"/>
  <c r="K66" i="1" s="1"/>
  <c r="K41" i="1"/>
  <c r="K63" i="1" s="1"/>
  <c r="K42" i="1"/>
  <c r="K64" i="1" s="1"/>
  <c r="K40" i="1"/>
  <c r="K62" i="1" s="1"/>
  <c r="F713" i="3"/>
  <c r="C685" i="27"/>
  <c r="E714" i="3"/>
  <c r="Z17" i="1"/>
  <c r="D242" i="3" s="1"/>
  <c r="P29" i="1"/>
  <c r="D45" i="1"/>
  <c r="B718" i="3" s="1"/>
  <c r="B785" i="27"/>
  <c r="C288" i="3"/>
  <c r="D550" i="3"/>
  <c r="C537" i="27" s="1"/>
  <c r="E550" i="3"/>
  <c r="C550" i="3"/>
  <c r="C534" i="27"/>
  <c r="D317" i="3"/>
  <c r="C301" i="27"/>
  <c r="C317" i="3"/>
  <c r="C283" i="27"/>
  <c r="C540" i="27"/>
  <c r="E721" i="3"/>
  <c r="U23" i="1"/>
  <c r="D274" i="3" s="1"/>
  <c r="A732" i="3"/>
  <c r="A733" i="3"/>
  <c r="A734" i="3"/>
  <c r="A735" i="3"/>
  <c r="A736" i="3"/>
  <c r="A737" i="3"/>
  <c r="A739" i="3"/>
  <c r="A740" i="3"/>
  <c r="A741" i="3"/>
  <c r="A742" i="3"/>
  <c r="A743" i="3"/>
  <c r="A744" i="3"/>
  <c r="A725" i="3"/>
  <c r="A726" i="3"/>
  <c r="A727" i="3"/>
  <c r="A728" i="3"/>
  <c r="A713" i="3"/>
  <c r="B713" i="3"/>
  <c r="A714" i="3"/>
  <c r="B714" i="3"/>
  <c r="A715" i="3"/>
  <c r="B715" i="3"/>
  <c r="A716" i="3"/>
  <c r="B716" i="3"/>
  <c r="A717" i="3"/>
  <c r="B717" i="3"/>
  <c r="A718" i="3"/>
  <c r="A719" i="3"/>
  <c r="A721" i="3"/>
  <c r="A722" i="3"/>
  <c r="A723" i="3"/>
  <c r="A724" i="3"/>
  <c r="B732" i="3"/>
  <c r="B733" i="3" s="1"/>
  <c r="B734" i="3" s="1"/>
  <c r="B735" i="3" s="1"/>
  <c r="B736" i="3" s="1"/>
  <c r="B737" i="3" s="1"/>
  <c r="C722" i="3"/>
  <c r="G462" i="3"/>
  <c r="C469" i="27" s="1"/>
  <c r="F462" i="3"/>
  <c r="A186" i="3" s="1"/>
  <c r="A185" i="27" s="1"/>
  <c r="C409" i="3"/>
  <c r="C399" i="27" s="1"/>
  <c r="A22" i="3"/>
  <c r="D469" i="3"/>
  <c r="E469" i="3"/>
  <c r="B477" i="3"/>
  <c r="C363" i="3"/>
  <c r="C358" i="27" s="1"/>
  <c r="E722" i="3"/>
  <c r="C410" i="3"/>
  <c r="C400" i="27" s="1"/>
  <c r="L70" i="1"/>
  <c r="L63" i="1"/>
  <c r="S51" i="1"/>
  <c r="D26" i="1"/>
  <c r="C282" i="3" s="1"/>
  <c r="C15" i="1"/>
  <c r="D260" i="3" s="1"/>
  <c r="E22" i="3"/>
  <c r="C459" i="3" s="1"/>
  <c r="G15" i="1"/>
  <c r="H26" i="1" s="1"/>
  <c r="C284" i="3" s="1"/>
  <c r="A5" i="1"/>
  <c r="C247" i="3" s="1"/>
  <c r="C5" i="1"/>
  <c r="C249" i="3" s="1"/>
  <c r="A7" i="1"/>
  <c r="D250" i="3" s="1"/>
  <c r="B5" i="1"/>
  <c r="C248" i="3" s="1"/>
  <c r="A20" i="1"/>
  <c r="C269" i="3" s="1"/>
  <c r="O19" i="1"/>
  <c r="C271" i="3" s="1"/>
  <c r="I15" i="1"/>
  <c r="D262" i="3" s="1"/>
  <c r="L48" i="1"/>
  <c r="L49" i="1"/>
  <c r="E716" i="3"/>
  <c r="F716" i="3"/>
  <c r="E717" i="3"/>
  <c r="F717" i="3"/>
  <c r="L71" i="1"/>
  <c r="AA14" i="1"/>
  <c r="AA11" i="1"/>
  <c r="AA13" i="1" s="1"/>
  <c r="AA10" i="1"/>
  <c r="D23" i="3"/>
  <c r="F714" i="3" s="1"/>
  <c r="L66" i="1"/>
  <c r="D46" i="1"/>
  <c r="B786" i="27"/>
  <c r="L50" i="1"/>
  <c r="L72" i="1"/>
  <c r="B719" i="3"/>
  <c r="L75" i="1"/>
  <c r="L53" i="1"/>
  <c r="L41" i="1"/>
  <c r="L44" i="1"/>
  <c r="L51" i="1"/>
  <c r="L73" i="1"/>
  <c r="L74" i="1"/>
  <c r="L52" i="1"/>
  <c r="C12" i="7"/>
  <c r="C720" i="27" s="1"/>
  <c r="C24" i="7"/>
  <c r="C731" i="27" s="1"/>
  <c r="E158" i="3"/>
  <c r="AA17" i="1"/>
  <c r="A307" i="3"/>
  <c r="A265" i="27"/>
  <c r="A274" i="27" s="1"/>
  <c r="C719" i="3"/>
  <c r="L76" i="1"/>
  <c r="L54" i="1"/>
  <c r="C718" i="3"/>
  <c r="E718" i="3"/>
  <c r="E715" i="3"/>
  <c r="L46" i="1"/>
  <c r="L68" i="1"/>
  <c r="L42" i="1"/>
  <c r="L64" i="1"/>
  <c r="G147" i="3"/>
  <c r="H147" i="3"/>
  <c r="I147" i="3" s="1"/>
  <c r="J147" i="3" s="1"/>
  <c r="G16" i="7"/>
  <c r="C744" i="27" s="1"/>
  <c r="U25" i="1"/>
  <c r="L65" i="1"/>
  <c r="L43" i="1"/>
  <c r="C509" i="27"/>
  <c r="C159" i="3"/>
  <c r="C160" i="3" s="1"/>
  <c r="U26" i="1"/>
  <c r="D291" i="3" s="1"/>
  <c r="Z11" i="1"/>
  <c r="D240" i="3" s="1"/>
  <c r="D204" i="3"/>
  <c r="C203" i="27" s="1"/>
  <c r="U27" i="1"/>
  <c r="D292" i="3" s="1"/>
  <c r="G20" i="7"/>
  <c r="C748" i="27" s="1"/>
  <c r="C487" i="27"/>
  <c r="D51" i="1"/>
  <c r="B724" i="3" s="1"/>
  <c r="B27" i="3"/>
  <c r="B28" i="3"/>
  <c r="D49" i="1"/>
  <c r="B722" i="3" s="1"/>
  <c r="D50" i="1"/>
  <c r="D48" i="1"/>
  <c r="B30" i="3" s="1"/>
  <c r="A187" i="3"/>
  <c r="A186" i="27" s="1"/>
  <c r="F722" i="3"/>
  <c r="D24" i="3"/>
  <c r="D715" i="3" s="1"/>
  <c r="C445" i="27"/>
  <c r="C114" i="27"/>
  <c r="E472" i="3"/>
  <c r="C462" i="27" s="1"/>
  <c r="E443" i="3"/>
  <c r="E444" i="3" s="1"/>
  <c r="A641" i="3"/>
  <c r="A631" i="27" s="1"/>
  <c r="D714" i="3"/>
  <c r="U29" i="1"/>
  <c r="D289" i="3" s="1"/>
  <c r="D719" i="3"/>
  <c r="C111" i="27"/>
  <c r="D472" i="3"/>
  <c r="C456" i="27" s="1"/>
  <c r="A188" i="3"/>
  <c r="A187" i="27" s="1"/>
  <c r="F719" i="3"/>
  <c r="C142" i="27"/>
  <c r="D241" i="3"/>
  <c r="Z12" i="1"/>
  <c r="G23" i="7"/>
  <c r="C751" i="27" s="1"/>
  <c r="Z10" i="1"/>
  <c r="G21" i="7" s="1"/>
  <c r="C749" i="27" s="1"/>
  <c r="F750" i="3"/>
  <c r="D696" i="3"/>
  <c r="C18" i="7" s="1"/>
  <c r="C725" i="27" s="1"/>
  <c r="D695" i="3"/>
  <c r="C17" i="7" s="1"/>
  <c r="C724" i="27" s="1"/>
  <c r="C646" i="27"/>
  <c r="C647" i="27"/>
  <c r="C696" i="3"/>
  <c r="C16" i="7" s="1"/>
  <c r="C607" i="3"/>
  <c r="C598" i="27" s="1"/>
  <c r="C597" i="27"/>
  <c r="B181" i="3"/>
  <c r="B180" i="27" s="1"/>
  <c r="C595" i="27"/>
  <c r="C608" i="3"/>
  <c r="C599" i="27" s="1"/>
  <c r="B32" i="3"/>
  <c r="B723" i="3"/>
  <c r="B790" i="27"/>
  <c r="B31" i="3"/>
  <c r="D54" i="1"/>
  <c r="B727" i="3" s="1"/>
  <c r="D52" i="1"/>
  <c r="D53" i="1" s="1"/>
  <c r="B794" i="27"/>
  <c r="C601" i="34"/>
  <c r="J151" i="3"/>
  <c r="J158" i="3"/>
  <c r="J155" i="3"/>
  <c r="G154" i="3"/>
  <c r="J152" i="3"/>
  <c r="I150" i="3"/>
  <c r="J160" i="3"/>
  <c r="I156" i="3"/>
  <c r="I157" i="3"/>
  <c r="L157" i="3"/>
  <c r="C428" i="3"/>
  <c r="E150" i="3"/>
  <c r="C670" i="3"/>
  <c r="I152" i="3"/>
  <c r="C557" i="3"/>
  <c r="I148" i="3"/>
  <c r="J150" i="3"/>
  <c r="G152" i="3"/>
  <c r="C524" i="3"/>
  <c r="I151" i="3"/>
  <c r="L156" i="3"/>
  <c r="I155" i="3"/>
  <c r="G155" i="3"/>
  <c r="L152" i="3"/>
  <c r="C622" i="34"/>
  <c r="C522" i="3"/>
  <c r="J159" i="3"/>
  <c r="J156" i="3"/>
  <c r="L155" i="3"/>
  <c r="I149" i="3"/>
  <c r="L154" i="3"/>
  <c r="G150" i="3"/>
  <c r="G156" i="3"/>
  <c r="I154" i="3"/>
  <c r="C141" i="3"/>
  <c r="L150" i="3"/>
  <c r="L151" i="3"/>
  <c r="G151" i="3"/>
  <c r="E156" i="3"/>
  <c r="L158" i="3"/>
  <c r="J154" i="3"/>
  <c r="C595" i="34"/>
  <c r="C623" i="34"/>
  <c r="E155" i="3"/>
  <c r="C427" i="3"/>
  <c r="G157" i="3"/>
  <c r="E151" i="3"/>
  <c r="C429" i="3"/>
  <c r="J157" i="3"/>
  <c r="E157" i="3"/>
  <c r="E154" i="3"/>
  <c r="C596" i="34"/>
  <c r="E328" i="34"/>
  <c r="C418" i="27" l="1"/>
  <c r="F151" i="3"/>
  <c r="C416" i="27"/>
  <c r="C430" i="3"/>
  <c r="C419" i="27" s="1"/>
  <c r="H151" i="3"/>
  <c r="C503" i="27"/>
  <c r="M151" i="3"/>
  <c r="C505" i="27"/>
  <c r="C544" i="27"/>
  <c r="C417" i="27"/>
  <c r="K151" i="3"/>
  <c r="C556" i="3"/>
  <c r="C543" i="27" s="1"/>
  <c r="C137" i="27"/>
  <c r="D488" i="3"/>
  <c r="C123" i="27"/>
  <c r="I99" i="3"/>
  <c r="J97" i="3" s="1"/>
  <c r="B739" i="3"/>
  <c r="B740" i="3" s="1"/>
  <c r="B741" i="3" s="1"/>
  <c r="B742" i="3" s="1"/>
  <c r="B743" i="3" s="1"/>
  <c r="B738" i="3"/>
  <c r="B793" i="27"/>
  <c r="B726" i="3"/>
  <c r="B35" i="3"/>
  <c r="G413" i="34"/>
  <c r="F711" i="34"/>
  <c r="G736" i="34"/>
  <c r="A734" i="27"/>
  <c r="Q403" i="34"/>
  <c r="C425" i="34"/>
  <c r="F424" i="34" s="1"/>
  <c r="B36" i="3"/>
  <c r="B33" i="3"/>
  <c r="B789" i="27"/>
  <c r="C480" i="3"/>
  <c r="D480" i="3"/>
  <c r="G744" i="34"/>
  <c r="B34" i="3"/>
  <c r="B791" i="27"/>
  <c r="F715" i="3"/>
  <c r="I4" i="7"/>
  <c r="A754" i="27" s="1"/>
  <c r="F532" i="34"/>
  <c r="R398" i="34"/>
  <c r="F412" i="34"/>
  <c r="G743" i="34"/>
  <c r="G722" i="34"/>
  <c r="B792" i="27"/>
  <c r="E715" i="34"/>
  <c r="E532" i="34"/>
  <c r="C32" i="3"/>
  <c r="F475" i="34"/>
  <c r="G742" i="34"/>
  <c r="G723" i="34"/>
  <c r="B725" i="3"/>
  <c r="B721" i="3"/>
  <c r="A736" i="27"/>
  <c r="E488" i="34"/>
  <c r="C412" i="34"/>
  <c r="G563" i="34"/>
  <c r="C382" i="3"/>
  <c r="C373" i="27" s="1"/>
  <c r="B182" i="3"/>
  <c r="B788" i="27"/>
  <c r="C463" i="27"/>
  <c r="C395" i="3"/>
  <c r="F713" i="34"/>
  <c r="G737" i="34"/>
  <c r="C15" i="7"/>
  <c r="L362" i="3"/>
  <c r="C81" i="27"/>
  <c r="C362" i="3"/>
  <c r="C357" i="27" s="1"/>
  <c r="D715" i="34"/>
  <c r="F715" i="34" s="1"/>
  <c r="G711" i="34" s="1"/>
  <c r="F413" i="34"/>
  <c r="C414" i="34"/>
  <c r="F477" i="34"/>
  <c r="Q406" i="34"/>
  <c r="I414" i="34"/>
  <c r="D414" i="34"/>
  <c r="C703" i="34"/>
  <c r="C704" i="34" s="1"/>
  <c r="Q404" i="34"/>
  <c r="T403" i="34" s="1"/>
  <c r="S419" i="34" s="1"/>
  <c r="H412" i="34"/>
  <c r="E432" i="34"/>
  <c r="H431" i="34" s="1"/>
  <c r="H413" i="34"/>
  <c r="I413" i="34"/>
  <c r="C488" i="34"/>
  <c r="D32" i="3"/>
  <c r="F723" i="3" s="1"/>
  <c r="H414" i="34"/>
  <c r="G414" i="34"/>
  <c r="O462" i="34"/>
  <c r="N464" i="34" s="1"/>
  <c r="C383" i="3" s="1"/>
  <c r="C374" i="27" s="1"/>
  <c r="H476" i="34"/>
  <c r="F476" i="34"/>
  <c r="H475" i="34"/>
  <c r="Q400" i="34"/>
  <c r="S400" i="34" s="1"/>
  <c r="R418" i="34" s="1"/>
  <c r="D412" i="34"/>
  <c r="I412" i="34"/>
  <c r="K413" i="34"/>
  <c r="Q397" i="34"/>
  <c r="F563" i="34"/>
  <c r="G734" i="34"/>
  <c r="C370" i="3"/>
  <c r="L366" i="3"/>
  <c r="L367" i="3" s="1"/>
  <c r="Y490" i="34"/>
  <c r="S61" i="1"/>
  <c r="E809" i="34"/>
  <c r="D813" i="34" s="1"/>
  <c r="E813" i="34" s="1"/>
  <c r="F813" i="34" s="1"/>
  <c r="G813" i="34" s="1"/>
  <c r="H813" i="34" s="1"/>
  <c r="I813" i="34" s="1"/>
  <c r="J813" i="34" s="1"/>
  <c r="V479" i="34"/>
  <c r="W466" i="34"/>
  <c r="U489" i="34" s="1"/>
  <c r="D495" i="34"/>
  <c r="D475" i="34"/>
  <c r="J414" i="34"/>
  <c r="J412" i="34"/>
  <c r="E412" i="34"/>
  <c r="E414" i="34"/>
  <c r="X466" i="34"/>
  <c r="W489" i="34" s="1"/>
  <c r="V478" i="34"/>
  <c r="C36" i="3" a="1"/>
  <c r="S403" i="34"/>
  <c r="R419" i="34" s="1"/>
  <c r="J413" i="34"/>
  <c r="M413" i="34" s="1"/>
  <c r="D476" i="34"/>
  <c r="G476" i="34"/>
  <c r="G475" i="34"/>
  <c r="G477" i="34"/>
  <c r="E475" i="34"/>
  <c r="E477" i="34"/>
  <c r="E714" i="34"/>
  <c r="D714" i="34"/>
  <c r="F714" i="34" s="1"/>
  <c r="X469" i="34"/>
  <c r="W490" i="34" s="1"/>
  <c r="H477" i="34"/>
  <c r="C477" i="34"/>
  <c r="H495" i="34"/>
  <c r="V472" i="34"/>
  <c r="U475" i="34" s="1"/>
  <c r="W475" i="34" s="1"/>
  <c r="U492" i="34" s="1"/>
  <c r="D635" i="3"/>
  <c r="C597" i="34"/>
  <c r="E341" i="34"/>
  <c r="B202" i="34"/>
  <c r="F128" i="34"/>
  <c r="C624" i="34"/>
  <c r="C625" i="34" l="1"/>
  <c r="L413" i="34"/>
  <c r="G431" i="34"/>
  <c r="B183" i="3"/>
  <c r="B181" i="27"/>
  <c r="N412" i="34"/>
  <c r="C126" i="27"/>
  <c r="F473" i="3"/>
  <c r="F431" i="34"/>
  <c r="H424" i="34"/>
  <c r="G424" i="34"/>
  <c r="X475" i="34"/>
  <c r="W492" i="34" s="1"/>
  <c r="D712" i="34"/>
  <c r="E712" i="34"/>
  <c r="C712" i="34"/>
  <c r="S55" i="1"/>
  <c r="U418" i="34"/>
  <c r="T397" i="34"/>
  <c r="S417" i="34" s="1"/>
  <c r="S397" i="34"/>
  <c r="R417" i="34" s="1"/>
  <c r="W472" i="34"/>
  <c r="U491" i="34" s="1"/>
  <c r="U62" i="1" s="1"/>
  <c r="G714" i="34"/>
  <c r="W478" i="34"/>
  <c r="U493" i="34" s="1"/>
  <c r="Y493" i="34" s="1"/>
  <c r="S406" i="34"/>
  <c r="R420" i="34" s="1"/>
  <c r="T406" i="34"/>
  <c r="S420" i="34" s="1"/>
  <c r="I475" i="34"/>
  <c r="X478" i="34"/>
  <c r="W493" i="34" s="1"/>
  <c r="U64" i="1" s="1"/>
  <c r="N465" i="34"/>
  <c r="C384" i="3" s="1"/>
  <c r="C375" i="27" s="1"/>
  <c r="T400" i="34"/>
  <c r="S418" i="34" s="1"/>
  <c r="U55" i="1" s="1"/>
  <c r="C371" i="3"/>
  <c r="C365" i="27"/>
  <c r="Y492" i="34"/>
  <c r="S63" i="1"/>
  <c r="K475" i="34"/>
  <c r="X472" i="34"/>
  <c r="W491" i="34" s="1"/>
  <c r="K476" i="34"/>
  <c r="I476" i="34"/>
  <c r="J476" i="34"/>
  <c r="C482" i="34" s="1"/>
  <c r="V418" i="34"/>
  <c r="M412" i="34"/>
  <c r="L412" i="34"/>
  <c r="C419" i="34" s="1"/>
  <c r="J494" i="34"/>
  <c r="I494" i="34"/>
  <c r="K494" i="34"/>
  <c r="N413" i="34"/>
  <c r="AB490" i="34"/>
  <c r="Z492" i="34"/>
  <c r="U63" i="1"/>
  <c r="U419" i="34"/>
  <c r="S56" i="1"/>
  <c r="J475" i="34"/>
  <c r="G713" i="34"/>
  <c r="G715" i="34"/>
  <c r="Y489" i="34"/>
  <c r="S60" i="1"/>
  <c r="U60" i="1"/>
  <c r="Z489" i="34"/>
  <c r="U61" i="1"/>
  <c r="Z490" i="34"/>
  <c r="U56" i="1"/>
  <c r="V419" i="34"/>
  <c r="G216" i="34"/>
  <c r="F127" i="34"/>
  <c r="B358" i="34"/>
  <c r="AB489" i="34" l="1"/>
  <c r="Z491" i="34"/>
  <c r="Z493" i="34"/>
  <c r="AB493" i="34" s="1"/>
  <c r="S64" i="1"/>
  <c r="U420" i="34"/>
  <c r="S57" i="1"/>
  <c r="U57" i="1"/>
  <c r="V420" i="34"/>
  <c r="U54" i="1"/>
  <c r="V417" i="34"/>
  <c r="F712" i="34"/>
  <c r="G712" i="34" s="1"/>
  <c r="U417" i="34"/>
  <c r="S54" i="1"/>
  <c r="AB419" i="34"/>
  <c r="Y419" i="34"/>
  <c r="X419" i="34"/>
  <c r="AB492" i="34"/>
  <c r="AB418" i="34"/>
  <c r="Y418" i="34"/>
  <c r="X418" i="34"/>
  <c r="Y491" i="34"/>
  <c r="AB491" i="34" s="1"/>
  <c r="S62" i="1"/>
  <c r="C614" i="34"/>
  <c r="Y420" i="34" l="1"/>
  <c r="X420" i="34"/>
  <c r="AB420" i="34"/>
  <c r="AB417" i="34"/>
  <c r="X417" i="34"/>
  <c r="Y417" i="34"/>
  <c r="C656" i="27"/>
  <c r="K345" i="3"/>
  <c r="M349" i="3"/>
  <c r="C435" i="3"/>
  <c r="C424" i="27" s="1"/>
  <c r="C516" i="3"/>
  <c r="G7" i="7" s="1"/>
  <c r="C736" i="27" s="1"/>
  <c r="D562" i="3"/>
  <c r="C554" i="27" s="1"/>
  <c r="E561" i="3"/>
  <c r="C559" i="27" s="1"/>
  <c r="K156" i="3"/>
  <c r="D239" i="3"/>
  <c r="G17" i="7"/>
  <c r="C745" i="27" s="1"/>
  <c r="C667" i="27"/>
  <c r="C574" i="3"/>
  <c r="C571" i="27" s="1"/>
  <c r="C434" i="27"/>
  <c r="U22" i="1"/>
  <c r="C70" i="27"/>
  <c r="C655" i="27"/>
  <c r="G22" i="7"/>
  <c r="C750" i="27" s="1"/>
  <c r="U28" i="1"/>
  <c r="Z7" i="1" s="1"/>
  <c r="G18" i="7"/>
  <c r="C22" i="7"/>
  <c r="K15" i="7"/>
  <c r="C765" i="27" s="1"/>
  <c r="Z8" i="1"/>
  <c r="C518" i="3"/>
  <c r="G9" i="7" s="1"/>
  <c r="C738" i="27" s="1"/>
  <c r="D277" i="3"/>
  <c r="C566" i="27"/>
  <c r="J26" i="1"/>
  <c r="C285" i="3" s="1"/>
  <c r="G24" i="7"/>
  <c r="C752" i="27" s="1"/>
  <c r="D261" i="3"/>
  <c r="C578" i="3"/>
  <c r="C598" i="3" s="1"/>
  <c r="C590" i="27" s="1"/>
  <c r="D263" i="3"/>
  <c r="B26" i="1"/>
  <c r="C283" i="3" s="1"/>
  <c r="C301" i="3"/>
  <c r="C255" i="27" s="1"/>
  <c r="D327" i="3"/>
  <c r="D311" i="3" s="1"/>
  <c r="R11" i="1" s="1"/>
  <c r="C261" i="27"/>
  <c r="C167" i="3"/>
  <c r="C13" i="27" s="1"/>
  <c r="G12" i="7"/>
  <c r="C741" i="27" s="1"/>
  <c r="C439" i="27"/>
  <c r="Z6" i="1"/>
  <c r="C517" i="3"/>
  <c r="D290" i="3"/>
  <c r="C497" i="27"/>
  <c r="C590" i="3"/>
  <c r="C583" i="27" s="1"/>
  <c r="C654" i="27"/>
  <c r="C68" i="3"/>
  <c r="C327" i="3"/>
  <c r="C328" i="3" s="1"/>
  <c r="C458" i="3"/>
  <c r="D458" i="3"/>
  <c r="D470" i="3" s="1"/>
  <c r="C216" i="3"/>
  <c r="C218" i="27" s="1"/>
  <c r="C610" i="3"/>
  <c r="C601" i="27" s="1"/>
  <c r="K17" i="7"/>
  <c r="C767" i="27" s="1"/>
  <c r="F725" i="3"/>
  <c r="D723" i="3"/>
  <c r="D36" i="3"/>
  <c r="D727" i="3" s="1"/>
  <c r="C36" i="3"/>
  <c r="K23" i="7"/>
  <c r="C773" i="27" s="1"/>
  <c r="C730" i="27"/>
  <c r="C682" i="27"/>
  <c r="A627" i="27"/>
  <c r="F476" i="3"/>
  <c r="C637" i="3"/>
  <c r="C627" i="27" s="1"/>
  <c r="C636" i="3"/>
  <c r="C626" i="27" s="1"/>
  <c r="D636" i="3"/>
  <c r="C385" i="27"/>
  <c r="C668" i="27"/>
  <c r="D74" i="3"/>
  <c r="C87" i="27" s="1"/>
  <c r="B119" i="27"/>
  <c r="B123" i="27" s="1"/>
  <c r="C412" i="3"/>
  <c r="C402" i="27" s="1"/>
  <c r="K5" i="7"/>
  <c r="C755" i="27" s="1"/>
  <c r="K20" i="7"/>
  <c r="C770" i="27" s="1"/>
  <c r="A642" i="3"/>
  <c r="A632" i="27" s="1"/>
  <c r="A625" i="27"/>
  <c r="C635" i="3"/>
  <c r="C625" i="27" s="1"/>
  <c r="C437" i="27"/>
  <c r="E471" i="3"/>
  <c r="E466" i="3" s="1"/>
  <c r="C461" i="27" s="1"/>
  <c r="C722" i="27"/>
  <c r="A126" i="27"/>
  <c r="C694" i="3"/>
  <c r="C7" i="7" s="1"/>
  <c r="C652" i="27"/>
  <c r="C329" i="27"/>
  <c r="C385" i="3"/>
  <c r="C376" i="27" s="1"/>
  <c r="C391" i="3"/>
  <c r="C382" i="27" s="1"/>
  <c r="C576" i="3"/>
  <c r="E695" i="3"/>
  <c r="C359" i="27"/>
  <c r="C367" i="3"/>
  <c r="C362" i="27" s="1"/>
  <c r="C723" i="3"/>
  <c r="E723" i="3"/>
  <c r="C638" i="3"/>
  <c r="C628" i="27" s="1"/>
  <c r="A645" i="3"/>
  <c r="A635" i="27" s="1"/>
  <c r="C442" i="27"/>
  <c r="D481" i="3"/>
  <c r="C575" i="3"/>
  <c r="D303" i="3"/>
  <c r="C262" i="27" s="1"/>
  <c r="E355" i="3"/>
  <c r="C349" i="27" s="1"/>
  <c r="C355" i="3"/>
  <c r="C21" i="7"/>
  <c r="C416" i="3"/>
  <c r="C406" i="27" s="1"/>
  <c r="C402" i="3"/>
  <c r="C392" i="27" s="1"/>
  <c r="A643" i="3"/>
  <c r="A633" i="27" s="1"/>
  <c r="E694" i="3"/>
  <c r="C679" i="27" s="1"/>
  <c r="C678" i="27"/>
  <c r="A628" i="27"/>
  <c r="C618" i="3"/>
  <c r="C610" i="27" s="1"/>
  <c r="C579" i="3"/>
  <c r="C372" i="3"/>
  <c r="C367" i="27" s="1"/>
  <c r="D637" i="3"/>
  <c r="C55" i="27"/>
  <c r="L148" i="3"/>
  <c r="C415" i="3"/>
  <c r="C401" i="3"/>
  <c r="L149" i="3"/>
  <c r="K152" i="3"/>
  <c r="M157" i="3"/>
  <c r="E152" i="3"/>
  <c r="F152" i="3" s="1"/>
  <c r="C483" i="3"/>
  <c r="D483" i="3"/>
  <c r="M150" i="3"/>
  <c r="C777" i="34"/>
  <c r="C400" i="3"/>
  <c r="K155" i="3"/>
  <c r="K149" i="3" s="1"/>
  <c r="J149" i="3"/>
  <c r="L349" i="3" s="1"/>
  <c r="D561" i="3"/>
  <c r="C553" i="27" s="1"/>
  <c r="C414" i="3"/>
  <c r="G149" i="3"/>
  <c r="K154" i="3"/>
  <c r="K148" i="3" s="1"/>
  <c r="J148" i="3"/>
  <c r="C561" i="3"/>
  <c r="C598" i="34"/>
  <c r="C605" i="34" s="1"/>
  <c r="C606" i="34" s="1"/>
  <c r="E149" i="3"/>
  <c r="M152" i="3"/>
  <c r="K150" i="3"/>
  <c r="M149" i="3"/>
  <c r="C331" i="3"/>
  <c r="C810" i="34"/>
  <c r="J814" i="34" s="1"/>
  <c r="F474" i="3"/>
  <c r="F475" i="3" s="1"/>
  <c r="H463" i="3" s="1"/>
  <c r="E562" i="3"/>
  <c r="C560" i="27" s="1"/>
  <c r="K157" i="3"/>
  <c r="C523" i="3"/>
  <c r="C504" i="27" s="1"/>
  <c r="G148" i="3"/>
  <c r="E148" i="3"/>
  <c r="C724" i="3"/>
  <c r="E724" i="3"/>
  <c r="B747" i="3"/>
  <c r="B746" i="3"/>
  <c r="C330" i="27"/>
  <c r="D355" i="3"/>
  <c r="C346" i="27" s="1"/>
  <c r="C388" i="3"/>
  <c r="C366" i="3"/>
  <c r="C360" i="27"/>
  <c r="C665" i="27"/>
  <c r="D694" i="3"/>
  <c r="C440" i="27"/>
  <c r="C482" i="3"/>
  <c r="B182" i="27"/>
  <c r="B184" i="3"/>
  <c r="C37" i="3" a="1"/>
  <c r="C723" i="27"/>
  <c r="K16" i="7"/>
  <c r="C366" i="27"/>
  <c r="C466" i="3"/>
  <c r="C471" i="3"/>
  <c r="C431" i="27"/>
  <c r="C676" i="27"/>
  <c r="C577" i="3"/>
  <c r="C592" i="3"/>
  <c r="C585" i="27" s="1"/>
  <c r="C569" i="27"/>
  <c r="C426" i="3"/>
  <c r="C415" i="27" s="1"/>
  <c r="G355" i="3"/>
  <c r="C441" i="3"/>
  <c r="G354" i="3" s="1"/>
  <c r="N351" i="3" s="1"/>
  <c r="C339" i="27"/>
  <c r="D466" i="3"/>
  <c r="C455" i="27" s="1"/>
  <c r="D476" i="3"/>
  <c r="D474" i="3"/>
  <c r="D475" i="3" s="1"/>
  <c r="D463" i="3" s="1"/>
  <c r="C611" i="3"/>
  <c r="C602" i="27" s="1"/>
  <c r="C609" i="3"/>
  <c r="C600" i="27" s="1"/>
  <c r="C332" i="27"/>
  <c r="C398" i="3"/>
  <c r="C336" i="27"/>
  <c r="F355" i="3"/>
  <c r="C352" i="27" s="1"/>
  <c r="C725" i="3"/>
  <c r="C729" i="3" s="1"/>
  <c r="E729" i="3" s="1"/>
  <c r="E725" i="3"/>
  <c r="C118" i="27"/>
  <c r="C488" i="3"/>
  <c r="Q14" i="1"/>
  <c r="D634" i="3"/>
  <c r="D638" i="3"/>
  <c r="C634" i="3"/>
  <c r="C624" i="27" s="1"/>
  <c r="C623" i="27"/>
  <c r="D301" i="3"/>
  <c r="C573" i="3"/>
  <c r="D482" i="3"/>
  <c r="C443" i="27"/>
  <c r="F724" i="3"/>
  <c r="D724" i="3"/>
  <c r="E458" i="3"/>
  <c r="C571" i="3"/>
  <c r="B30" i="1"/>
  <c r="Z4" i="1"/>
  <c r="F156" i="3"/>
  <c r="F157" i="3"/>
  <c r="F154" i="3"/>
  <c r="F155" i="3"/>
  <c r="F150" i="3"/>
  <c r="C417" i="3"/>
  <c r="G110" i="34"/>
  <c r="E124" i="34"/>
  <c r="B312" i="34"/>
  <c r="G312" i="34"/>
  <c r="F221" i="34"/>
  <c r="B206" i="34"/>
  <c r="G202" i="34"/>
  <c r="G295" i="34"/>
  <c r="B99" i="34"/>
  <c r="B310" i="34"/>
  <c r="C94" i="34"/>
  <c r="C109" i="34"/>
  <c r="D94" i="34"/>
  <c r="C191" i="34"/>
  <c r="B327" i="34"/>
  <c r="F237" i="34"/>
  <c r="D99" i="34"/>
  <c r="B251" i="34"/>
  <c r="G217" i="34"/>
  <c r="D297" i="34"/>
  <c r="C299" i="34"/>
  <c r="B108" i="34"/>
  <c r="C95" i="34"/>
  <c r="C217" i="34"/>
  <c r="F113" i="34"/>
  <c r="E188" i="34"/>
  <c r="C206" i="34"/>
  <c r="G187" i="34"/>
  <c r="C192" i="34"/>
  <c r="C326" i="34"/>
  <c r="D205" i="34"/>
  <c r="G220" i="34"/>
  <c r="B219" i="34"/>
  <c r="C202" i="34"/>
  <c r="B110" i="34"/>
  <c r="B190" i="34"/>
  <c r="G125" i="34"/>
  <c r="D360" i="34"/>
  <c r="B93" i="34"/>
  <c r="D344" i="34"/>
  <c r="G309" i="34"/>
  <c r="F110" i="34"/>
  <c r="C324" i="34"/>
  <c r="C113" i="34"/>
  <c r="G359" i="34"/>
  <c r="D93" i="34"/>
  <c r="B231" i="34"/>
  <c r="C309" i="34"/>
  <c r="D114" i="34"/>
  <c r="G129" i="34"/>
  <c r="D206" i="34"/>
  <c r="B142" i="34"/>
  <c r="C300" i="34"/>
  <c r="E143" i="34"/>
  <c r="G186" i="34"/>
  <c r="F96" i="34"/>
  <c r="G139" i="34"/>
  <c r="E235" i="34"/>
  <c r="D95" i="34"/>
  <c r="C186" i="34"/>
  <c r="E218" i="34"/>
  <c r="B201" i="34"/>
  <c r="F234" i="34"/>
  <c r="D358" i="34"/>
  <c r="E252" i="34"/>
  <c r="E217" i="34"/>
  <c r="E300" i="34"/>
  <c r="B203" i="34"/>
  <c r="D296" i="34"/>
  <c r="B98" i="34"/>
  <c r="F218" i="34"/>
  <c r="C129" i="34"/>
  <c r="G330" i="34"/>
  <c r="G298" i="34"/>
  <c r="G300" i="34"/>
  <c r="A183" i="34"/>
  <c r="G191" i="34"/>
  <c r="C231" i="34"/>
  <c r="G360" i="34"/>
  <c r="D108" i="34"/>
  <c r="C201" i="34"/>
  <c r="D220" i="34"/>
  <c r="A228" i="34"/>
  <c r="C356" i="34"/>
  <c r="G325" i="34"/>
  <c r="C203" i="34"/>
  <c r="G192" i="34"/>
  <c r="C140" i="34"/>
  <c r="G98" i="34"/>
  <c r="G126" i="34"/>
  <c r="J97" i="34"/>
  <c r="D355" i="34"/>
  <c r="A105" i="34"/>
  <c r="G99" i="34"/>
  <c r="B138" i="34"/>
  <c r="D330" i="34"/>
  <c r="C313" i="34"/>
  <c r="E356" i="34"/>
  <c r="F315" i="34"/>
  <c r="F360" i="34"/>
  <c r="G249" i="34"/>
  <c r="B330" i="34"/>
  <c r="E93" i="34"/>
  <c r="B221" i="34"/>
  <c r="C360" i="34"/>
  <c r="E358" i="34"/>
  <c r="C340" i="34"/>
  <c r="C295" i="34"/>
  <c r="D325" i="34"/>
  <c r="F354" i="34"/>
  <c r="F217" i="34"/>
  <c r="B326" i="34"/>
  <c r="D191" i="34"/>
  <c r="J112" i="34"/>
  <c r="D237" i="34"/>
  <c r="B188" i="34"/>
  <c r="D110" i="34"/>
  <c r="C250" i="34"/>
  <c r="D326" i="34"/>
  <c r="G97" i="34"/>
  <c r="G206" i="34"/>
  <c r="B192" i="34"/>
  <c r="E191" i="34"/>
  <c r="F340" i="34"/>
  <c r="D236" i="34"/>
  <c r="E233" i="34"/>
  <c r="F203" i="34"/>
  <c r="B311" i="34"/>
  <c r="E207" i="34"/>
  <c r="F123" i="34"/>
  <c r="E324" i="34"/>
  <c r="B217" i="34"/>
  <c r="G355" i="34"/>
  <c r="B233" i="34"/>
  <c r="E129" i="34"/>
  <c r="E186" i="34"/>
  <c r="J205" i="34"/>
  <c r="J358" i="34"/>
  <c r="C252" i="34"/>
  <c r="B359" i="34"/>
  <c r="E216" i="34"/>
  <c r="C345" i="34"/>
  <c r="E251" i="34"/>
  <c r="B252" i="34"/>
  <c r="D252" i="34"/>
  <c r="D129" i="34"/>
  <c r="F216" i="34"/>
  <c r="J190" i="34"/>
  <c r="B342" i="34"/>
  <c r="B249" i="34"/>
  <c r="C142" i="34"/>
  <c r="D207" i="34"/>
  <c r="D329" i="34"/>
  <c r="F296" i="34"/>
  <c r="A306" i="34"/>
  <c r="B355" i="34"/>
  <c r="E189" i="34"/>
  <c r="F192" i="34"/>
  <c r="E294" i="34"/>
  <c r="B344" i="34"/>
  <c r="D144" i="34"/>
  <c r="C97" i="34"/>
  <c r="C296" i="34"/>
  <c r="B95" i="34"/>
  <c r="G219" i="34"/>
  <c r="D311" i="34"/>
  <c r="E246" i="34"/>
  <c r="F246" i="34"/>
  <c r="F204" i="34"/>
  <c r="F342" i="34"/>
  <c r="G222" i="34"/>
  <c r="D124" i="34"/>
  <c r="E311" i="34"/>
  <c r="D248" i="34"/>
  <c r="D314" i="34"/>
  <c r="F252" i="34"/>
  <c r="D202" i="34"/>
  <c r="F249" i="34"/>
  <c r="B216" i="34"/>
  <c r="C329" i="34"/>
  <c r="E187" i="34"/>
  <c r="D221" i="34"/>
  <c r="E315" i="34"/>
  <c r="E139" i="34"/>
  <c r="F235" i="34"/>
  <c r="B236" i="34"/>
  <c r="E127" i="34"/>
  <c r="D218" i="34"/>
  <c r="F326" i="34"/>
  <c r="C128" i="34"/>
  <c r="G144" i="34"/>
  <c r="A243" i="34"/>
  <c r="F219" i="34"/>
  <c r="G93" i="34"/>
  <c r="D142" i="34"/>
  <c r="D250" i="34"/>
  <c r="F295" i="34"/>
  <c r="F251" i="34"/>
  <c r="E206" i="34"/>
  <c r="F99" i="34"/>
  <c r="E345" i="34"/>
  <c r="D219" i="34"/>
  <c r="E343" i="34"/>
  <c r="E236" i="34"/>
  <c r="B232" i="34"/>
  <c r="D204" i="34"/>
  <c r="D295" i="34"/>
  <c r="F202" i="34"/>
  <c r="B360" i="34"/>
  <c r="B144" i="34"/>
  <c r="F294" i="34"/>
  <c r="G231" i="34"/>
  <c r="B114" i="34"/>
  <c r="C247" i="34"/>
  <c r="B296" i="34"/>
  <c r="D324" i="34"/>
  <c r="B187" i="34"/>
  <c r="C204" i="34"/>
  <c r="B309" i="34"/>
  <c r="D235" i="34"/>
  <c r="B123" i="34"/>
  <c r="C315" i="34"/>
  <c r="B345" i="34"/>
  <c r="J235" i="34"/>
  <c r="E94" i="34"/>
  <c r="C235" i="34"/>
  <c r="F248" i="34"/>
  <c r="G109" i="34"/>
  <c r="F231" i="34"/>
  <c r="G250" i="34"/>
  <c r="B315" i="34"/>
  <c r="E344" i="34"/>
  <c r="F297" i="34"/>
  <c r="B126" i="34"/>
  <c r="F312" i="34"/>
  <c r="E310" i="34"/>
  <c r="F126" i="34"/>
  <c r="G294" i="34"/>
  <c r="G233" i="34"/>
  <c r="C93" i="34"/>
  <c r="G328" i="34"/>
  <c r="E297" i="34"/>
  <c r="E141" i="34"/>
  <c r="G189" i="34"/>
  <c r="G111" i="34"/>
  <c r="E98" i="34"/>
  <c r="D343" i="34"/>
  <c r="C343" i="34"/>
  <c r="C314" i="34"/>
  <c r="G235" i="34"/>
  <c r="G358" i="34"/>
  <c r="G357" i="34"/>
  <c r="G188" i="34"/>
  <c r="F327" i="34"/>
  <c r="C98" i="34"/>
  <c r="F311" i="34"/>
  <c r="B329" i="34"/>
  <c r="E128" i="34"/>
  <c r="C294" i="34"/>
  <c r="G313" i="34"/>
  <c r="E222" i="34"/>
  <c r="B140" i="34"/>
  <c r="E248" i="34"/>
  <c r="E221" i="34"/>
  <c r="B356" i="34"/>
  <c r="B125" i="34"/>
  <c r="F344" i="34"/>
  <c r="F95" i="34"/>
  <c r="D315" i="34"/>
  <c r="G143" i="34"/>
  <c r="G190" i="34"/>
  <c r="C222" i="34"/>
  <c r="D247" i="34"/>
  <c r="C127" i="34"/>
  <c r="F108" i="34"/>
  <c r="F186" i="34"/>
  <c r="G113" i="34"/>
  <c r="C216" i="34"/>
  <c r="B143" i="34"/>
  <c r="G221" i="34"/>
  <c r="E192" i="34"/>
  <c r="B325" i="34"/>
  <c r="G142" i="34"/>
  <c r="C325" i="34"/>
  <c r="F329" i="34"/>
  <c r="E342" i="34"/>
  <c r="F112" i="34"/>
  <c r="C251" i="34"/>
  <c r="F247" i="34"/>
  <c r="B341" i="34"/>
  <c r="D298" i="34"/>
  <c r="F140" i="34"/>
  <c r="B189" i="34"/>
  <c r="E295" i="34"/>
  <c r="E123" i="34"/>
  <c r="C112" i="34"/>
  <c r="D187" i="34"/>
  <c r="G311" i="34"/>
  <c r="F139" i="34"/>
  <c r="E314" i="34"/>
  <c r="E339" i="34"/>
  <c r="B237" i="34"/>
  <c r="C233" i="34"/>
  <c r="G248" i="34"/>
  <c r="F187" i="34"/>
  <c r="G112" i="34"/>
  <c r="E99" i="34"/>
  <c r="B250" i="34"/>
  <c r="D309" i="34"/>
  <c r="B297" i="34"/>
  <c r="F359" i="34"/>
  <c r="B218" i="34"/>
  <c r="D143" i="34"/>
  <c r="E202" i="34"/>
  <c r="E249" i="34"/>
  <c r="D109" i="34"/>
  <c r="C187" i="34"/>
  <c r="C220" i="34"/>
  <c r="C143" i="34"/>
  <c r="D312" i="34"/>
  <c r="D217" i="34"/>
  <c r="J313" i="34"/>
  <c r="F328" i="34"/>
  <c r="F189" i="34"/>
  <c r="J343" i="34"/>
  <c r="B127" i="34"/>
  <c r="F222" i="34"/>
  <c r="D340" i="34"/>
  <c r="E113" i="34"/>
  <c r="B141" i="34"/>
  <c r="D299" i="34"/>
  <c r="C297" i="34"/>
  <c r="C341" i="34"/>
  <c r="F144" i="34"/>
  <c r="E360" i="34"/>
  <c r="G138" i="34"/>
  <c r="G252" i="34"/>
  <c r="D141" i="34"/>
  <c r="F205" i="34"/>
  <c r="C236" i="34"/>
  <c r="B111" i="34"/>
  <c r="G327" i="34"/>
  <c r="G123" i="34"/>
  <c r="C310" i="34"/>
  <c r="G95" i="34"/>
  <c r="G204" i="34"/>
  <c r="A198" i="34"/>
  <c r="F343" i="34"/>
  <c r="J328" i="34"/>
  <c r="C354" i="34"/>
  <c r="F356" i="34"/>
  <c r="B328" i="34"/>
  <c r="E111" i="34"/>
  <c r="G127" i="34"/>
  <c r="D232" i="34"/>
  <c r="C327" i="34"/>
  <c r="G251" i="34"/>
  <c r="E220" i="34"/>
  <c r="B186" i="34"/>
  <c r="G94" i="34"/>
  <c r="C124" i="34"/>
  <c r="B112" i="34"/>
  <c r="E108" i="34"/>
  <c r="B248" i="34"/>
  <c r="G326" i="34"/>
  <c r="D313" i="34"/>
  <c r="C344" i="34"/>
  <c r="G218" i="34"/>
  <c r="C218" i="34"/>
  <c r="A135" i="34"/>
  <c r="D249" i="34"/>
  <c r="D189" i="34"/>
  <c r="J127" i="34"/>
  <c r="E110" i="34"/>
  <c r="C138" i="34"/>
  <c r="F114" i="34"/>
  <c r="D126" i="34"/>
  <c r="C126" i="34"/>
  <c r="F310" i="34"/>
  <c r="B129" i="34"/>
  <c r="B343" i="34"/>
  <c r="F236" i="34"/>
  <c r="F355" i="34"/>
  <c r="D201" i="34"/>
  <c r="B124" i="34"/>
  <c r="E327" i="34"/>
  <c r="C248" i="34"/>
  <c r="B295" i="34"/>
  <c r="F330" i="34"/>
  <c r="D246" i="34"/>
  <c r="E325" i="34"/>
  <c r="B139" i="34"/>
  <c r="G203" i="34"/>
  <c r="G296" i="34"/>
  <c r="G140" i="34"/>
  <c r="D328" i="34"/>
  <c r="F190" i="34"/>
  <c r="G114" i="34"/>
  <c r="G343" i="34"/>
  <c r="J250" i="34"/>
  <c r="D97" i="34"/>
  <c r="B222" i="34"/>
  <c r="F339" i="34"/>
  <c r="F206" i="34"/>
  <c r="F125" i="34"/>
  <c r="F298" i="34"/>
  <c r="F341" i="34"/>
  <c r="B247" i="34"/>
  <c r="B207" i="34"/>
  <c r="C358" i="34"/>
  <c r="D233" i="34"/>
  <c r="E357" i="34"/>
  <c r="E250" i="34"/>
  <c r="G128" i="34"/>
  <c r="B324" i="34"/>
  <c r="C189" i="34"/>
  <c r="E96" i="34"/>
  <c r="D251" i="34"/>
  <c r="G339" i="34"/>
  <c r="E232" i="34"/>
  <c r="B299" i="34"/>
  <c r="D310" i="34"/>
  <c r="G96" i="34"/>
  <c r="E326" i="34"/>
  <c r="C96" i="34"/>
  <c r="F232" i="34"/>
  <c r="F357" i="34"/>
  <c r="G246" i="34"/>
  <c r="B357" i="34"/>
  <c r="C246" i="34"/>
  <c r="D128" i="34"/>
  <c r="F141" i="34"/>
  <c r="E109" i="34"/>
  <c r="E312" i="34"/>
  <c r="B113" i="34"/>
  <c r="D327" i="34"/>
  <c r="D123" i="34"/>
  <c r="E309" i="34"/>
  <c r="E142" i="34"/>
  <c r="C312" i="34"/>
  <c r="G201" i="34"/>
  <c r="A90" i="34"/>
  <c r="F300" i="34"/>
  <c r="F142" i="34"/>
  <c r="F313" i="34"/>
  <c r="E95" i="34"/>
  <c r="B94" i="34"/>
  <c r="J220" i="34"/>
  <c r="F188" i="34"/>
  <c r="G324" i="34"/>
  <c r="G344" i="34"/>
  <c r="D190" i="34"/>
  <c r="E237" i="34"/>
  <c r="F207" i="34"/>
  <c r="G314" i="34"/>
  <c r="F314" i="34"/>
  <c r="B235" i="34"/>
  <c r="C403" i="3"/>
  <c r="C311" i="34"/>
  <c r="B205" i="34"/>
  <c r="A336" i="34"/>
  <c r="D357" i="34"/>
  <c r="F109" i="34"/>
  <c r="E355" i="34"/>
  <c r="D96" i="34"/>
  <c r="B298" i="34"/>
  <c r="C219" i="34"/>
  <c r="G247" i="34"/>
  <c r="E234" i="34"/>
  <c r="A291" i="34"/>
  <c r="G207" i="34"/>
  <c r="F191" i="34"/>
  <c r="C110" i="34"/>
  <c r="E296" i="34"/>
  <c r="E138" i="34"/>
  <c r="E231" i="34"/>
  <c r="C355" i="34"/>
  <c r="D234" i="34"/>
  <c r="E204" i="34"/>
  <c r="D341" i="34"/>
  <c r="C357" i="34"/>
  <c r="D139" i="34"/>
  <c r="A213" i="34"/>
  <c r="G329" i="34"/>
  <c r="E298" i="34"/>
  <c r="C237" i="34"/>
  <c r="F97" i="34"/>
  <c r="E114" i="34"/>
  <c r="D125" i="34"/>
  <c r="E354" i="34"/>
  <c r="C298" i="34"/>
  <c r="C249" i="34"/>
  <c r="C221" i="34"/>
  <c r="D222" i="34"/>
  <c r="C108" i="34"/>
  <c r="C234" i="34"/>
  <c r="E126" i="34"/>
  <c r="B314" i="34"/>
  <c r="F233" i="34"/>
  <c r="D113" i="34"/>
  <c r="C339" i="34"/>
  <c r="F220" i="34"/>
  <c r="B294" i="34"/>
  <c r="F309" i="34"/>
  <c r="C190" i="34"/>
  <c r="E190" i="34"/>
  <c r="G354" i="34"/>
  <c r="G342" i="34"/>
  <c r="D294" i="34"/>
  <c r="B109" i="34"/>
  <c r="D339" i="34"/>
  <c r="F345" i="34"/>
  <c r="E203" i="34"/>
  <c r="G299" i="34"/>
  <c r="F94" i="34"/>
  <c r="C342" i="34"/>
  <c r="E205" i="34"/>
  <c r="E219" i="34"/>
  <c r="G345" i="34"/>
  <c r="D188" i="34"/>
  <c r="E112" i="34"/>
  <c r="D111" i="34"/>
  <c r="B340" i="34"/>
  <c r="G234" i="34"/>
  <c r="C188" i="34"/>
  <c r="A351" i="34"/>
  <c r="D354" i="34"/>
  <c r="F93" i="34"/>
  <c r="B339" i="34"/>
  <c r="C139" i="34"/>
  <c r="E313" i="34"/>
  <c r="C114" i="34"/>
  <c r="C232" i="34"/>
  <c r="F250" i="34"/>
  <c r="E330" i="34"/>
  <c r="E97" i="34"/>
  <c r="F143" i="34"/>
  <c r="F358" i="34"/>
  <c r="B300" i="34"/>
  <c r="D231" i="34"/>
  <c r="C111" i="34"/>
  <c r="E340" i="34"/>
  <c r="D112" i="34"/>
  <c r="B220" i="34"/>
  <c r="G340" i="34"/>
  <c r="G356" i="34"/>
  <c r="G237" i="34"/>
  <c r="C123" i="34"/>
  <c r="B97" i="34"/>
  <c r="C205" i="34"/>
  <c r="D216" i="34"/>
  <c r="E359" i="34"/>
  <c r="D192" i="34"/>
  <c r="D342" i="34"/>
  <c r="B246" i="34"/>
  <c r="D356" i="34"/>
  <c r="D345" i="34"/>
  <c r="F324" i="34"/>
  <c r="F111" i="34"/>
  <c r="B354" i="34"/>
  <c r="G341" i="34"/>
  <c r="C99" i="34"/>
  <c r="B313" i="34"/>
  <c r="E299" i="34"/>
  <c r="E247" i="34"/>
  <c r="G310" i="34"/>
  <c r="E140" i="34"/>
  <c r="C144" i="34"/>
  <c r="G124" i="34"/>
  <c r="F299" i="34"/>
  <c r="D359" i="34"/>
  <c r="G205" i="34"/>
  <c r="D140" i="34"/>
  <c r="B128" i="34"/>
  <c r="G236" i="34"/>
  <c r="B191" i="34"/>
  <c r="J142" i="34"/>
  <c r="G315" i="34"/>
  <c r="B204" i="34"/>
  <c r="F201" i="34"/>
  <c r="E329" i="34"/>
  <c r="B96" i="34"/>
  <c r="A120" i="34"/>
  <c r="G141" i="34"/>
  <c r="E125" i="34"/>
  <c r="G297" i="34"/>
  <c r="G108" i="34"/>
  <c r="G232" i="34"/>
  <c r="C328" i="34"/>
  <c r="D98" i="34"/>
  <c r="D300" i="34"/>
  <c r="D127" i="34"/>
  <c r="F98" i="34"/>
  <c r="F129" i="34"/>
  <c r="B234" i="34"/>
  <c r="E201" i="34"/>
  <c r="D203" i="34"/>
  <c r="F124" i="34"/>
  <c r="E144" i="34"/>
  <c r="D186" i="34"/>
  <c r="F138" i="34"/>
  <c r="C359" i="34"/>
  <c r="A321" i="34"/>
  <c r="C330" i="34"/>
  <c r="D138" i="34"/>
  <c r="C207" i="34"/>
  <c r="C141" i="34"/>
  <c r="J298" i="34"/>
  <c r="F325" i="34"/>
  <c r="C125" i="34"/>
  <c r="G208" i="34" l="1"/>
  <c r="G209" i="34"/>
  <c r="G210" i="34"/>
  <c r="C239" i="34"/>
  <c r="C238" i="34"/>
  <c r="C240" i="34"/>
  <c r="B224" i="34"/>
  <c r="B223" i="34"/>
  <c r="B225" i="34"/>
  <c r="C224" i="34"/>
  <c r="C225" i="34"/>
  <c r="C223" i="34"/>
  <c r="E101" i="34"/>
  <c r="E100" i="34"/>
  <c r="E102" i="34"/>
  <c r="B348" i="34"/>
  <c r="B347" i="34"/>
  <c r="B346" i="34"/>
  <c r="F100" i="34"/>
  <c r="F101" i="34"/>
  <c r="F102" i="34"/>
  <c r="E316" i="34"/>
  <c r="E317" i="34"/>
  <c r="E318" i="34"/>
  <c r="F193" i="34"/>
  <c r="F194" i="34"/>
  <c r="F195" i="34"/>
  <c r="D363" i="34"/>
  <c r="D361" i="34"/>
  <c r="D362" i="34"/>
  <c r="D131" i="34"/>
  <c r="D132" i="34"/>
  <c r="D130" i="34"/>
  <c r="F115" i="34"/>
  <c r="F116" i="34"/>
  <c r="F117" i="34"/>
  <c r="D147" i="34"/>
  <c r="D145" i="34"/>
  <c r="D146" i="34"/>
  <c r="F255" i="34"/>
  <c r="F253" i="34"/>
  <c r="F254" i="34"/>
  <c r="C363" i="34"/>
  <c r="C361" i="34"/>
  <c r="C362" i="34"/>
  <c r="E255" i="34"/>
  <c r="E253" i="34"/>
  <c r="E254" i="34"/>
  <c r="B209" i="34"/>
  <c r="B208" i="34"/>
  <c r="B210" i="34"/>
  <c r="F146" i="34"/>
  <c r="F145" i="34"/>
  <c r="F147" i="34"/>
  <c r="C254" i="34"/>
  <c r="C255" i="34"/>
  <c r="C253" i="34"/>
  <c r="D195" i="34"/>
  <c r="D193" i="34"/>
  <c r="D194" i="34"/>
  <c r="C195" i="34"/>
  <c r="C193" i="34"/>
  <c r="C194" i="34"/>
  <c r="G254" i="34"/>
  <c r="G255" i="34"/>
  <c r="G253" i="34"/>
  <c r="E347" i="34"/>
  <c r="E348" i="34"/>
  <c r="E346" i="34"/>
  <c r="E208" i="34"/>
  <c r="E209" i="34"/>
  <c r="E210" i="34"/>
  <c r="E303" i="34"/>
  <c r="E302" i="34"/>
  <c r="E301" i="34"/>
  <c r="G195" i="34"/>
  <c r="G194" i="34"/>
  <c r="G193" i="34"/>
  <c r="D347" i="34"/>
  <c r="D348" i="34"/>
  <c r="D346" i="34"/>
  <c r="C303" i="34"/>
  <c r="C302" i="34"/>
  <c r="C301" i="34"/>
  <c r="C209" i="34"/>
  <c r="C208" i="34"/>
  <c r="C210" i="34"/>
  <c r="D303" i="34"/>
  <c r="D302" i="34"/>
  <c r="D301" i="34"/>
  <c r="G346" i="34"/>
  <c r="G347" i="34"/>
  <c r="G348" i="34"/>
  <c r="G362" i="34"/>
  <c r="G363" i="34"/>
  <c r="G361" i="34"/>
  <c r="D115" i="34"/>
  <c r="D117" i="34"/>
  <c r="D116" i="34"/>
  <c r="C318" i="34"/>
  <c r="C316" i="34"/>
  <c r="C317" i="34"/>
  <c r="G115" i="34"/>
  <c r="G117" i="34"/>
  <c r="G116" i="34"/>
  <c r="B240" i="34"/>
  <c r="B238" i="34"/>
  <c r="B239" i="34"/>
  <c r="E115" i="34"/>
  <c r="E117" i="34"/>
  <c r="E116" i="34"/>
  <c r="B331" i="34"/>
  <c r="B333" i="34"/>
  <c r="B332" i="34"/>
  <c r="D100" i="34"/>
  <c r="D101" i="34"/>
  <c r="D102" i="34"/>
  <c r="F317" i="34"/>
  <c r="F318" i="34"/>
  <c r="F316" i="34"/>
  <c r="B302" i="34"/>
  <c r="B303" i="34"/>
  <c r="B301" i="34"/>
  <c r="F225" i="34"/>
  <c r="F224" i="34"/>
  <c r="F223" i="34"/>
  <c r="C332" i="34"/>
  <c r="C333" i="34"/>
  <c r="C331" i="34"/>
  <c r="C347" i="34"/>
  <c r="C346" i="34"/>
  <c r="C348" i="34"/>
  <c r="G316" i="34"/>
  <c r="G318" i="34"/>
  <c r="G317" i="34"/>
  <c r="F209" i="34"/>
  <c r="F208" i="34"/>
  <c r="F210" i="34"/>
  <c r="G333" i="34"/>
  <c r="G332" i="34"/>
  <c r="G331" i="34"/>
  <c r="G132" i="34"/>
  <c r="G131" i="34"/>
  <c r="G130" i="34"/>
  <c r="B100" i="34"/>
  <c r="B101" i="34"/>
  <c r="B102" i="34"/>
  <c r="E223" i="34"/>
  <c r="E225" i="34"/>
  <c r="E224" i="34"/>
  <c r="C115" i="34"/>
  <c r="C117" i="34"/>
  <c r="C116" i="34"/>
  <c r="F347" i="34"/>
  <c r="F348" i="34"/>
  <c r="F346" i="34"/>
  <c r="C100" i="34"/>
  <c r="C102" i="34"/>
  <c r="C101" i="34"/>
  <c r="E193" i="34"/>
  <c r="E194" i="34"/>
  <c r="E195" i="34"/>
  <c r="B147" i="34"/>
  <c r="B145" i="34"/>
  <c r="B146" i="34"/>
  <c r="G147" i="34"/>
  <c r="G145" i="34"/>
  <c r="G146" i="34"/>
  <c r="E362" i="34"/>
  <c r="E363" i="34"/>
  <c r="E361" i="34"/>
  <c r="G302" i="34"/>
  <c r="G301" i="34"/>
  <c r="G303" i="34"/>
  <c r="E132" i="34"/>
  <c r="E131" i="34"/>
  <c r="E130" i="34"/>
  <c r="E333" i="34"/>
  <c r="E332" i="34"/>
  <c r="E331" i="34"/>
  <c r="F131" i="34"/>
  <c r="F132" i="34"/>
  <c r="F130" i="34"/>
  <c r="B193" i="34"/>
  <c r="B194" i="34"/>
  <c r="B195" i="34"/>
  <c r="F240" i="34"/>
  <c r="F239" i="34"/>
  <c r="F238" i="34"/>
  <c r="B117" i="34"/>
  <c r="B115" i="34"/>
  <c r="B116" i="34"/>
  <c r="D255" i="34"/>
  <c r="D253" i="34"/>
  <c r="D254" i="34"/>
  <c r="B362" i="34"/>
  <c r="B361" i="34"/>
  <c r="B363" i="34"/>
  <c r="G225" i="34"/>
  <c r="G224" i="34"/>
  <c r="G223" i="34"/>
  <c r="F331" i="34"/>
  <c r="F332" i="34"/>
  <c r="F333" i="34"/>
  <c r="E239" i="34"/>
  <c r="E240" i="34"/>
  <c r="E238" i="34"/>
  <c r="E147" i="34"/>
  <c r="E145" i="34"/>
  <c r="E146" i="34"/>
  <c r="B253" i="34"/>
  <c r="B254" i="34"/>
  <c r="B255" i="34"/>
  <c r="D210" i="34"/>
  <c r="D208" i="34"/>
  <c r="D209" i="34"/>
  <c r="B131" i="34"/>
  <c r="B132" i="34"/>
  <c r="B130" i="34"/>
  <c r="B316" i="34"/>
  <c r="B318" i="34"/>
  <c r="B317" i="34"/>
  <c r="D223" i="34"/>
  <c r="D225" i="34"/>
  <c r="D224" i="34"/>
  <c r="G100" i="34"/>
  <c r="G101" i="34"/>
  <c r="G102" i="34"/>
  <c r="D333" i="34"/>
  <c r="D331" i="34"/>
  <c r="D332" i="34"/>
  <c r="C132" i="34"/>
  <c r="C130" i="34"/>
  <c r="C131" i="34"/>
  <c r="F362" i="34"/>
  <c r="F363" i="34"/>
  <c r="F361" i="34"/>
  <c r="C146" i="34"/>
  <c r="C147" i="34"/>
  <c r="C145" i="34"/>
  <c r="D317" i="34"/>
  <c r="D318" i="34"/>
  <c r="D316" i="34"/>
  <c r="G239" i="34"/>
  <c r="G240" i="34"/>
  <c r="G238" i="34"/>
  <c r="F301" i="34"/>
  <c r="F303" i="34"/>
  <c r="F302" i="34"/>
  <c r="D239" i="34"/>
  <c r="D238" i="34"/>
  <c r="D240" i="34"/>
  <c r="C355" i="27"/>
  <c r="L348" i="3"/>
  <c r="M348" i="3" s="1"/>
  <c r="M350" i="3"/>
  <c r="L359" i="3"/>
  <c r="C653" i="27"/>
  <c r="H156" i="3"/>
  <c r="C499" i="27"/>
  <c r="C169" i="3"/>
  <c r="C167" i="27" s="1"/>
  <c r="K22" i="7"/>
  <c r="C772" i="27" s="1"/>
  <c r="K24" i="7"/>
  <c r="C774" i="27" s="1"/>
  <c r="C594" i="3"/>
  <c r="C587" i="27" s="1"/>
  <c r="C575" i="27"/>
  <c r="C9" i="7"/>
  <c r="K9" i="7" s="1"/>
  <c r="C759" i="27" s="1"/>
  <c r="K18" i="7"/>
  <c r="C768" i="27" s="1"/>
  <c r="C746" i="27"/>
  <c r="C729" i="27"/>
  <c r="D228" i="3"/>
  <c r="C433" i="27"/>
  <c r="D328" i="3"/>
  <c r="C312" i="27" s="1"/>
  <c r="C311" i="27"/>
  <c r="K12" i="7"/>
  <c r="C762" i="27" s="1"/>
  <c r="E474" i="3"/>
  <c r="E475" i="3" s="1"/>
  <c r="E463" i="3" s="1"/>
  <c r="C185" i="3" s="1"/>
  <c r="C184" i="27" s="1"/>
  <c r="E476" i="3"/>
  <c r="E477" i="3" s="1"/>
  <c r="E465" i="3" s="1"/>
  <c r="C460" i="27" s="1"/>
  <c r="C278" i="27"/>
  <c r="C498" i="27"/>
  <c r="G8" i="7"/>
  <c r="C737" i="27" s="1"/>
  <c r="F637" i="3"/>
  <c r="C74" i="27"/>
  <c r="F6" i="1"/>
  <c r="D7" i="1" s="1"/>
  <c r="D252" i="3"/>
  <c r="D232" i="3"/>
  <c r="C470" i="3"/>
  <c r="C430" i="27"/>
  <c r="C311" i="3"/>
  <c r="C293" i="27"/>
  <c r="F638" i="3"/>
  <c r="G638" i="3" s="1"/>
  <c r="F636" i="3"/>
  <c r="C643" i="3"/>
  <c r="C633" i="27" s="1"/>
  <c r="F354" i="3"/>
  <c r="I19" i="1" s="1"/>
  <c r="C485" i="3"/>
  <c r="C642" i="3"/>
  <c r="C625" i="3" s="1"/>
  <c r="C727" i="3"/>
  <c r="E727" i="3"/>
  <c r="C644" i="3"/>
  <c r="C627" i="3" s="1"/>
  <c r="F727" i="3"/>
  <c r="F477" i="3"/>
  <c r="H465" i="3" s="1"/>
  <c r="C478" i="27" s="1"/>
  <c r="H464" i="3"/>
  <c r="C477" i="27" s="1"/>
  <c r="D485" i="3"/>
  <c r="C680" i="27"/>
  <c r="C19" i="7"/>
  <c r="C576" i="27"/>
  <c r="C599" i="3"/>
  <c r="C591" i="27" s="1"/>
  <c r="K21" i="7"/>
  <c r="C771" i="27" s="1"/>
  <c r="C728" i="27"/>
  <c r="F635" i="3"/>
  <c r="C343" i="27"/>
  <c r="E29" i="1"/>
  <c r="D227" i="3" s="1"/>
  <c r="C519" i="3"/>
  <c r="C573" i="27"/>
  <c r="C596" i="3"/>
  <c r="C572" i="27"/>
  <c r="C595" i="3"/>
  <c r="C588" i="27" s="1"/>
  <c r="C127" i="3"/>
  <c r="C153" i="27" s="1"/>
  <c r="C645" i="3"/>
  <c r="C641" i="3"/>
  <c r="C631" i="27" s="1"/>
  <c r="F148" i="3"/>
  <c r="H154" i="3"/>
  <c r="H148" i="3" s="1"/>
  <c r="H152" i="3"/>
  <c r="C393" i="27"/>
  <c r="H150" i="3"/>
  <c r="C407" i="27"/>
  <c r="F149" i="3"/>
  <c r="H155" i="3"/>
  <c r="H149" i="3" s="1"/>
  <c r="H157" i="3"/>
  <c r="C174" i="3" s="1"/>
  <c r="C172" i="27" s="1"/>
  <c r="C449" i="27"/>
  <c r="C503" i="3"/>
  <c r="C484" i="27" s="1"/>
  <c r="F8" i="1"/>
  <c r="C188" i="3"/>
  <c r="C187" i="27" s="1"/>
  <c r="C476" i="27"/>
  <c r="J782" i="34"/>
  <c r="F781" i="34"/>
  <c r="L781" i="34"/>
  <c r="H783" i="34"/>
  <c r="G782" i="34"/>
  <c r="F783" i="34"/>
  <c r="H781" i="34"/>
  <c r="E782" i="34"/>
  <c r="E781" i="34"/>
  <c r="D782" i="34"/>
  <c r="D783" i="34"/>
  <c r="G781" i="34"/>
  <c r="L783" i="34"/>
  <c r="G783" i="34"/>
  <c r="J781" i="34"/>
  <c r="E783" i="34"/>
  <c r="D781" i="34"/>
  <c r="K783" i="34"/>
  <c r="K782" i="34"/>
  <c r="J783" i="34"/>
  <c r="F782" i="34"/>
  <c r="L782" i="34"/>
  <c r="I781" i="34"/>
  <c r="C783" i="34"/>
  <c r="C781" i="34"/>
  <c r="I783" i="34"/>
  <c r="C782" i="34"/>
  <c r="I782" i="34"/>
  <c r="H782" i="34"/>
  <c r="K781" i="34"/>
  <c r="C388" i="27"/>
  <c r="E354" i="3"/>
  <c r="B185" i="3"/>
  <c r="B183" i="27"/>
  <c r="D331" i="3"/>
  <c r="C296" i="27"/>
  <c r="C332" i="3"/>
  <c r="C297" i="27" s="1"/>
  <c r="C338" i="3"/>
  <c r="C312" i="3" s="1"/>
  <c r="C593" i="3"/>
  <c r="C586" i="27" s="1"/>
  <c r="C570" i="27"/>
  <c r="C597" i="3"/>
  <c r="C589" i="27" s="1"/>
  <c r="C574" i="27"/>
  <c r="C476" i="3"/>
  <c r="C474" i="3"/>
  <c r="C475" i="3" s="1"/>
  <c r="C463" i="3" s="1"/>
  <c r="C486" i="3"/>
  <c r="C489" i="3"/>
  <c r="F466" i="3"/>
  <c r="C467" i="27" s="1"/>
  <c r="C493" i="3"/>
  <c r="C495" i="3" s="1"/>
  <c r="F463" i="3" s="1"/>
  <c r="C666" i="27"/>
  <c r="C8" i="7"/>
  <c r="J815" i="34"/>
  <c r="G816" i="34"/>
  <c r="C816" i="34"/>
  <c r="K814" i="34"/>
  <c r="G814" i="34"/>
  <c r="J816" i="34"/>
  <c r="J817" i="34" s="1"/>
  <c r="I814" i="34"/>
  <c r="I816" i="34"/>
  <c r="D814" i="34"/>
  <c r="F816" i="34"/>
  <c r="C814" i="34"/>
  <c r="E816" i="34"/>
  <c r="H816" i="34"/>
  <c r="F814" i="34"/>
  <c r="H814" i="34"/>
  <c r="K816" i="34"/>
  <c r="D816" i="34"/>
  <c r="E814" i="34"/>
  <c r="C404" i="27"/>
  <c r="C418" i="3"/>
  <c r="C404" i="3"/>
  <c r="C394" i="27" s="1"/>
  <c r="C390" i="27"/>
  <c r="C391" i="27"/>
  <c r="C260" i="27"/>
  <c r="C10" i="7"/>
  <c r="C37" i="3"/>
  <c r="D37" i="3"/>
  <c r="C431" i="3"/>
  <c r="C420" i="27" s="1"/>
  <c r="C627" i="34"/>
  <c r="C626" i="34"/>
  <c r="C609" i="34"/>
  <c r="C432" i="3"/>
  <c r="C610" i="34"/>
  <c r="C405" i="27"/>
  <c r="C591" i="3"/>
  <c r="C568" i="27"/>
  <c r="C452" i="27"/>
  <c r="B2" i="1"/>
  <c r="C184" i="3"/>
  <c r="C183" i="27" s="1"/>
  <c r="C294" i="27"/>
  <c r="C547" i="27"/>
  <c r="C562" i="3"/>
  <c r="C548" i="27" s="1"/>
  <c r="C436" i="27"/>
  <c r="E470" i="3"/>
  <c r="D486" i="3"/>
  <c r="D493" i="3"/>
  <c r="D495" i="3" s="1"/>
  <c r="G463" i="3" s="1"/>
  <c r="D489" i="3"/>
  <c r="G466" i="3"/>
  <c r="C473" i="27" s="1"/>
  <c r="F634" i="3"/>
  <c r="D464" i="3"/>
  <c r="C453" i="27" s="1"/>
  <c r="D477" i="3"/>
  <c r="D465" i="3" s="1"/>
  <c r="C454" i="27" s="1"/>
  <c r="C201" i="3"/>
  <c r="C200" i="27" s="1"/>
  <c r="K19" i="1"/>
  <c r="C354" i="27"/>
  <c r="C766" i="27"/>
  <c r="K7" i="7"/>
  <c r="C757" i="27" s="1"/>
  <c r="C715" i="27"/>
  <c r="C368" i="3"/>
  <c r="C361" i="27"/>
  <c r="C389" i="3"/>
  <c r="C379" i="27"/>
  <c r="K784" i="34" l="1"/>
  <c r="H115" i="34"/>
  <c r="J100" i="34"/>
  <c r="L350" i="3"/>
  <c r="N350" i="3" s="1"/>
  <c r="N352" i="3" s="1"/>
  <c r="H101" i="34"/>
  <c r="J238" i="34"/>
  <c r="H130" i="34"/>
  <c r="I193" i="34"/>
  <c r="I131" i="34"/>
  <c r="H239" i="34"/>
  <c r="H331" i="34"/>
  <c r="J362" i="34"/>
  <c r="I223" i="34"/>
  <c r="H209" i="34"/>
  <c r="H194" i="34"/>
  <c r="I317" i="34"/>
  <c r="H253" i="34"/>
  <c r="J101" i="34"/>
  <c r="H302" i="34"/>
  <c r="I208" i="34"/>
  <c r="I331" i="34"/>
  <c r="I254" i="34"/>
  <c r="I145" i="34"/>
  <c r="J239" i="34"/>
  <c r="I301" i="34"/>
  <c r="J146" i="34"/>
  <c r="H131" i="34"/>
  <c r="J224" i="34"/>
  <c r="I316" i="34"/>
  <c r="J223" i="34"/>
  <c r="J130" i="34"/>
  <c r="H208" i="34"/>
  <c r="J253" i="34"/>
  <c r="J115" i="34"/>
  <c r="H361" i="34"/>
  <c r="J145" i="34"/>
  <c r="I101" i="34"/>
  <c r="H346" i="34"/>
  <c r="J332" i="34"/>
  <c r="J301" i="34"/>
  <c r="I100" i="34"/>
  <c r="H238" i="34"/>
  <c r="H116" i="34"/>
  <c r="J302" i="34"/>
  <c r="I347" i="34"/>
  <c r="J209" i="34"/>
  <c r="I194" i="34"/>
  <c r="J254" i="34"/>
  <c r="J131" i="34"/>
  <c r="I224" i="34"/>
  <c r="H347" i="34"/>
  <c r="I332" i="34"/>
  <c r="H193" i="34"/>
  <c r="J208" i="34"/>
  <c r="H362" i="34"/>
  <c r="I346" i="34"/>
  <c r="H317" i="34"/>
  <c r="J346" i="34"/>
  <c r="H332" i="34"/>
  <c r="J361" i="34"/>
  <c r="I238" i="34"/>
  <c r="H145" i="34"/>
  <c r="H223" i="34"/>
  <c r="J194" i="34"/>
  <c r="H254" i="34"/>
  <c r="H100" i="34"/>
  <c r="I302" i="34"/>
  <c r="J193" i="34"/>
  <c r="J347" i="34"/>
  <c r="J317" i="34"/>
  <c r="I115" i="34"/>
  <c r="I239" i="34"/>
  <c r="H316" i="34"/>
  <c r="J116" i="34"/>
  <c r="I146" i="34"/>
  <c r="H301" i="34"/>
  <c r="I209" i="34"/>
  <c r="J331" i="34"/>
  <c r="I253" i="34"/>
  <c r="J316" i="34"/>
  <c r="I130" i="34"/>
  <c r="I116" i="34"/>
  <c r="I362" i="34"/>
  <c r="H146" i="34"/>
  <c r="H224" i="34"/>
  <c r="I361" i="34"/>
  <c r="J818" i="34"/>
  <c r="J819" i="34" s="1"/>
  <c r="C628" i="34"/>
  <c r="C629" i="34" s="1"/>
  <c r="C631" i="34" s="1"/>
  <c r="I785" i="34"/>
  <c r="I786" i="34" s="1"/>
  <c r="G784" i="34"/>
  <c r="E464" i="3"/>
  <c r="C459" i="27" s="1"/>
  <c r="C717" i="27"/>
  <c r="C333" i="3"/>
  <c r="C298" i="27" s="1"/>
  <c r="C2" i="1"/>
  <c r="C458" i="27"/>
  <c r="C632" i="27"/>
  <c r="D251" i="3"/>
  <c r="C547" i="3"/>
  <c r="S41" i="1"/>
  <c r="D487" i="3"/>
  <c r="C474" i="27" s="1"/>
  <c r="C487" i="3"/>
  <c r="C468" i="27" s="1"/>
  <c r="F785" i="34"/>
  <c r="F786" i="34" s="1"/>
  <c r="D784" i="34"/>
  <c r="G785" i="34"/>
  <c r="G786" i="34" s="1"/>
  <c r="C634" i="27"/>
  <c r="C351" i="27"/>
  <c r="L11" i="1"/>
  <c r="C269" i="27"/>
  <c r="G634" i="3"/>
  <c r="G636" i="3"/>
  <c r="C652" i="3"/>
  <c r="C646" i="3"/>
  <c r="C636" i="27" s="1"/>
  <c r="G635" i="3"/>
  <c r="G637" i="3"/>
  <c r="C200" i="3"/>
  <c r="C199" i="27" s="1"/>
  <c r="D785" i="34"/>
  <c r="D786" i="34" s="1"/>
  <c r="C626" i="3"/>
  <c r="C658" i="3" s="1"/>
  <c r="C686" i="27" s="1"/>
  <c r="C405" i="3"/>
  <c r="C395" i="27" s="1"/>
  <c r="C500" i="27"/>
  <c r="C224" i="3"/>
  <c r="C726" i="27"/>
  <c r="K19" i="7"/>
  <c r="H785" i="34"/>
  <c r="H786" i="34" s="1"/>
  <c r="C784" i="34"/>
  <c r="E784" i="34"/>
  <c r="J785" i="34"/>
  <c r="J786" i="34" s="1"/>
  <c r="C623" i="3"/>
  <c r="C615" i="27" s="1"/>
  <c r="C650" i="3"/>
  <c r="C640" i="27" s="1"/>
  <c r="C635" i="27"/>
  <c r="C622" i="3"/>
  <c r="C363" i="27"/>
  <c r="C373" i="3"/>
  <c r="C421" i="27"/>
  <c r="C433" i="3"/>
  <c r="K815" i="34"/>
  <c r="K818" i="34" s="1"/>
  <c r="K819" i="34" s="1"/>
  <c r="K817" i="34"/>
  <c r="A2" i="1"/>
  <c r="C446" i="27"/>
  <c r="C183" i="3"/>
  <c r="C182" i="27" s="1"/>
  <c r="C348" i="27"/>
  <c r="G19" i="1"/>
  <c r="C199" i="3"/>
  <c r="C198" i="27" s="1"/>
  <c r="C187" i="3"/>
  <c r="C186" i="27" s="1"/>
  <c r="C470" i="27"/>
  <c r="O16" i="1"/>
  <c r="O15" i="1" s="1"/>
  <c r="C584" i="27"/>
  <c r="C613" i="3"/>
  <c r="D728" i="3"/>
  <c r="F728" i="3"/>
  <c r="H817" i="34"/>
  <c r="H815" i="34"/>
  <c r="H818" i="34" s="1"/>
  <c r="H819" i="34" s="1"/>
  <c r="C817" i="34"/>
  <c r="C815" i="34"/>
  <c r="I815" i="34"/>
  <c r="I818" i="34" s="1"/>
  <c r="I819" i="34" s="1"/>
  <c r="I817" i="34"/>
  <c r="C464" i="3"/>
  <c r="C447" i="27" s="1"/>
  <c r="C477" i="3"/>
  <c r="C465" i="3" s="1"/>
  <c r="C448" i="27" s="1"/>
  <c r="D338" i="3"/>
  <c r="D312" i="3" s="1"/>
  <c r="D332" i="3"/>
  <c r="C314" i="27"/>
  <c r="E785" i="34"/>
  <c r="E786" i="34" s="1"/>
  <c r="C390" i="3"/>
  <c r="C380" i="27"/>
  <c r="E728" i="3"/>
  <c r="C728" i="3"/>
  <c r="E815" i="34"/>
  <c r="E818" i="34" s="1"/>
  <c r="E819" i="34" s="1"/>
  <c r="E817" i="34"/>
  <c r="F817" i="34"/>
  <c r="F815" i="34"/>
  <c r="F818" i="34" s="1"/>
  <c r="F819" i="34" s="1"/>
  <c r="C716" i="27"/>
  <c r="K8" i="7"/>
  <c r="C758" i="27" s="1"/>
  <c r="C490" i="3"/>
  <c r="F465" i="3" s="1"/>
  <c r="C466" i="27" s="1"/>
  <c r="F464" i="3"/>
  <c r="C465" i="27" s="1"/>
  <c r="C181" i="3"/>
  <c r="C180" i="27" s="1"/>
  <c r="M9" i="1"/>
  <c r="C270" i="27"/>
  <c r="C785" i="34"/>
  <c r="C786" i="34" s="1"/>
  <c r="C788" i="34"/>
  <c r="I784" i="34"/>
  <c r="K785" i="34"/>
  <c r="K786" i="34" s="1"/>
  <c r="J784" i="34"/>
  <c r="H784" i="34"/>
  <c r="L784" i="34"/>
  <c r="D490" i="3"/>
  <c r="G465" i="3" s="1"/>
  <c r="C472" i="27" s="1"/>
  <c r="G464" i="3"/>
  <c r="C471" i="27" s="1"/>
  <c r="C408" i="27"/>
  <c r="C419" i="3"/>
  <c r="C409" i="27" s="1"/>
  <c r="C186" i="3"/>
  <c r="C185" i="27" s="1"/>
  <c r="N16" i="1"/>
  <c r="N15" i="1" s="1"/>
  <c r="C464" i="27"/>
  <c r="C613" i="34"/>
  <c r="C615" i="34" s="1"/>
  <c r="C611" i="34"/>
  <c r="K10" i="7"/>
  <c r="C760" i="27" s="1"/>
  <c r="C718" i="27"/>
  <c r="D817" i="34"/>
  <c r="D815" i="34"/>
  <c r="D818" i="34" s="1"/>
  <c r="D819" i="34" s="1"/>
  <c r="G815" i="34"/>
  <c r="G818" i="34" s="1"/>
  <c r="G819" i="34" s="1"/>
  <c r="G817" i="34"/>
  <c r="B186" i="3"/>
  <c r="B184" i="27"/>
  <c r="L785" i="34"/>
  <c r="L786" i="34" s="1"/>
  <c r="F784" i="34"/>
  <c r="C617" i="27"/>
  <c r="C659" i="3"/>
  <c r="L355" i="3" l="1"/>
  <c r="L356" i="3" s="1"/>
  <c r="L357" i="3" s="1"/>
  <c r="L360" i="3" s="1"/>
  <c r="O351" i="3"/>
  <c r="C325" i="3"/>
  <c r="C291" i="27" s="1"/>
  <c r="K313" i="34"/>
  <c r="C318" i="3"/>
  <c r="C321" i="3" s="1"/>
  <c r="K97" i="34"/>
  <c r="D325" i="3"/>
  <c r="D334" i="3" s="1"/>
  <c r="K343" i="34"/>
  <c r="K235" i="34"/>
  <c r="K298" i="34"/>
  <c r="K205" i="34"/>
  <c r="K127" i="34"/>
  <c r="K358" i="34"/>
  <c r="K250" i="34"/>
  <c r="K142" i="34"/>
  <c r="C319" i="3"/>
  <c r="C285" i="27" s="1"/>
  <c r="K220" i="34"/>
  <c r="K328" i="34"/>
  <c r="K190" i="34"/>
  <c r="D318" i="3"/>
  <c r="D321" i="3" s="1"/>
  <c r="C324" i="3"/>
  <c r="D324" i="3"/>
  <c r="D309" i="3" s="1"/>
  <c r="K112" i="34"/>
  <c r="D319" i="3"/>
  <c r="C303" i="27" s="1"/>
  <c r="M8" i="1"/>
  <c r="C560" i="3"/>
  <c r="C528" i="27"/>
  <c r="D216" i="3"/>
  <c r="D253" i="3"/>
  <c r="Q19" i="1"/>
  <c r="C202" i="3"/>
  <c r="C201" i="27" s="1"/>
  <c r="Q23" i="1"/>
  <c r="C647" i="3"/>
  <c r="C637" i="27" s="1"/>
  <c r="C769" i="27"/>
  <c r="K25" i="7"/>
  <c r="C775" i="27" s="1"/>
  <c r="G11" i="7"/>
  <c r="Q16" i="1"/>
  <c r="C189" i="3"/>
  <c r="C188" i="27" s="1"/>
  <c r="C614" i="27"/>
  <c r="C354" i="3"/>
  <c r="C368" i="27"/>
  <c r="C422" i="27"/>
  <c r="C434" i="3"/>
  <c r="C315" i="27"/>
  <c r="D333" i="3"/>
  <c r="C316" i="27" s="1"/>
  <c r="C614" i="3"/>
  <c r="D206" i="3"/>
  <c r="C604" i="27"/>
  <c r="D354" i="3"/>
  <c r="C381" i="27"/>
  <c r="C182" i="3"/>
  <c r="C279" i="27"/>
  <c r="S9" i="1"/>
  <c r="S8" i="1" s="1"/>
  <c r="B185" i="27"/>
  <c r="B187" i="3"/>
  <c r="C787" i="34"/>
  <c r="C821" i="34"/>
  <c r="C818" i="34"/>
  <c r="C819" i="34" s="1"/>
  <c r="C820" i="34" s="1"/>
  <c r="P28" i="1"/>
  <c r="C660" i="3"/>
  <c r="C687" i="27"/>
  <c r="C334" i="3" l="1"/>
  <c r="C335" i="3" s="1"/>
  <c r="C284" i="27"/>
  <c r="C308" i="27"/>
  <c r="C326" i="3"/>
  <c r="C330" i="3" s="1"/>
  <c r="C295" i="27" s="1"/>
  <c r="D326" i="3"/>
  <c r="D330" i="3" s="1"/>
  <c r="C313" i="27" s="1"/>
  <c r="C309" i="27"/>
  <c r="C309" i="3"/>
  <c r="I10" i="1" s="1"/>
  <c r="C320" i="3"/>
  <c r="C286" i="27" s="1"/>
  <c r="C302" i="27"/>
  <c r="C290" i="27"/>
  <c r="D320" i="3"/>
  <c r="D322" i="3" s="1"/>
  <c r="C306" i="27" s="1"/>
  <c r="C648" i="3"/>
  <c r="C624" i="3" s="1"/>
  <c r="C546" i="27"/>
  <c r="C563" i="3"/>
  <c r="C227" i="27"/>
  <c r="F216" i="3"/>
  <c r="C245" i="27" s="1"/>
  <c r="E216" i="3"/>
  <c r="C236" i="27" s="1"/>
  <c r="Q15" i="1"/>
  <c r="C740" i="27"/>
  <c r="K11" i="7"/>
  <c r="C181" i="27"/>
  <c r="C190" i="3"/>
  <c r="C423" i="27"/>
  <c r="C436" i="3"/>
  <c r="C425" i="27" s="1"/>
  <c r="C168" i="3"/>
  <c r="C14" i="27" s="1"/>
  <c r="C586" i="3"/>
  <c r="C606" i="27"/>
  <c r="C342" i="27"/>
  <c r="C197" i="3"/>
  <c r="C196" i="27" s="1"/>
  <c r="D19" i="1"/>
  <c r="B186" i="27"/>
  <c r="B188" i="3"/>
  <c r="C205" i="27"/>
  <c r="D209" i="3"/>
  <c r="C210" i="27" s="1"/>
  <c r="C345" i="27"/>
  <c r="A11" i="1"/>
  <c r="C198" i="3"/>
  <c r="C197" i="27" s="1"/>
  <c r="C688" i="27"/>
  <c r="D663" i="3"/>
  <c r="E663" i="3" s="1"/>
  <c r="F663" i="3" s="1"/>
  <c r="G663" i="3" s="1"/>
  <c r="H663" i="3" s="1"/>
  <c r="I663" i="3" s="1"/>
  <c r="J663" i="3" s="1"/>
  <c r="K663" i="3" s="1"/>
  <c r="L663" i="3" s="1"/>
  <c r="C691" i="27" s="1"/>
  <c r="C305" i="27"/>
  <c r="D308" i="3"/>
  <c r="C308" i="3"/>
  <c r="C287" i="27"/>
  <c r="C276" i="27"/>
  <c r="O10" i="1"/>
  <c r="D335" i="3"/>
  <c r="D313" i="3"/>
  <c r="C280" i="27" s="1"/>
  <c r="C317" i="27"/>
  <c r="C313" i="3"/>
  <c r="C299" i="27" l="1"/>
  <c r="C310" i="3"/>
  <c r="L10" i="1" s="1"/>
  <c r="L12" i="1" s="1"/>
  <c r="C310" i="27"/>
  <c r="C292" i="27"/>
  <c r="D310" i="3"/>
  <c r="R10" i="1" s="1"/>
  <c r="R12" i="1" s="1"/>
  <c r="C257" i="3" s="1"/>
  <c r="C267" i="27"/>
  <c r="C322" i="3"/>
  <c r="C288" i="27" s="1"/>
  <c r="C304" i="27"/>
  <c r="C638" i="27"/>
  <c r="C649" i="3"/>
  <c r="C639" i="27" s="1"/>
  <c r="C549" i="27"/>
  <c r="C564" i="3"/>
  <c r="C551" i="3"/>
  <c r="C761" i="27"/>
  <c r="K27" i="7"/>
  <c r="C777" i="27" s="1"/>
  <c r="C8" i="27" s="1"/>
  <c r="C166" i="3"/>
  <c r="C189" i="27"/>
  <c r="B189" i="3"/>
  <c r="B187" i="27"/>
  <c r="Z13" i="1"/>
  <c r="D238" i="3" s="1"/>
  <c r="C579" i="27"/>
  <c r="C18" i="27"/>
  <c r="Q24" i="1"/>
  <c r="C278" i="3" s="1"/>
  <c r="C616" i="27"/>
  <c r="C505" i="3"/>
  <c r="C486" i="27" s="1"/>
  <c r="O8" i="1"/>
  <c r="C275" i="27"/>
  <c r="C196" i="3"/>
  <c r="C195" i="27" s="1"/>
  <c r="D226" i="3"/>
  <c r="D323" i="3"/>
  <c r="C271" i="27"/>
  <c r="C300" i="27"/>
  <c r="C314" i="3"/>
  <c r="C272" i="27" s="1"/>
  <c r="D314" i="3"/>
  <c r="C281" i="27" s="1"/>
  <c r="C318" i="27"/>
  <c r="C195" i="3"/>
  <c r="I8" i="1"/>
  <c r="C266" i="27"/>
  <c r="C268" i="27" l="1"/>
  <c r="C277" i="27"/>
  <c r="C504" i="3"/>
  <c r="C485" i="27" s="1"/>
  <c r="C323" i="3"/>
  <c r="C307" i="3" s="1"/>
  <c r="C508" i="3"/>
  <c r="C529" i="3" s="1"/>
  <c r="C628" i="3"/>
  <c r="C618" i="27" s="1"/>
  <c r="C535" i="27"/>
  <c r="D12" i="1"/>
  <c r="C259" i="3" s="1"/>
  <c r="C550" i="27"/>
  <c r="C552" i="3"/>
  <c r="C536" i="27" s="1"/>
  <c r="D215" i="3"/>
  <c r="C226" i="27" s="1"/>
  <c r="D243" i="3"/>
  <c r="B190" i="3"/>
  <c r="B188" i="27"/>
  <c r="C12" i="27"/>
  <c r="Z22" i="1"/>
  <c r="C194" i="27"/>
  <c r="C209" i="3"/>
  <c r="C209" i="27" s="1"/>
  <c r="Z14" i="1"/>
  <c r="C256" i="3"/>
  <c r="D307" i="3"/>
  <c r="C307" i="27"/>
  <c r="C289" i="27" l="1"/>
  <c r="C527" i="3"/>
  <c r="D527" i="3" s="1"/>
  <c r="E527" i="3" s="1"/>
  <c r="S15" i="1"/>
  <c r="D265" i="3" s="1"/>
  <c r="D217" i="3" s="1"/>
  <c r="C228" i="27" s="1"/>
  <c r="C343" i="3"/>
  <c r="C320" i="27" s="1"/>
  <c r="C489" i="27"/>
  <c r="B189" i="27"/>
  <c r="B191" i="3"/>
  <c r="B190" i="27" s="1"/>
  <c r="C217" i="3"/>
  <c r="C274" i="27"/>
  <c r="C179" i="3"/>
  <c r="C178" i="27" s="1"/>
  <c r="O3" i="1"/>
  <c r="O2" i="1" s="1"/>
  <c r="C265" i="27"/>
  <c r="C178" i="3"/>
  <c r="I3" i="1"/>
  <c r="I2" i="1" s="1"/>
  <c r="C510" i="27"/>
  <c r="D529" i="3"/>
  <c r="E529" i="3" s="1"/>
  <c r="F529" i="3" s="1"/>
  <c r="G529" i="3" s="1"/>
  <c r="H529" i="3" s="1"/>
  <c r="I529" i="3" s="1"/>
  <c r="J529" i="3" s="1"/>
  <c r="K529" i="3" s="1"/>
  <c r="L529" i="3" s="1"/>
  <c r="D230" i="3"/>
  <c r="C236" i="3"/>
  <c r="Z15" i="1"/>
  <c r="C508" i="27" l="1"/>
  <c r="D547" i="3"/>
  <c r="C530" i="27" s="1"/>
  <c r="S42" i="1"/>
  <c r="E217" i="3"/>
  <c r="C237" i="27" s="1"/>
  <c r="C219" i="27"/>
  <c r="F217" i="3"/>
  <c r="C246" i="27" s="1"/>
  <c r="D244" i="3"/>
  <c r="C215" i="3"/>
  <c r="F527" i="3"/>
  <c r="C177" i="27"/>
  <c r="C180" i="3"/>
  <c r="C191" i="3" s="1"/>
  <c r="D266" i="3"/>
  <c r="C163" i="3"/>
  <c r="S47" i="1"/>
  <c r="D560" i="3" l="1"/>
  <c r="C552" i="27" s="1"/>
  <c r="G4" i="7"/>
  <c r="C190" i="27"/>
  <c r="C173" i="3"/>
  <c r="C171" i="27" s="1"/>
  <c r="C165" i="27"/>
  <c r="C10" i="27"/>
  <c r="F215" i="3"/>
  <c r="C244" i="27" s="1"/>
  <c r="C217" i="27"/>
  <c r="E215" i="3"/>
  <c r="C235" i="27" s="1"/>
  <c r="C179" i="27"/>
  <c r="C165" i="3"/>
  <c r="G527" i="3"/>
  <c r="D563" i="3" l="1"/>
  <c r="D551" i="3" s="1"/>
  <c r="H527" i="3"/>
  <c r="Z21" i="1"/>
  <c r="C11" i="27"/>
  <c r="C164" i="3"/>
  <c r="C733" i="27"/>
  <c r="K4" i="7"/>
  <c r="C555" i="27" l="1"/>
  <c r="D564" i="3"/>
  <c r="C556" i="27" s="1"/>
  <c r="C754" i="27"/>
  <c r="I527" i="3"/>
  <c r="S20" i="1"/>
  <c r="C538" i="27"/>
  <c r="C171" i="3"/>
  <c r="Z20" i="1"/>
  <c r="C166" i="27"/>
  <c r="C172" i="3"/>
  <c r="C170" i="3"/>
  <c r="D552" i="3" l="1"/>
  <c r="C539" i="27" s="1"/>
  <c r="C272" i="3"/>
  <c r="S23" i="1"/>
  <c r="C168" i="27"/>
  <c r="Z24" i="1"/>
  <c r="C15" i="27"/>
  <c r="C169" i="27"/>
  <c r="Z25" i="1"/>
  <c r="C16" i="27"/>
  <c r="J527" i="3"/>
  <c r="C17" i="27"/>
  <c r="C170" i="27"/>
  <c r="Z26" i="1"/>
  <c r="K527" i="3" l="1"/>
  <c r="C218" i="3"/>
  <c r="D273" i="3"/>
  <c r="D218" i="3" s="1"/>
  <c r="C229" i="27" s="1"/>
  <c r="E547" i="3"/>
  <c r="S43" i="1"/>
  <c r="L527" i="3" l="1"/>
  <c r="D279" i="3"/>
  <c r="E218" i="3"/>
  <c r="C238" i="27" s="1"/>
  <c r="C220" i="27"/>
  <c r="F218" i="3"/>
  <c r="C247" i="27" s="1"/>
  <c r="E560" i="3"/>
  <c r="C532" i="27"/>
  <c r="E563" i="3" l="1"/>
  <c r="C558" i="27"/>
  <c r="C6" i="7"/>
  <c r="E551" i="3" l="1"/>
  <c r="C561" i="27"/>
  <c r="E564" i="3"/>
  <c r="K6" i="7"/>
  <c r="C714" i="27"/>
  <c r="C562" i="27" l="1"/>
  <c r="E552" i="3"/>
  <c r="S26" i="1"/>
  <c r="C541" i="27"/>
  <c r="C756" i="27"/>
  <c r="K13" i="7"/>
  <c r="C287" i="3" l="1"/>
  <c r="C175" i="3"/>
  <c r="C173" i="27" s="1"/>
  <c r="K26" i="7"/>
  <c r="Z23" i="1" s="1"/>
  <c r="C763" i="27"/>
  <c r="C542" i="27"/>
  <c r="C509" i="3"/>
  <c r="C776" i="27" l="1"/>
  <c r="C9" i="27" s="1"/>
  <c r="K28" i="7"/>
  <c r="C778" i="27" s="1"/>
  <c r="C7" i="27" s="1"/>
  <c r="C530" i="3"/>
  <c r="C490" i="27"/>
  <c r="C219" i="3"/>
  <c r="C511" i="27" l="1"/>
  <c r="D530" i="3"/>
  <c r="C532" i="3"/>
  <c r="C221" i="27"/>
  <c r="E530" i="3" l="1"/>
  <c r="D532" i="3"/>
  <c r="C538" i="3"/>
  <c r="C513" i="27"/>
  <c r="C534" i="3"/>
  <c r="C515" i="27" s="1"/>
  <c r="C519" i="27" l="1"/>
  <c r="D531" i="3"/>
  <c r="D534" i="3" s="1"/>
  <c r="D538" i="3"/>
  <c r="E531" i="3" s="1"/>
  <c r="F530" i="3"/>
  <c r="E532" i="3"/>
  <c r="E538" i="3" l="1"/>
  <c r="F531" i="3" s="1"/>
  <c r="E534" i="3"/>
  <c r="G530" i="3"/>
  <c r="F532" i="3"/>
  <c r="F534" i="3" l="1"/>
  <c r="F538" i="3"/>
  <c r="G531" i="3" s="1"/>
  <c r="H530" i="3"/>
  <c r="G532" i="3"/>
  <c r="G534" i="3" l="1"/>
  <c r="G538" i="3"/>
  <c r="H531" i="3" s="1"/>
  <c r="I530" i="3"/>
  <c r="H532" i="3"/>
  <c r="H538" i="3" l="1"/>
  <c r="I531" i="3" s="1"/>
  <c r="H534" i="3"/>
  <c r="J530" i="3"/>
  <c r="I532" i="3"/>
  <c r="I534" i="3" l="1"/>
  <c r="I538" i="3"/>
  <c r="J531" i="3" s="1"/>
  <c r="K530" i="3"/>
  <c r="J532" i="3"/>
  <c r="D542" i="3" l="1"/>
  <c r="V30" i="1"/>
  <c r="J538" i="3"/>
  <c r="D541" i="3"/>
  <c r="J534" i="3"/>
  <c r="C513" i="3" s="1"/>
  <c r="C494" i="27" s="1"/>
  <c r="L530" i="3"/>
  <c r="L532" i="3" s="1"/>
  <c r="K532" i="3"/>
  <c r="D221" i="3" l="1"/>
  <c r="C232" i="27" s="1"/>
  <c r="D220" i="3"/>
  <c r="C231" i="27" s="1"/>
  <c r="K538" i="3"/>
  <c r="L531" i="3" s="1"/>
  <c r="L534" i="3" s="1"/>
  <c r="C512" i="3"/>
  <c r="C493" i="27" s="1"/>
  <c r="D231" i="3"/>
  <c r="K531" i="3"/>
  <c r="K534" i="3" s="1"/>
  <c r="L538" i="3"/>
  <c r="R30" i="1" s="1"/>
  <c r="D293" i="3" l="1"/>
  <c r="A29" i="1"/>
  <c r="Q35" i="1"/>
  <c r="C225" i="3" s="1"/>
  <c r="N35" i="1"/>
  <c r="C541" i="3"/>
  <c r="C542" i="3"/>
  <c r="D664" i="3"/>
  <c r="C522" i="27" l="1"/>
  <c r="C220" i="3"/>
  <c r="E541" i="3"/>
  <c r="E664" i="3"/>
  <c r="C214" i="3"/>
  <c r="C523" i="27"/>
  <c r="C221" i="3"/>
  <c r="E542" i="3"/>
  <c r="D229" i="3"/>
  <c r="D214" i="3" s="1"/>
  <c r="C225" i="27" s="1"/>
  <c r="S44" i="1"/>
  <c r="D294" i="3"/>
  <c r="C174" i="27" s="1"/>
  <c r="D667" i="3"/>
  <c r="D295" i="3" l="1"/>
  <c r="D219" i="3"/>
  <c r="F219" i="3" s="1"/>
  <c r="C248" i="27" s="1"/>
  <c r="D668" i="3"/>
  <c r="D669" i="3" s="1"/>
  <c r="D233" i="3"/>
  <c r="E220" i="3"/>
  <c r="C240" i="27" s="1"/>
  <c r="Z29" i="1"/>
  <c r="Z30" i="1"/>
  <c r="E221" i="3"/>
  <c r="C241" i="27" s="1"/>
  <c r="E214" i="3"/>
  <c r="C234" i="27" s="1"/>
  <c r="C216" i="27"/>
  <c r="F214" i="3"/>
  <c r="F220" i="3"/>
  <c r="C249" i="27" s="1"/>
  <c r="C222" i="27"/>
  <c r="C223" i="27"/>
  <c r="F221" i="3"/>
  <c r="C250" i="27" s="1"/>
  <c r="E667" i="3"/>
  <c r="E668" i="3" s="1"/>
  <c r="E669" i="3" s="1"/>
  <c r="F664" i="3"/>
  <c r="D670" i="3"/>
  <c r="E670" i="3"/>
  <c r="C230" i="27" l="1"/>
  <c r="E219" i="3"/>
  <c r="C239" i="27" s="1"/>
  <c r="C243" i="27"/>
  <c r="Z33" i="1"/>
  <c r="C213" i="27" s="1"/>
  <c r="F667" i="3"/>
  <c r="F668" i="3" s="1"/>
  <c r="F669" i="3" s="1"/>
  <c r="G664" i="3"/>
  <c r="F670" i="3"/>
  <c r="H664" i="3" l="1"/>
  <c r="G667" i="3"/>
  <c r="G668" i="3" s="1"/>
  <c r="G669" i="3" s="1"/>
  <c r="G670" i="3"/>
  <c r="H667" i="3" l="1"/>
  <c r="H668" i="3" s="1"/>
  <c r="H669" i="3" s="1"/>
  <c r="I664" i="3"/>
  <c r="H670" i="3"/>
  <c r="J664" i="3" l="1"/>
  <c r="I667" i="3"/>
  <c r="I668" i="3" s="1"/>
  <c r="I669" i="3" s="1"/>
  <c r="I670" i="3"/>
  <c r="K664" i="3" l="1"/>
  <c r="J667" i="3"/>
  <c r="J668" i="3" s="1"/>
  <c r="J669" i="3" s="1"/>
  <c r="J670" i="3"/>
  <c r="L664" i="3" l="1"/>
  <c r="K667" i="3"/>
  <c r="K668" i="3" s="1"/>
  <c r="K669" i="3" s="1"/>
  <c r="K670" i="3"/>
  <c r="L667" i="3" l="1"/>
  <c r="C692" i="27"/>
  <c r="C695" i="27" l="1"/>
  <c r="L668" i="3"/>
  <c r="L669" i="3" l="1"/>
  <c r="C696" i="27"/>
  <c r="C672" i="3"/>
  <c r="L670" i="3"/>
  <c r="C698" i="27" l="1"/>
  <c r="C700" i="27"/>
  <c r="C651" i="3"/>
  <c r="C641" i="27" s="1"/>
  <c r="C673" i="3"/>
  <c r="C674" i="3" s="1"/>
  <c r="C697" i="27"/>
  <c r="C702" i="27" l="1"/>
  <c r="C676" i="3"/>
  <c r="C704" i="27" s="1"/>
  <c r="C701" i="27"/>
  <c r="C675" i="3"/>
  <c r="C678" i="3"/>
  <c r="C706" i="27" l="1"/>
  <c r="C679" i="3"/>
  <c r="C703" i="27"/>
  <c r="C677" i="3"/>
  <c r="C707" i="27" l="1"/>
  <c r="C680" i="3"/>
  <c r="C708" i="27" s="1"/>
  <c r="P37" i="1"/>
  <c r="C705" i="2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Adam Green</author>
  </authors>
  <commentList>
    <comment ref="F4" authorId="0" shapeId="0" xr:uid="{00000000-0006-0000-0100-000001000000}">
      <text>
        <r>
          <rPr>
            <b/>
            <sz val="9"/>
            <color indexed="81"/>
            <rFont val="Tahoma"/>
            <family val="2"/>
          </rPr>
          <t>Adam Green:</t>
        </r>
        <r>
          <rPr>
            <sz val="9"/>
            <color indexed="81"/>
            <rFont val="Tahoma"/>
            <family val="2"/>
          </rPr>
          <t xml:space="preserve">
Willans line includes a manual adjustment to get it correct!</t>
        </r>
      </text>
    </comment>
    <comment ref="C5" authorId="0" shapeId="0" xr:uid="{00000000-0006-0000-0100-000002000000}">
      <text>
        <r>
          <rPr>
            <b/>
            <sz val="9"/>
            <color indexed="81"/>
            <rFont val="Tahoma"/>
            <family val="2"/>
          </rPr>
          <t>Adam Green:</t>
        </r>
        <r>
          <rPr>
            <sz val="9"/>
            <color indexed="81"/>
            <rFont val="Tahoma"/>
            <family val="2"/>
          </rPr>
          <t xml:space="preserve">
More than 5 cases can be run if required - the macro will keep copying the results into columnas</t>
        </r>
      </text>
    </comment>
    <comment ref="A11" authorId="0" shapeId="0" xr:uid="{00000000-0006-0000-0100-000003000000}">
      <text>
        <r>
          <rPr>
            <b/>
            <sz val="9"/>
            <color indexed="81"/>
            <rFont val="Tahoma"/>
            <family val="2"/>
          </rPr>
          <t>Adam Green:</t>
        </r>
        <r>
          <rPr>
            <sz val="9"/>
            <color indexed="81"/>
            <rFont val="Tahoma"/>
            <family val="2"/>
          </rPr>
          <t xml:space="preserve">
</t>
        </r>
        <r>
          <rPr>
            <sz val="13"/>
            <color indexed="81"/>
            <rFont val="Tahoma"/>
            <family val="2"/>
          </rPr>
          <t>GT1 is the lead GT, in terms of how maintenance and parasitics are calculated.  If only a single GT is going to be used then it must be GT1.</t>
        </r>
      </text>
    </comment>
    <comment ref="A23" authorId="0" shapeId="0" xr:uid="{00000000-0006-0000-0100-000004000000}">
      <text>
        <r>
          <rPr>
            <b/>
            <sz val="9"/>
            <color indexed="81"/>
            <rFont val="Tahoma"/>
            <family val="2"/>
          </rPr>
          <t>Adam Green:</t>
        </r>
        <r>
          <rPr>
            <sz val="9"/>
            <color indexed="81"/>
            <rFont val="Tahoma"/>
            <family val="2"/>
          </rPr>
          <t xml:space="preserve">
On or Off Only - due to non-linear nature of low grade  heat recovery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IT4092</author>
  </authors>
  <commentList>
    <comment ref="Y40" authorId="0" shapeId="0" xr:uid="{00000000-0006-0000-0300-000001000000}">
      <text>
        <r>
          <rPr>
            <b/>
            <sz val="9"/>
            <color indexed="81"/>
            <rFont val="Tahoma"/>
            <family val="2"/>
          </rPr>
          <t>IT4092:</t>
        </r>
        <r>
          <rPr>
            <sz val="9"/>
            <color indexed="81"/>
            <rFont val="Tahoma"/>
            <family val="2"/>
          </rPr>
          <t xml:space="preserve">
http://msdn.microsoft.com/en-us/library/office/aa272382(v=office.10).aspx</t>
        </r>
      </text>
    </comment>
    <comment ref="C76" authorId="0" shapeId="0" xr:uid="{00000000-0006-0000-0300-000002000000}">
      <text>
        <r>
          <rPr>
            <b/>
            <sz val="9"/>
            <color indexed="81"/>
            <rFont val="Tahoma"/>
            <family val="2"/>
          </rPr>
          <t>IT4092:</t>
        </r>
        <r>
          <rPr>
            <sz val="9"/>
            <color indexed="81"/>
            <rFont val="Tahoma"/>
            <family val="2"/>
          </rPr>
          <t xml:space="preserve">
1 = import</t>
        </r>
      </text>
    </comment>
  </commentList>
</comments>
</file>

<file path=xl/sharedStrings.xml><?xml version="1.0" encoding="utf-8"?>
<sst xmlns="http://schemas.openxmlformats.org/spreadsheetml/2006/main" count="3292" uniqueCount="1060">
  <si>
    <t>Blowdown</t>
  </si>
  <si>
    <t>Min</t>
  </si>
  <si>
    <t>Max</t>
  </si>
  <si>
    <t>%</t>
  </si>
  <si>
    <t>GT1</t>
  </si>
  <si>
    <t>GT2</t>
  </si>
  <si>
    <t>Type</t>
  </si>
  <si>
    <t>Binary</t>
  </si>
  <si>
    <t>kW</t>
  </si>
  <si>
    <t>kWe</t>
  </si>
  <si>
    <t>WHB-1</t>
  </si>
  <si>
    <t>WHB-2</t>
  </si>
  <si>
    <t>ton/hr</t>
  </si>
  <si>
    <t>LP</t>
  </si>
  <si>
    <t>Pressure</t>
  </si>
  <si>
    <t>barg</t>
  </si>
  <si>
    <t>bara</t>
  </si>
  <si>
    <t>Temperature</t>
  </si>
  <si>
    <t>C</t>
  </si>
  <si>
    <t>kJ/kg</t>
  </si>
  <si>
    <t>Latent</t>
  </si>
  <si>
    <t>Gauge</t>
  </si>
  <si>
    <t>Total</t>
  </si>
  <si>
    <t>MWe</t>
  </si>
  <si>
    <t>Enthalpy</t>
  </si>
  <si>
    <t>Entropy</t>
  </si>
  <si>
    <t>bar</t>
  </si>
  <si>
    <t>kJ/kg.C</t>
  </si>
  <si>
    <t>GT-1</t>
  </si>
  <si>
    <t>GT-2</t>
  </si>
  <si>
    <t>Outlet Enthalpy</t>
  </si>
  <si>
    <t>Blowdown rate</t>
  </si>
  <si>
    <t>Makeup water temp</t>
  </si>
  <si>
    <t>BFW</t>
  </si>
  <si>
    <t>p/kWhr</t>
  </si>
  <si>
    <t>Gas</t>
  </si>
  <si>
    <t>MW</t>
  </si>
  <si>
    <t>Import</t>
  </si>
  <si>
    <t>Export</t>
  </si>
  <si>
    <t>N/A</t>
  </si>
  <si>
    <t>Constraints</t>
  </si>
  <si>
    <t>Desuperheating water flow</t>
  </si>
  <si>
    <t>Atmospheric Pressure</t>
  </si>
  <si>
    <t>Turbine Work</t>
  </si>
  <si>
    <t>GT on/off</t>
  </si>
  <si>
    <t>Intercept</t>
  </si>
  <si>
    <t>Slope</t>
  </si>
  <si>
    <t>B5</t>
  </si>
  <si>
    <t>MP</t>
  </si>
  <si>
    <t>Raw Makeup</t>
  </si>
  <si>
    <t>lb/hr</t>
  </si>
  <si>
    <t>Inlet Flow</t>
  </si>
  <si>
    <t>Inlet steam conditions = 350 psig, 680 oF</t>
  </si>
  <si>
    <t>Exhaust pressure = 25 psig</t>
  </si>
  <si>
    <t>Total Throttle Flow</t>
  </si>
  <si>
    <t>Output</t>
  </si>
  <si>
    <t>ST6</t>
  </si>
  <si>
    <t>ST5</t>
  </si>
  <si>
    <t>ST2</t>
  </si>
  <si>
    <t>Int</t>
  </si>
  <si>
    <t>B7</t>
  </si>
  <si>
    <t>EHP - HP</t>
  </si>
  <si>
    <t>HP - MP</t>
  </si>
  <si>
    <t>MP - LP</t>
  </si>
  <si>
    <t>Demin water enthalpy</t>
  </si>
  <si>
    <t>DSHW Flow</t>
  </si>
  <si>
    <t>EHP Main</t>
  </si>
  <si>
    <t>MP Main</t>
  </si>
  <si>
    <t>LP Main</t>
  </si>
  <si>
    <t>Extraction Flow</t>
  </si>
  <si>
    <t>[MW]</t>
  </si>
  <si>
    <t>Extraction Flow [ton/hr]</t>
  </si>
  <si>
    <r>
      <t>R</t>
    </r>
    <r>
      <rPr>
        <b/>
        <vertAlign val="superscript"/>
        <sz val="10"/>
        <rFont val="Arial"/>
        <family val="2"/>
      </rPr>
      <t>2</t>
    </r>
  </si>
  <si>
    <t>Electrical Output</t>
  </si>
  <si>
    <t>Extraction Flow [lb/hr]</t>
  </si>
  <si>
    <t>[kW]</t>
  </si>
  <si>
    <t>Steam Consumption</t>
  </si>
  <si>
    <t>Note that for steam turbine 5, the regression analysis is done again the inlet flow (equal to the exhaust + extraction flow).</t>
  </si>
  <si>
    <t>Outlet Flow</t>
  </si>
  <si>
    <t>Power Output</t>
  </si>
  <si>
    <t>Precision</t>
  </si>
  <si>
    <t>Min.</t>
  </si>
  <si>
    <t>Max.</t>
  </si>
  <si>
    <t>bin.</t>
  </si>
  <si>
    <t>Deaeration Steam</t>
  </si>
  <si>
    <t>Makeup water</t>
  </si>
  <si>
    <t>Lenzing</t>
  </si>
  <si>
    <t>Bluestar</t>
  </si>
  <si>
    <t>OFF</t>
  </si>
  <si>
    <t>min</t>
  </si>
  <si>
    <t>max</t>
  </si>
  <si>
    <t>Steam Turbine 2</t>
  </si>
  <si>
    <t>Steam Turbine 5</t>
  </si>
  <si>
    <t>Steam Turbine 6</t>
  </si>
  <si>
    <t>Electricity Sale Price</t>
  </si>
  <si>
    <t>BLUE</t>
  </si>
  <si>
    <t>TOTAL</t>
  </si>
  <si>
    <t>MP Steam to Lenzing</t>
  </si>
  <si>
    <t>LP Steam to Lenzing</t>
  </si>
  <si>
    <t>MP Steam to Bluestar</t>
  </si>
  <si>
    <t>LP Steam to Bluestar</t>
  </si>
  <si>
    <t>Lenzing Demand</t>
  </si>
  <si>
    <t>Bluestar Demand</t>
  </si>
  <si>
    <t>Humber Parasitics</t>
  </si>
  <si>
    <t>Gross Power Gen.</t>
  </si>
  <si>
    <t>Net Power Gen.</t>
  </si>
  <si>
    <t>Export Power</t>
  </si>
  <si>
    <t>LP Steam Demand</t>
  </si>
  <si>
    <t>MP Steam Demand</t>
  </si>
  <si>
    <t>MP Sale Price</t>
  </si>
  <si>
    <t>LP Sale Price</t>
  </si>
  <si>
    <t>Site import/export limit</t>
  </si>
  <si>
    <t>LENZ</t>
  </si>
  <si>
    <t>Min Inlet</t>
  </si>
  <si>
    <t>Check</t>
  </si>
  <si>
    <t>Max Inlet</t>
  </si>
  <si>
    <t>It is not clear from the curve wether this relationship extends to extraction flows below 20,000 lb/hr.</t>
  </si>
  <si>
    <t>The relationship between the maximum inlet flow and a given extraction flow:</t>
  </si>
  <si>
    <t>Relationship between our maximum inlet flow and extraction flow:</t>
  </si>
  <si>
    <t>Our maximum inlet flow is essentially constant at 52 ton/hr for any extraction flow.</t>
  </si>
  <si>
    <t>Relationship between minimum inlet flow and extraction flow:</t>
  </si>
  <si>
    <t>Total Steam Produced</t>
  </si>
  <si>
    <t>MP Boiler 2</t>
  </si>
  <si>
    <t>MP Boiler 1</t>
  </si>
  <si>
    <t>Steam Turbine 7</t>
  </si>
  <si>
    <t>Header Balances</t>
  </si>
  <si>
    <t>Electricity Balance</t>
  </si>
  <si>
    <t>Ambient Temperature [C]</t>
  </si>
  <si>
    <t>GT Load [%]</t>
  </si>
  <si>
    <t xml:space="preserve">Start </t>
  </si>
  <si>
    <t>End</t>
  </si>
  <si>
    <t>Select row for correlation required</t>
  </si>
  <si>
    <t>HRSG efficiency</t>
  </si>
  <si>
    <t>Ambient temperature</t>
  </si>
  <si>
    <t>On/Off</t>
  </si>
  <si>
    <t>Steam Generation</t>
  </si>
  <si>
    <t>Gas Required.</t>
  </si>
  <si>
    <t>Boiler on/off</t>
  </si>
  <si>
    <t>EHP Steam Generation</t>
  </si>
  <si>
    <t>HP Steam Generation</t>
  </si>
  <si>
    <t>Desuperheating water flow is calculated using the mass &amp; energy balance around the PRDS.</t>
  </si>
  <si>
    <t>Two unknowns  = DSH mass flow and outlet flow, 2 equations  = mass &amp; energy balance.</t>
  </si>
  <si>
    <t>ST7</t>
  </si>
  <si>
    <t>[ton/hr]</t>
  </si>
  <si>
    <r>
      <t>R</t>
    </r>
    <r>
      <rPr>
        <vertAlign val="superscript"/>
        <sz val="11"/>
        <color theme="1"/>
        <rFont val="Calibri"/>
        <family val="2"/>
        <scheme val="minor"/>
      </rPr>
      <t>2</t>
    </r>
  </si>
  <si>
    <t>Int.</t>
  </si>
  <si>
    <t>Minimum Inlet Flow</t>
  </si>
  <si>
    <t xml:space="preserve">Check Calc for Electrical Output </t>
  </si>
  <si>
    <t>The relationship between our extraction flow and the minimum inlet flow is fitted for three points:</t>
  </si>
  <si>
    <t>Maximum Inlet Flow</t>
  </si>
  <si>
    <t>Inlet [ton/hr]</t>
  </si>
  <si>
    <t>Check Calc for Electrical Output</t>
  </si>
  <si>
    <t>Exhaust [kg/hr]</t>
  </si>
  <si>
    <t>Inlet [lb/hr]</t>
  </si>
  <si>
    <t>Ambient temperature column references:</t>
  </si>
  <si>
    <t>Ambient temperature [C]</t>
  </si>
  <si>
    <t>SUPP</t>
  </si>
  <si>
    <t>The power output can then be calculated from the inlet flow.</t>
  </si>
  <si>
    <t>Curr.</t>
  </si>
  <si>
    <t>Site Water Balance</t>
  </si>
  <si>
    <t>Condensate Return</t>
  </si>
  <si>
    <t>Steam to customers</t>
  </si>
  <si>
    <t>In</t>
  </si>
  <si>
    <t>Out</t>
  </si>
  <si>
    <t>LP Vent</t>
  </si>
  <si>
    <t>DA Vent</t>
  </si>
  <si>
    <t>Gross Power Generation</t>
  </si>
  <si>
    <t>Inlet Enthalpy</t>
  </si>
  <si>
    <t>B4</t>
  </si>
  <si>
    <t>Flow</t>
  </si>
  <si>
    <t>kg/hr</t>
  </si>
  <si>
    <t>MP-1</t>
  </si>
  <si>
    <t>MP-2</t>
  </si>
  <si>
    <t>MP Steam Generation</t>
  </si>
  <si>
    <t>Assumption that all TEG steam is generated.</t>
  </si>
  <si>
    <t>MP Steam Losses</t>
  </si>
  <si>
    <t>Inlet flow</t>
  </si>
  <si>
    <t>The slope used for the performance curve for ST7 in the model is the top half of the curve as shown in graph.</t>
  </si>
  <si>
    <t>This will overestimate the power output at lower loads, but will give the true performance at loads above 18.75 ton/hr.</t>
  </si>
  <si>
    <t>£/ton</t>
  </si>
  <si>
    <t>WHB 1 Supp Firing</t>
  </si>
  <si>
    <t>WHB 2 Supp Firing</t>
  </si>
  <si>
    <t>Note that the parasitics for the boilers are calculated in the Parasitics section.</t>
  </si>
  <si>
    <t>Operator</t>
  </si>
  <si>
    <t>PFD</t>
  </si>
  <si>
    <t>Economics</t>
  </si>
  <si>
    <t>Results</t>
  </si>
  <si>
    <t xml:space="preserve">Essentially the model is a mass balance around each header, with the letdown flows constrained to be 0 or greater.  </t>
  </si>
  <si>
    <t>Convergence</t>
  </si>
  <si>
    <t>Integer Tolerance</t>
  </si>
  <si>
    <t>Estimates</t>
  </si>
  <si>
    <t>Derivatives</t>
  </si>
  <si>
    <t>Search</t>
  </si>
  <si>
    <t>bin</t>
  </si>
  <si>
    <t xml:space="preserve"> </t>
  </si>
  <si>
    <t>≤</t>
  </si>
  <si>
    <t>Steam generation</t>
  </si>
  <si>
    <t>Max Constraints</t>
  </si>
  <si>
    <t>Min Constraints</t>
  </si>
  <si>
    <t>=</t>
  </si>
  <si>
    <t>Losses</t>
  </si>
  <si>
    <t>EHP - HP PRDS</t>
  </si>
  <si>
    <t>HP - MP PRDS</t>
  </si>
  <si>
    <t>MP - LP PRDS</t>
  </si>
  <si>
    <t>ST5 LP Outlet</t>
  </si>
  <si>
    <t>ST6 LP Outlet</t>
  </si>
  <si>
    <t>ST 7 LP Outlet</t>
  </si>
  <si>
    <t>LP Steam Losses</t>
  </si>
  <si>
    <t>DA Steam</t>
  </si>
  <si>
    <t>Balance</t>
  </si>
  <si>
    <t>Summary of all Site Balances</t>
  </si>
  <si>
    <t>Site Water</t>
  </si>
  <si>
    <t>Parasitics</t>
  </si>
  <si>
    <t>EHP Header</t>
  </si>
  <si>
    <t>HP Header</t>
  </si>
  <si>
    <t>MP Header</t>
  </si>
  <si>
    <t>LP Header</t>
  </si>
  <si>
    <t>ON</t>
  </si>
  <si>
    <t>Assumptions</t>
  </si>
  <si>
    <t>LOSS</t>
  </si>
  <si>
    <t xml:space="preserve">BFW </t>
  </si>
  <si>
    <t>Abs.</t>
  </si>
  <si>
    <t>binary</t>
  </si>
  <si>
    <t>Electricity balance</t>
  </si>
  <si>
    <t>EHP header</t>
  </si>
  <si>
    <t>HP header</t>
  </si>
  <si>
    <t>MP header</t>
  </si>
  <si>
    <t>LP header</t>
  </si>
  <si>
    <t xml:space="preserve">Load on Engine </t>
  </si>
  <si>
    <t>Gross Gas Use</t>
  </si>
  <si>
    <t>kWth</t>
  </si>
  <si>
    <t>GE Load</t>
  </si>
  <si>
    <t>GE on/off</t>
  </si>
  <si>
    <t>Gas Engine</t>
  </si>
  <si>
    <t>HP Header Losses</t>
  </si>
  <si>
    <t>£</t>
  </si>
  <si>
    <t>Demin</t>
  </si>
  <si>
    <t>DA Steam Required</t>
  </si>
  <si>
    <t>New DA Steam Requirement</t>
  </si>
  <si>
    <t>Steam being generated</t>
  </si>
  <si>
    <t>Site Balances</t>
  </si>
  <si>
    <t>Site Assumptions</t>
  </si>
  <si>
    <t>Gas Turbine and Waste Heat Boiler Model</t>
  </si>
  <si>
    <t>EHP &amp; MP Boilers</t>
  </si>
  <si>
    <t>Deaerator</t>
  </si>
  <si>
    <t>Desuperheating Water</t>
  </si>
  <si>
    <t>Table of Contents</t>
  </si>
  <si>
    <t>ON/OFF</t>
  </si>
  <si>
    <t>TAL</t>
  </si>
  <si>
    <t>Condensate Return Credit</t>
  </si>
  <si>
    <t>£/hr</t>
  </si>
  <si>
    <t>Condensate Heat Credit</t>
  </si>
  <si>
    <t>EHP B4 Parasitics</t>
  </si>
  <si>
    <t>EHP B7 Parasitics</t>
  </si>
  <si>
    <t>EHP B9 Parasitics</t>
  </si>
  <si>
    <t>WHB 1 Parasitics</t>
  </si>
  <si>
    <t>WHB 2 Parasitics</t>
  </si>
  <si>
    <t>GT 1 Parasitics</t>
  </si>
  <si>
    <t>GT 2 Parasitics</t>
  </si>
  <si>
    <t>MP Boiler 1 Parasitics</t>
  </si>
  <si>
    <t>MP Boiler 2 Parasitics</t>
  </si>
  <si>
    <t>GT Model</t>
  </si>
  <si>
    <t>ST Model</t>
  </si>
  <si>
    <t>Boilers</t>
  </si>
  <si>
    <t>Thermoflex output data:</t>
  </si>
  <si>
    <t>INPUT VARIABLE DESCRIPTION</t>
  </si>
  <si>
    <t>Units</t>
  </si>
  <si>
    <t>Input</t>
  </si>
  <si>
    <t>GT power as % of site rating</t>
  </si>
  <si>
    <t>OUTPUT VARIABLE DESCRIPTION</t>
  </si>
  <si>
    <t>Plant gross output</t>
  </si>
  <si>
    <t>Plant gross elec eff</t>
  </si>
  <si>
    <t>Plant net elec eff</t>
  </si>
  <si>
    <t>t/h</t>
  </si>
  <si>
    <t>Fuel HHV chemical energy to duct burner(s) (77F/25C)</t>
  </si>
  <si>
    <t>Main IP process mass flow</t>
  </si>
  <si>
    <t>Main IP process pressure</t>
  </si>
  <si>
    <t>Main IP process temperature</t>
  </si>
  <si>
    <t>Ambient Temp. [C]</t>
  </si>
  <si>
    <t>[%]</t>
  </si>
  <si>
    <t>[kWth]</t>
  </si>
  <si>
    <t>Steam injection to fuel flow ratio</t>
  </si>
  <si>
    <t>Duct burner HHV heat input (per HRSG)</t>
  </si>
  <si>
    <t>Plant net output</t>
  </si>
  <si>
    <t>GT fuel HHV chemical energy input (77F/25C)</t>
  </si>
  <si>
    <t>Calculation Inputs</t>
  </si>
  <si>
    <t>Calculation Outputs</t>
  </si>
  <si>
    <t>Power loss due to extraction</t>
  </si>
  <si>
    <t>Extraction range</t>
  </si>
  <si>
    <t>x</t>
  </si>
  <si>
    <t>y</t>
  </si>
  <si>
    <t>Steam turbine 5 is modelled using the line for no extraction only, and then adjusting for the power loss due to extraction.</t>
  </si>
  <si>
    <t>As all of the steam turbine curves for different extractions have the same slope, the power loss due to extraction is constant for any inlet flow.</t>
  </si>
  <si>
    <t>Unadjusted ST power</t>
  </si>
  <si>
    <t>Extraction adjustment</t>
  </si>
  <si>
    <t>The extraction flow is constrained:</t>
  </si>
  <si>
    <t>Slope for ST curve:</t>
  </si>
  <si>
    <t>intercept</t>
  </si>
  <si>
    <t>Currently Displayed Case</t>
  </si>
  <si>
    <t>New makeup water temperature</t>
  </si>
  <si>
    <t>DA balance checks:</t>
  </si>
  <si>
    <t>in</t>
  </si>
  <si>
    <t>out</t>
  </si>
  <si>
    <t>balance</t>
  </si>
  <si>
    <t>Base gas price (BGP)</t>
  </si>
  <si>
    <t>Base electricity charge (BEC)</t>
  </si>
  <si>
    <t>Base steam charge (MP)</t>
  </si>
  <si>
    <t>Base steam charge (LP)</t>
  </si>
  <si>
    <t>kWh/ton</t>
  </si>
  <si>
    <t>Heat of Condensate</t>
  </si>
  <si>
    <t>TAL Demand</t>
  </si>
  <si>
    <t>Customer Tariffs</t>
  </si>
  <si>
    <t>In this section the tariffs for steam and electricity are calculated.</t>
  </si>
  <si>
    <t>B9</t>
  </si>
  <si>
    <t>On/off</t>
  </si>
  <si>
    <t>Inlet</t>
  </si>
  <si>
    <t>Extraction</t>
  </si>
  <si>
    <t>Power after extraction adjustment</t>
  </si>
  <si>
    <t>Slope of no extraction line</t>
  </si>
  <si>
    <t>Intercept of no extraction line</t>
  </si>
  <si>
    <t>MWh</t>
  </si>
  <si>
    <t>kWh</t>
  </si>
  <si>
    <t>Export (Import)</t>
  </si>
  <si>
    <t>Mwe</t>
  </si>
  <si>
    <t>Adjusted electric efficiency</t>
  </si>
  <si>
    <t>Thermoflex gross electric efficiency</t>
  </si>
  <si>
    <t>Adjusted gross gas use</t>
  </si>
  <si>
    <t>kW HHV</t>
  </si>
  <si>
    <t>includes a very small number to avoided a DIV/0 error</t>
  </si>
  <si>
    <t>Adjustment to GT electric efficiency</t>
  </si>
  <si>
    <t>Energy content of natural gas</t>
  </si>
  <si>
    <t>Adjustment to GT gross power output</t>
  </si>
  <si>
    <t>Data from 130204 No 6 TA Trial  pdf (2).pdf</t>
  </si>
  <si>
    <t>Steam flow</t>
  </si>
  <si>
    <t>Electrical Load</t>
  </si>
  <si>
    <t>Gas Engine Gross Power</t>
  </si>
  <si>
    <t>DA Balance</t>
  </si>
  <si>
    <t>Heat</t>
  </si>
  <si>
    <t>Mass</t>
  </si>
  <si>
    <t>LP Steam Generation</t>
  </si>
  <si>
    <t>Gas Engine Assumptions</t>
  </si>
  <si>
    <t>B4 On/Off</t>
  </si>
  <si>
    <t>Total site blowdown</t>
  </si>
  <si>
    <t>Desuperheating water requried</t>
  </si>
  <si>
    <t>business continuity document</t>
  </si>
  <si>
    <t>Gas Turbine &amp; WHB Assumptions</t>
  </si>
  <si>
    <t>Steam Turbine Assumptions</t>
  </si>
  <si>
    <t>EHP &amp; MP Boiler Assumptions</t>
  </si>
  <si>
    <t>Deaerator Assumptions</t>
  </si>
  <si>
    <t>Desuperheating Water Assumptions</t>
  </si>
  <si>
    <t>HEL Parastics Assumptions</t>
  </si>
  <si>
    <t>same as the boiler feedwater temperature</t>
  </si>
  <si>
    <t>Other assumptions</t>
  </si>
  <si>
    <t>No adjustment is made for any efficiency changes (low heat mode or open cycle mode etc.) in calculation of the customer charges for steam &amp; power.</t>
  </si>
  <si>
    <t>Delivered Heat to Power Ratio</t>
  </si>
  <si>
    <t>Demand Heat to Power Ratio</t>
  </si>
  <si>
    <t>p/kWh</t>
  </si>
  <si>
    <t xml:space="preserve">Shared services </t>
  </si>
  <si>
    <t>Condensate return temperature</t>
  </si>
  <si>
    <t>from site visit on 05.02.13</t>
  </si>
  <si>
    <t>Vent enthalpy</t>
  </si>
  <si>
    <t>Deaeration steam enthalpy</t>
  </si>
  <si>
    <t>BFW enthalpy</t>
  </si>
  <si>
    <t>set at 80 C for all customers</t>
  </si>
  <si>
    <t>MP Steam to TAL</t>
  </si>
  <si>
    <t>STIG</t>
  </si>
  <si>
    <t>Maximum output of WHB</t>
  </si>
  <si>
    <t>GT &amp; WHB constraints</t>
  </si>
  <si>
    <t>Power</t>
  </si>
  <si>
    <t>Steam Thermodynamics</t>
  </si>
  <si>
    <t xml:space="preserve">In </t>
  </si>
  <si>
    <t>Total Out</t>
  </si>
  <si>
    <t>R2</t>
  </si>
  <si>
    <t>c</t>
  </si>
  <si>
    <t>Unadjusted power output</t>
  </si>
  <si>
    <t>Change in power</t>
  </si>
  <si>
    <t>Change in power per extraction level</t>
  </si>
  <si>
    <t>Extraction level</t>
  </si>
  <si>
    <t>Specific change in power</t>
  </si>
  <si>
    <t>Turbine power output</t>
  </si>
  <si>
    <t>inlet</t>
  </si>
  <si>
    <t>extraction</t>
  </si>
  <si>
    <t>We can now create an set of equations that define our feasible region:</t>
  </si>
  <si>
    <t>a</t>
  </si>
  <si>
    <t>b</t>
  </si>
  <si>
    <t>a.x1+b.x2 = c</t>
  </si>
  <si>
    <t>LHS</t>
  </si>
  <si>
    <t>RHS</t>
  </si>
  <si>
    <t>ST 2 Constraints</t>
  </si>
  <si>
    <t>The power output from the turbine is calculated using the line for no extraction to calculate the unadjusted power output.</t>
  </si>
  <si>
    <t>The power output is then corrected for the effect of extracting.</t>
  </si>
  <si>
    <t>Defining the feasible region for ST5</t>
  </si>
  <si>
    <t>ST 5 Constraints</t>
  </si>
  <si>
    <t>percentages calculated assuming HEL demand = 700 kWe</t>
  </si>
  <si>
    <t>balance of shared services is added to HEL parasitics</t>
  </si>
  <si>
    <t>B4 on/off</t>
  </si>
  <si>
    <t>The region shown in the graph to the right is the feasible region within which</t>
  </si>
  <si>
    <t xml:space="preserve">steam turbine 5 can be operated.  </t>
  </si>
  <si>
    <t>Five lines are created to define the region:</t>
  </si>
  <si>
    <t xml:space="preserve">The constants in a, b and c are used in the optimization as constants in inequality constraints </t>
  </si>
  <si>
    <t xml:space="preserve">used in the optimization.  </t>
  </si>
  <si>
    <t>Note that the LHS and RHS are not the same formulas for each line.</t>
  </si>
  <si>
    <t>current steam turbine 5 inlet</t>
  </si>
  <si>
    <t>current steam turbine 5 extraction</t>
  </si>
  <si>
    <t>Variables</t>
  </si>
  <si>
    <t>ST2 Condensate</t>
  </si>
  <si>
    <t>Site Power Balance</t>
  </si>
  <si>
    <t>set from the steam turbine curve</t>
  </si>
  <si>
    <t>Defining the feasible region for ST2</t>
  </si>
  <si>
    <t xml:space="preserve">steam turbine 2 can be operated.  </t>
  </si>
  <si>
    <t>Four lines are created to define the region:</t>
  </si>
  <si>
    <t>current st 2 inlet flow</t>
  </si>
  <si>
    <t>current st 2 extraction flow</t>
  </si>
  <si>
    <t>Solver Setup</t>
  </si>
  <si>
    <t>ST 2 HP Inlet Flow</t>
  </si>
  <si>
    <t>ST2 LP Extraction Outlet</t>
  </si>
  <si>
    <t>Iteration number</t>
  </si>
  <si>
    <t>Mass balance</t>
  </si>
  <si>
    <t>Heat balance</t>
  </si>
  <si>
    <t>The power output at zero extraction is calculated using a linear correlation:</t>
  </si>
  <si>
    <t>£/ton stm</t>
  </si>
  <si>
    <t>Steam turbine 7 is a unit that was never purchased and installed on this site, it is in the model for comparison only.</t>
  </si>
  <si>
    <t>£/MWh</t>
  </si>
  <si>
    <t>Adjustment to ST5 turbine curve power output</t>
  </si>
  <si>
    <t xml:space="preserve">EHP Header </t>
  </si>
  <si>
    <t>Current</t>
  </si>
  <si>
    <t>Raw Water</t>
  </si>
  <si>
    <t>Gas price</t>
  </si>
  <si>
    <r>
      <t>MW</t>
    </r>
    <r>
      <rPr>
        <vertAlign val="subscript"/>
        <sz val="11"/>
        <color theme="1"/>
        <rFont val="Calibri"/>
        <family val="2"/>
        <scheme val="minor"/>
      </rPr>
      <t>e</t>
    </r>
  </si>
  <si>
    <t>Continuous</t>
  </si>
  <si>
    <t>Steam table</t>
  </si>
  <si>
    <t>Hourly Margin</t>
  </si>
  <si>
    <t>£/MW</t>
  </si>
  <si>
    <t>Rig. Sim.</t>
  </si>
  <si>
    <t>Site Analysis</t>
  </si>
  <si>
    <t>Cost to generate energy</t>
  </si>
  <si>
    <t xml:space="preserve">The model is currently a mixed integer linear model.  </t>
  </si>
  <si>
    <t>Plant net power generation</t>
  </si>
  <si>
    <t>Plant gross gas use</t>
  </si>
  <si>
    <t>Useful heat delivered</t>
  </si>
  <si>
    <t>MWth</t>
  </si>
  <si>
    <t>TEG</t>
  </si>
  <si>
    <t>Performance</t>
  </si>
  <si>
    <t>MP Steam, Lenzing</t>
  </si>
  <si>
    <t>MP Steam, Bluestar</t>
  </si>
  <si>
    <t>MP Steam, TAL</t>
  </si>
  <si>
    <t>LP Steam, Lenzing</t>
  </si>
  <si>
    <t>LP Steam, Bluestar</t>
  </si>
  <si>
    <t>LP Steam, TAL</t>
  </si>
  <si>
    <t>Power, Lenzing</t>
  </si>
  <si>
    <t>Power, Bluestar</t>
  </si>
  <si>
    <t>Power, TAL</t>
  </si>
  <si>
    <t>Cost Unit Rates</t>
  </si>
  <si>
    <t>Revenue Unit Rates</t>
  </si>
  <si>
    <t>Power Import</t>
  </si>
  <si>
    <t>Gas Turbine 2 On</t>
  </si>
  <si>
    <t>GT 2 Maintenance</t>
  </si>
  <si>
    <t>Gas Engine Maintenance</t>
  </si>
  <si>
    <t>CR, Lenzing</t>
  </si>
  <si>
    <t>CR, TAL</t>
  </si>
  <si>
    <t>CR, Bluestar</t>
  </si>
  <si>
    <t>Hourly Cost Volume</t>
  </si>
  <si>
    <t>Hourly Revenue Volumes</t>
  </si>
  <si>
    <t>Hourly Costs</t>
  </si>
  <si>
    <t>Hourly Revenues</t>
  </si>
  <si>
    <t>kWh/m3</t>
  </si>
  <si>
    <t>Heat available from engine</t>
  </si>
  <si>
    <t>Makeup water flow</t>
  </si>
  <si>
    <t>Initial makeup water temperature</t>
  </si>
  <si>
    <t>Allowable makeup water temperature</t>
  </si>
  <si>
    <t>Heat to add to makeup to take to max</t>
  </si>
  <si>
    <t>New heat to add to makeup</t>
  </si>
  <si>
    <t>Model Change Log</t>
  </si>
  <si>
    <t>removed desuperheating water on the EHP - HP letdown</t>
  </si>
  <si>
    <t>model created</t>
  </si>
  <si>
    <t>change log started</t>
  </si>
  <si>
    <t>BFW Chemical</t>
  </si>
  <si>
    <t>Line 1</t>
  </si>
  <si>
    <t>Line 2</t>
  </si>
  <si>
    <t>Line 3</t>
  </si>
  <si>
    <t>Line 4</t>
  </si>
  <si>
    <t>Line 5</t>
  </si>
  <si>
    <t>changed the export electricity calculation, now uses the actual average for each day (weekday or weekend)</t>
  </si>
  <si>
    <t>changed the parasitics to match the new ones reccomended by Darren Buckland</t>
  </si>
  <si>
    <t>Please note that to use this sheet with OpenSolver (which is reccomended) you will need to download it at http://opensolver.org/</t>
  </si>
  <si>
    <t>Make sure that you extract the files to a folder on your computer before you open the .xlam file.</t>
  </si>
  <si>
    <t>This model has the option to use either the Microsoft Excel Solver, or Open Solver.</t>
  </si>
  <si>
    <t>Open Solver uses an open source solver that provides better performance in addition to analysis of the model structure (linearity).</t>
  </si>
  <si>
    <t>Gas engine</t>
  </si>
  <si>
    <t>Economic Assumptions</t>
  </si>
  <si>
    <t>change engine size to 2 MWe</t>
  </si>
  <si>
    <t>Engine load</t>
  </si>
  <si>
    <t>Electrical power</t>
  </si>
  <si>
    <t>Engine jacket water heat</t>
  </si>
  <si>
    <t>From these correlations, the outputs from the gas engine are calculated:</t>
  </si>
  <si>
    <t xml:space="preserve">The gas engine is modelled using correlations from Edina data sheets.  </t>
  </si>
  <si>
    <t>A certain size engine is put into the model by pasting the slopes &amp; intercepts of the correlations into this section.</t>
  </si>
  <si>
    <t>Saved engine performance data</t>
  </si>
  <si>
    <t>changed the gas engine model to take account of part load performance</t>
  </si>
  <si>
    <t>Gas engine electrical efficiency</t>
  </si>
  <si>
    <t>Fuel consumption (HHV)</t>
  </si>
  <si>
    <t>Fuel consumption (LHV)</t>
  </si>
  <si>
    <t>Current engine size</t>
  </si>
  <si>
    <t>fixed the gas engine &amp; GT2 maintenance costs to remove non-linearity from multiplication of varaibles</t>
  </si>
  <si>
    <t>New makeup water enthalpy</t>
  </si>
  <si>
    <t>Iterations for adding heat to makeup:</t>
  </si>
  <si>
    <t>Gas engine maintenance</t>
  </si>
  <si>
    <t>changed the bfw temperatures (131 to 105) and maximum MU &amp; CR temperatures (105 to 95)</t>
  </si>
  <si>
    <t>added the profile section to the operator and model sheet</t>
  </si>
  <si>
    <t>Adding engine LGH to makeup (calculations performed in the rig. simulation section)</t>
  </si>
  <si>
    <t>Elect. Eff</t>
  </si>
  <si>
    <t>Thermal Eff.</t>
  </si>
  <si>
    <t>CHP Eff.</t>
  </si>
  <si>
    <t>changed the da model to recover heat into both the makeup and condensate.  The heat balances are performed inbetween optimizations (rigorous simulation)</t>
  </si>
  <si>
    <t>set at 100% only, due to the the energy balances on the MU &amp; CR heat recovery being performed outside the optimization</t>
  </si>
  <si>
    <t>Superheat</t>
  </si>
  <si>
    <t>Saturation</t>
  </si>
  <si>
    <t>Stream</t>
  </si>
  <si>
    <t>Cust. Tariffs</t>
  </si>
  <si>
    <t>Rigorous Simulation</t>
  </si>
  <si>
    <t>Combustor steam injection flow (per GT)</t>
  </si>
  <si>
    <t>Ambient Temperature</t>
  </si>
  <si>
    <t>Lenzing condensate return rate</t>
  </si>
  <si>
    <t>Bluestar condensate return rate</t>
  </si>
  <si>
    <t>TAL condensate return rate</t>
  </si>
  <si>
    <t>Deaerator mass balance</t>
  </si>
  <si>
    <t>Deaerator energy balance</t>
  </si>
  <si>
    <t>Steam Turbine Models</t>
  </si>
  <si>
    <t>changed the GT model to a STIG ratio of 0.8</t>
  </si>
  <si>
    <t>Condensate return:</t>
  </si>
  <si>
    <t>Enthalpies for deaerator balance:</t>
  </si>
  <si>
    <t>changed the Heren price to uplift the base Heren price only (before uplifted the GDUoS &amp; Heren price)</t>
  </si>
  <si>
    <t>changed the MP pressure from 12 bar g to 10.5 bar g</t>
  </si>
  <si>
    <t>Entropy at inlet</t>
  </si>
  <si>
    <t>Isentropic enthalpy at outlet</t>
  </si>
  <si>
    <t>Enthalpy at inlet</t>
  </si>
  <si>
    <t>Pressure at outlet</t>
  </si>
  <si>
    <t>bar a</t>
  </si>
  <si>
    <t>Isentropic efficiency</t>
  </si>
  <si>
    <t>The isentropic efficiency is calculated below:</t>
  </si>
  <si>
    <t>Isentropic power</t>
  </si>
  <si>
    <t>Parasitic calculation:</t>
  </si>
  <si>
    <t>always on</t>
  </si>
  <si>
    <t>updated the gas turbine model for a BFW temperature of 105 C</t>
  </si>
  <si>
    <t>Hourly Site Maintenance</t>
  </si>
  <si>
    <t>Hourly Site Energy Margin</t>
  </si>
  <si>
    <t>following up a meeting with Keith Jenkin at Humber on 02/08/2013:</t>
  </si>
  <si>
    <t>site import/export limit reduced to 6 Mwe from 6.13</t>
  </si>
  <si>
    <t>lenzing CR = 65%, TAL = 95%</t>
  </si>
  <si>
    <t>factor to reduce heron prices set to 0%</t>
  </si>
  <si>
    <t>lenzing demand set to 7 Mwe</t>
  </si>
  <si>
    <t>GT model redone with a constant STIG of 1.5 ton/hr</t>
  </si>
  <si>
    <t>MP main temperature changed to 265 C</t>
  </si>
  <si>
    <t>Net TEG steam (after STIG)</t>
  </si>
  <si>
    <t xml:space="preserve">The maintenance of the lead GT (GT1 in this model) is not considered.  </t>
  </si>
  <si>
    <t>changed the EHP boiler efficiency to 75%</t>
  </si>
  <si>
    <t>additional parasitics for turning on supp. firing (equal to 1 BFW pump)</t>
  </si>
  <si>
    <t>parasitics for 1 GT of 180 kW, 2 GT of 180+60</t>
  </si>
  <si>
    <t>changed a mistake in the referencing of the binary variables to the parasitics calculation</t>
  </si>
  <si>
    <t>changed the supplementary firing parasitics to 70 kW</t>
  </si>
  <si>
    <t>changed the reference to WHB on/off to supplementary firing on/off</t>
  </si>
  <si>
    <t>MP steam generated from the gas engine exhaust</t>
  </si>
  <si>
    <t>Site Power</t>
  </si>
  <si>
    <t>constraints set based on getting the maximum output of the WHB at 32 t/h @ 100% GT fire rate, 10C</t>
  </si>
  <si>
    <t>The performance of ST7 is slightly overestimated at flows below 18.75 t/h, due to the shape of the turbine curve.</t>
  </si>
  <si>
    <t>kWe/(t/h)</t>
  </si>
  <si>
    <t>GT-1 (lead)</t>
  </si>
  <si>
    <t>IDX (chemicals index adj.)</t>
  </si>
  <si>
    <t>kg/s</t>
  </si>
  <si>
    <t>Calculation of the exhaust heat capacity to reduce the engine exhaust heat.  This is done as the temperature after the heat exchanger is given at 120 C in the Edina document.</t>
  </si>
  <si>
    <t>this is with a temperature after the heat exchanger of 120 C</t>
  </si>
  <si>
    <t>Exhaust temperature</t>
  </si>
  <si>
    <t>Heat capacity of exhaust</t>
  </si>
  <si>
    <t>Temp. after HEX</t>
  </si>
  <si>
    <t>Engine exhaust heat (120 C)</t>
  </si>
  <si>
    <t>Engine exhaust heat (160 C)</t>
  </si>
  <si>
    <t>Temp. after HEX for steam gen.</t>
  </si>
  <si>
    <t>Exhaust mass flow, wet</t>
  </si>
  <si>
    <t>kg/h</t>
  </si>
  <si>
    <t>reduced the heat available from the gas engine exhaust for steam generation, previously this referred to an exhaust temp. after the HEX of 120 C rather than 160 C</t>
  </si>
  <si>
    <t>Tariffs</t>
  </si>
  <si>
    <t>01/09/2012 - 08/07/2013</t>
  </si>
  <si>
    <t>changed gas turbine maintenance costs to reflect the Level 2 Siemens contract supplied by Colin Porter</t>
  </si>
  <si>
    <t>Total powerhouse parasitics</t>
  </si>
  <si>
    <t>Misc. powerstation parasitics</t>
  </si>
  <si>
    <t>this is with a temperature after the heat exchanger of 160 C</t>
  </si>
  <si>
    <t>1 EHP boiler</t>
  </si>
  <si>
    <t>Misc. humber parasitics</t>
  </si>
  <si>
    <t>WHB 1 supplementary firing</t>
  </si>
  <si>
    <t>WHB 2 supplementary firing</t>
  </si>
  <si>
    <t>WHB 2</t>
  </si>
  <si>
    <t>To customers</t>
  </si>
  <si>
    <t>changed the calculation of CHP &amp; thermal efficiency to use the enthalpy difference based on condensate return, rather than just the latent &amp; superheat</t>
  </si>
  <si>
    <t>MW HHV</t>
  </si>
  <si>
    <t>Open Solver</t>
  </si>
  <si>
    <t>2 MWe NOx 250</t>
  </si>
  <si>
    <t>2 MWe NOx 500</t>
  </si>
  <si>
    <t>Margin</t>
  </si>
  <si>
    <t>HP gas</t>
  </si>
  <si>
    <t>Normal site</t>
  </si>
  <si>
    <t>EHP boiler constraints</t>
  </si>
  <si>
    <t>changed the optimization model so that either B5 or B7 are on, B7 or B5 have to be on as well (i.e. 2 EHP boilers at minimum have to be on if 1 is on).  Doesn't apply to B9</t>
  </si>
  <si>
    <t>made some improvements to the way the OOM macro runs, to reduce run time</t>
  </si>
  <si>
    <t>OOM-Inputs</t>
  </si>
  <si>
    <t>OOM-Outputs</t>
  </si>
  <si>
    <t>changed lenzing CR = 80%, TAL = 65 %</t>
  </si>
  <si>
    <t>EHP boiler efficiency changed to 80% from 75%</t>
  </si>
  <si>
    <t>Gas Turbine Model</t>
  </si>
  <si>
    <t>BFW &amp; DSH water required</t>
  </si>
  <si>
    <t>Date of OOM model run</t>
  </si>
  <si>
    <t>removed the base maintenance cost for the second GT (constant for all cases)</t>
  </si>
  <si>
    <t>Assets</t>
  </si>
  <si>
    <t>Simple backpressure power</t>
  </si>
  <si>
    <t>new GT model (different STIG)</t>
  </si>
  <si>
    <t>LP steam to TAL</t>
  </si>
  <si>
    <t>changed ST5 model to a simple back pressure model, as there is no extraction on this turbine</t>
  </si>
  <si>
    <t>changed the ST5 inequality contraint model</t>
  </si>
  <si>
    <t>Useful heat</t>
  </si>
  <si>
    <t>Condensate return</t>
  </si>
  <si>
    <t>removed the Appendix tab</t>
  </si>
  <si>
    <t>BFW chemical cost</t>
  </si>
  <si>
    <t>BFW costs from Tom Laffey, Steam production total for 2012 taken from level2\Energy Management\CI Team\Humber Energy\General Site Data\Weekly Energy Data</t>
  </si>
  <si>
    <t>Total Humber parasitics</t>
  </si>
  <si>
    <t>This section is where the energy balances around the deaerator are performed.  Note that this section can only be understood by also looking at the optimization VB code located in Module 1 (sub routine DCOpt)</t>
  </si>
  <si>
    <t>Model</t>
  </si>
  <si>
    <t>IDX chemical adjustment</t>
  </si>
  <si>
    <t>Total MP</t>
  </si>
  <si>
    <t>Total LP</t>
  </si>
  <si>
    <t>Total Power</t>
  </si>
  <si>
    <t>OOM now lets ST5 run at whatever inlet flow it wants (extraction still 0)</t>
  </si>
  <si>
    <t>steam generation pressure at MP level changed to 18 bar g</t>
  </si>
  <si>
    <t>Minimum</t>
  </si>
  <si>
    <t>Maxiumum</t>
  </si>
  <si>
    <t>Generator output</t>
  </si>
  <si>
    <t>Shaft power</t>
  </si>
  <si>
    <t>Mmax</t>
  </si>
  <si>
    <t>Enthalpy of steam into steam turbine</t>
  </si>
  <si>
    <t>equal to enthalpy of steam at normal operating conditions</t>
  </si>
  <si>
    <t>Entropy of steam into steam turbine</t>
  </si>
  <si>
    <t>Enthalpy of steam out of steam turbine</t>
  </si>
  <si>
    <t xml:space="preserve">isentropic enthalpy </t>
  </si>
  <si>
    <t>Isentropic enthalpy change (design)</t>
  </si>
  <si>
    <t>Linear regression to find Wint &amp; L:</t>
  </si>
  <si>
    <t>Wint</t>
  </si>
  <si>
    <t>n</t>
  </si>
  <si>
    <t>Can solve the two simultaneous equations (see right side of sheet) as shown below to the Willans line regression parameters B &amp; L:</t>
  </si>
  <si>
    <t>B</t>
  </si>
  <si>
    <t>L</t>
  </si>
  <si>
    <t>Willans line linear correlation coefficients calculated from the regression parameters (check cells):</t>
  </si>
  <si>
    <t>changed ST5 model limited to 18 t/h for Oom, output at 18 t/h = 1.4 MWe</t>
  </si>
  <si>
    <t>mic powerhouse parasitics increased to match site (1.2 MWe)</t>
  </si>
  <si>
    <t>min set by what site can do, max by design</t>
  </si>
  <si>
    <t>changed min turndown on MP blr to 3 t/h</t>
  </si>
  <si>
    <t>This model uses the no extraction line of ST5 to generate a Willans line model that can account for variations in inlet T &amp; P.</t>
  </si>
  <si>
    <t>Conditions on the steam turbine curve:</t>
  </si>
  <si>
    <t>Inlet pressure</t>
  </si>
  <si>
    <t>Inlet temperature</t>
  </si>
  <si>
    <t>Outlet pressure</t>
  </si>
  <si>
    <t>bar g</t>
  </si>
  <si>
    <t>Generator efficiency</t>
  </si>
  <si>
    <t>Generation of Willans line coefficients using the original design conditions:</t>
  </si>
  <si>
    <t>Steam consumption</t>
  </si>
  <si>
    <t>Acutal inlet pressure</t>
  </si>
  <si>
    <t>Actual inlet temperature</t>
  </si>
  <si>
    <t>Actual outlet pressure</t>
  </si>
  <si>
    <t>HP ST5 shaft power</t>
  </si>
  <si>
    <t>HP ST5 generator output</t>
  </si>
  <si>
    <t>Power output at full load</t>
  </si>
  <si>
    <t>original curve</t>
  </si>
  <si>
    <t>Willans Line, at ST curve conditions</t>
  </si>
  <si>
    <t>Power output at 22 t/h</t>
  </si>
  <si>
    <t>Error</t>
  </si>
  <si>
    <t>HP ST5 acutal inlet pressure</t>
  </si>
  <si>
    <t>HP ST5 acutal inlet temperature</t>
  </si>
  <si>
    <t>HP ST5 actual outlet pressure</t>
  </si>
  <si>
    <t>HP ST5 model (can be played around with):</t>
  </si>
  <si>
    <t>user inputs</t>
  </si>
  <si>
    <t>isentropic</t>
  </si>
  <si>
    <t xml:space="preserve">Isentropic enthalpy change </t>
  </si>
  <si>
    <t>Isentropic enthalpy change</t>
  </si>
  <si>
    <t>Modelled generator output</t>
  </si>
  <si>
    <t>Fixed amount to add to get model working</t>
  </si>
  <si>
    <t>Fixed amount to add to HP ST5 Willans Line model</t>
  </si>
  <si>
    <t>HP ST5 Inlet</t>
  </si>
  <si>
    <t>curve for lowest, plant experience for highest</t>
  </si>
  <si>
    <t>HP Steam Turbine 5</t>
  </si>
  <si>
    <t>Humber Operational Optimization Model (OOM)</t>
  </si>
  <si>
    <t>Inputs for the OOM, running to simulate 1 &amp; 2 GT site operation half hourly, from 00:00 14/12/2013.</t>
  </si>
  <si>
    <t>Outputs for the OOM, including charts.</t>
  </si>
  <si>
    <t>Contains models of the gas turbines, steam turbines and gas engine.</t>
  </si>
  <si>
    <t>Process flow diagram showing the currently loaded case.</t>
  </si>
  <si>
    <t>Calculations for the model.</t>
  </si>
  <si>
    <t>Display of the economics of the currently loaded case.</t>
  </si>
  <si>
    <t>Stores the results of the operator user defined cases.</t>
  </si>
  <si>
    <t>OOM-R 1 GT</t>
  </si>
  <si>
    <t>Stores the results of the OOM for 1 GT operation.</t>
  </si>
  <si>
    <t>OOM-R 2 GT</t>
  </si>
  <si>
    <t>Stores the results of the OOM for 2 GT operation.</t>
  </si>
  <si>
    <t>Brief Description</t>
  </si>
  <si>
    <t>Please direct any comments or questions towards Adam Green (+44 (0) 77 7287 4125, adam.green@cofely-gdfsuez.com)</t>
  </si>
  <si>
    <t xml:space="preserve">It is reccomended that you read Varbanov PS &amp; Smith R (2004) 'Modelling and Optimization of Utility Systems'.  </t>
  </si>
  <si>
    <t>added a new ST5 model (HP ST5)</t>
  </si>
  <si>
    <t>made some visual changes to the PFD sheet</t>
  </si>
  <si>
    <t>Steam</t>
  </si>
  <si>
    <t xml:space="preserve">Contains inputs for the model, as well as inputs &amp; outputs for the user defined cases.  </t>
  </si>
  <si>
    <t>LP gas</t>
  </si>
  <si>
    <t>Total steam turbine power</t>
  </si>
  <si>
    <t>CHP efficiency</t>
  </si>
  <si>
    <t>EHP boilers</t>
  </si>
  <si>
    <t>HP waste heat boilers</t>
  </si>
  <si>
    <t>MP package boilers</t>
  </si>
  <si>
    <t>HP ST5</t>
  </si>
  <si>
    <t>To generate</t>
  </si>
  <si>
    <t xml:space="preserve">                                                                                                                                                                                                                                                                                                                                                                                                                                                                                                                                                                                                                                                                                                                                                                                              </t>
  </si>
  <si>
    <t>The power output can then be calculated from the inlet flow:</t>
  </si>
  <si>
    <t>ST6 is a simple turbine to model, with no extraction.  The minimum and maximum inlet flow are taken from the steam turbine curves (shown in 'Assets')</t>
  </si>
  <si>
    <t>Power after ext. adj &amp; other adjustment</t>
  </si>
  <si>
    <t>B7 on/off</t>
  </si>
  <si>
    <t>B9 on/off</t>
  </si>
  <si>
    <t>GT1 on/off</t>
  </si>
  <si>
    <t>GT2 on/off</t>
  </si>
  <si>
    <t>WHB 1 Supp on/off</t>
  </si>
  <si>
    <t>WHB2 Supp on/off</t>
  </si>
  <si>
    <t>MP-1 on/off</t>
  </si>
  <si>
    <t>MP-2 on/off</t>
  </si>
  <si>
    <t>ST2 on/off</t>
  </si>
  <si>
    <t>ST5 on/off</t>
  </si>
  <si>
    <t>ST6 on/off</t>
  </si>
  <si>
    <t>ST7 on/off</t>
  </si>
  <si>
    <t>GT1 fire rate</t>
  </si>
  <si>
    <t>GT2 fire rate</t>
  </si>
  <si>
    <t>WHB-1 supp. firing.</t>
  </si>
  <si>
    <t>WHB-2 supp. firing.</t>
  </si>
  <si>
    <t>MP-1 steam gen.</t>
  </si>
  <si>
    <t>MP-2 steam gen</t>
  </si>
  <si>
    <t>ST2 HP inlet flow</t>
  </si>
  <si>
    <t>ST2 LP extract. flow</t>
  </si>
  <si>
    <t>ST5 EHP inlet flow</t>
  </si>
  <si>
    <t>ST5 MP extract. flow</t>
  </si>
  <si>
    <t>ST6 HP inlet flow</t>
  </si>
  <si>
    <t>ST7 HP inlet flow</t>
  </si>
  <si>
    <t>ST5 HP inlet flow</t>
  </si>
  <si>
    <t>ST5 HP on/off</t>
  </si>
  <si>
    <t>MJ/m3 std</t>
  </si>
  <si>
    <t>Incremental maintenance on GT2</t>
  </si>
  <si>
    <t>£/h</t>
  </si>
  <si>
    <t>set by Thermoflex model</t>
  </si>
  <si>
    <t>STIG steam consumed</t>
  </si>
  <si>
    <t>Siemens Level 2 contract, ref. Colin Porter.  Annual maintenance is calculated by hrs/yr = 8760-1000</t>
  </si>
  <si>
    <t>Adjustment to ST6 turbine curve power output</t>
  </si>
  <si>
    <t>used in Willan's line model for ST5 HP</t>
  </si>
  <si>
    <t>blowdown given as a percentage of steam generated in boiler</t>
  </si>
  <si>
    <t>Gross efficiency</t>
  </si>
  <si>
    <t>Vent steam flow fraction</t>
  </si>
  <si>
    <t>percentage of deaerator steam</t>
  </si>
  <si>
    <t>Maximum MU/CR water temp into deaerator</t>
  </si>
  <si>
    <t>Desuperheat water temperature</t>
  </si>
  <si>
    <t>Makeup water temperature from demin</t>
  </si>
  <si>
    <t>Boiler feedwater temperature</t>
  </si>
  <si>
    <t>1 MP package boiler</t>
  </si>
  <si>
    <t>Blowdown in gas engine exhaust boiler</t>
  </si>
  <si>
    <t>GT &amp; WHB 1</t>
  </si>
  <si>
    <t>GT &amp; WHB 2</t>
  </si>
  <si>
    <t>The models below use the data generated from Thermoflex to account for variation in gas turbine load and ambient temperature (see the 'Assets' sheet).</t>
  </si>
  <si>
    <t>GT gross power</t>
  </si>
  <si>
    <t xml:space="preserve">Gross gas in </t>
  </si>
  <si>
    <t>Adjusted GT gross output</t>
  </si>
  <si>
    <t>Total TEG steam available</t>
  </si>
  <si>
    <t>Net TEG steam available</t>
  </si>
  <si>
    <t xml:space="preserve">Supplementary steam required </t>
  </si>
  <si>
    <t xml:space="preserve">Supplementary steam heat </t>
  </si>
  <si>
    <t>Total WHB steam output</t>
  </si>
  <si>
    <t>Total electric efficiency of GT CHP (both turbines)</t>
  </si>
  <si>
    <t>To ensure the steam turbine operates within the feasible region, four linear constraints are used (see Assets sheet).</t>
  </si>
  <si>
    <t>ST7 is a simple turbine to model, with no extraction.  The minimum and maximum inlet flow are taken from the steam turbine curves shown in the 'Assets' sheet.</t>
  </si>
  <si>
    <t>BFW required</t>
  </si>
  <si>
    <t>Binary variable</t>
  </si>
  <si>
    <t>slight change to the calculation of heat capacity in the rig. sim. section</t>
  </si>
  <si>
    <t>No cost is associated with condensing (i.e. using ST2).</t>
  </si>
  <si>
    <t xml:space="preserve"> MW </t>
  </si>
  <si>
    <t>Variable Constraints</t>
  </si>
  <si>
    <t xml:space="preserve">Ambient temperature </t>
  </si>
  <si>
    <t>Outputs</t>
  </si>
  <si>
    <t>Steam Turbine 5 HP</t>
  </si>
  <si>
    <t>OOM run date &amp; time</t>
  </si>
  <si>
    <t>Select solver to use</t>
  </si>
  <si>
    <t>Maximum flow through HP ST5</t>
  </si>
  <si>
    <t>Number of cases to run</t>
  </si>
  <si>
    <t>EHP 1 steam gen.</t>
  </si>
  <si>
    <t>EHP 2 steam gen.</t>
  </si>
  <si>
    <t>EHP 3 steam gen.</t>
  </si>
  <si>
    <t>EHP1</t>
  </si>
  <si>
    <t>EHP2</t>
  </si>
  <si>
    <t>EHP3</t>
  </si>
  <si>
    <t xml:space="preserve">Balance </t>
  </si>
  <si>
    <t>WHB on/off</t>
  </si>
  <si>
    <t>Fire rate</t>
  </si>
  <si>
    <t>EHP Boiler 1</t>
  </si>
  <si>
    <t>EHP Boiler 2</t>
  </si>
  <si>
    <t>EHP Boiler 3</t>
  </si>
  <si>
    <t>Summary</t>
  </si>
  <si>
    <t>Inlet flow (min)</t>
  </si>
  <si>
    <t>Power (min)</t>
  </si>
  <si>
    <t>Inlet flow (max)</t>
  </si>
  <si>
    <t>Power (max)</t>
  </si>
  <si>
    <t>Extraction flow (min)</t>
  </si>
  <si>
    <t>Extraction flow (max)</t>
  </si>
  <si>
    <t>Date of OOM run</t>
  </si>
  <si>
    <t>Time of model run</t>
  </si>
  <si>
    <t>HP gas use</t>
  </si>
  <si>
    <t>LP gas use</t>
  </si>
  <si>
    <t>Humber parasitics</t>
  </si>
  <si>
    <t>Plant electrical efficiency</t>
  </si>
  <si>
    <t>Plant thermal efficiency</t>
  </si>
  <si>
    <t>Plant efficiency</t>
  </si>
  <si>
    <t>ST5 HP outlet</t>
  </si>
  <si>
    <t/>
  </si>
  <si>
    <t>Error check</t>
  </si>
  <si>
    <t>Data</t>
  </si>
  <si>
    <t>Steam turbine power output</t>
  </si>
  <si>
    <t>30/12/13 - 05/01/14</t>
  </si>
  <si>
    <t>redid results sheet, OOM results sheets</t>
  </si>
  <si>
    <t>created new operator sheet</t>
  </si>
  <si>
    <t>EHP steam losses</t>
  </si>
  <si>
    <t>HP steam losses</t>
  </si>
  <si>
    <t>MP steam losses</t>
  </si>
  <si>
    <t>LP steam losses</t>
  </si>
  <si>
    <t>Gross power</t>
  </si>
  <si>
    <t>Supp. steam</t>
  </si>
  <si>
    <t>Supp. firing gas use</t>
  </si>
  <si>
    <t>Boiler feed water</t>
  </si>
  <si>
    <t>adjusted to get an output of 6.4 MWe at 5 C</t>
  </si>
  <si>
    <t>changed the adjustments to the GTs (power output and electric efficiency)</t>
  </si>
  <si>
    <t>Contains user entered data from e-sight, as well as calculations used to validate and compare OOM results with reality.</t>
  </si>
  <si>
    <t>Reload model?</t>
  </si>
  <si>
    <t>Minimum FLR parasitic</t>
  </si>
  <si>
    <t>Maximum FLR parasitic</t>
  </si>
  <si>
    <t>Minimum import/export</t>
  </si>
  <si>
    <t>Maximum import/export</t>
  </si>
  <si>
    <t>Fault limiting reactor parasitic (import)</t>
  </si>
  <si>
    <t>Fault limiting reactor parasitic (export)</t>
  </si>
  <si>
    <t>separated out the solver setup part of optimization macro, to improve speed (was very slow).  User can force the model to be redefined like before (see operator sheet)</t>
  </si>
  <si>
    <t>added in fault limiting reactor &amp; transformer parasitics (function of import/export)</t>
  </si>
  <si>
    <t>reduced misc humber parasitics to account for additional FLR &amp; transformer parasitics</t>
  </si>
  <si>
    <t>Fault limiting reactor parasitic functio:</t>
  </si>
  <si>
    <t>Import/export contraints</t>
  </si>
  <si>
    <t>can only import OR export</t>
  </si>
  <si>
    <t>added additional constraint that allows only one of import/export binary constraints to be on at once</t>
  </si>
  <si>
    <t>Fault limiting reactor parasitics at full load</t>
  </si>
  <si>
    <t>to do</t>
  </si>
  <si>
    <t>operator macro returns to operator sheet</t>
  </si>
  <si>
    <t>changes to the way the GT output &amp; efficiency degregation factors are calculated</t>
  </si>
  <si>
    <t>Duct burner LHV heat input (per HRSG)</t>
  </si>
  <si>
    <t>Combustor steam injection mass flow (per GT)</t>
  </si>
  <si>
    <t>Stack temperature</t>
  </si>
  <si>
    <t>as a percentage of GT efficiency (not GT efficiency)</t>
  </si>
  <si>
    <t>Gas Turbine 1</t>
  </si>
  <si>
    <t>Gas Turbine 2</t>
  </si>
  <si>
    <t>new GT model (1 t/h STIG, lower T &amp; P)</t>
  </si>
  <si>
    <t>Transformer parasitics</t>
  </si>
  <si>
    <t>percentage of import/export</t>
  </si>
  <si>
    <t>Transformer parasitic (import)</t>
  </si>
  <si>
    <t>Transformer reactor parasitic (export)</t>
  </si>
  <si>
    <t>Only jacket water heat is recovered for boiler feedwater preheating.</t>
  </si>
  <si>
    <t>Condensate from ST2 is returned into the DA, at the same conditions as entered below in the deaerator assumptions section.</t>
  </si>
  <si>
    <t>reset output of WHB to 32 t/h @ 10 C</t>
  </si>
  <si>
    <t>reduced misc humber parasitics by 200 kWe to account for reduced parasitics on site</t>
  </si>
  <si>
    <t>changed ST5 model to give 2.1 MW at 22 t/h</t>
  </si>
  <si>
    <t>Maximum output</t>
  </si>
  <si>
    <t>Required steam generation</t>
  </si>
  <si>
    <t>Gas required</t>
  </si>
  <si>
    <t>Boiler feedwater required</t>
  </si>
  <si>
    <t>Heat required to generate steam</t>
  </si>
  <si>
    <t>Efficiency</t>
  </si>
  <si>
    <t>HP Main</t>
  </si>
  <si>
    <t>20/01 - 25/01/2014</t>
  </si>
  <si>
    <t>work on data sheet</t>
  </si>
  <si>
    <t xml:space="preserve">changed the calculation of BFW enthalpy from stmpqh to stmpth </t>
  </si>
  <si>
    <t>CO</t>
  </si>
  <si>
    <t>mg/m³</t>
  </si>
  <si>
    <t>NOx</t>
  </si>
  <si>
    <t>O2 Setpoint</t>
  </si>
  <si>
    <t>O2 dry</t>
  </si>
  <si>
    <t>Flue gas losses</t>
  </si>
  <si>
    <t>Boiler capacity</t>
  </si>
  <si>
    <t>Boiler pressure</t>
  </si>
  <si>
    <t>mbar</t>
  </si>
  <si>
    <t>Gasquantity</t>
  </si>
  <si>
    <t>Nm³/h</t>
  </si>
  <si>
    <t xml:space="preserve">Gas pressure before regulator </t>
  </si>
  <si>
    <t xml:space="preserve">Gas pressure after regulator </t>
  </si>
  <si>
    <t>Gas pressure after control valve</t>
  </si>
  <si>
    <t>kWh/m³</t>
  </si>
  <si>
    <t xml:space="preserve">Desired model boiler efficiency </t>
  </si>
  <si>
    <t>Sum of squares</t>
  </si>
  <si>
    <t>Boiler steam output</t>
  </si>
  <si>
    <t>Delta enthalpy</t>
  </si>
  <si>
    <t>Desired fuel output</t>
  </si>
  <si>
    <t>Fitted model fuel ouput</t>
  </si>
  <si>
    <t>Bosch quoted CV of gas</t>
  </si>
  <si>
    <t>Bosch commissioning data:</t>
  </si>
  <si>
    <t>Part load efficiency model:</t>
  </si>
  <si>
    <t>Package Boilers</t>
  </si>
  <si>
    <t>WHB - Supplementary Firing Efficiency</t>
  </si>
  <si>
    <t>MP-1 (a)</t>
  </si>
  <si>
    <t>MP-1 (b)</t>
  </si>
  <si>
    <t>MP-2 (a)</t>
  </si>
  <si>
    <t>MP-2 (b)</t>
  </si>
  <si>
    <t>EHP boilers are modelled using a constant efficiency:</t>
  </si>
  <si>
    <t>Modelled fuel output</t>
  </si>
  <si>
    <t>Heat required for steam</t>
  </si>
  <si>
    <t>Fitted model efficiency</t>
  </si>
  <si>
    <t>Error squared</t>
  </si>
  <si>
    <t>introduction of variable package boiler &amp; supplementary firing efficiency</t>
  </si>
  <si>
    <t>Supplementary firing efficiency constant a</t>
  </si>
  <si>
    <t>Supplementary firing efficiency constant b</t>
  </si>
  <si>
    <t>Modelled supplementary firing gas consumption</t>
  </si>
  <si>
    <t>Modelled supplementary firing efficiency</t>
  </si>
  <si>
    <t>Maximum supplementary steam</t>
  </si>
  <si>
    <t>assumed</t>
  </si>
  <si>
    <t>removal of all jan data has broken graphs on the OOM outputs sheet</t>
  </si>
  <si>
    <t>sort out the steam thermodynamics section</t>
  </si>
  <si>
    <t>Full load</t>
  </si>
  <si>
    <t>Eff.</t>
  </si>
  <si>
    <t>3.3 MWe</t>
  </si>
  <si>
    <t>Lube oil heat</t>
  </si>
  <si>
    <t>1.2 MWe</t>
  </si>
  <si>
    <t>put in a gas consumption summary</t>
  </si>
  <si>
    <t>fixed mistake in package boiler 2 efficiency calculation</t>
  </si>
  <si>
    <t>reworked &amp; cleaned up data sheet</t>
  </si>
  <si>
    <t>Exhaust heat to BFW preheat</t>
  </si>
  <si>
    <t>Jacket heat to BFW preheat</t>
  </si>
  <si>
    <t>Lube oil heat to BFW preheat</t>
  </si>
  <si>
    <t>Total heat to BFW preheat</t>
  </si>
  <si>
    <t>Total heat recovery</t>
  </si>
  <si>
    <t>Recovered jacket heat</t>
  </si>
  <si>
    <t>Recovered lube oil heat</t>
  </si>
  <si>
    <t>Recovered exhaust heat</t>
  </si>
  <si>
    <t>Remaining exhaust heat after BFW preheat</t>
  </si>
  <si>
    <t>MP steam generation</t>
  </si>
  <si>
    <t>Gas engine (MP)</t>
  </si>
  <si>
    <t>Gas engine (LP)</t>
  </si>
  <si>
    <t>Gas Engine MP Steam Generation</t>
  </si>
  <si>
    <t>Gas engine LP steam generation</t>
  </si>
  <si>
    <t>EXH</t>
  </si>
  <si>
    <t>Total LGH available</t>
  </si>
  <si>
    <t>Total exhaust available</t>
  </si>
  <si>
    <t>LGH  dump</t>
  </si>
  <si>
    <t>Dumped jacket heat</t>
  </si>
  <si>
    <t>Dumped lube oil heat</t>
  </si>
  <si>
    <t>Total heat dump</t>
  </si>
  <si>
    <t>Gas engine thermal efficiency (actual)</t>
  </si>
  <si>
    <t>Gas engine thermal efficiency (maximum)</t>
  </si>
  <si>
    <t>Engine</t>
  </si>
  <si>
    <t>Exhaust</t>
  </si>
  <si>
    <t>Jacket</t>
  </si>
  <si>
    <t>Fuel input (gross)</t>
  </si>
  <si>
    <t>Lube oil</t>
  </si>
  <si>
    <t>List for data validation</t>
  </si>
  <si>
    <t xml:space="preserve">Remaining exhaust heat </t>
  </si>
  <si>
    <t>Total exhaust for steam generation</t>
  </si>
  <si>
    <t>kW LHV</t>
  </si>
  <si>
    <t>G3516H - 500 Nox</t>
  </si>
  <si>
    <t>Lube oil heat / intercooler / aftercooler</t>
  </si>
  <si>
    <t>Aux. boiler steam</t>
  </si>
  <si>
    <t>Aux. boiler</t>
  </si>
  <si>
    <t>Aux. firing boiler</t>
  </si>
  <si>
    <t xml:space="preserve">Aux. boiler </t>
  </si>
  <si>
    <t>Aux. boiler on/off</t>
  </si>
  <si>
    <t>Site gas consumptions</t>
  </si>
  <si>
    <t>Total HP gas</t>
  </si>
  <si>
    <t xml:space="preserve">WHB 1 </t>
  </si>
  <si>
    <t>Total LP gas</t>
  </si>
  <si>
    <t>Total site gas</t>
  </si>
  <si>
    <t>Power balance</t>
  </si>
  <si>
    <t>Generation</t>
  </si>
  <si>
    <t>Consumption</t>
  </si>
  <si>
    <t>Total (generation)</t>
  </si>
  <si>
    <t>Total (consumption)</t>
  </si>
  <si>
    <t>Auxillary boiler parasitics</t>
  </si>
  <si>
    <t>additional parasitics for turning on aux. firing (BFW pump &amp; FD fan)</t>
  </si>
  <si>
    <t>based on esight data 2014-04-14</t>
  </si>
  <si>
    <t>Leak off flow</t>
  </si>
  <si>
    <t>Hotwell water temperature</t>
  </si>
  <si>
    <t>leaving hot well, measured on site 2014-04-14</t>
  </si>
  <si>
    <t>Makeup water required (from hotwell)</t>
  </si>
  <si>
    <t>Hotwell water enthalpy</t>
  </si>
  <si>
    <t>=SUM($C$307:$D$307)/(1-$C$99)-SUM($C$307:$D$307)</t>
  </si>
  <si>
    <t>Manually adjusted supp. firing efficiency</t>
  </si>
  <si>
    <t>Manually set site parasitics</t>
  </si>
  <si>
    <t>Saved model data:</t>
  </si>
  <si>
    <t>SGT 200, DLE:</t>
  </si>
  <si>
    <t>Gas turbine 3 - New EHP turbine</t>
  </si>
  <si>
    <t>SGT 200, STIG at 1 t/h</t>
  </si>
  <si>
    <t>Inputs (STIG will be zero for the DLE options)</t>
  </si>
  <si>
    <t>No</t>
  </si>
  <si>
    <t>Hourly margin</t>
  </si>
  <si>
    <t>Error Checking</t>
  </si>
  <si>
    <t>Water</t>
  </si>
  <si>
    <t>assumed at 95 to get gas engine model to work</t>
  </si>
  <si>
    <t>TMUrig0</t>
  </si>
  <si>
    <t>hEXHrig0</t>
  </si>
  <si>
    <t>hMUrig0</t>
  </si>
  <si>
    <t>Rig Sim Initial Conditions</t>
  </si>
  <si>
    <t>Initial makeup water T</t>
  </si>
  <si>
    <t>Initial makeup water h</t>
  </si>
  <si>
    <t xml:space="preserve">Initial exhaust HR </t>
  </si>
  <si>
    <t>set to get the 1 GT, ENG case to around 800 kWe total parasitics</t>
  </si>
  <si>
    <t>No error in site balances</t>
  </si>
  <si>
    <t>package boiler efficiency -review &amp; constant option</t>
  </si>
  <si>
    <t>supp firing eff - same as above</t>
  </si>
  <si>
    <t>option to have variable demands in the operator sheet</t>
  </si>
  <si>
    <t>Model 1 - Based on a Willans Line &amp; a fixed adjustment to get it correct</t>
  </si>
  <si>
    <t>Model 2 - Data based regression</t>
  </si>
  <si>
    <t>Correlation from Humber OOM assumptions justification 2015-07-14.xls</t>
  </si>
  <si>
    <t>Correlation (function of steam out)</t>
  </si>
  <si>
    <t>Power output</t>
  </si>
  <si>
    <t>Model Options</t>
  </si>
  <si>
    <t>ST 5 model</t>
  </si>
  <si>
    <t>MP boiler model 1 - Variable Efficiency</t>
  </si>
  <si>
    <t>MP Boiler Model 2 - Constant User Defined Efficiency</t>
  </si>
  <si>
    <t>% HHV</t>
  </si>
  <si>
    <t>Coefficient 1 for variable efficiency</t>
  </si>
  <si>
    <t>Coefficient 2 for variable efficiency</t>
  </si>
  <si>
    <t>Blowdown &amp; BFW are the same as for the variable efficiency model</t>
  </si>
  <si>
    <t>PB Effy</t>
  </si>
  <si>
    <t>Constant</t>
  </si>
  <si>
    <t>Method 2 - Constant Supplementary Firing Efficiency</t>
  </si>
  <si>
    <t>Constant supplementary firing efficiency</t>
  </si>
  <si>
    <t>SF Effy</t>
  </si>
  <si>
    <t>Assumption</t>
  </si>
  <si>
    <t>Electrical Demand</t>
  </si>
  <si>
    <t>Active</t>
  </si>
  <si>
    <t>Display case</t>
  </si>
  <si>
    <t>Active Case</t>
  </si>
  <si>
    <t>Revenue</t>
  </si>
  <si>
    <t>Cost</t>
  </si>
  <si>
    <t>BAU</t>
  </si>
  <si>
    <t>B* - 1 GT ENG</t>
  </si>
  <si>
    <t>B* - 2 GT ENG</t>
  </si>
  <si>
    <t>B* - 2 GT</t>
  </si>
  <si>
    <t>B* - 2 GT ENG ST6</t>
  </si>
  <si>
    <t>£/t</t>
  </si>
  <si>
    <t>Model 3 - User Defined Model</t>
  </si>
  <si>
    <t>Correlation</t>
  </si>
  <si>
    <t>mass flow</t>
  </si>
  <si>
    <t>enthalpy</t>
  </si>
  <si>
    <t>energy</t>
  </si>
  <si>
    <t>power</t>
  </si>
  <si>
    <t>difference</t>
  </si>
  <si>
    <t>gas</t>
  </si>
  <si>
    <t>pwr</t>
  </si>
  <si>
    <t>lost steam</t>
  </si>
  <si>
    <t>additional gas</t>
  </si>
  <si>
    <t>value of power</t>
  </si>
  <si>
    <t>gas price factor</t>
  </si>
  <si>
    <t>MP steam sale</t>
  </si>
  <si>
    <t xml:space="preserve">gas to generate 1 t of MP </t>
  </si>
  <si>
    <t>effy</t>
  </si>
  <si>
    <t>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</si>
</sst>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1">
    <numFmt numFmtId="6" formatCode="&quot;£&quot;#,##0_);[Red]\(&quot;£&quot;#,##0\)"/>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0"/>
    <numFmt numFmtId="166" formatCode="0.0%"/>
    <numFmt numFmtId="167" formatCode="0.000000"/>
    <numFmt numFmtId="168" formatCode="&quot;£&quot;#,##0.00"/>
    <numFmt numFmtId="169" formatCode="#,##0.000"/>
    <numFmt numFmtId="170" formatCode="&quot;£&quot;#,##0"/>
    <numFmt numFmtId="171" formatCode="0.00000000000000"/>
    <numFmt numFmtId="172" formatCode="0\ \C"/>
    <numFmt numFmtId="173" formatCode="_-* #,##0.00\ _z_ł_-;\-* #,##0.00\ _z_ł_-;_-* &quot;-&quot;??\ _z_ł_-;_-@_-"/>
    <numFmt numFmtId="174" formatCode="#,##0.00000000000"/>
    <numFmt numFmtId="175" formatCode="#,##0.000000000000000"/>
    <numFmt numFmtId="176" formatCode="&quot;£&quot;#,##0.000"/>
    <numFmt numFmtId="177" formatCode="#,##0&quot; h&quot;"/>
    <numFmt numFmtId="178" formatCode="_(#,##0.0%_);_)\(#,##0.0%\);_(0.0%_);@_)"/>
    <numFmt numFmtId="179" formatCode="0.000_)"/>
    <numFmt numFmtId="180" formatCode="#,##0,;\(#,##0,\);&quot;-&quot;;@"/>
    <numFmt numFmtId="181" formatCode="dd/mm/yy;@"/>
    <numFmt numFmtId="182" formatCode="yyyy\-mmm\-dd"/>
    <numFmt numFmtId="183" formatCode="_([$€-2]* #,##0.00_);_([$€-2]* \(#,##0.00\);_([$€-2]* &quot;-&quot;??_)"/>
    <numFmt numFmtId="184" formatCode="_(\ #,##0.0_%_);_(\ \(#,##0.0_%\);_(\ &quot; - &quot;_%_);_(@_)"/>
    <numFmt numFmtId="185" formatCode="_(\ #,##0.0%_);_(\ \(#,##0.0%\);_(\ &quot; - &quot;\%_);_(@_)"/>
    <numFmt numFmtId="186" formatCode="#,##0_);\(#,##0\);&quot; - &quot;_);@_)"/>
    <numFmt numFmtId="187" formatCode="\ #,##0.0_);\(#,##0.0\);&quot; - &quot;_);@_)"/>
    <numFmt numFmtId="188" formatCode="\ #,##0.00_);\(#,##0.00\);&quot; - &quot;_);@_)"/>
    <numFmt numFmtId="189" formatCode="\ #,##0.000_);\(#,##0.000\);&quot; - &quot;_);@_)"/>
    <numFmt numFmtId="190" formatCode="#,##0;\(#,##0\);&quot;-&quot;"/>
    <numFmt numFmtId="191" formatCode="d\ mmmm\ yyyy"/>
    <numFmt numFmtId="192" formatCode="#,##0;[Red]\(#,##0\);0"/>
    <numFmt numFmtId="193" formatCode="\ ;\ ;"/>
    <numFmt numFmtId="194" formatCode="#,##0.0000"/>
    <numFmt numFmtId="195" formatCode="#,##0\ &quot;F&quot;;[Red]\-#,##0\ &quot;F&quot;"/>
    <numFmt numFmtId="196" formatCode="#,##0.00\ &quot;F&quot;;[Red]\-#,##0.00\ &quot;F&quot;"/>
    <numFmt numFmtId="197" formatCode="#,##0;\(#,##0\);&quot;-&quot;;@"/>
    <numFmt numFmtId="198" formatCode="0.00_)"/>
    <numFmt numFmtId="199" formatCode="&quot;déconsolidée&quot;"/>
    <numFmt numFmtId="200" formatCode="0%_);[Red]\(0%\)"/>
    <numFmt numFmtId="201" formatCode="0.00%_);[Red]\(0.00%\)"/>
    <numFmt numFmtId="202" formatCode="#,##0\ ;\-\(#,##0\)"/>
    <numFmt numFmtId="203" formatCode="0.0%;[Red]\-0.0%"/>
    <numFmt numFmtId="204" formatCode="0.00;[Red]0.00"/>
    <numFmt numFmtId="205" formatCode="_(* #,##0.00%_);_(* \(#,##0.00%\);_(* #,##0.00%_);_(@_)"/>
    <numFmt numFmtId="206" formatCode="0.00000"/>
    <numFmt numFmtId="207" formatCode="#,##0.00000"/>
    <numFmt numFmtId="208" formatCode="0.0000"/>
    <numFmt numFmtId="209" formatCode="0.0\ \C"/>
  </numFmts>
  <fonts count="195">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u/>
      <sz val="11"/>
      <color theme="1"/>
      <name val="Calibri"/>
      <family val="2"/>
      <scheme val="minor"/>
    </font>
    <font>
      <b/>
      <sz val="16"/>
      <color theme="1"/>
      <name val="Calibri"/>
      <family val="2"/>
      <scheme val="minor"/>
    </font>
    <font>
      <i/>
      <sz val="11"/>
      <color theme="1"/>
      <name val="Calibri"/>
      <family val="2"/>
      <scheme val="minor"/>
    </font>
    <font>
      <sz val="11"/>
      <color theme="4"/>
      <name val="Calibri"/>
      <family val="2"/>
      <scheme val="minor"/>
    </font>
    <font>
      <sz val="11"/>
      <color theme="5" tint="-0.249977111117893"/>
      <name val="Calibri"/>
      <family val="2"/>
      <scheme val="minor"/>
    </font>
    <font>
      <sz val="9"/>
      <color indexed="81"/>
      <name val="Tahoma"/>
      <family val="2"/>
    </font>
    <font>
      <b/>
      <sz val="9"/>
      <color indexed="81"/>
      <name val="Tahoma"/>
      <family val="2"/>
    </font>
    <font>
      <b/>
      <sz val="11"/>
      <name val="Calibri"/>
      <family val="2"/>
      <scheme val="minor"/>
    </font>
    <font>
      <b/>
      <sz val="11"/>
      <color rgb="FF92D050"/>
      <name val="Calibri"/>
      <family val="2"/>
      <scheme val="minor"/>
    </font>
    <font>
      <b/>
      <sz val="10"/>
      <name val="Arial"/>
      <family val="2"/>
    </font>
    <font>
      <b/>
      <vertAlign val="superscript"/>
      <sz val="10"/>
      <name val="Arial"/>
      <family val="2"/>
    </font>
    <font>
      <vertAlign val="superscript"/>
      <sz val="11"/>
      <color theme="1"/>
      <name val="Calibri"/>
      <family val="2"/>
      <scheme val="minor"/>
    </font>
    <font>
      <u/>
      <sz val="11"/>
      <color theme="10"/>
      <name val="Calibri"/>
      <family val="2"/>
    </font>
    <font>
      <u/>
      <sz val="11"/>
      <color theme="10"/>
      <name val="Calibri"/>
      <family val="2"/>
      <scheme val="minor"/>
    </font>
    <font>
      <b/>
      <sz val="15"/>
      <name val="Calibri"/>
      <family val="2"/>
      <scheme val="minor"/>
    </font>
    <font>
      <sz val="11"/>
      <color theme="1"/>
      <name val="Cambria"/>
      <family val="1"/>
      <scheme val="major"/>
    </font>
    <font>
      <b/>
      <sz val="15"/>
      <name val="Cambria"/>
      <family val="1"/>
      <scheme val="major"/>
    </font>
    <font>
      <b/>
      <sz val="11"/>
      <color theme="1"/>
      <name val="Cambria"/>
      <family val="1"/>
      <scheme val="major"/>
    </font>
    <font>
      <vertAlign val="subscript"/>
      <sz val="11"/>
      <color theme="1"/>
      <name val="Calibri"/>
      <family val="2"/>
      <scheme val="minor"/>
    </font>
    <font>
      <sz val="11"/>
      <color indexed="9"/>
      <name val="Calibri"/>
      <family val="2"/>
    </font>
    <font>
      <sz val="10"/>
      <name val="Arial"/>
      <family val="2"/>
      <charset val="238"/>
    </font>
    <font>
      <sz val="13"/>
      <color indexed="81"/>
      <name val="Tahoma"/>
      <family val="2"/>
    </font>
    <font>
      <u/>
      <sz val="11"/>
      <color theme="11"/>
      <name val="Calibri"/>
      <family val="2"/>
      <scheme val="minor"/>
    </font>
    <font>
      <i/>
      <sz val="11"/>
      <name val="Calibri"/>
      <family val="2"/>
      <scheme val="minor"/>
    </font>
    <font>
      <sz val="10"/>
      <color theme="1"/>
      <name val="Calibri"/>
      <family val="2"/>
    </font>
    <font>
      <sz val="10"/>
      <name val="Arial"/>
      <family val="2"/>
    </font>
    <font>
      <sz val="10"/>
      <color indexed="8"/>
      <name val="MS Sans Serif"/>
      <family val="2"/>
      <charset val="204"/>
    </font>
    <font>
      <sz val="10"/>
      <name val="Helv"/>
    </font>
    <font>
      <sz val="9"/>
      <name val="Helvetica 45 Light"/>
      <family val="2"/>
    </font>
    <font>
      <sz val="10"/>
      <name val="Geneva"/>
      <family val="2"/>
    </font>
    <font>
      <sz val="10"/>
      <name val="???"/>
      <family val="3"/>
      <charset val="255"/>
    </font>
    <font>
      <sz val="12"/>
      <name val="???"/>
      <family val="1"/>
      <charset val="255"/>
    </font>
    <font>
      <sz val="10"/>
      <color indexed="8"/>
      <name val="Arial"/>
      <family val="2"/>
    </font>
    <font>
      <sz val="12"/>
      <name val="Tms Rmn"/>
    </font>
    <font>
      <u/>
      <sz val="10"/>
      <name val="Helv"/>
    </font>
    <font>
      <sz val="11"/>
      <color indexed="8"/>
      <name val="Calibri"/>
      <family val="2"/>
    </font>
    <font>
      <sz val="10"/>
      <color theme="1"/>
      <name val="Arial"/>
      <family val="2"/>
    </font>
    <font>
      <sz val="11"/>
      <color indexed="8"/>
      <name val="Czcionka tekstu podstawowego"/>
      <family val="2"/>
      <charset val="238"/>
    </font>
    <font>
      <sz val="11"/>
      <color indexed="9"/>
      <name val="Calibri"/>
      <family val="2"/>
      <charset val="238"/>
    </font>
    <font>
      <sz val="10"/>
      <color indexed="9"/>
      <name val="Arial"/>
      <family val="2"/>
    </font>
    <font>
      <sz val="11"/>
      <color indexed="9"/>
      <name val="Czcionka tekstu podstawowego"/>
      <family val="2"/>
      <charset val="238"/>
    </font>
    <font>
      <sz val="12"/>
      <name val="?oUAAA¨u"/>
      <family val="1"/>
      <charset val="255"/>
    </font>
    <font>
      <sz val="11"/>
      <name val="?i????o"/>
      <family val="3"/>
      <charset val="255"/>
    </font>
    <font>
      <sz val="12"/>
      <name val="ⓒoUAAA¨u"/>
      <family val="1"/>
      <charset val="255"/>
    </font>
    <font>
      <sz val="11"/>
      <name val="￥i￠￢￠?o"/>
      <family val="3"/>
      <charset val="255"/>
    </font>
    <font>
      <sz val="9"/>
      <color indexed="12"/>
      <name val="Arial"/>
      <family val="2"/>
    </font>
    <font>
      <sz val="12"/>
      <name val="Arial"/>
      <family val="2"/>
    </font>
    <font>
      <sz val="11"/>
      <color indexed="10"/>
      <name val="Calibri"/>
      <family val="2"/>
    </font>
    <font>
      <sz val="8"/>
      <name val="Arial"/>
      <family val="2"/>
    </font>
    <font>
      <sz val="11"/>
      <color indexed="20"/>
      <name val="Calibri"/>
      <family val="2"/>
    </font>
    <font>
      <sz val="10"/>
      <color indexed="20"/>
      <name val="Arial"/>
      <family val="2"/>
    </font>
    <font>
      <b/>
      <sz val="11"/>
      <color indexed="52"/>
      <name val="Calibri"/>
      <family val="2"/>
    </font>
    <font>
      <b/>
      <sz val="10"/>
      <color rgb="FFFA7D00"/>
      <name val="Arial"/>
      <family val="2"/>
    </font>
    <font>
      <b/>
      <sz val="11"/>
      <color indexed="52"/>
      <name val="Calibri"/>
      <family val="2"/>
      <charset val="238"/>
    </font>
    <font>
      <b/>
      <sz val="10"/>
      <color indexed="52"/>
      <name val="Arial"/>
      <family val="2"/>
    </font>
    <font>
      <b/>
      <sz val="12"/>
      <name val="Arial"/>
      <family val="2"/>
    </font>
    <font>
      <sz val="11"/>
      <color indexed="52"/>
      <name val="Calibri"/>
      <family val="2"/>
    </font>
    <font>
      <b/>
      <sz val="11"/>
      <color indexed="9"/>
      <name val="Calibri"/>
      <family val="2"/>
    </font>
    <font>
      <b/>
      <sz val="11"/>
      <color indexed="9"/>
      <name val="Calibri"/>
      <family val="2"/>
      <charset val="238"/>
    </font>
    <font>
      <b/>
      <sz val="10"/>
      <color indexed="9"/>
      <name val="Arial"/>
      <family val="2"/>
    </font>
    <font>
      <sz val="11"/>
      <name val="Tms Rmn"/>
      <family val="1"/>
    </font>
    <font>
      <sz val="11"/>
      <name val="Arial"/>
      <family val="2"/>
    </font>
    <font>
      <sz val="10"/>
      <name val="Century Schoolbook"/>
      <family val="1"/>
    </font>
    <font>
      <i/>
      <sz val="12"/>
      <name val="Helv"/>
    </font>
    <font>
      <sz val="12"/>
      <name val="Times New Roman"/>
      <family val="1"/>
    </font>
    <font>
      <sz val="11"/>
      <color indexed="62"/>
      <name val="Czcionka tekstu podstawowego"/>
      <family val="2"/>
      <charset val="238"/>
    </font>
    <font>
      <b/>
      <sz val="11"/>
      <color indexed="63"/>
      <name val="Czcionka tekstu podstawowego"/>
      <family val="2"/>
      <charset val="238"/>
    </font>
    <font>
      <b/>
      <i/>
      <sz val="8"/>
      <color indexed="12"/>
      <name val="Arial"/>
      <family val="2"/>
    </font>
    <font>
      <sz val="8"/>
      <color indexed="12"/>
      <name val="Arial"/>
      <family val="2"/>
    </font>
    <font>
      <b/>
      <i/>
      <sz val="11"/>
      <color indexed="12"/>
      <name val="Arial"/>
      <family val="2"/>
    </font>
    <font>
      <sz val="10"/>
      <color indexed="12"/>
      <name val="Arial"/>
      <family val="2"/>
    </font>
    <font>
      <i/>
      <sz val="9"/>
      <name val="Times New Roman"/>
      <family val="1"/>
    </font>
    <font>
      <sz val="11"/>
      <color indexed="17"/>
      <name val="Czcionka tekstu podstawowego"/>
      <family val="2"/>
      <charset val="238"/>
    </font>
    <font>
      <sz val="11"/>
      <color indexed="62"/>
      <name val="Calibri"/>
      <family val="2"/>
    </font>
    <font>
      <i/>
      <sz val="11"/>
      <color indexed="23"/>
      <name val="Calibri"/>
      <family val="2"/>
    </font>
    <font>
      <i/>
      <sz val="10"/>
      <color indexed="23"/>
      <name val="Arial"/>
      <family val="2"/>
    </font>
    <font>
      <sz val="9"/>
      <name val="Times New Roman"/>
      <family val="1"/>
    </font>
    <font>
      <sz val="10"/>
      <name val="Arial Narrow"/>
      <family val="2"/>
    </font>
    <font>
      <i/>
      <sz val="10"/>
      <name val="Arial Narrow"/>
      <family val="2"/>
    </font>
    <font>
      <b/>
      <sz val="10"/>
      <color indexed="25"/>
      <name val="Arial Narrow"/>
      <family val="2"/>
    </font>
    <font>
      <b/>
      <sz val="10"/>
      <color indexed="32"/>
      <name val="Arial Narrow"/>
      <family val="2"/>
    </font>
    <font>
      <i/>
      <sz val="10"/>
      <color indexed="25"/>
      <name val="Arial Narrow"/>
      <family val="2"/>
    </font>
    <font>
      <sz val="14"/>
      <name val="Arial"/>
      <family val="2"/>
    </font>
    <font>
      <b/>
      <sz val="12"/>
      <color indexed="55"/>
      <name val="Arial"/>
      <family val="2"/>
    </font>
    <font>
      <b/>
      <sz val="14"/>
      <name val="Arial"/>
      <family val="2"/>
    </font>
    <font>
      <i/>
      <sz val="10"/>
      <color indexed="32"/>
      <name val="Arial Narrow"/>
      <family val="2"/>
    </font>
    <font>
      <b/>
      <sz val="11"/>
      <name val="Times New Roman"/>
      <family val="1"/>
    </font>
    <font>
      <b/>
      <sz val="10"/>
      <name val="Times New Roman"/>
      <family val="1"/>
    </font>
    <font>
      <b/>
      <i/>
      <sz val="9.5"/>
      <name val="Times New Roman"/>
      <family val="1"/>
    </font>
    <font>
      <sz val="10"/>
      <color indexed="25"/>
      <name val="Arial Narrow"/>
      <family val="2"/>
    </font>
    <font>
      <sz val="10"/>
      <color indexed="32"/>
      <name val="Arial Narrow"/>
      <family val="2"/>
    </font>
    <font>
      <sz val="10"/>
      <name val="Times New Roman"/>
      <family val="1"/>
    </font>
    <font>
      <b/>
      <sz val="16"/>
      <name val="Arial"/>
      <family val="2"/>
    </font>
    <font>
      <b/>
      <sz val="14"/>
      <color indexed="25"/>
      <name val="Arial"/>
      <family val="2"/>
    </font>
    <font>
      <b/>
      <sz val="14"/>
      <color indexed="32"/>
      <name val="Arial"/>
      <family val="2"/>
    </font>
    <font>
      <sz val="8"/>
      <color indexed="25"/>
      <name val="Arial Narrow"/>
      <family val="2"/>
    </font>
    <font>
      <sz val="8"/>
      <color indexed="32"/>
      <name val="Arial Narrow"/>
      <family val="2"/>
    </font>
    <font>
      <b/>
      <sz val="10"/>
      <name val="Arial Narrow"/>
      <family val="2"/>
    </font>
    <font>
      <b/>
      <i/>
      <sz val="10"/>
      <name val="Arial Narrow"/>
      <family val="2"/>
    </font>
    <font>
      <sz val="8"/>
      <name val="Tms Rmn"/>
    </font>
    <font>
      <u/>
      <sz val="10"/>
      <color indexed="36"/>
      <name val="Arial"/>
      <family val="2"/>
    </font>
    <font>
      <sz val="11"/>
      <color indexed="17"/>
      <name val="Calibri"/>
      <family val="2"/>
    </font>
    <font>
      <sz val="10"/>
      <color indexed="17"/>
      <name val="Arial"/>
      <family val="2"/>
    </font>
    <font>
      <b/>
      <sz val="14"/>
      <name val="Times New Roman"/>
      <family val="1"/>
    </font>
    <font>
      <b/>
      <sz val="15"/>
      <color indexed="56"/>
      <name val="Calibri"/>
      <family val="2"/>
    </font>
    <font>
      <b/>
      <sz val="15"/>
      <color indexed="56"/>
      <name val="Calibri"/>
      <family val="2"/>
      <charset val="238"/>
    </font>
    <font>
      <b/>
      <sz val="15"/>
      <color indexed="62"/>
      <name val="Arial"/>
      <family val="2"/>
    </font>
    <font>
      <b/>
      <sz val="15"/>
      <color indexed="56"/>
      <name val="Arial"/>
      <family val="2"/>
    </font>
    <font>
      <b/>
      <sz val="13"/>
      <color indexed="56"/>
      <name val="Calibri"/>
      <family val="2"/>
    </font>
    <font>
      <b/>
      <sz val="13"/>
      <color indexed="56"/>
      <name val="Calibri"/>
      <family val="2"/>
      <charset val="238"/>
    </font>
    <font>
      <b/>
      <sz val="13"/>
      <color indexed="62"/>
      <name val="Arial"/>
      <family val="2"/>
    </font>
    <font>
      <b/>
      <sz val="13"/>
      <color indexed="56"/>
      <name val="Arial"/>
      <family val="2"/>
    </font>
    <font>
      <b/>
      <sz val="11"/>
      <color indexed="56"/>
      <name val="Calibri"/>
      <family val="2"/>
    </font>
    <font>
      <b/>
      <sz val="11"/>
      <color indexed="56"/>
      <name val="Calibri"/>
      <family val="2"/>
      <charset val="238"/>
    </font>
    <font>
      <b/>
      <sz val="11"/>
      <color indexed="62"/>
      <name val="Arial"/>
      <family val="2"/>
    </font>
    <font>
      <b/>
      <sz val="11"/>
      <color indexed="56"/>
      <name val="Arial"/>
      <family val="2"/>
    </font>
    <font>
      <b/>
      <sz val="12"/>
      <color indexed="8"/>
      <name val="Arial"/>
      <family val="2"/>
    </font>
    <font>
      <b/>
      <sz val="11"/>
      <name val="Arial"/>
      <family val="2"/>
    </font>
    <font>
      <b/>
      <sz val="9"/>
      <name val="Helv"/>
    </font>
    <font>
      <sz val="9"/>
      <name val="Helv"/>
    </font>
    <font>
      <u/>
      <sz val="10"/>
      <color indexed="12"/>
      <name val="Arial"/>
      <family val="2"/>
    </font>
    <font>
      <u/>
      <sz val="10"/>
      <color indexed="12"/>
      <name val="Calibri"/>
      <family val="2"/>
    </font>
    <font>
      <u/>
      <sz val="7"/>
      <color indexed="12"/>
      <name val="Arial"/>
      <family val="2"/>
    </font>
    <font>
      <u/>
      <sz val="7.5"/>
      <color indexed="12"/>
      <name val="Arial"/>
      <family val="2"/>
    </font>
    <font>
      <u/>
      <sz val="8.5"/>
      <color theme="10"/>
      <name val="Arial"/>
      <family val="2"/>
    </font>
    <font>
      <sz val="10"/>
      <color indexed="62"/>
      <name val="Arial"/>
      <family val="2"/>
    </font>
    <font>
      <sz val="10"/>
      <name val="MS Sans Serif"/>
      <family val="2"/>
    </font>
    <font>
      <sz val="11"/>
      <color indexed="52"/>
      <name val="Czcionka tekstu podstawowego"/>
      <family val="2"/>
      <charset val="238"/>
    </font>
    <font>
      <b/>
      <sz val="11"/>
      <color indexed="9"/>
      <name val="Czcionka tekstu podstawowego"/>
      <family val="2"/>
      <charset val="238"/>
    </font>
    <font>
      <b/>
      <sz val="10"/>
      <name val="Helv"/>
    </font>
    <font>
      <sz val="10"/>
      <color indexed="52"/>
      <name val="Arial"/>
      <family val="2"/>
    </font>
    <font>
      <b/>
      <sz val="15"/>
      <color indexed="56"/>
      <name val="Czcionka tekstu podstawowego"/>
      <family val="2"/>
      <charset val="238"/>
    </font>
    <font>
      <b/>
      <sz val="13"/>
      <color indexed="56"/>
      <name val="Czcionka tekstu podstawowego"/>
      <family val="2"/>
      <charset val="238"/>
    </font>
    <font>
      <b/>
      <sz val="11"/>
      <color indexed="56"/>
      <name val="Czcionka tekstu podstawowego"/>
      <family val="2"/>
      <charset val="238"/>
    </font>
    <font>
      <sz val="10"/>
      <color indexed="31"/>
      <name val="Arial"/>
      <family val="2"/>
    </font>
    <font>
      <sz val="9"/>
      <color indexed="31"/>
      <name val="Arial"/>
      <family val="2"/>
    </font>
    <font>
      <sz val="11"/>
      <color indexed="60"/>
      <name val="Calibri"/>
      <family val="2"/>
    </font>
    <font>
      <sz val="10"/>
      <color indexed="60"/>
      <name val="Arial"/>
      <family val="2"/>
    </font>
    <font>
      <sz val="11"/>
      <color indexed="60"/>
      <name val="Czcionka tekstu podstawowego"/>
      <family val="2"/>
      <charset val="238"/>
    </font>
    <font>
      <sz val="7"/>
      <name val="Small Fonts"/>
      <family val="2"/>
    </font>
    <font>
      <b/>
      <i/>
      <sz val="16"/>
      <name val="Helv"/>
    </font>
    <font>
      <sz val="10"/>
      <name val="Verdana"/>
      <family val="2"/>
    </font>
    <font>
      <sz val="10"/>
      <name val="Arial CE"/>
      <charset val="238"/>
    </font>
    <font>
      <b/>
      <sz val="11"/>
      <color indexed="52"/>
      <name val="Czcionka tekstu podstawowego"/>
      <family val="2"/>
      <charset val="238"/>
    </font>
    <font>
      <sz val="10"/>
      <color indexed="14"/>
      <name val="Arial"/>
      <family val="2"/>
    </font>
    <font>
      <b/>
      <sz val="11"/>
      <color indexed="63"/>
      <name val="Calibri"/>
      <family val="2"/>
    </font>
    <font>
      <b/>
      <sz val="10"/>
      <color indexed="63"/>
      <name val="Arial"/>
      <family val="2"/>
    </font>
    <font>
      <b/>
      <sz val="10"/>
      <color rgb="FF3F3F3F"/>
      <name val="Arial"/>
      <family val="2"/>
    </font>
    <font>
      <sz val="10"/>
      <color theme="1"/>
      <name val="Franklin Gothic Book"/>
      <family val="2"/>
    </font>
    <font>
      <sz val="10"/>
      <name val="Arial"/>
      <family val="2"/>
      <charset val="204"/>
    </font>
    <font>
      <b/>
      <sz val="10"/>
      <name val="Univers 45 Light"/>
      <family val="2"/>
    </font>
    <font>
      <b/>
      <sz val="10"/>
      <name val="MS Sans Serif"/>
      <family val="2"/>
    </font>
    <font>
      <b/>
      <sz val="16"/>
      <name val="Times New Roman"/>
      <family val="1"/>
    </font>
    <font>
      <sz val="11"/>
      <name val="Tahoma"/>
      <family val="2"/>
    </font>
    <font>
      <sz val="10"/>
      <color indexed="8"/>
      <name val="MS Sans Serif"/>
      <family val="2"/>
    </font>
    <font>
      <b/>
      <sz val="11"/>
      <color indexed="8"/>
      <name val="Czcionka tekstu podstawowego"/>
      <family val="2"/>
      <charset val="238"/>
    </font>
    <font>
      <sz val="9"/>
      <name val="NewsGoth Lt BT"/>
      <family val="2"/>
    </font>
    <font>
      <i/>
      <sz val="11"/>
      <color indexed="23"/>
      <name val="Czcionka tekstu podstawowego"/>
      <family val="2"/>
      <charset val="238"/>
    </font>
    <font>
      <sz val="11"/>
      <color indexed="10"/>
      <name val="Czcionka tekstu podstawowego"/>
      <family val="2"/>
      <charset val="238"/>
    </font>
    <font>
      <b/>
      <sz val="18"/>
      <color indexed="56"/>
      <name val="Cambria"/>
      <family val="2"/>
    </font>
    <font>
      <b/>
      <sz val="18"/>
      <color indexed="56"/>
      <name val="Cambria"/>
      <family val="2"/>
      <charset val="238"/>
    </font>
    <font>
      <b/>
      <sz val="18"/>
      <color indexed="62"/>
      <name val="Cambria"/>
      <family val="2"/>
    </font>
    <font>
      <b/>
      <sz val="15"/>
      <color indexed="62"/>
      <name val="Calibri"/>
      <family val="2"/>
    </font>
    <font>
      <b/>
      <sz val="13"/>
      <color indexed="62"/>
      <name val="Calibri"/>
      <family val="2"/>
    </font>
    <font>
      <b/>
      <sz val="11"/>
      <color indexed="62"/>
      <name val="Calibri"/>
      <family val="2"/>
    </font>
    <font>
      <b/>
      <sz val="11"/>
      <color indexed="8"/>
      <name val="Calibri"/>
      <family val="2"/>
    </font>
    <font>
      <b/>
      <sz val="10"/>
      <color indexed="8"/>
      <name val="Arial"/>
      <family val="2"/>
    </font>
    <font>
      <sz val="10"/>
      <color indexed="10"/>
      <name val="Arial"/>
      <family val="2"/>
    </font>
    <font>
      <sz val="10"/>
      <name val="CG Times (WN)"/>
    </font>
    <font>
      <sz val="11"/>
      <color indexed="20"/>
      <name val="Czcionka tekstu podstawowego"/>
      <family val="2"/>
      <charset val="238"/>
    </font>
    <font>
      <sz val="10"/>
      <name val="돋움체"/>
      <family val="3"/>
      <charset val="255"/>
    </font>
    <font>
      <sz val="12"/>
      <name val="바탕체"/>
      <family val="1"/>
      <charset val="255"/>
    </font>
    <font>
      <sz val="12"/>
      <name val="바탕체"/>
      <family val="3"/>
    </font>
    <font>
      <u/>
      <sz val="10"/>
      <color theme="10"/>
      <name val="Calibri"/>
      <family val="2"/>
    </font>
    <font>
      <sz val="11"/>
      <color rgb="FF000000"/>
      <name val="Calibri"/>
      <family val="2"/>
    </font>
    <font>
      <b/>
      <sz val="14"/>
      <color theme="3"/>
      <name val="Calibri"/>
      <family val="2"/>
      <scheme val="minor"/>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rgb="FFDCDCDC"/>
        <bgColor indexed="64"/>
      </patternFill>
    </fill>
    <fill>
      <patternFill patternType="solid">
        <fgColor theme="6" tint="0.39994506668294322"/>
        <bgColor indexed="64"/>
      </patternFill>
    </fill>
    <fill>
      <patternFill patternType="solid">
        <fgColor theme="0" tint="-0.14996795556505021"/>
        <bgColor indexed="64"/>
      </patternFill>
    </fill>
    <fill>
      <patternFill patternType="solid">
        <fgColor indexed="10"/>
      </patternFill>
    </fill>
    <fill>
      <patternFill patternType="solid">
        <fgColor theme="0" tint="-0.34998626667073579"/>
        <bgColor indexed="64"/>
      </patternFill>
    </fill>
    <fill>
      <patternFill patternType="solid">
        <fgColor indexed="28"/>
      </patternFill>
    </fill>
    <fill>
      <patternFill patternType="solid">
        <fgColor indexed="47"/>
      </patternFill>
    </fill>
    <fill>
      <patternFill patternType="solid">
        <fgColor indexed="31"/>
      </patternFill>
    </fill>
    <fill>
      <patternFill patternType="solid">
        <fgColor indexed="4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49"/>
      </patternFill>
    </fill>
    <fill>
      <patternFill patternType="solid">
        <fgColor indexed="25"/>
      </patternFill>
    </fill>
    <fill>
      <patternFill patternType="solid">
        <fgColor indexed="22"/>
      </patternFill>
    </fill>
    <fill>
      <patternFill patternType="solid">
        <fgColor indexed="30"/>
      </patternFill>
    </fill>
    <fill>
      <patternFill patternType="solid">
        <fgColor indexed="36"/>
      </patternFill>
    </fill>
    <fill>
      <patternFill patternType="solid">
        <fgColor indexed="52"/>
      </patternFill>
    </fill>
    <fill>
      <patternFill patternType="solid">
        <fgColor indexed="62"/>
      </patternFill>
    </fill>
    <fill>
      <patternFill patternType="solid">
        <fgColor indexed="57"/>
      </patternFill>
    </fill>
    <fill>
      <patternFill patternType="solid">
        <fgColor indexed="53"/>
      </patternFill>
    </fill>
    <fill>
      <patternFill patternType="solid">
        <fgColor indexed="41"/>
        <bgColor indexed="64"/>
      </patternFill>
    </fill>
    <fill>
      <patternFill patternType="solid">
        <fgColor indexed="26"/>
      </patternFill>
    </fill>
    <fill>
      <patternFill patternType="solid">
        <fgColor indexed="51"/>
        <bgColor indexed="64"/>
      </patternFill>
    </fill>
    <fill>
      <patternFill patternType="solid">
        <fgColor indexed="9"/>
      </patternFill>
    </fill>
    <fill>
      <patternFill patternType="solid">
        <fgColor indexed="55"/>
      </patternFill>
    </fill>
    <fill>
      <patternFill patternType="solid">
        <fgColor indexed="43"/>
      </patternFill>
    </fill>
    <fill>
      <patternFill patternType="solid">
        <fgColor indexed="15"/>
        <bgColor indexed="64"/>
      </patternFill>
    </fill>
    <fill>
      <patternFill patternType="solid">
        <fgColor indexed="26"/>
        <bgColor indexed="64"/>
      </patternFill>
    </fill>
    <fill>
      <patternFill patternType="solid">
        <fgColor indexed="22"/>
        <bgColor indexed="64"/>
      </patternFill>
    </fill>
    <fill>
      <patternFill patternType="solid">
        <fgColor indexed="65"/>
        <bgColor indexed="64"/>
      </patternFill>
    </fill>
    <fill>
      <patternFill patternType="solid">
        <fgColor indexed="10"/>
        <bgColor indexed="64"/>
      </patternFill>
    </fill>
    <fill>
      <patternFill patternType="solid">
        <fgColor indexed="24"/>
        <bgColor indexed="64"/>
      </patternFill>
    </fill>
    <fill>
      <patternFill patternType="solid">
        <fgColor indexed="25"/>
        <bgColor indexed="64"/>
      </patternFill>
    </fill>
    <fill>
      <patternFill patternType="solid">
        <fgColor indexed="22"/>
        <bgColor indexed="22"/>
      </patternFill>
    </fill>
    <fill>
      <patternFill patternType="mediumGray">
        <fgColor indexed="22"/>
      </patternFill>
    </fill>
    <fill>
      <patternFill patternType="solid">
        <fgColor indexed="40"/>
        <bgColor indexed="64"/>
      </patternFill>
    </fill>
    <fill>
      <patternFill patternType="solid">
        <fgColor indexed="47"/>
        <bgColor indexed="64"/>
      </patternFill>
    </fill>
    <fill>
      <patternFill patternType="solid">
        <fgColor theme="4" tint="0.59999389629810485"/>
        <bgColor indexed="64"/>
      </patternFill>
    </fill>
    <fill>
      <patternFill patternType="solid">
        <fgColor theme="9" tint="0.59999389629810485"/>
        <bgColor indexed="64"/>
      </patternFill>
    </fill>
  </fills>
  <borders count="5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ck">
        <color auto="1"/>
      </top>
      <bottom/>
      <diagonal/>
    </border>
    <border>
      <left/>
      <right/>
      <top/>
      <bottom style="thick">
        <color auto="1"/>
      </bottom>
      <diagonal/>
    </border>
    <border>
      <left style="thick">
        <color auto="1"/>
      </left>
      <right/>
      <top/>
      <bottom style="thick">
        <color auto="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2499465926084170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top style="medium">
        <color indexed="64"/>
      </top>
      <bottom/>
      <diagonal/>
    </border>
    <border>
      <left style="medium">
        <color indexed="64"/>
      </left>
      <right/>
      <top/>
      <bottom/>
      <diagonal/>
    </border>
    <border>
      <left/>
      <right/>
      <top/>
      <bottom style="medium">
        <color indexed="64"/>
      </bottom>
      <diagonal/>
    </border>
    <border>
      <left/>
      <right/>
      <top/>
      <bottom style="hair">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style="thin">
        <color indexed="64"/>
      </top>
      <bottom/>
      <diagonal/>
    </border>
    <border>
      <left style="thin">
        <color indexed="64"/>
      </left>
      <right/>
      <top/>
      <bottom/>
      <diagonal/>
    </border>
    <border>
      <left style="thin">
        <color indexed="63"/>
      </left>
      <right style="thin">
        <color indexed="63"/>
      </right>
      <top style="thin">
        <color indexed="63"/>
      </top>
      <bottom style="thin">
        <color indexed="63"/>
      </bottom>
      <diagonal/>
    </border>
    <border>
      <left/>
      <right/>
      <top style="hair">
        <color indexed="26"/>
      </top>
      <bottom style="hair">
        <color indexed="26"/>
      </bottom>
      <diagonal/>
    </border>
    <border>
      <left/>
      <right/>
      <top style="thin">
        <color indexed="25"/>
      </top>
      <bottom style="thin">
        <color indexed="25"/>
      </bottom>
      <diagonal/>
    </border>
    <border>
      <left/>
      <right/>
      <top style="thin">
        <color indexed="32"/>
      </top>
      <bottom style="thin">
        <color indexed="32"/>
      </bottom>
      <diagonal/>
    </border>
    <border>
      <left/>
      <right style="thin">
        <color indexed="64"/>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style="hair">
        <color indexed="25"/>
      </top>
      <bottom style="hair">
        <color indexed="25"/>
      </bottom>
      <diagonal/>
    </border>
    <border>
      <left style="thin">
        <color indexed="9"/>
      </left>
      <right/>
      <top style="thin">
        <color indexed="9"/>
      </top>
      <bottom style="thin">
        <color indexed="9"/>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48"/>
      </left>
      <right style="thin">
        <color indexed="48"/>
      </right>
      <top style="thin">
        <color indexed="48"/>
      </top>
      <bottom style="thin">
        <color indexed="48"/>
      </bottom>
      <diagonal/>
    </border>
    <border>
      <left style="double">
        <color indexed="64"/>
      </left>
      <right style="thin">
        <color indexed="64"/>
      </right>
      <top/>
      <bottom/>
      <diagonal/>
    </border>
    <border>
      <left/>
      <right/>
      <top style="thin">
        <color indexed="62"/>
      </top>
      <bottom style="double">
        <color indexed="62"/>
      </bottom>
      <diagonal/>
    </border>
    <border>
      <left/>
      <right/>
      <top style="hair">
        <color indexed="22"/>
      </top>
      <bottom/>
      <diagonal/>
    </border>
    <border>
      <left/>
      <right/>
      <top/>
      <bottom style="thick">
        <color indexed="49"/>
      </bottom>
      <diagonal/>
    </border>
    <border>
      <left/>
      <right/>
      <top/>
      <bottom style="medium">
        <color indexed="49"/>
      </bottom>
      <diagonal/>
    </border>
    <border>
      <left/>
      <right style="thin">
        <color theme="0" tint="-0.34998626667073579"/>
      </right>
      <top style="thin">
        <color theme="0" tint="-0.34998626667073579"/>
      </top>
      <bottom style="thin">
        <color theme="0" tint="-0.34998626667073579"/>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ck">
        <color theme="4"/>
      </bottom>
      <diagonal/>
    </border>
    <border>
      <left style="thin">
        <color theme="0" tint="-0.499984740745262"/>
      </left>
      <right style="thin">
        <color theme="0" tint="-0.499984740745262"/>
      </right>
      <top style="thin">
        <color theme="0" tint="-0.34998626667073579"/>
      </top>
      <bottom style="thin">
        <color theme="0" tint="-0.34998626667073579"/>
      </bottom>
      <diagonal/>
    </border>
    <border>
      <left style="thin">
        <color theme="0" tint="-0.499984740745262"/>
      </left>
      <right/>
      <top/>
      <bottom style="thick">
        <color theme="4"/>
      </bottom>
      <diagonal/>
    </border>
  </borders>
  <cellStyleXfs count="47088">
    <xf numFmtId="183" fontId="0" fillId="0" borderId="0"/>
    <xf numFmtId="183" fontId="2" fillId="0" borderId="0" applyNumberFormat="0" applyFill="0" applyBorder="0" applyAlignment="0" applyProtection="0"/>
    <xf numFmtId="183" fontId="3" fillId="0" borderId="1" applyNumberFormat="0" applyFill="0" applyAlignment="0" applyProtection="0"/>
    <xf numFmtId="183" fontId="4" fillId="0" borderId="2" applyNumberFormat="0" applyFill="0" applyAlignment="0" applyProtection="0"/>
    <xf numFmtId="183" fontId="5" fillId="0" borderId="3" applyNumberFormat="0" applyFill="0" applyAlignment="0" applyProtection="0"/>
    <xf numFmtId="183" fontId="5" fillId="0" borderId="0" applyNumberFormat="0" applyFill="0" applyBorder="0" applyAlignment="0" applyProtection="0"/>
    <xf numFmtId="183" fontId="6" fillId="2" borderId="0" applyNumberFormat="0" applyBorder="0" applyAlignment="0" applyProtection="0"/>
    <xf numFmtId="183" fontId="7" fillId="3" borderId="0" applyNumberFormat="0" applyBorder="0" applyAlignment="0" applyProtection="0"/>
    <xf numFmtId="183" fontId="8" fillId="4" borderId="0" applyNumberFormat="0" applyBorder="0" applyAlignment="0" applyProtection="0"/>
    <xf numFmtId="183" fontId="9" fillId="5" borderId="4" applyNumberFormat="0" applyAlignment="0" applyProtection="0"/>
    <xf numFmtId="183" fontId="10" fillId="6" borderId="5" applyNumberFormat="0" applyAlignment="0" applyProtection="0"/>
    <xf numFmtId="183" fontId="11" fillId="6" borderId="4" applyNumberFormat="0" applyAlignment="0" applyProtection="0"/>
    <xf numFmtId="183" fontId="12" fillId="0" borderId="6" applyNumberFormat="0" applyFill="0" applyAlignment="0" applyProtection="0"/>
    <xf numFmtId="183" fontId="13" fillId="7" borderId="7" applyNumberFormat="0" applyAlignment="0" applyProtection="0"/>
    <xf numFmtId="183" fontId="14" fillId="0" borderId="0" applyNumberFormat="0" applyFill="0" applyBorder="0" applyAlignment="0" applyProtection="0"/>
    <xf numFmtId="183" fontId="1" fillId="8" borderId="8" applyNumberFormat="0" applyFont="0" applyAlignment="0" applyProtection="0"/>
    <xf numFmtId="183" fontId="15" fillId="0" borderId="0" applyNumberFormat="0" applyFill="0" applyBorder="0" applyAlignment="0" applyProtection="0"/>
    <xf numFmtId="183" fontId="16" fillId="0" borderId="9" applyNumberFormat="0" applyFill="0" applyAlignment="0" applyProtection="0"/>
    <xf numFmtId="183" fontId="17" fillId="9" borderId="0" applyNumberFormat="0" applyBorder="0" applyAlignment="0" applyProtection="0"/>
    <xf numFmtId="183" fontId="1" fillId="10" borderId="0" applyNumberFormat="0" applyBorder="0" applyAlignment="0" applyProtection="0"/>
    <xf numFmtId="183" fontId="1" fillId="11" borderId="0" applyNumberFormat="0" applyBorder="0" applyAlignment="0" applyProtection="0"/>
    <xf numFmtId="183" fontId="17" fillId="12" borderId="0" applyNumberFormat="0" applyBorder="0" applyAlignment="0" applyProtection="0"/>
    <xf numFmtId="183" fontId="17" fillId="13" borderId="0" applyNumberFormat="0" applyBorder="0" applyAlignment="0" applyProtection="0"/>
    <xf numFmtId="183" fontId="1" fillId="14" borderId="0" applyNumberFormat="0" applyBorder="0" applyAlignment="0" applyProtection="0"/>
    <xf numFmtId="183" fontId="1" fillId="15" borderId="0" applyNumberFormat="0" applyBorder="0" applyAlignment="0" applyProtection="0"/>
    <xf numFmtId="183" fontId="17" fillId="16" borderId="0" applyNumberFormat="0" applyBorder="0" applyAlignment="0" applyProtection="0"/>
    <xf numFmtId="183" fontId="17" fillId="17" borderId="0" applyNumberFormat="0" applyBorder="0" applyAlignment="0" applyProtection="0"/>
    <xf numFmtId="183" fontId="1" fillId="18" borderId="0" applyNumberFormat="0" applyBorder="0" applyAlignment="0" applyProtection="0"/>
    <xf numFmtId="183" fontId="1" fillId="19" borderId="0" applyNumberFormat="0" applyBorder="0" applyAlignment="0" applyProtection="0"/>
    <xf numFmtId="183" fontId="17" fillId="20" borderId="0" applyNumberFormat="0" applyBorder="0" applyAlignment="0" applyProtection="0"/>
    <xf numFmtId="183" fontId="17" fillId="21" borderId="0" applyNumberFormat="0" applyBorder="0" applyAlignment="0" applyProtection="0"/>
    <xf numFmtId="183" fontId="1" fillId="22" borderId="0" applyNumberFormat="0" applyBorder="0" applyAlignment="0" applyProtection="0"/>
    <xf numFmtId="183" fontId="1" fillId="23" borderId="0" applyNumberFormat="0" applyBorder="0" applyAlignment="0" applyProtection="0"/>
    <xf numFmtId="183" fontId="17" fillId="24" borderId="0" applyNumberFormat="0" applyBorder="0" applyAlignment="0" applyProtection="0"/>
    <xf numFmtId="183" fontId="17" fillId="25" borderId="0" applyNumberFormat="0" applyBorder="0" applyAlignment="0" applyProtection="0"/>
    <xf numFmtId="183" fontId="1" fillId="26" borderId="0" applyNumberFormat="0" applyBorder="0" applyAlignment="0" applyProtection="0"/>
    <xf numFmtId="183" fontId="1" fillId="27" borderId="0" applyNumberFormat="0" applyBorder="0" applyAlignment="0" applyProtection="0"/>
    <xf numFmtId="183" fontId="17" fillId="28" borderId="0" applyNumberFormat="0" applyBorder="0" applyAlignment="0" applyProtection="0"/>
    <xf numFmtId="183" fontId="17" fillId="29" borderId="0" applyNumberFormat="0" applyBorder="0" applyAlignment="0" applyProtection="0"/>
    <xf numFmtId="183" fontId="1" fillId="30" borderId="0" applyNumberFormat="0" applyBorder="0" applyAlignment="0" applyProtection="0"/>
    <xf numFmtId="183" fontId="1" fillId="31" borderId="0" applyNumberFormat="0" applyBorder="0" applyAlignment="0" applyProtection="0"/>
    <xf numFmtId="183" fontId="17" fillId="32" borderId="0" applyNumberFormat="0" applyBorder="0" applyAlignment="0" applyProtection="0"/>
    <xf numFmtId="183" fontId="13" fillId="40" borderId="0">
      <alignment horizontal="center"/>
    </xf>
    <xf numFmtId="183" fontId="26" fillId="38" borderId="0">
      <alignment horizontal="center"/>
    </xf>
    <xf numFmtId="183" fontId="16" fillId="37" borderId="0">
      <alignment horizontal="center"/>
    </xf>
    <xf numFmtId="183" fontId="31" fillId="0" borderId="0" applyNumberFormat="0" applyFill="0" applyBorder="0" applyAlignment="0" applyProtection="0">
      <alignment vertical="top"/>
      <protection locked="0"/>
    </xf>
    <xf numFmtId="2" fontId="1" fillId="38" borderId="0">
      <alignment horizontal="center"/>
    </xf>
    <xf numFmtId="183" fontId="31" fillId="0" borderId="0" applyNumberFormat="0" applyFill="0" applyBorder="0" applyAlignment="0" applyProtection="0">
      <alignment vertical="top"/>
      <protection locked="0"/>
    </xf>
    <xf numFmtId="183" fontId="2" fillId="0" borderId="0" applyNumberFormat="0" applyFill="0" applyBorder="0" applyAlignment="0" applyProtection="0"/>
    <xf numFmtId="183" fontId="3" fillId="0" borderId="1" applyNumberFormat="0" applyFill="0" applyAlignment="0" applyProtection="0"/>
    <xf numFmtId="183" fontId="4" fillId="0" borderId="2" applyNumberFormat="0" applyFill="0" applyAlignment="0" applyProtection="0"/>
    <xf numFmtId="183" fontId="5" fillId="0" borderId="3" applyNumberFormat="0" applyFill="0" applyAlignment="0" applyProtection="0"/>
    <xf numFmtId="183" fontId="5" fillId="0" borderId="0" applyNumberFormat="0" applyFill="0" applyBorder="0" applyAlignment="0" applyProtection="0"/>
    <xf numFmtId="183" fontId="6" fillId="2" borderId="0" applyNumberFormat="0" applyBorder="0" applyAlignment="0" applyProtection="0"/>
    <xf numFmtId="183" fontId="7" fillId="3" borderId="0" applyNumberFormat="0" applyBorder="0" applyAlignment="0" applyProtection="0"/>
    <xf numFmtId="183" fontId="8" fillId="4" borderId="0" applyNumberFormat="0" applyBorder="0" applyAlignment="0" applyProtection="0"/>
    <xf numFmtId="183" fontId="9" fillId="5" borderId="4" applyNumberFormat="0" applyAlignment="0" applyProtection="0"/>
    <xf numFmtId="183" fontId="10" fillId="6" borderId="5" applyNumberFormat="0" applyAlignment="0" applyProtection="0"/>
    <xf numFmtId="183" fontId="11" fillId="6" borderId="4" applyNumberFormat="0" applyAlignment="0" applyProtection="0"/>
    <xf numFmtId="183" fontId="12" fillId="0" borderId="6" applyNumberFormat="0" applyFill="0" applyAlignment="0" applyProtection="0"/>
    <xf numFmtId="183" fontId="13" fillId="7" borderId="7" applyNumberFormat="0" applyAlignment="0" applyProtection="0"/>
    <xf numFmtId="183" fontId="14" fillId="0" borderId="0" applyNumberFormat="0" applyFill="0" applyBorder="0" applyAlignment="0" applyProtection="0"/>
    <xf numFmtId="183" fontId="1" fillId="8" borderId="8" applyNumberFormat="0" applyFont="0" applyAlignment="0" applyProtection="0"/>
    <xf numFmtId="183" fontId="15" fillId="0" borderId="0" applyNumberFormat="0" applyFill="0" applyBorder="0" applyAlignment="0" applyProtection="0"/>
    <xf numFmtId="183" fontId="16" fillId="0" borderId="9" applyNumberFormat="0" applyFill="0" applyAlignment="0" applyProtection="0"/>
    <xf numFmtId="183" fontId="32" fillId="0" borderId="0" applyNumberFormat="0" applyFill="0" applyBorder="0" applyAlignment="0" applyProtection="0"/>
    <xf numFmtId="183" fontId="38" fillId="39" borderId="0" applyNumberFormat="0" applyBorder="0" applyAlignment="0" applyProtection="0"/>
    <xf numFmtId="183" fontId="17" fillId="17" borderId="0" applyNumberFormat="0" applyBorder="0" applyAlignment="0" applyProtection="0"/>
    <xf numFmtId="183" fontId="41" fillId="0" borderId="0" applyNumberFormat="0" applyFill="0" applyBorder="0" applyAlignment="0" applyProtection="0"/>
    <xf numFmtId="173" fontId="39" fillId="0" borderId="0" applyFont="0" applyFill="0" applyBorder="0" applyAlignment="0" applyProtection="0"/>
    <xf numFmtId="183" fontId="2" fillId="0" borderId="0" applyNumberFormat="0" applyFill="0" applyBorder="0" applyAlignment="0" applyProtection="0"/>
    <xf numFmtId="183" fontId="3" fillId="0" borderId="1" applyNumberFormat="0" applyFill="0" applyAlignment="0" applyProtection="0"/>
    <xf numFmtId="183" fontId="4" fillId="0" borderId="2" applyNumberFormat="0" applyFill="0" applyProtection="0">
      <alignment horizontal="center"/>
    </xf>
    <xf numFmtId="183" fontId="5" fillId="0" borderId="3" applyNumberFormat="0" applyFill="0" applyAlignment="0" applyProtection="0"/>
    <xf numFmtId="183" fontId="5" fillId="0" borderId="0" applyNumberFormat="0" applyFill="0" applyBorder="0" applyAlignment="0" applyProtection="0"/>
    <xf numFmtId="183" fontId="6" fillId="2" borderId="0" applyNumberFormat="0" applyBorder="0" applyAlignment="0" applyProtection="0"/>
    <xf numFmtId="183" fontId="7" fillId="3" borderId="0" applyNumberFormat="0" applyBorder="0" applyAlignment="0" applyProtection="0"/>
    <xf numFmtId="183" fontId="8" fillId="4" borderId="0" applyNumberFormat="0" applyBorder="0" applyAlignment="0" applyProtection="0"/>
    <xf numFmtId="183" fontId="9" fillId="5" borderId="4" applyNumberFormat="0" applyAlignment="0" applyProtection="0"/>
    <xf numFmtId="183" fontId="10" fillId="6" borderId="5" applyNumberFormat="0" applyAlignment="0" applyProtection="0"/>
    <xf numFmtId="183" fontId="11" fillId="6" borderId="4" applyNumberFormat="0" applyAlignment="0" applyProtection="0"/>
    <xf numFmtId="183" fontId="12" fillId="0" borderId="6" applyNumberFormat="0" applyFill="0" applyAlignment="0" applyProtection="0"/>
    <xf numFmtId="183" fontId="13" fillId="7" borderId="7" applyNumberFormat="0" applyAlignment="0" applyProtection="0"/>
    <xf numFmtId="183" fontId="14" fillId="0" borderId="0" applyNumberFormat="0" applyFill="0" applyBorder="0" applyAlignment="0" applyProtection="0"/>
    <xf numFmtId="183" fontId="1" fillId="8" borderId="8" applyNumberFormat="0" applyFont="0" applyAlignment="0" applyProtection="0"/>
    <xf numFmtId="183" fontId="15" fillId="0" borderId="0" applyNumberFormat="0" applyFill="0" applyBorder="0" applyAlignment="0" applyProtection="0"/>
    <xf numFmtId="183" fontId="16" fillId="0" borderId="9" applyNumberFormat="0" applyFill="0" applyAlignment="0" applyProtection="0"/>
    <xf numFmtId="183" fontId="32" fillId="0" borderId="0" applyNumberFormat="0" applyFill="0" applyBorder="0" applyAlignment="0" applyProtection="0"/>
    <xf numFmtId="183" fontId="41" fillId="0" borderId="0" applyNumberFormat="0" applyFill="0" applyBorder="0" applyAlignment="0" applyProtection="0"/>
    <xf numFmtId="183" fontId="41" fillId="0" borderId="0" applyNumberFormat="0" applyFill="0" applyBorder="0" applyAlignment="0" applyProtection="0"/>
    <xf numFmtId="183" fontId="32" fillId="0" borderId="0" applyNumberFormat="0" applyFill="0" applyBorder="0" applyAlignment="0" applyProtection="0"/>
    <xf numFmtId="183" fontId="41" fillId="0" borderId="0" applyNumberFormat="0" applyFill="0" applyBorder="0" applyAlignment="0" applyProtection="0"/>
    <xf numFmtId="183" fontId="32" fillId="0" borderId="0" applyNumberFormat="0" applyFill="0" applyBorder="0" applyAlignment="0" applyProtection="0"/>
    <xf numFmtId="183" fontId="41" fillId="0" borderId="0" applyNumberFormat="0" applyFill="0" applyBorder="0" applyAlignment="0" applyProtection="0"/>
    <xf numFmtId="183" fontId="32" fillId="0" borderId="0" applyNumberFormat="0" applyFill="0" applyBorder="0" applyAlignment="0" applyProtection="0"/>
    <xf numFmtId="183" fontId="41" fillId="0" borderId="0" applyNumberFormat="0" applyFill="0" applyBorder="0" applyAlignment="0" applyProtection="0"/>
    <xf numFmtId="183" fontId="1" fillId="15" borderId="0" applyBorder="0" applyAlignment="0" applyProtection="0"/>
    <xf numFmtId="183" fontId="1" fillId="19" borderId="0" applyBorder="0" applyAlignment="0" applyProtection="0"/>
    <xf numFmtId="183" fontId="1" fillId="27" borderId="0" applyBorder="0" applyProtection="0">
      <alignment horizontal="right" wrapText="1"/>
    </xf>
    <xf numFmtId="183" fontId="43" fillId="0" borderId="0"/>
    <xf numFmtId="183" fontId="44" fillId="0" borderId="0"/>
    <xf numFmtId="183" fontId="45" fillId="0" borderId="0" applyNumberFormat="0" applyFont="0" applyFill="0" applyBorder="0" applyAlignment="0" applyProtection="0"/>
    <xf numFmtId="2" fontId="46" fillId="0" borderId="0"/>
    <xf numFmtId="183" fontId="47" fillId="0" borderId="0"/>
    <xf numFmtId="183" fontId="48" fillId="0" borderId="0"/>
    <xf numFmtId="43" fontId="44" fillId="0" borderId="0" applyFont="0" applyFill="0" applyBorder="0" applyAlignment="0" applyProtection="0"/>
    <xf numFmtId="43" fontId="44" fillId="0" borderId="0" applyFont="0" applyFill="0" applyBorder="0" applyAlignment="0" applyProtection="0"/>
    <xf numFmtId="183" fontId="49" fillId="0" borderId="0" applyFont="0" applyFill="0" applyBorder="0" applyAlignment="0" applyProtection="0"/>
    <xf numFmtId="183" fontId="50"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1" fontId="44" fillId="0" borderId="0" applyFont="0" applyFill="0" applyBorder="0" applyAlignment="0" applyProtection="0"/>
    <xf numFmtId="41"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1" fontId="44" fillId="0" borderId="0" applyFont="0" applyFill="0" applyBorder="0" applyAlignment="0" applyProtection="0"/>
    <xf numFmtId="41"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51" fillId="0" borderId="0"/>
    <xf numFmtId="183" fontId="51" fillId="0" borderId="0"/>
    <xf numFmtId="183" fontId="44" fillId="0" borderId="0"/>
    <xf numFmtId="183" fontId="44" fillId="0" borderId="0"/>
    <xf numFmtId="177" fontId="46" fillId="0" borderId="0">
      <alignment horizontal="right"/>
    </xf>
    <xf numFmtId="3" fontId="52" fillId="0" borderId="0">
      <alignment horizontal="left"/>
    </xf>
    <xf numFmtId="2" fontId="53" fillId="0" borderId="0">
      <alignment horizontal="left"/>
    </xf>
    <xf numFmtId="3" fontId="46" fillId="0" borderId="0"/>
    <xf numFmtId="183" fontId="54" fillId="41" borderId="0" applyNumberFormat="0" applyBorder="0" applyAlignment="0" applyProtection="0"/>
    <xf numFmtId="183" fontId="54" fillId="42" borderId="0" applyNumberFormat="0" applyBorder="0" applyAlignment="0" applyProtection="0"/>
    <xf numFmtId="183" fontId="54" fillId="43" borderId="0" applyNumberFormat="0" applyBorder="0" applyAlignment="0" applyProtection="0"/>
    <xf numFmtId="183" fontId="54" fillId="41" borderId="0" applyNumberFormat="0" applyBorder="0" applyAlignment="0" applyProtection="0"/>
    <xf numFmtId="183" fontId="54" fillId="44" borderId="0" applyNumberFormat="0" applyBorder="0" applyAlignment="0" applyProtection="0"/>
    <xf numFmtId="183" fontId="54" fillId="42"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5" fillId="10" borderId="0" applyNumberFormat="0" applyBorder="0" applyAlignment="0" applyProtection="0"/>
    <xf numFmtId="183" fontId="1" fillId="10" borderId="0" applyNumberFormat="0" applyBorder="0" applyAlignment="0" applyProtection="0"/>
    <xf numFmtId="183" fontId="55"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1"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1"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1" fillId="43" borderId="0" applyNumberFormat="0" applyBorder="0" applyAlignment="0" applyProtection="0"/>
    <xf numFmtId="183" fontId="1" fillId="10" borderId="0" applyNumberFormat="0" applyBorder="0" applyAlignment="0" applyProtection="0"/>
    <xf numFmtId="183" fontId="51" fillId="43" borderId="0" applyNumberFormat="0" applyBorder="0" applyAlignment="0" applyProtection="0"/>
    <xf numFmtId="183" fontId="51"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1" fillId="10"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3"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5" fillId="14" borderId="0" applyNumberFormat="0" applyBorder="0" applyAlignment="0" applyProtection="0"/>
    <xf numFmtId="183" fontId="1" fillId="14" borderId="0" applyNumberFormat="0" applyBorder="0" applyAlignment="0" applyProtection="0"/>
    <xf numFmtId="183" fontId="55"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1"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1"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1" fillId="45" borderId="0" applyNumberFormat="0" applyBorder="0" applyAlignment="0" applyProtection="0"/>
    <xf numFmtId="183" fontId="1" fillId="14" borderId="0" applyNumberFormat="0" applyBorder="0" applyAlignment="0" applyProtection="0"/>
    <xf numFmtId="183" fontId="51" fillId="45" borderId="0" applyNumberFormat="0" applyBorder="0" applyAlignment="0" applyProtection="0"/>
    <xf numFmtId="183" fontId="51"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1" fillId="14"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5"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5" fillId="18" borderId="0" applyNumberFormat="0" applyBorder="0" applyAlignment="0" applyProtection="0"/>
    <xf numFmtId="183" fontId="1" fillId="18" borderId="0" applyNumberFormat="0" applyBorder="0" applyAlignment="0" applyProtection="0"/>
    <xf numFmtId="183" fontId="55"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1"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1"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1" fillId="46" borderId="0" applyNumberFormat="0" applyBorder="0" applyAlignment="0" applyProtection="0"/>
    <xf numFmtId="183" fontId="1" fillId="18" borderId="0" applyNumberFormat="0" applyBorder="0" applyAlignment="0" applyProtection="0"/>
    <xf numFmtId="183" fontId="51" fillId="46" borderId="0" applyNumberFormat="0" applyBorder="0" applyAlignment="0" applyProtection="0"/>
    <xf numFmtId="183" fontId="51"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1" fillId="18"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6"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5" fillId="22" borderId="0" applyNumberFormat="0" applyBorder="0" applyAlignment="0" applyProtection="0"/>
    <xf numFmtId="183" fontId="1" fillId="22" borderId="0" applyNumberFormat="0" applyBorder="0" applyAlignment="0" applyProtection="0"/>
    <xf numFmtId="183" fontId="55"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1"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1"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1" fillId="47" borderId="0" applyNumberFormat="0" applyBorder="0" applyAlignment="0" applyProtection="0"/>
    <xf numFmtId="183" fontId="1" fillId="22" borderId="0" applyNumberFormat="0" applyBorder="0" applyAlignment="0" applyProtection="0"/>
    <xf numFmtId="183" fontId="51" fillId="47" borderId="0" applyNumberFormat="0" applyBorder="0" applyAlignment="0" applyProtection="0"/>
    <xf numFmtId="183" fontId="51"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1" fillId="22"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1"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1" fillId="48" borderId="0" applyNumberFormat="0" applyBorder="0" applyAlignment="0" applyProtection="0"/>
    <xf numFmtId="183" fontId="1" fillId="26" borderId="0" applyNumberFormat="0" applyBorder="0" applyAlignment="0" applyProtection="0"/>
    <xf numFmtId="183" fontId="51" fillId="48" borderId="0" applyNumberFormat="0" applyBorder="0" applyAlignment="0" applyProtection="0"/>
    <xf numFmtId="183" fontId="51"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1" fillId="26"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8"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1"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1" fillId="42" borderId="0" applyNumberFormat="0" applyBorder="0" applyAlignment="0" applyProtection="0"/>
    <xf numFmtId="183" fontId="1" fillId="30" borderId="0" applyNumberFormat="0" applyBorder="0" applyAlignment="0" applyProtection="0"/>
    <xf numFmtId="183" fontId="51" fillId="42" borderId="0" applyNumberFormat="0" applyBorder="0" applyAlignment="0" applyProtection="0"/>
    <xf numFmtId="183" fontId="51"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1" fillId="30"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4" fillId="42" borderId="0" applyNumberFormat="0" applyBorder="0" applyAlignment="0" applyProtection="0"/>
    <xf numFmtId="183" fontId="56" fillId="43" borderId="0" applyNumberFormat="0" applyBorder="0" applyAlignment="0" applyProtection="0"/>
    <xf numFmtId="183" fontId="56" fillId="45" borderId="0" applyNumberFormat="0" applyBorder="0" applyAlignment="0" applyProtection="0"/>
    <xf numFmtId="183" fontId="56" fillId="46" borderId="0" applyNumberFormat="0" applyBorder="0" applyAlignment="0" applyProtection="0"/>
    <xf numFmtId="183" fontId="56" fillId="47" borderId="0" applyNumberFormat="0" applyBorder="0" applyAlignment="0" applyProtection="0"/>
    <xf numFmtId="183" fontId="56" fillId="48" borderId="0" applyNumberFormat="0" applyBorder="0" applyAlignment="0" applyProtection="0"/>
    <xf numFmtId="183" fontId="56" fillId="42" borderId="0" applyNumberFormat="0" applyBorder="0" applyAlignment="0" applyProtection="0"/>
    <xf numFmtId="183" fontId="54" fillId="41" borderId="0" applyNumberFormat="0" applyBorder="0" applyAlignment="0" applyProtection="0"/>
    <xf numFmtId="183" fontId="54" fillId="42" borderId="0" applyNumberFormat="0" applyBorder="0" applyAlignment="0" applyProtection="0"/>
    <xf numFmtId="183" fontId="54" fillId="43" borderId="0" applyNumberFormat="0" applyBorder="0" applyAlignment="0" applyProtection="0"/>
    <xf numFmtId="183" fontId="54" fillId="41" borderId="0" applyNumberFormat="0" applyBorder="0" applyAlignment="0" applyProtection="0"/>
    <xf numFmtId="183" fontId="54" fillId="49" borderId="0" applyNumberFormat="0" applyBorder="0" applyAlignment="0" applyProtection="0"/>
    <xf numFmtId="183" fontId="54" fillId="42"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5" fillId="11" borderId="0" applyNumberFormat="0" applyBorder="0" applyAlignment="0" applyProtection="0"/>
    <xf numFmtId="183" fontId="1" fillId="11" borderId="0" applyNumberFormat="0" applyBorder="0" applyAlignment="0" applyProtection="0"/>
    <xf numFmtId="183" fontId="55"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1"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1"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1" fillId="49" borderId="0" applyNumberFormat="0" applyBorder="0" applyAlignment="0" applyProtection="0"/>
    <xf numFmtId="183" fontId="1" fillId="11" borderId="0" applyNumberFormat="0" applyBorder="0" applyAlignment="0" applyProtection="0"/>
    <xf numFmtId="183" fontId="51" fillId="49" borderId="0" applyNumberFormat="0" applyBorder="0" applyAlignment="0" applyProtection="0"/>
    <xf numFmtId="183" fontId="51"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1" fillId="11"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1"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1" fillId="50" borderId="0" applyNumberFormat="0" applyBorder="0" applyAlignment="0" applyProtection="0"/>
    <xf numFmtId="183" fontId="1" fillId="15" borderId="0" applyNumberFormat="0" applyBorder="0" applyAlignment="0" applyProtection="0"/>
    <xf numFmtId="183" fontId="51" fillId="50" borderId="0" applyNumberFormat="0" applyBorder="0" applyAlignment="0" applyProtection="0"/>
    <xf numFmtId="183" fontId="51"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1" fillId="15"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0"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5" fillId="19" borderId="0" applyNumberFormat="0" applyBorder="0" applyAlignment="0" applyProtection="0"/>
    <xf numFmtId="183" fontId="1" fillId="19" borderId="0" applyNumberFormat="0" applyBorder="0" applyAlignment="0" applyProtection="0"/>
    <xf numFmtId="183" fontId="55"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1"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1"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1" fillId="51" borderId="0" applyNumberFormat="0" applyBorder="0" applyAlignment="0" applyProtection="0"/>
    <xf numFmtId="183" fontId="1" fillId="19" borderId="0" applyNumberFormat="0" applyBorder="0" applyAlignment="0" applyProtection="0"/>
    <xf numFmtId="183" fontId="51" fillId="51" borderId="0" applyNumberFormat="0" applyBorder="0" applyAlignment="0" applyProtection="0"/>
    <xf numFmtId="183" fontId="51"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1" fillId="19"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51"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5" fillId="23" borderId="0" applyNumberFormat="0" applyBorder="0" applyAlignment="0" applyProtection="0"/>
    <xf numFmtId="183" fontId="1" fillId="23" borderId="0" applyNumberFormat="0" applyBorder="0" applyAlignment="0" applyProtection="0"/>
    <xf numFmtId="183" fontId="55"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1"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1"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1" fillId="47" borderId="0" applyNumberFormat="0" applyBorder="0" applyAlignment="0" applyProtection="0"/>
    <xf numFmtId="183" fontId="1" fillId="23" borderId="0" applyNumberFormat="0" applyBorder="0" applyAlignment="0" applyProtection="0"/>
    <xf numFmtId="183" fontId="51" fillId="47" borderId="0" applyNumberFormat="0" applyBorder="0" applyAlignment="0" applyProtection="0"/>
    <xf numFmtId="183" fontId="51"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1" fillId="23"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7"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1"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1" fillId="49" borderId="0" applyNumberFormat="0" applyBorder="0" applyAlignment="0" applyProtection="0"/>
    <xf numFmtId="183" fontId="1" fillId="27" borderId="0" applyNumberFormat="0" applyBorder="0" applyAlignment="0" applyProtection="0"/>
    <xf numFmtId="183" fontId="51" fillId="49" borderId="0" applyNumberFormat="0" applyBorder="0" applyAlignment="0" applyProtection="0"/>
    <xf numFmtId="183" fontId="51"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1" fillId="27"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49"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5" fillId="31" borderId="0" applyNumberFormat="0" applyBorder="0" applyAlignment="0" applyProtection="0"/>
    <xf numFmtId="183" fontId="1" fillId="31" borderId="0" applyNumberFormat="0" applyBorder="0" applyAlignment="0" applyProtection="0"/>
    <xf numFmtId="183" fontId="55"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1"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1"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1" fillId="52" borderId="0" applyNumberFormat="0" applyBorder="0" applyAlignment="0" applyProtection="0"/>
    <xf numFmtId="183" fontId="1" fillId="31" borderId="0" applyNumberFormat="0" applyBorder="0" applyAlignment="0" applyProtection="0"/>
    <xf numFmtId="183" fontId="51" fillId="52" borderId="0" applyNumberFormat="0" applyBorder="0" applyAlignment="0" applyProtection="0"/>
    <xf numFmtId="183" fontId="51"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1" fillId="31"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4" fillId="52" borderId="0" applyNumberFormat="0" applyBorder="0" applyAlignment="0" applyProtection="0"/>
    <xf numFmtId="183" fontId="56" fillId="49" borderId="0" applyNumberFormat="0" applyBorder="0" applyAlignment="0" applyProtection="0"/>
    <xf numFmtId="183" fontId="56" fillId="50" borderId="0" applyNumberFormat="0" applyBorder="0" applyAlignment="0" applyProtection="0"/>
    <xf numFmtId="183" fontId="56" fillId="51" borderId="0" applyNumberFormat="0" applyBorder="0" applyAlignment="0" applyProtection="0"/>
    <xf numFmtId="183" fontId="56" fillId="47" borderId="0" applyNumberFormat="0" applyBorder="0" applyAlignment="0" applyProtection="0"/>
    <xf numFmtId="183" fontId="56" fillId="49" borderId="0" applyNumberFormat="0" applyBorder="0" applyAlignment="0" applyProtection="0"/>
    <xf numFmtId="183" fontId="56" fillId="52" borderId="0" applyNumberFormat="0" applyBorder="0" applyAlignment="0" applyProtection="0"/>
    <xf numFmtId="183" fontId="38" fillId="53" borderId="0" applyNumberFormat="0" applyBorder="0" applyAlignment="0" applyProtection="0"/>
    <xf numFmtId="183" fontId="38" fillId="42" borderId="0" applyNumberFormat="0" applyBorder="0" applyAlignment="0" applyProtection="0"/>
    <xf numFmtId="183" fontId="38" fillId="54" borderId="0" applyNumberFormat="0" applyBorder="0" applyAlignment="0" applyProtection="0"/>
    <xf numFmtId="183" fontId="38" fillId="55" borderId="0" applyNumberFormat="0" applyBorder="0" applyAlignment="0" applyProtection="0"/>
    <xf numFmtId="183" fontId="38" fillId="53" borderId="0" applyNumberFormat="0" applyBorder="0" applyAlignment="0" applyProtection="0"/>
    <xf numFmtId="183" fontId="38" fillId="4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57"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5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58" fillId="56" borderId="0" applyNumberFormat="0" applyBorder="0" applyAlignment="0" applyProtection="0"/>
    <xf numFmtId="183" fontId="38" fillId="56" borderId="0" applyNumberFormat="0" applyBorder="0" applyAlignment="0" applyProtection="0"/>
    <xf numFmtId="183" fontId="58" fillId="56" borderId="0" applyNumberFormat="0" applyBorder="0" applyAlignment="0" applyProtection="0"/>
    <xf numFmtId="183" fontId="17" fillId="12" borderId="0" applyNumberFormat="0" applyBorder="0" applyAlignment="0" applyProtection="0"/>
    <xf numFmtId="183" fontId="58" fillId="56" borderId="0" applyNumberFormat="0" applyBorder="0" applyAlignment="0" applyProtection="0"/>
    <xf numFmtId="183" fontId="58" fillId="56" borderId="0" applyNumberFormat="0" applyBorder="0" applyAlignment="0" applyProtection="0"/>
    <xf numFmtId="183" fontId="58" fillId="56" borderId="0" applyNumberFormat="0" applyBorder="0" applyAlignment="0" applyProtection="0"/>
    <xf numFmtId="183" fontId="58" fillId="56" borderId="0" applyNumberFormat="0" applyBorder="0" applyAlignment="0" applyProtection="0"/>
    <xf numFmtId="183" fontId="58" fillId="56" borderId="0" applyNumberFormat="0" applyBorder="0" applyAlignment="0" applyProtection="0"/>
    <xf numFmtId="183" fontId="5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17" fillId="12" borderId="0" applyNumberFormat="0" applyBorder="0" applyAlignment="0" applyProtection="0"/>
    <xf numFmtId="183" fontId="17" fillId="12"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58" fillId="50" borderId="0" applyNumberFormat="0" applyBorder="0" applyAlignment="0" applyProtection="0"/>
    <xf numFmtId="183" fontId="38" fillId="50" borderId="0" applyNumberFormat="0" applyBorder="0" applyAlignment="0" applyProtection="0"/>
    <xf numFmtId="183" fontId="58" fillId="50" borderId="0" applyNumberFormat="0" applyBorder="0" applyAlignment="0" applyProtection="0"/>
    <xf numFmtId="183" fontId="17" fillId="16" borderId="0" applyNumberFormat="0" applyBorder="0" applyAlignment="0" applyProtection="0"/>
    <xf numFmtId="183" fontId="58" fillId="50" borderId="0" applyNumberFormat="0" applyBorder="0" applyAlignment="0" applyProtection="0"/>
    <xf numFmtId="183" fontId="58" fillId="50" borderId="0" applyNumberFormat="0" applyBorder="0" applyAlignment="0" applyProtection="0"/>
    <xf numFmtId="183" fontId="58" fillId="50" borderId="0" applyNumberFormat="0" applyBorder="0" applyAlignment="0" applyProtection="0"/>
    <xf numFmtId="183" fontId="58" fillId="50" borderId="0" applyNumberFormat="0" applyBorder="0" applyAlignment="0" applyProtection="0"/>
    <xf numFmtId="183" fontId="58" fillId="50" borderId="0" applyNumberFormat="0" applyBorder="0" applyAlignment="0" applyProtection="0"/>
    <xf numFmtId="183" fontId="5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17" fillId="16" borderId="0" applyNumberFormat="0" applyBorder="0" applyAlignment="0" applyProtection="0"/>
    <xf numFmtId="183" fontId="17" fillId="16"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57"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5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58" fillId="51" borderId="0" applyNumberFormat="0" applyBorder="0" applyAlignment="0" applyProtection="0"/>
    <xf numFmtId="183" fontId="38" fillId="51" borderId="0" applyNumberFormat="0" applyBorder="0" applyAlignment="0" applyProtection="0"/>
    <xf numFmtId="183" fontId="58" fillId="51" borderId="0" applyNumberFormat="0" applyBorder="0" applyAlignment="0" applyProtection="0"/>
    <xf numFmtId="183" fontId="17" fillId="20" borderId="0" applyNumberFormat="0" applyBorder="0" applyAlignment="0" applyProtection="0"/>
    <xf numFmtId="183" fontId="58" fillId="51" borderId="0" applyNumberFormat="0" applyBorder="0" applyAlignment="0" applyProtection="0"/>
    <xf numFmtId="183" fontId="58" fillId="51" borderId="0" applyNumberFormat="0" applyBorder="0" applyAlignment="0" applyProtection="0"/>
    <xf numFmtId="183" fontId="58" fillId="51" borderId="0" applyNumberFormat="0" applyBorder="0" applyAlignment="0" applyProtection="0"/>
    <xf numFmtId="183" fontId="58" fillId="51" borderId="0" applyNumberFormat="0" applyBorder="0" applyAlignment="0" applyProtection="0"/>
    <xf numFmtId="183" fontId="58" fillId="51" borderId="0" applyNumberFormat="0" applyBorder="0" applyAlignment="0" applyProtection="0"/>
    <xf numFmtId="183" fontId="5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17" fillId="20" borderId="0" applyNumberFormat="0" applyBorder="0" applyAlignment="0" applyProtection="0"/>
    <xf numFmtId="183" fontId="17" fillId="20"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57"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5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58" fillId="57" borderId="0" applyNumberFormat="0" applyBorder="0" applyAlignment="0" applyProtection="0"/>
    <xf numFmtId="183" fontId="38" fillId="57" borderId="0" applyNumberFormat="0" applyBorder="0" applyAlignment="0" applyProtection="0"/>
    <xf numFmtId="183" fontId="58" fillId="57" borderId="0" applyNumberFormat="0" applyBorder="0" applyAlignment="0" applyProtection="0"/>
    <xf numFmtId="183" fontId="17" fillId="24" borderId="0" applyNumberFormat="0" applyBorder="0" applyAlignment="0" applyProtection="0"/>
    <xf numFmtId="183" fontId="58" fillId="57" borderId="0" applyNumberFormat="0" applyBorder="0" applyAlignment="0" applyProtection="0"/>
    <xf numFmtId="183" fontId="58" fillId="57" borderId="0" applyNumberFormat="0" applyBorder="0" applyAlignment="0" applyProtection="0"/>
    <xf numFmtId="183" fontId="58" fillId="57" borderId="0" applyNumberFormat="0" applyBorder="0" applyAlignment="0" applyProtection="0"/>
    <xf numFmtId="183" fontId="58" fillId="57" borderId="0" applyNumberFormat="0" applyBorder="0" applyAlignment="0" applyProtection="0"/>
    <xf numFmtId="183" fontId="58" fillId="57" borderId="0" applyNumberFormat="0" applyBorder="0" applyAlignment="0" applyProtection="0"/>
    <xf numFmtId="183" fontId="5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4" borderId="0" applyNumberFormat="0" applyBorder="0" applyAlignment="0" applyProtection="0"/>
    <xf numFmtId="183" fontId="17" fillId="24"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58" fillId="53" borderId="0" applyNumberFormat="0" applyBorder="0" applyAlignment="0" applyProtection="0"/>
    <xf numFmtId="183" fontId="38" fillId="53" borderId="0" applyNumberFormat="0" applyBorder="0" applyAlignment="0" applyProtection="0"/>
    <xf numFmtId="183" fontId="58" fillId="53" borderId="0" applyNumberFormat="0" applyBorder="0" applyAlignment="0" applyProtection="0"/>
    <xf numFmtId="183" fontId="17" fillId="28" borderId="0" applyNumberFormat="0" applyBorder="0" applyAlignment="0" applyProtection="0"/>
    <xf numFmtId="183" fontId="58" fillId="53" borderId="0" applyNumberFormat="0" applyBorder="0" applyAlignment="0" applyProtection="0"/>
    <xf numFmtId="183" fontId="58" fillId="53" borderId="0" applyNumberFormat="0" applyBorder="0" applyAlignment="0" applyProtection="0"/>
    <xf numFmtId="183" fontId="58" fillId="53" borderId="0" applyNumberFormat="0" applyBorder="0" applyAlignment="0" applyProtection="0"/>
    <xf numFmtId="183" fontId="58" fillId="53" borderId="0" applyNumberFormat="0" applyBorder="0" applyAlignment="0" applyProtection="0"/>
    <xf numFmtId="183" fontId="58" fillId="53" borderId="0" applyNumberFormat="0" applyBorder="0" applyAlignment="0" applyProtection="0"/>
    <xf numFmtId="183" fontId="5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8" borderId="0" applyNumberFormat="0" applyBorder="0" applyAlignment="0" applyProtection="0"/>
    <xf numFmtId="183" fontId="17" fillId="28"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57"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5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58" fillId="58" borderId="0" applyNumberFormat="0" applyBorder="0" applyAlignment="0" applyProtection="0"/>
    <xf numFmtId="183" fontId="38" fillId="58" borderId="0" applyNumberFormat="0" applyBorder="0" applyAlignment="0" applyProtection="0"/>
    <xf numFmtId="183" fontId="58" fillId="58" borderId="0" applyNumberFormat="0" applyBorder="0" applyAlignment="0" applyProtection="0"/>
    <xf numFmtId="183" fontId="17" fillId="32" borderId="0" applyNumberFormat="0" applyBorder="0" applyAlignment="0" applyProtection="0"/>
    <xf numFmtId="183" fontId="58" fillId="58" borderId="0" applyNumberFormat="0" applyBorder="0" applyAlignment="0" applyProtection="0"/>
    <xf numFmtId="183" fontId="58" fillId="58" borderId="0" applyNumberFormat="0" applyBorder="0" applyAlignment="0" applyProtection="0"/>
    <xf numFmtId="183" fontId="58" fillId="58" borderId="0" applyNumberFormat="0" applyBorder="0" applyAlignment="0" applyProtection="0"/>
    <xf numFmtId="183" fontId="58" fillId="58" borderId="0" applyNumberFormat="0" applyBorder="0" applyAlignment="0" applyProtection="0"/>
    <xf numFmtId="183" fontId="58" fillId="58" borderId="0" applyNumberFormat="0" applyBorder="0" applyAlignment="0" applyProtection="0"/>
    <xf numFmtId="183" fontId="5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17" fillId="32" borderId="0" applyNumberFormat="0" applyBorder="0" applyAlignment="0" applyProtection="0"/>
    <xf numFmtId="183" fontId="17" fillId="32"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38" fillId="58" borderId="0" applyNumberFormat="0" applyBorder="0" applyAlignment="0" applyProtection="0"/>
    <xf numFmtId="183" fontId="59" fillId="56" borderId="0" applyNumberFormat="0" applyBorder="0" applyAlignment="0" applyProtection="0"/>
    <xf numFmtId="183" fontId="59" fillId="50" borderId="0" applyNumberFormat="0" applyBorder="0" applyAlignment="0" applyProtection="0"/>
    <xf numFmtId="183" fontId="59" fillId="51" borderId="0" applyNumberFormat="0" applyBorder="0" applyAlignment="0" applyProtection="0"/>
    <xf numFmtId="183" fontId="59" fillId="57" borderId="0" applyNumberFormat="0" applyBorder="0" applyAlignment="0" applyProtection="0"/>
    <xf numFmtId="183" fontId="59" fillId="53" borderId="0" applyNumberFormat="0" applyBorder="0" applyAlignment="0" applyProtection="0"/>
    <xf numFmtId="183" fontId="59" fillId="58" borderId="0" applyNumberFormat="0" applyBorder="0" applyAlignment="0" applyProtection="0"/>
    <xf numFmtId="183" fontId="60" fillId="0" borderId="0" applyFont="0" applyFill="0" applyBorder="0" applyAlignment="0" applyProtection="0"/>
    <xf numFmtId="183" fontId="61" fillId="0" borderId="0" applyFont="0" applyFill="0" applyBorder="0" applyAlignment="0" applyProtection="0"/>
    <xf numFmtId="183" fontId="62" fillId="0" borderId="0" applyFont="0" applyFill="0" applyBorder="0" applyAlignment="0" applyProtection="0"/>
    <xf numFmtId="183" fontId="63" fillId="0" borderId="0" applyFont="0" applyFill="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57"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5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58" fillId="59" borderId="0" applyNumberFormat="0" applyBorder="0" applyAlignment="0" applyProtection="0"/>
    <xf numFmtId="183" fontId="38" fillId="59" borderId="0" applyNumberFormat="0" applyBorder="0" applyAlignment="0" applyProtection="0"/>
    <xf numFmtId="183" fontId="58" fillId="59" borderId="0" applyNumberFormat="0" applyBorder="0" applyAlignment="0" applyProtection="0"/>
    <xf numFmtId="183" fontId="17" fillId="9" borderId="0" applyNumberFormat="0" applyBorder="0" applyAlignment="0" applyProtection="0"/>
    <xf numFmtId="183" fontId="58" fillId="59" borderId="0" applyNumberFormat="0" applyBorder="0" applyAlignment="0" applyProtection="0"/>
    <xf numFmtId="183" fontId="58" fillId="59" borderId="0" applyNumberFormat="0" applyBorder="0" applyAlignment="0" applyProtection="0"/>
    <xf numFmtId="183" fontId="58" fillId="59" borderId="0" applyNumberFormat="0" applyBorder="0" applyAlignment="0" applyProtection="0"/>
    <xf numFmtId="183" fontId="58" fillId="59" borderId="0" applyNumberFormat="0" applyBorder="0" applyAlignment="0" applyProtection="0"/>
    <xf numFmtId="183" fontId="58" fillId="59" borderId="0" applyNumberFormat="0" applyBorder="0" applyAlignment="0" applyProtection="0"/>
    <xf numFmtId="183" fontId="5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17" fillId="9" borderId="0" applyNumberFormat="0" applyBorder="0" applyAlignment="0" applyProtection="0"/>
    <xf numFmtId="183" fontId="17" fillId="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5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58" fillId="39" borderId="0" applyNumberFormat="0" applyBorder="0" applyAlignment="0" applyProtection="0"/>
    <xf numFmtId="183" fontId="38" fillId="39" borderId="0" applyNumberFormat="0" applyBorder="0" applyAlignment="0" applyProtection="0"/>
    <xf numFmtId="183" fontId="58" fillId="39" borderId="0" applyNumberFormat="0" applyBorder="0" applyAlignment="0" applyProtection="0"/>
    <xf numFmtId="183" fontId="17" fillId="13" borderId="0" applyNumberFormat="0" applyBorder="0" applyAlignment="0" applyProtection="0"/>
    <xf numFmtId="183" fontId="58" fillId="39" borderId="0" applyNumberFormat="0" applyBorder="0" applyAlignment="0" applyProtection="0"/>
    <xf numFmtId="183" fontId="58" fillId="39" borderId="0" applyNumberFormat="0" applyBorder="0" applyAlignment="0" applyProtection="0"/>
    <xf numFmtId="183" fontId="58" fillId="39" borderId="0" applyNumberFormat="0" applyBorder="0" applyAlignment="0" applyProtection="0"/>
    <xf numFmtId="183" fontId="58" fillId="39" borderId="0" applyNumberFormat="0" applyBorder="0" applyAlignment="0" applyProtection="0"/>
    <xf numFmtId="183" fontId="58" fillId="39" borderId="0" applyNumberFormat="0" applyBorder="0" applyAlignment="0" applyProtection="0"/>
    <xf numFmtId="183" fontId="5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17" fillId="13" borderId="0" applyNumberFormat="0" applyBorder="0" applyAlignment="0" applyProtection="0"/>
    <xf numFmtId="183" fontId="17" fillId="13"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39"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58" fillId="60" borderId="0" applyNumberFormat="0" applyBorder="0" applyAlignment="0" applyProtection="0"/>
    <xf numFmtId="183" fontId="38" fillId="60" borderId="0" applyNumberFormat="0" applyBorder="0" applyAlignment="0" applyProtection="0"/>
    <xf numFmtId="183" fontId="58" fillId="60" borderId="0" applyNumberFormat="0" applyBorder="0" applyAlignment="0" applyProtection="0"/>
    <xf numFmtId="183" fontId="17" fillId="17" borderId="0" applyNumberFormat="0" applyBorder="0" applyAlignment="0" applyProtection="0"/>
    <xf numFmtId="183" fontId="58" fillId="60" borderId="0" applyNumberFormat="0" applyBorder="0" applyAlignment="0" applyProtection="0"/>
    <xf numFmtId="183" fontId="58" fillId="60" borderId="0" applyNumberFormat="0" applyBorder="0" applyAlignment="0" applyProtection="0"/>
    <xf numFmtId="183" fontId="58" fillId="60" borderId="0" applyNumberFormat="0" applyBorder="0" applyAlignment="0" applyProtection="0"/>
    <xf numFmtId="183" fontId="58" fillId="60" borderId="0" applyNumberFormat="0" applyBorder="0" applyAlignment="0" applyProtection="0"/>
    <xf numFmtId="183" fontId="58" fillId="60" borderId="0" applyNumberFormat="0" applyBorder="0" applyAlignment="0" applyProtection="0"/>
    <xf numFmtId="183" fontId="5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17" fillId="17" borderId="0" applyNumberFormat="0" applyBorder="0" applyAlignment="0" applyProtection="0"/>
    <xf numFmtId="183" fontId="17" fillId="17"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60"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57"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5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58" fillId="57" borderId="0" applyNumberFormat="0" applyBorder="0" applyAlignment="0" applyProtection="0"/>
    <xf numFmtId="183" fontId="38" fillId="57" borderId="0" applyNumberFormat="0" applyBorder="0" applyAlignment="0" applyProtection="0"/>
    <xf numFmtId="183" fontId="58" fillId="57" borderId="0" applyNumberFormat="0" applyBorder="0" applyAlignment="0" applyProtection="0"/>
    <xf numFmtId="183" fontId="17" fillId="21" borderId="0" applyNumberFormat="0" applyBorder="0" applyAlignment="0" applyProtection="0"/>
    <xf numFmtId="183" fontId="58" fillId="57" borderId="0" applyNumberFormat="0" applyBorder="0" applyAlignment="0" applyProtection="0"/>
    <xf numFmtId="183" fontId="58" fillId="57" borderId="0" applyNumberFormat="0" applyBorder="0" applyAlignment="0" applyProtection="0"/>
    <xf numFmtId="183" fontId="58" fillId="57" borderId="0" applyNumberFormat="0" applyBorder="0" applyAlignment="0" applyProtection="0"/>
    <xf numFmtId="183" fontId="58" fillId="57" borderId="0" applyNumberFormat="0" applyBorder="0" applyAlignment="0" applyProtection="0"/>
    <xf numFmtId="183" fontId="58" fillId="57" borderId="0" applyNumberFormat="0" applyBorder="0" applyAlignment="0" applyProtection="0"/>
    <xf numFmtId="183" fontId="5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17" fillId="21" borderId="0" applyNumberFormat="0" applyBorder="0" applyAlignment="0" applyProtection="0"/>
    <xf numFmtId="183" fontId="17" fillId="21"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7"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58" fillId="53" borderId="0" applyNumberFormat="0" applyBorder="0" applyAlignment="0" applyProtection="0"/>
    <xf numFmtId="183" fontId="38" fillId="53" borderId="0" applyNumberFormat="0" applyBorder="0" applyAlignment="0" applyProtection="0"/>
    <xf numFmtId="183" fontId="58" fillId="53" borderId="0" applyNumberFormat="0" applyBorder="0" applyAlignment="0" applyProtection="0"/>
    <xf numFmtId="183" fontId="17" fillId="25" borderId="0" applyNumberFormat="0" applyBorder="0" applyAlignment="0" applyProtection="0"/>
    <xf numFmtId="183" fontId="58" fillId="53" borderId="0" applyNumberFormat="0" applyBorder="0" applyAlignment="0" applyProtection="0"/>
    <xf numFmtId="183" fontId="58" fillId="53" borderId="0" applyNumberFormat="0" applyBorder="0" applyAlignment="0" applyProtection="0"/>
    <xf numFmtId="183" fontId="58" fillId="53" borderId="0" applyNumberFormat="0" applyBorder="0" applyAlignment="0" applyProtection="0"/>
    <xf numFmtId="183" fontId="58" fillId="53" borderId="0" applyNumberFormat="0" applyBorder="0" applyAlignment="0" applyProtection="0"/>
    <xf numFmtId="183" fontId="58" fillId="53" borderId="0" applyNumberFormat="0" applyBorder="0" applyAlignment="0" applyProtection="0"/>
    <xf numFmtId="183" fontId="5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17" fillId="25" borderId="0" applyNumberFormat="0" applyBorder="0" applyAlignment="0" applyProtection="0"/>
    <xf numFmtId="183" fontId="17" fillId="25"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53"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58" fillId="61" borderId="0" applyNumberFormat="0" applyBorder="0" applyAlignment="0" applyProtection="0"/>
    <xf numFmtId="183" fontId="38" fillId="61" borderId="0" applyNumberFormat="0" applyBorder="0" applyAlignment="0" applyProtection="0"/>
    <xf numFmtId="183" fontId="58" fillId="61" borderId="0" applyNumberFormat="0" applyBorder="0" applyAlignment="0" applyProtection="0"/>
    <xf numFmtId="183" fontId="17" fillId="29" borderId="0" applyNumberFormat="0" applyBorder="0" applyAlignment="0" applyProtection="0"/>
    <xf numFmtId="183" fontId="58" fillId="61" borderId="0" applyNumberFormat="0" applyBorder="0" applyAlignment="0" applyProtection="0"/>
    <xf numFmtId="183" fontId="58" fillId="61" borderId="0" applyNumberFormat="0" applyBorder="0" applyAlignment="0" applyProtection="0"/>
    <xf numFmtId="183" fontId="58" fillId="61" borderId="0" applyNumberFormat="0" applyBorder="0" applyAlignment="0" applyProtection="0"/>
    <xf numFmtId="183" fontId="58" fillId="61" borderId="0" applyNumberFormat="0" applyBorder="0" applyAlignment="0" applyProtection="0"/>
    <xf numFmtId="183" fontId="58" fillId="61" borderId="0" applyNumberFormat="0" applyBorder="0" applyAlignment="0" applyProtection="0"/>
    <xf numFmtId="183" fontId="5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17" fillId="29" borderId="0" applyNumberFormat="0" applyBorder="0" applyAlignment="0" applyProtection="0"/>
    <xf numFmtId="183" fontId="17" fillId="29"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83" fontId="38" fillId="61" borderId="0" applyNumberFormat="0" applyBorder="0" applyAlignment="0" applyProtection="0"/>
    <xf numFmtId="178" fontId="64" fillId="62" borderId="0" applyBorder="0" applyProtection="0"/>
    <xf numFmtId="183" fontId="59" fillId="59" borderId="0" applyNumberFormat="0" applyBorder="0" applyAlignment="0" applyProtection="0"/>
    <xf numFmtId="183" fontId="59" fillId="39" borderId="0" applyNumberFormat="0" applyBorder="0" applyAlignment="0" applyProtection="0"/>
    <xf numFmtId="183" fontId="59" fillId="60" borderId="0" applyNumberFormat="0" applyBorder="0" applyAlignment="0" applyProtection="0"/>
    <xf numFmtId="183" fontId="59" fillId="57" borderId="0" applyNumberFormat="0" applyBorder="0" applyAlignment="0" applyProtection="0"/>
    <xf numFmtId="183" fontId="59" fillId="53" borderId="0" applyNumberFormat="0" applyBorder="0" applyAlignment="0" applyProtection="0"/>
    <xf numFmtId="183" fontId="59" fillId="61" borderId="0" applyNumberFormat="0" applyBorder="0" applyAlignment="0" applyProtection="0"/>
    <xf numFmtId="37" fontId="65" fillId="63" borderId="20" applyNumberFormat="0">
      <protection locked="0"/>
    </xf>
    <xf numFmtId="183" fontId="66" fillId="0" borderId="0" applyNumberFormat="0" applyFill="0" applyBorder="0" applyAlignment="0" applyProtection="0"/>
    <xf numFmtId="7" fontId="67" fillId="64" borderId="18" applyNumberFormat="0" applyBorder="0" applyAlignment="0">
      <protection hidden="1"/>
    </xf>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9" fillId="45" borderId="0" applyNumberFormat="0" applyBorder="0" applyAlignment="0" applyProtection="0"/>
    <xf numFmtId="183" fontId="68" fillId="45" borderId="0" applyNumberFormat="0" applyBorder="0" applyAlignment="0" applyProtection="0"/>
    <xf numFmtId="183" fontId="69" fillId="45" borderId="0" applyNumberFormat="0" applyBorder="0" applyAlignment="0" applyProtection="0"/>
    <xf numFmtId="183" fontId="7" fillId="3" borderId="0" applyNumberFormat="0" applyBorder="0" applyAlignment="0" applyProtection="0"/>
    <xf numFmtId="183" fontId="69" fillId="45" borderId="0" applyNumberFormat="0" applyBorder="0" applyAlignment="0" applyProtection="0"/>
    <xf numFmtId="183" fontId="69" fillId="45" borderId="0" applyNumberFormat="0" applyBorder="0" applyAlignment="0" applyProtection="0"/>
    <xf numFmtId="183" fontId="69" fillId="45" borderId="0" applyNumberFormat="0" applyBorder="0" applyAlignment="0" applyProtection="0"/>
    <xf numFmtId="183" fontId="69" fillId="45" borderId="0" applyNumberFormat="0" applyBorder="0" applyAlignment="0" applyProtection="0"/>
    <xf numFmtId="183" fontId="69" fillId="45" borderId="0" applyNumberFormat="0" applyBorder="0" applyAlignment="0" applyProtection="0"/>
    <xf numFmtId="183" fontId="69"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 fillId="3" borderId="0" applyNumberFormat="0" applyBorder="0" applyAlignment="0" applyProtection="0"/>
    <xf numFmtId="183" fontId="7" fillId="3"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68" fillId="45" borderId="0" applyNumberFormat="0" applyBorder="0" applyAlignment="0" applyProtection="0"/>
    <xf numFmtId="183" fontId="70" fillId="6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1" fillId="65" borderId="4" applyNumberFormat="0" applyAlignment="0" applyProtection="0"/>
    <xf numFmtId="183" fontId="71" fillId="65" borderId="4" applyNumberFormat="0" applyAlignment="0" applyProtection="0"/>
    <xf numFmtId="183" fontId="71" fillId="65" borderId="4" applyNumberFormat="0" applyAlignment="0" applyProtection="0"/>
    <xf numFmtId="183" fontId="72"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70" fillId="55" borderId="21"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70" fillId="55" borderId="21"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70" fillId="55" borderId="21"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70" fillId="55" borderId="21"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70" fillId="55" borderId="21"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70" fillId="55" borderId="21"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70" fillId="55" borderId="21"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70" fillId="55" borderId="21"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70" fillId="55" borderId="21"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11" fillId="6" borderId="4" applyNumberFormat="0" applyAlignment="0" applyProtection="0"/>
    <xf numFmtId="183" fontId="70" fillId="55" borderId="21" applyNumberFormat="0" applyAlignment="0" applyProtection="0"/>
    <xf numFmtId="183" fontId="73" fillId="55" borderId="21" applyNumberFormat="0" applyAlignment="0" applyProtection="0"/>
    <xf numFmtId="183" fontId="70" fillId="55" borderId="21" applyNumberFormat="0" applyAlignment="0" applyProtection="0"/>
    <xf numFmtId="183" fontId="73" fillId="55" borderId="21" applyNumberFormat="0" applyAlignment="0" applyProtection="0"/>
    <xf numFmtId="183" fontId="11" fillId="6" borderId="4" applyNumberFormat="0" applyAlignment="0" applyProtection="0"/>
    <xf numFmtId="183" fontId="73" fillId="55" borderId="21" applyNumberFormat="0" applyAlignment="0" applyProtection="0"/>
    <xf numFmtId="183" fontId="73" fillId="55" borderId="21" applyNumberFormat="0" applyAlignment="0" applyProtection="0"/>
    <xf numFmtId="183" fontId="73" fillId="55" borderId="21" applyNumberFormat="0" applyAlignment="0" applyProtection="0"/>
    <xf numFmtId="183" fontId="73" fillId="55" borderId="21" applyNumberFormat="0" applyAlignment="0" applyProtection="0"/>
    <xf numFmtId="183" fontId="73" fillId="55" borderId="21" applyNumberFormat="0" applyAlignment="0" applyProtection="0"/>
    <xf numFmtId="183" fontId="73"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11" fillId="6" borderId="4" applyNumberFormat="0" applyAlignment="0" applyProtection="0"/>
    <xf numFmtId="183" fontId="11" fillId="6" borderId="4"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70" fillId="55" borderId="21" applyNumberFormat="0" applyAlignment="0" applyProtection="0"/>
    <xf numFmtId="183" fontId="28" fillId="0" borderId="19">
      <alignment horizontal="center" wrapText="1"/>
    </xf>
    <xf numFmtId="183" fontId="44" fillId="0" borderId="0" applyNumberFormat="0">
      <alignment horizontal="center"/>
    </xf>
    <xf numFmtId="183" fontId="44" fillId="0" borderId="0" applyNumberFormat="0">
      <alignment horizontal="center"/>
    </xf>
    <xf numFmtId="183" fontId="74" fillId="0" borderId="0"/>
    <xf numFmtId="49" fontId="44" fillId="0" borderId="0">
      <alignment horizontal="left"/>
    </xf>
    <xf numFmtId="49" fontId="44" fillId="0" borderId="0">
      <alignment horizontal="left"/>
    </xf>
    <xf numFmtId="183" fontId="75" fillId="0" borderId="22" applyNumberFormat="0" applyFill="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7" fillId="66" borderId="23" applyNumberFormat="0" applyAlignment="0" applyProtection="0"/>
    <xf numFmtId="183" fontId="77" fillId="66" borderId="23" applyNumberFormat="0" applyAlignment="0" applyProtection="0"/>
    <xf numFmtId="183" fontId="77" fillId="66" borderId="23" applyNumberFormat="0" applyAlignment="0" applyProtection="0"/>
    <xf numFmtId="183" fontId="77"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76" fillId="66" borderId="23"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76" fillId="66" borderId="23"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76" fillId="66" borderId="23"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76" fillId="66" borderId="23"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76" fillId="66" borderId="23"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76" fillId="66" borderId="23"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76" fillId="66" borderId="23"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76" fillId="66" borderId="23"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76" fillId="66" borderId="23"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13" fillId="7" borderId="7" applyNumberFormat="0" applyAlignment="0" applyProtection="0"/>
    <xf numFmtId="183" fontId="76" fillId="66" borderId="23" applyNumberFormat="0" applyAlignment="0" applyProtection="0"/>
    <xf numFmtId="183" fontId="78" fillId="66" borderId="23" applyNumberFormat="0" applyAlignment="0" applyProtection="0"/>
    <xf numFmtId="183" fontId="76" fillId="66" borderId="23" applyNumberFormat="0" applyAlignment="0" applyProtection="0"/>
    <xf numFmtId="183" fontId="78" fillId="66" borderId="23" applyNumberFormat="0" applyAlignment="0" applyProtection="0"/>
    <xf numFmtId="183" fontId="13" fillId="7" borderId="7" applyNumberFormat="0" applyAlignment="0" applyProtection="0"/>
    <xf numFmtId="183" fontId="78" fillId="66" borderId="23" applyNumberFormat="0" applyAlignment="0" applyProtection="0"/>
    <xf numFmtId="183" fontId="78" fillId="66" borderId="23" applyNumberFormat="0" applyAlignment="0" applyProtection="0"/>
    <xf numFmtId="183" fontId="78" fillId="66" borderId="23" applyNumberFormat="0" applyAlignment="0" applyProtection="0"/>
    <xf numFmtId="183" fontId="78" fillId="66" borderId="23" applyNumberFormat="0" applyAlignment="0" applyProtection="0"/>
    <xf numFmtId="183" fontId="78" fillId="66" borderId="23" applyNumberFormat="0" applyAlignment="0" applyProtection="0"/>
    <xf numFmtId="183" fontId="78"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13" fillId="7" borderId="7" applyNumberFormat="0" applyAlignment="0" applyProtection="0"/>
    <xf numFmtId="183" fontId="13" fillId="7" borderId="7"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83" fontId="76" fillId="66" borderId="23" applyNumberFormat="0" applyAlignment="0" applyProtection="0"/>
    <xf numFmtId="179" fontId="79" fillId="0" borderId="0"/>
    <xf numFmtId="179" fontId="79" fillId="0" borderId="0"/>
    <xf numFmtId="179" fontId="79" fillId="0" borderId="0"/>
    <xf numFmtId="179" fontId="79" fillId="0" borderId="0"/>
    <xf numFmtId="179" fontId="79" fillId="0" borderId="0"/>
    <xf numFmtId="179" fontId="79" fillId="0" borderId="0"/>
    <xf numFmtId="179" fontId="79" fillId="0" borderId="0"/>
    <xf numFmtId="179" fontId="79" fillId="0" borderId="0"/>
    <xf numFmtId="43" fontId="1"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1"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80"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180" fontId="67" fillId="0" borderId="0" applyFill="0" applyBorder="0" applyProtection="0">
      <alignment horizontal="right"/>
    </xf>
    <xf numFmtId="43" fontId="44" fillId="0" borderId="0" applyFont="0" applyFill="0" applyBorder="0" applyAlignment="0" applyProtection="0"/>
    <xf numFmtId="43" fontId="4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4" fillId="0" borderId="0" applyFont="0" applyFill="0" applyBorder="0" applyAlignment="0" applyProtection="0"/>
    <xf numFmtId="43" fontId="1"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83" fontId="81" fillId="67" borderId="24" applyNumberFormat="0" applyFont="0" applyAlignment="0" applyProtection="0"/>
    <xf numFmtId="3" fontId="82" fillId="0" borderId="25"/>
    <xf numFmtId="183" fontId="83" fillId="0" borderId="0">
      <alignment vertical="center"/>
    </xf>
    <xf numFmtId="183" fontId="83" fillId="0" borderId="0">
      <alignment vertical="center"/>
    </xf>
    <xf numFmtId="44" fontId="44" fillId="0" borderId="0" applyFont="0" applyFill="0" applyBorder="0" applyAlignment="0" applyProtection="0"/>
    <xf numFmtId="44" fontId="44" fillId="0" borderId="0" applyFont="0" applyFill="0" applyBorder="0" applyAlignment="0" applyProtection="0"/>
    <xf numFmtId="44" fontId="44" fillId="0" borderId="0" applyFont="0" applyFill="0" applyBorder="0" applyAlignment="0" applyProtection="0"/>
    <xf numFmtId="44" fontId="44" fillId="0" borderId="0" applyFont="0" applyFill="0" applyBorder="0" applyAlignment="0" applyProtection="0"/>
    <xf numFmtId="44" fontId="54" fillId="0" borderId="0" applyFont="0" applyFill="0" applyBorder="0" applyAlignment="0" applyProtection="0"/>
    <xf numFmtId="44" fontId="1" fillId="0" borderId="0" applyFont="0" applyFill="0" applyBorder="0" applyAlignment="0" applyProtection="0"/>
    <xf numFmtId="183" fontId="83" fillId="0" borderId="0" applyFill="0" applyBorder="0" applyProtection="0">
      <alignment vertical="center"/>
    </xf>
    <xf numFmtId="183" fontId="83" fillId="0" borderId="0" applyFill="0" applyBorder="0" applyProtection="0">
      <alignment vertical="center"/>
    </xf>
    <xf numFmtId="183" fontId="83" fillId="0" borderId="0" applyFill="0" applyBorder="0" applyProtection="0">
      <alignment vertical="center"/>
    </xf>
    <xf numFmtId="183" fontId="83" fillId="0" borderId="0">
      <alignment vertical="center"/>
    </xf>
    <xf numFmtId="10" fontId="46" fillId="0" borderId="26"/>
    <xf numFmtId="183" fontId="84" fillId="42" borderId="21" applyNumberFormat="0" applyAlignment="0" applyProtection="0"/>
    <xf numFmtId="183" fontId="85" fillId="55" borderId="27" applyNumberFormat="0" applyAlignment="0" applyProtection="0"/>
    <xf numFmtId="183" fontId="86" fillId="0" borderId="0" applyNumberFormat="0" applyBorder="0" applyAlignment="0">
      <protection locked="0"/>
    </xf>
    <xf numFmtId="183" fontId="87" fillId="68" borderId="0" applyNumberFormat="0" applyFont="0" applyBorder="0" applyAlignment="0">
      <protection locked="0"/>
    </xf>
    <xf numFmtId="183" fontId="88" fillId="0" borderId="0" applyNumberFormat="0" applyBorder="0" applyAlignment="0">
      <protection locked="0"/>
    </xf>
    <xf numFmtId="15" fontId="89" fillId="0" borderId="0" applyFont="0" applyFill="0" applyBorder="0" applyAlignment="0" applyProtection="0">
      <protection locked="0"/>
    </xf>
    <xf numFmtId="181" fontId="67" fillId="0" borderId="28">
      <alignment horizontal="right"/>
    </xf>
    <xf numFmtId="182" fontId="90" fillId="0" borderId="0" applyFont="0" applyFill="0" applyBorder="0" applyProtection="0">
      <alignment horizontal="left" vertical="top"/>
    </xf>
    <xf numFmtId="183" fontId="91" fillId="46" borderId="0" applyNumberFormat="0" applyBorder="0" applyAlignment="0" applyProtection="0"/>
    <xf numFmtId="165" fontId="65" fillId="0" borderId="0" applyBorder="0"/>
    <xf numFmtId="165" fontId="65" fillId="69" borderId="0" applyBorder="0">
      <protection locked="0"/>
    </xf>
    <xf numFmtId="165" fontId="74" fillId="0" borderId="0" applyBorder="0"/>
    <xf numFmtId="183" fontId="92" fillId="42" borderId="21" applyNumberFormat="0" applyAlignment="0" applyProtection="0"/>
    <xf numFmtId="183" fontId="44" fillId="0" borderId="0" applyFont="0" applyFill="0" applyBorder="0" applyAlignment="0" applyProtection="0"/>
    <xf numFmtId="183" fontId="44" fillId="0" borderId="0" applyFont="0" applyFill="0" applyBorder="0" applyAlignment="0" applyProtection="0"/>
    <xf numFmtId="183" fontId="44" fillId="0" borderId="0" applyFont="0" applyFill="0" applyBorder="0" applyAlignment="0" applyProtection="0"/>
    <xf numFmtId="183" fontId="44" fillId="0" borderId="0" applyFont="0" applyFill="0" applyBorder="0" applyAlignment="0" applyProtection="0"/>
    <xf numFmtId="183" fontId="44" fillId="0" borderId="0" applyFont="0" applyFill="0" applyBorder="0" applyAlignment="0" applyProtection="0"/>
    <xf numFmtId="183" fontId="44" fillId="0" borderId="0" applyFont="0" applyFill="0" applyBorder="0" applyAlignment="0" applyProtection="0"/>
    <xf numFmtId="183" fontId="44" fillId="0" borderId="0" applyFont="0" applyFill="0" applyBorder="0" applyAlignment="0" applyProtection="0"/>
    <xf numFmtId="183" fontId="44" fillId="0" borderId="0" applyFont="0" applyFill="0" applyBorder="0" applyAlignment="0" applyProtection="0"/>
    <xf numFmtId="183" fontId="44" fillId="0" borderId="0" applyFon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4" fillId="0" borderId="0" applyNumberFormat="0" applyFill="0" applyBorder="0" applyAlignment="0" applyProtection="0"/>
    <xf numFmtId="183" fontId="93" fillId="0" borderId="0" applyNumberFormat="0" applyFill="0" applyBorder="0" applyAlignment="0" applyProtection="0"/>
    <xf numFmtId="183" fontId="94" fillId="0" borderId="0" applyNumberFormat="0" applyFill="0" applyBorder="0" applyAlignment="0" applyProtection="0"/>
    <xf numFmtId="183" fontId="15" fillId="0" borderId="0" applyNumberFormat="0" applyFill="0" applyBorder="0" applyAlignment="0" applyProtection="0"/>
    <xf numFmtId="183" fontId="94" fillId="0" borderId="0" applyNumberFormat="0" applyFill="0" applyBorder="0" applyAlignment="0" applyProtection="0"/>
    <xf numFmtId="183" fontId="94" fillId="0" borderId="0" applyNumberFormat="0" applyFill="0" applyBorder="0" applyAlignment="0" applyProtection="0"/>
    <xf numFmtId="183" fontId="94" fillId="0" borderId="0" applyNumberFormat="0" applyFill="0" applyBorder="0" applyAlignment="0" applyProtection="0"/>
    <xf numFmtId="183" fontId="94" fillId="0" borderId="0" applyNumberFormat="0" applyFill="0" applyBorder="0" applyAlignment="0" applyProtection="0"/>
    <xf numFmtId="183" fontId="94" fillId="0" borderId="0" applyNumberFormat="0" applyFill="0" applyBorder="0" applyAlignment="0" applyProtection="0"/>
    <xf numFmtId="183" fontId="94"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15" fillId="0" borderId="0" applyNumberFormat="0" applyFill="0" applyBorder="0" applyAlignment="0" applyProtection="0"/>
    <xf numFmtId="183" fontId="15"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3" fillId="0" borderId="0" applyNumberFormat="0" applyFill="0" applyBorder="0" applyAlignment="0" applyProtection="0"/>
    <xf numFmtId="183" fontId="95" fillId="0" borderId="0" applyNumberFormat="0" applyFill="0" applyBorder="0" applyAlignment="0" applyProtection="0"/>
    <xf numFmtId="49" fontId="96" fillId="0" borderId="0" applyNumberFormat="0" applyFill="0" applyBorder="0" applyProtection="0">
      <alignment horizontal="center" vertical="top"/>
    </xf>
    <xf numFmtId="184" fontId="97" fillId="0" borderId="0" applyBorder="0">
      <alignment horizontal="right" vertical="top"/>
    </xf>
    <xf numFmtId="185" fontId="96" fillId="0" borderId="0" applyBorder="0">
      <alignment horizontal="right" vertical="top"/>
    </xf>
    <xf numFmtId="185" fontId="97" fillId="0" borderId="0" applyBorder="0">
      <alignment horizontal="right" vertical="top"/>
    </xf>
    <xf numFmtId="186" fontId="96" fillId="0" borderId="0" applyFill="0" applyBorder="0">
      <alignment horizontal="right" vertical="top"/>
    </xf>
    <xf numFmtId="187" fontId="96" fillId="0" borderId="0" applyFill="0" applyBorder="0">
      <alignment horizontal="right" vertical="top"/>
    </xf>
    <xf numFmtId="188" fontId="96" fillId="0" borderId="0" applyFill="0" applyBorder="0">
      <alignment horizontal="right" vertical="top"/>
    </xf>
    <xf numFmtId="189" fontId="96" fillId="0" borderId="0" applyFill="0" applyBorder="0">
      <alignment horizontal="right" vertical="top"/>
    </xf>
    <xf numFmtId="183" fontId="98" fillId="0" borderId="0">
      <alignment horizontal="left"/>
    </xf>
    <xf numFmtId="183" fontId="98" fillId="0" borderId="29">
      <alignment horizontal="right" wrapText="1"/>
    </xf>
    <xf numFmtId="49" fontId="98" fillId="0" borderId="29">
      <alignment horizontal="right" wrapText="1"/>
    </xf>
    <xf numFmtId="183" fontId="99" fillId="0" borderId="30">
      <alignment horizontal="right"/>
    </xf>
    <xf numFmtId="183" fontId="98" fillId="0" borderId="29">
      <alignment horizontal="right" wrapText="1"/>
    </xf>
    <xf numFmtId="190" fontId="100" fillId="0" borderId="29">
      <alignment horizontal="right"/>
    </xf>
    <xf numFmtId="183" fontId="101" fillId="0" borderId="0">
      <alignment vertical="center"/>
    </xf>
    <xf numFmtId="191" fontId="101" fillId="0" borderId="0">
      <alignment horizontal="left" vertical="center"/>
    </xf>
    <xf numFmtId="192" fontId="102" fillId="0" borderId="0">
      <alignment vertical="center"/>
    </xf>
    <xf numFmtId="183" fontId="103" fillId="0" borderId="0">
      <alignment vertical="center"/>
    </xf>
    <xf numFmtId="190" fontId="100" fillId="0" borderId="29">
      <alignment horizontal="left"/>
    </xf>
    <xf numFmtId="190" fontId="104" fillId="0" borderId="30">
      <alignment horizontal="left"/>
    </xf>
    <xf numFmtId="190" fontId="100" fillId="0" borderId="29">
      <alignment horizontal="left"/>
    </xf>
    <xf numFmtId="190" fontId="105" fillId="0" borderId="0" applyFill="0" applyBorder="0">
      <alignment vertical="top"/>
    </xf>
    <xf numFmtId="190" fontId="106" fillId="0" borderId="0" applyFill="0" applyBorder="0" applyProtection="0">
      <alignment vertical="top"/>
    </xf>
    <xf numFmtId="190" fontId="107" fillId="0" borderId="0">
      <alignment vertical="top"/>
    </xf>
    <xf numFmtId="190" fontId="96" fillId="0" borderId="0">
      <alignment horizontal="center"/>
    </xf>
    <xf numFmtId="190" fontId="108" fillId="0" borderId="29">
      <alignment horizontal="center"/>
    </xf>
    <xf numFmtId="190" fontId="109" fillId="0" borderId="30">
      <alignment horizontal="center"/>
    </xf>
    <xf numFmtId="190" fontId="108" fillId="0" borderId="29">
      <alignment horizontal="center"/>
    </xf>
    <xf numFmtId="41" fontId="96" fillId="0" borderId="29" applyFill="0" applyBorder="0" applyProtection="0">
      <alignment horizontal="right" vertical="top"/>
    </xf>
    <xf numFmtId="41" fontId="96" fillId="0" borderId="29" applyFill="0" applyBorder="0" applyProtection="0">
      <alignment horizontal="right" vertical="top"/>
    </xf>
    <xf numFmtId="41" fontId="96" fillId="0" borderId="30" applyFill="0" applyBorder="0" applyProtection="0">
      <alignment horizontal="right" vertical="top"/>
    </xf>
    <xf numFmtId="41" fontId="96" fillId="0" borderId="30" applyFill="0" applyBorder="0" applyProtection="0">
      <alignment horizontal="right" vertical="top"/>
    </xf>
    <xf numFmtId="41" fontId="110" fillId="0" borderId="0" applyFill="0" applyBorder="0" applyAlignment="0" applyProtection="0">
      <alignment horizontal="right" vertical="top"/>
    </xf>
    <xf numFmtId="191" fontId="65" fillId="0" borderId="0">
      <alignment horizontal="left" vertical="center"/>
    </xf>
    <xf numFmtId="190" fontId="65" fillId="0" borderId="0"/>
    <xf numFmtId="190" fontId="111" fillId="0" borderId="0"/>
    <xf numFmtId="190" fontId="112" fillId="0" borderId="0"/>
    <xf numFmtId="190" fontId="113" fillId="0" borderId="0"/>
    <xf numFmtId="190" fontId="44" fillId="0" borderId="0"/>
    <xf numFmtId="190" fontId="44" fillId="0" borderId="0"/>
    <xf numFmtId="190" fontId="44" fillId="0" borderId="0"/>
    <xf numFmtId="190" fontId="44" fillId="0" borderId="0"/>
    <xf numFmtId="190" fontId="114" fillId="0" borderId="0">
      <alignment horizontal="left" vertical="top"/>
    </xf>
    <xf numFmtId="190" fontId="115" fillId="0" borderId="0">
      <alignment horizontal="left" vertical="top"/>
    </xf>
    <xf numFmtId="183" fontId="96" fillId="0" borderId="0" applyFill="0" applyBorder="0">
      <alignment horizontal="left" vertical="top" wrapText="1"/>
    </xf>
    <xf numFmtId="183" fontId="116" fillId="0" borderId="0">
      <alignment horizontal="left" vertical="top" wrapText="1"/>
    </xf>
    <xf numFmtId="183" fontId="117" fillId="0" borderId="0">
      <alignment horizontal="left" vertical="top" wrapText="1"/>
    </xf>
    <xf numFmtId="183" fontId="97" fillId="0" borderId="0">
      <alignment horizontal="left" vertical="top" wrapText="1"/>
    </xf>
    <xf numFmtId="3" fontId="82" fillId="0" borderId="0"/>
    <xf numFmtId="3" fontId="118" fillId="0" borderId="31">
      <alignment horizontal="left"/>
    </xf>
    <xf numFmtId="183" fontId="119" fillId="0" borderId="0" applyNumberFormat="0" applyFill="0" applyBorder="0" applyAlignment="0" applyProtection="0">
      <alignment vertical="top"/>
      <protection locked="0"/>
    </xf>
    <xf numFmtId="183" fontId="119" fillId="0" borderId="0" applyNumberFormat="0" applyFill="0" applyBorder="0" applyAlignment="0" applyProtection="0">
      <alignment vertical="top"/>
      <protection locked="0"/>
    </xf>
    <xf numFmtId="183" fontId="119" fillId="0" borderId="0" applyNumberFormat="0" applyFill="0" applyBorder="0" applyAlignment="0" applyProtection="0">
      <alignment vertical="top"/>
      <protection locked="0"/>
    </xf>
    <xf numFmtId="183" fontId="119" fillId="0" borderId="0" applyNumberFormat="0" applyFill="0" applyBorder="0" applyAlignment="0" applyProtection="0">
      <alignment vertical="top"/>
      <protection locked="0"/>
    </xf>
    <xf numFmtId="183" fontId="119" fillId="0" borderId="0" applyNumberFormat="0" applyFill="0" applyBorder="0" applyAlignment="0" applyProtection="0">
      <alignment vertical="top"/>
      <protection locked="0"/>
    </xf>
    <xf numFmtId="183" fontId="119" fillId="0" borderId="0" applyNumberFormat="0" applyFill="0" applyBorder="0" applyAlignment="0" applyProtection="0">
      <alignment vertical="top"/>
      <protection locked="0"/>
    </xf>
    <xf numFmtId="183" fontId="119" fillId="0" borderId="0" applyNumberFormat="0" applyFill="0" applyBorder="0" applyAlignment="0" applyProtection="0">
      <alignment vertical="top"/>
      <protection locked="0"/>
    </xf>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1" fillId="46" borderId="0" applyNumberFormat="0" applyBorder="0" applyAlignment="0" applyProtection="0"/>
    <xf numFmtId="183" fontId="120" fillId="46" borderId="0" applyNumberFormat="0" applyBorder="0" applyAlignment="0" applyProtection="0"/>
    <xf numFmtId="183" fontId="121" fillId="46" borderId="0" applyNumberFormat="0" applyBorder="0" applyAlignment="0" applyProtection="0"/>
    <xf numFmtId="183" fontId="6" fillId="2" borderId="0" applyNumberFormat="0" applyBorder="0" applyAlignment="0" applyProtection="0"/>
    <xf numFmtId="183" fontId="121" fillId="46" borderId="0" applyNumberFormat="0" applyBorder="0" applyAlignment="0" applyProtection="0"/>
    <xf numFmtId="183" fontId="121" fillId="46" borderId="0" applyNumberFormat="0" applyBorder="0" applyAlignment="0" applyProtection="0"/>
    <xf numFmtId="183" fontId="121" fillId="46" borderId="0" applyNumberFormat="0" applyBorder="0" applyAlignment="0" applyProtection="0"/>
    <xf numFmtId="183" fontId="121" fillId="46" borderId="0" applyNumberFormat="0" applyBorder="0" applyAlignment="0" applyProtection="0"/>
    <xf numFmtId="183" fontId="121" fillId="46" borderId="0" applyNumberFormat="0" applyBorder="0" applyAlignment="0" applyProtection="0"/>
    <xf numFmtId="183" fontId="121"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6" fillId="2" borderId="0" applyNumberFormat="0" applyBorder="0" applyAlignment="0" applyProtection="0"/>
    <xf numFmtId="183" fontId="6" fillId="2"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183" fontId="120" fillId="46" borderId="0" applyNumberFormat="0" applyBorder="0" applyAlignment="0" applyProtection="0"/>
    <xf numFmtId="38" fontId="67" fillId="70" borderId="0" applyNumberFormat="0" applyBorder="0" applyAlignment="0" applyProtection="0"/>
    <xf numFmtId="49" fontId="122" fillId="71" borderId="0" applyNumberFormat="0">
      <alignment horizontal="left" vertical="top"/>
    </xf>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4" fillId="0" borderId="32" applyNumberFormat="0" applyFill="0" applyAlignment="0" applyProtection="0"/>
    <xf numFmtId="183" fontId="125" fillId="0" borderId="1" applyNumberFormat="0" applyFill="0" applyAlignment="0" applyProtection="0"/>
    <xf numFmtId="183" fontId="125" fillId="0" borderId="1" applyNumberFormat="0" applyFill="0" applyAlignment="0" applyProtection="0"/>
    <xf numFmtId="183" fontId="125" fillId="0" borderId="1" applyNumberFormat="0" applyFill="0" applyAlignment="0" applyProtection="0"/>
    <xf numFmtId="183" fontId="125" fillId="0" borderId="1" applyNumberFormat="0" applyFill="0" applyAlignment="0" applyProtection="0"/>
    <xf numFmtId="183" fontId="124" fillId="0" borderId="32" applyNumberFormat="0" applyFill="0" applyAlignment="0" applyProtection="0"/>
    <xf numFmtId="183" fontId="124" fillId="0" borderId="32" applyNumberFormat="0" applyFill="0" applyAlignment="0" applyProtection="0"/>
    <xf numFmtId="183" fontId="124"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6" fillId="0" borderId="32" applyNumberFormat="0" applyFill="0" applyAlignment="0" applyProtection="0"/>
    <xf numFmtId="183" fontId="123" fillId="0" borderId="32" applyNumberFormat="0" applyFill="0" applyAlignment="0" applyProtection="0"/>
    <xf numFmtId="183" fontId="126" fillId="0" borderId="32" applyNumberFormat="0" applyFill="0" applyAlignment="0" applyProtection="0"/>
    <xf numFmtId="183" fontId="3" fillId="0" borderId="1" applyNumberFormat="0" applyFill="0" applyAlignment="0" applyProtection="0"/>
    <xf numFmtId="183" fontId="126" fillId="0" borderId="32" applyNumberFormat="0" applyFill="0" applyAlignment="0" applyProtection="0"/>
    <xf numFmtId="183" fontId="126" fillId="0" borderId="32" applyNumberFormat="0" applyFill="0" applyAlignment="0" applyProtection="0"/>
    <xf numFmtId="183" fontId="126" fillId="0" borderId="32" applyNumberFormat="0" applyFill="0" applyAlignment="0" applyProtection="0"/>
    <xf numFmtId="183" fontId="126" fillId="0" borderId="32" applyNumberFormat="0" applyFill="0" applyAlignment="0" applyProtection="0"/>
    <xf numFmtId="183" fontId="126" fillId="0" borderId="32" applyNumberFormat="0" applyFill="0" applyAlignment="0" applyProtection="0"/>
    <xf numFmtId="183" fontId="126"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3" fillId="0" borderId="1" applyNumberFormat="0" applyFill="0" applyAlignment="0" applyProtection="0"/>
    <xf numFmtId="183" fontId="3" fillId="0" borderId="1"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3" fillId="0" borderId="3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8" fillId="0" borderId="33" applyNumberFormat="0" applyFill="0" applyAlignment="0" applyProtection="0"/>
    <xf numFmtId="183" fontId="129" fillId="0" borderId="2" applyNumberFormat="0" applyFill="0" applyAlignment="0" applyProtection="0"/>
    <xf numFmtId="183" fontId="129" fillId="0" borderId="2" applyNumberFormat="0" applyFill="0" applyAlignment="0" applyProtection="0"/>
    <xf numFmtId="183" fontId="129" fillId="0" borderId="2" applyNumberFormat="0" applyFill="0" applyAlignment="0" applyProtection="0"/>
    <xf numFmtId="183" fontId="129" fillId="0" borderId="2" applyNumberFormat="0" applyFill="0" applyAlignment="0" applyProtection="0"/>
    <xf numFmtId="183" fontId="128" fillId="0" borderId="33" applyNumberFormat="0" applyFill="0" applyAlignment="0" applyProtection="0"/>
    <xf numFmtId="183" fontId="128" fillId="0" borderId="33" applyNumberFormat="0" applyFill="0" applyAlignment="0" applyProtection="0"/>
    <xf numFmtId="183" fontId="128"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30" fillId="0" borderId="33" applyNumberFormat="0" applyFill="0" applyAlignment="0" applyProtection="0"/>
    <xf numFmtId="183" fontId="127" fillId="0" borderId="33" applyNumberFormat="0" applyFill="0" applyAlignment="0" applyProtection="0"/>
    <xf numFmtId="183" fontId="130" fillId="0" borderId="33" applyNumberFormat="0" applyFill="0" applyAlignment="0" applyProtection="0"/>
    <xf numFmtId="183" fontId="4" fillId="0" borderId="2" applyNumberFormat="0" applyFill="0" applyAlignment="0" applyProtection="0"/>
    <xf numFmtId="183" fontId="130" fillId="0" borderId="33" applyNumberFormat="0" applyFill="0" applyAlignment="0" applyProtection="0"/>
    <xf numFmtId="183" fontId="130" fillId="0" borderId="33" applyNumberFormat="0" applyFill="0" applyAlignment="0" applyProtection="0"/>
    <xf numFmtId="183" fontId="130" fillId="0" borderId="33" applyNumberFormat="0" applyFill="0" applyAlignment="0" applyProtection="0"/>
    <xf numFmtId="183" fontId="130" fillId="0" borderId="33" applyNumberFormat="0" applyFill="0" applyAlignment="0" applyProtection="0"/>
    <xf numFmtId="183" fontId="130" fillId="0" borderId="33" applyNumberFormat="0" applyFill="0" applyAlignment="0" applyProtection="0"/>
    <xf numFmtId="183" fontId="130"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4" fillId="0" borderId="2" applyNumberFormat="0" applyFill="0" applyAlignment="0" applyProtection="0"/>
    <xf numFmtId="183" fontId="4" fillId="0" borderId="2"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27" fillId="0" borderId="3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2" fillId="0" borderId="34" applyNumberFormat="0" applyFill="0" applyAlignment="0" applyProtection="0"/>
    <xf numFmtId="183" fontId="133" fillId="0" borderId="3" applyNumberFormat="0" applyFill="0" applyAlignment="0" applyProtection="0"/>
    <xf numFmtId="183" fontId="133" fillId="0" borderId="3" applyNumberFormat="0" applyFill="0" applyAlignment="0" applyProtection="0"/>
    <xf numFmtId="183" fontId="133" fillId="0" borderId="3" applyNumberFormat="0" applyFill="0" applyAlignment="0" applyProtection="0"/>
    <xf numFmtId="183" fontId="133" fillId="0" borderId="3" applyNumberFormat="0" applyFill="0" applyAlignment="0" applyProtection="0"/>
    <xf numFmtId="183" fontId="132" fillId="0" borderId="34" applyNumberFormat="0" applyFill="0" applyAlignment="0" applyProtection="0"/>
    <xf numFmtId="183" fontId="132" fillId="0" borderId="34" applyNumberFormat="0" applyFill="0" applyAlignment="0" applyProtection="0"/>
    <xf numFmtId="183" fontId="132"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4" fillId="0" borderId="34" applyNumberFormat="0" applyFill="0" applyAlignment="0" applyProtection="0"/>
    <xf numFmtId="183" fontId="131" fillId="0" borderId="34" applyNumberFormat="0" applyFill="0" applyAlignment="0" applyProtection="0"/>
    <xf numFmtId="183" fontId="134" fillId="0" borderId="34" applyNumberFormat="0" applyFill="0" applyAlignment="0" applyProtection="0"/>
    <xf numFmtId="183" fontId="5" fillId="0" borderId="3" applyNumberFormat="0" applyFill="0" applyAlignment="0" applyProtection="0"/>
    <xf numFmtId="183" fontId="134" fillId="0" borderId="34" applyNumberFormat="0" applyFill="0" applyAlignment="0" applyProtection="0"/>
    <xf numFmtId="183" fontId="134" fillId="0" borderId="34" applyNumberFormat="0" applyFill="0" applyAlignment="0" applyProtection="0"/>
    <xf numFmtId="183" fontId="134" fillId="0" borderId="34" applyNumberFormat="0" applyFill="0" applyAlignment="0" applyProtection="0"/>
    <xf numFmtId="183" fontId="134" fillId="0" borderId="34" applyNumberFormat="0" applyFill="0" applyAlignment="0" applyProtection="0"/>
    <xf numFmtId="183" fontId="134" fillId="0" borderId="34" applyNumberFormat="0" applyFill="0" applyAlignment="0" applyProtection="0"/>
    <xf numFmtId="183" fontId="134"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5" fillId="0" borderId="3" applyNumberFormat="0" applyFill="0" applyAlignment="0" applyProtection="0"/>
    <xf numFmtId="183" fontId="5" fillId="0" borderId="3"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34" applyNumberFormat="0" applyFill="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2" fillId="0" borderId="0" applyNumberFormat="0" applyFill="0" applyBorder="0" applyAlignment="0" applyProtection="0"/>
    <xf numFmtId="183" fontId="133" fillId="0" borderId="0" applyNumberFormat="0" applyFill="0" applyBorder="0" applyAlignment="0" applyProtection="0"/>
    <xf numFmtId="183" fontId="133" fillId="0" borderId="0" applyNumberFormat="0" applyFill="0" applyBorder="0" applyAlignment="0" applyProtection="0"/>
    <xf numFmtId="183" fontId="133" fillId="0" borderId="0" applyNumberFormat="0" applyFill="0" applyBorder="0" applyAlignment="0" applyProtection="0"/>
    <xf numFmtId="183" fontId="133" fillId="0" borderId="0" applyNumberFormat="0" applyFill="0" applyBorder="0" applyAlignment="0" applyProtection="0"/>
    <xf numFmtId="183" fontId="132" fillId="0" borderId="0" applyNumberFormat="0" applyFill="0" applyBorder="0" applyAlignment="0" applyProtection="0"/>
    <xf numFmtId="183" fontId="132" fillId="0" borderId="0" applyNumberFormat="0" applyFill="0" applyBorder="0" applyAlignment="0" applyProtection="0"/>
    <xf numFmtId="183" fontId="132"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4" fillId="0" borderId="0" applyNumberFormat="0" applyFill="0" applyBorder="0" applyAlignment="0" applyProtection="0"/>
    <xf numFmtId="183" fontId="131" fillId="0" borderId="0" applyNumberFormat="0" applyFill="0" applyBorder="0" applyAlignment="0" applyProtection="0"/>
    <xf numFmtId="183" fontId="134" fillId="0" borderId="0" applyNumberFormat="0" applyFill="0" applyBorder="0" applyAlignment="0" applyProtection="0"/>
    <xf numFmtId="183" fontId="5" fillId="0" borderId="0" applyNumberFormat="0" applyFill="0" applyBorder="0" applyAlignment="0" applyProtection="0"/>
    <xf numFmtId="183" fontId="134" fillId="0" borderId="0" applyNumberFormat="0" applyFill="0" applyBorder="0" applyAlignment="0" applyProtection="0"/>
    <xf numFmtId="183" fontId="134" fillId="0" borderId="0" applyNumberFormat="0" applyFill="0" applyBorder="0" applyAlignment="0" applyProtection="0"/>
    <xf numFmtId="183" fontId="134" fillId="0" borderId="0" applyNumberFormat="0" applyFill="0" applyBorder="0" applyAlignment="0" applyProtection="0"/>
    <xf numFmtId="183" fontId="134" fillId="0" borderId="0" applyNumberFormat="0" applyFill="0" applyBorder="0" applyAlignment="0" applyProtection="0"/>
    <xf numFmtId="183" fontId="134" fillId="0" borderId="0" applyNumberFormat="0" applyFill="0" applyBorder="0" applyAlignment="0" applyProtection="0"/>
    <xf numFmtId="183" fontId="134"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5" fillId="0" borderId="0" applyNumberFormat="0" applyFill="0" applyBorder="0" applyAlignment="0" applyProtection="0"/>
    <xf numFmtId="183" fontId="5"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1" fillId="0" borderId="0" applyNumberFormat="0" applyFill="0" applyBorder="0" applyAlignment="0" applyProtection="0"/>
    <xf numFmtId="183" fontId="135" fillId="0" borderId="0"/>
    <xf numFmtId="183" fontId="136" fillId="72" borderId="17" applyNumberFormat="0" applyFont="0" applyBorder="0" applyAlignment="0">
      <protection hidden="1"/>
    </xf>
    <xf numFmtId="183" fontId="137" fillId="0" borderId="0">
      <alignment vertical="center"/>
    </xf>
    <xf numFmtId="183" fontId="137" fillId="0" borderId="0"/>
    <xf numFmtId="183" fontId="138" fillId="0" borderId="0"/>
    <xf numFmtId="193" fontId="58" fillId="0" borderId="0" applyAlignment="0">
      <alignment horizontal="right"/>
      <protection hidden="1"/>
    </xf>
    <xf numFmtId="183" fontId="139" fillId="0" borderId="0" applyNumberFormat="0" applyFill="0" applyBorder="0" applyAlignment="0" applyProtection="0">
      <alignment vertical="top"/>
      <protection locked="0"/>
    </xf>
    <xf numFmtId="183" fontId="139" fillId="0" borderId="0" applyNumberFormat="0" applyFill="0" applyBorder="0" applyAlignment="0" applyProtection="0">
      <alignment vertical="top"/>
      <protection locked="0"/>
    </xf>
    <xf numFmtId="183" fontId="140" fillId="0" borderId="0" applyNumberFormat="0" applyFill="0" applyBorder="0" applyAlignment="0" applyProtection="0">
      <alignment vertical="top"/>
      <protection locked="0"/>
    </xf>
    <xf numFmtId="183" fontId="139" fillId="0" borderId="0" applyNumberFormat="0" applyFill="0" applyBorder="0" applyAlignment="0" applyProtection="0">
      <alignment vertical="top"/>
      <protection locked="0"/>
    </xf>
    <xf numFmtId="183" fontId="139" fillId="0" borderId="0" applyNumberFormat="0" applyFill="0" applyBorder="0" applyAlignment="0" applyProtection="0">
      <alignment vertical="top"/>
      <protection locked="0"/>
    </xf>
    <xf numFmtId="183" fontId="139" fillId="0" borderId="0" applyNumberFormat="0" applyFill="0" applyBorder="0" applyAlignment="0" applyProtection="0">
      <alignment vertical="top"/>
      <protection locked="0"/>
    </xf>
    <xf numFmtId="183" fontId="139" fillId="0" borderId="0" applyNumberFormat="0" applyFill="0" applyBorder="0" applyAlignment="0" applyProtection="0">
      <alignment vertical="top"/>
      <protection locked="0"/>
    </xf>
    <xf numFmtId="183" fontId="140" fillId="0" borderId="0" applyNumberFormat="0" applyFill="0" applyBorder="0" applyAlignment="0" applyProtection="0">
      <alignment vertical="top"/>
      <protection locked="0"/>
    </xf>
    <xf numFmtId="183" fontId="140" fillId="0" borderId="0" applyNumberFormat="0" applyFill="0" applyBorder="0" applyAlignment="0" applyProtection="0">
      <alignment vertical="top"/>
      <protection locked="0"/>
    </xf>
    <xf numFmtId="183" fontId="139" fillId="0" borderId="0" applyNumberFormat="0" applyFill="0" applyBorder="0" applyAlignment="0" applyProtection="0">
      <alignment vertical="top"/>
      <protection locked="0"/>
    </xf>
    <xf numFmtId="183" fontId="140" fillId="0" borderId="0" applyNumberFormat="0" applyFill="0" applyBorder="0" applyAlignment="0" applyProtection="0">
      <alignment vertical="top"/>
      <protection locked="0"/>
    </xf>
    <xf numFmtId="183" fontId="140" fillId="0" borderId="0" applyNumberFormat="0" applyFill="0" applyBorder="0" applyAlignment="0" applyProtection="0">
      <alignment vertical="top"/>
      <protection locked="0"/>
    </xf>
    <xf numFmtId="183" fontId="140" fillId="0" borderId="0" applyNumberFormat="0" applyFill="0" applyBorder="0" applyAlignment="0" applyProtection="0">
      <alignment vertical="top"/>
      <protection locked="0"/>
    </xf>
    <xf numFmtId="183" fontId="139" fillId="0" borderId="0" applyNumberFormat="0" applyFill="0" applyBorder="0" applyAlignment="0" applyProtection="0">
      <alignment vertical="top"/>
      <protection locked="0"/>
    </xf>
    <xf numFmtId="183" fontId="139" fillId="0" borderId="0" applyNumberFormat="0" applyFill="0" applyBorder="0" applyAlignment="0" applyProtection="0">
      <alignment vertical="top"/>
      <protection locked="0"/>
    </xf>
    <xf numFmtId="183" fontId="139" fillId="0" borderId="0" applyNumberFormat="0" applyFill="0" applyBorder="0" applyAlignment="0" applyProtection="0">
      <alignment vertical="top"/>
      <protection locked="0"/>
    </xf>
    <xf numFmtId="183" fontId="139" fillId="0" borderId="0" applyNumberFormat="0" applyFill="0" applyBorder="0" applyAlignment="0" applyProtection="0">
      <alignment vertical="top"/>
      <protection locked="0"/>
    </xf>
    <xf numFmtId="183" fontId="139" fillId="0" borderId="0" applyNumberFormat="0" applyFill="0" applyBorder="0" applyAlignment="0" applyProtection="0">
      <alignment vertical="top"/>
      <protection locked="0"/>
    </xf>
    <xf numFmtId="183" fontId="140" fillId="0" borderId="0" applyNumberFormat="0" applyFill="0" applyBorder="0" applyAlignment="0" applyProtection="0">
      <alignment vertical="top"/>
      <protection locked="0"/>
    </xf>
    <xf numFmtId="183" fontId="141" fillId="0" borderId="0" applyNumberFormat="0" applyFill="0" applyBorder="0" applyAlignment="0" applyProtection="0">
      <alignment vertical="top"/>
      <protection locked="0"/>
    </xf>
    <xf numFmtId="183" fontId="141" fillId="0" borderId="0" applyNumberFormat="0" applyFill="0" applyBorder="0" applyAlignment="0" applyProtection="0">
      <alignment vertical="top"/>
      <protection locked="0"/>
    </xf>
    <xf numFmtId="183" fontId="141" fillId="0" borderId="0" applyNumberFormat="0" applyFill="0" applyBorder="0" applyAlignment="0" applyProtection="0">
      <alignment vertical="top"/>
      <protection locked="0"/>
    </xf>
    <xf numFmtId="183" fontId="141" fillId="0" borderId="0" applyNumberFormat="0" applyFill="0" applyBorder="0" applyAlignment="0" applyProtection="0">
      <alignment vertical="top"/>
      <protection locked="0"/>
    </xf>
    <xf numFmtId="183" fontId="141" fillId="0" borderId="0" applyNumberFormat="0" applyFill="0" applyBorder="0" applyAlignment="0" applyProtection="0">
      <alignment vertical="top"/>
      <protection locked="0"/>
    </xf>
    <xf numFmtId="183" fontId="140" fillId="0" borderId="0" applyNumberFormat="0" applyFill="0" applyBorder="0" applyAlignment="0" applyProtection="0">
      <alignment vertical="top"/>
      <protection locked="0"/>
    </xf>
    <xf numFmtId="183" fontId="142" fillId="0" borderId="0" applyNumberFormat="0" applyFill="0" applyBorder="0" applyAlignment="0" applyProtection="0">
      <alignment vertical="top"/>
      <protection locked="0"/>
    </xf>
    <xf numFmtId="183" fontId="142" fillId="0" borderId="0" applyNumberFormat="0" applyFill="0" applyBorder="0" applyAlignment="0" applyProtection="0">
      <alignment vertical="top"/>
      <protection locked="0"/>
    </xf>
    <xf numFmtId="183" fontId="142" fillId="0" borderId="0" applyNumberFormat="0" applyFill="0" applyBorder="0" applyAlignment="0" applyProtection="0">
      <alignment vertical="top"/>
      <protection locked="0"/>
    </xf>
    <xf numFmtId="183" fontId="142" fillId="0" borderId="0" applyNumberFormat="0" applyFill="0" applyBorder="0" applyAlignment="0" applyProtection="0">
      <alignment vertical="top"/>
      <protection locked="0"/>
    </xf>
    <xf numFmtId="183" fontId="142" fillId="0" borderId="0" applyNumberFormat="0" applyFill="0" applyBorder="0" applyAlignment="0" applyProtection="0">
      <alignment vertical="top"/>
      <protection locked="0"/>
    </xf>
    <xf numFmtId="183" fontId="142" fillId="0" borderId="0" applyNumberFormat="0" applyFill="0" applyBorder="0" applyAlignment="0" applyProtection="0">
      <alignment vertical="top"/>
      <protection locked="0"/>
    </xf>
    <xf numFmtId="183" fontId="139" fillId="0" borderId="0" applyNumberFormat="0" applyFill="0" applyBorder="0" applyAlignment="0" applyProtection="0">
      <alignment vertical="top"/>
      <protection locked="0"/>
    </xf>
    <xf numFmtId="183" fontId="139" fillId="0" borderId="0" applyNumberFormat="0" applyFill="0" applyBorder="0" applyAlignment="0" applyProtection="0">
      <alignment vertical="top"/>
      <protection locked="0"/>
    </xf>
    <xf numFmtId="183" fontId="139" fillId="0" borderId="0" applyNumberFormat="0" applyFill="0" applyBorder="0" applyAlignment="0" applyProtection="0">
      <alignment vertical="top"/>
      <protection locked="0"/>
    </xf>
    <xf numFmtId="183" fontId="139" fillId="0" borderId="0" applyNumberFormat="0" applyFill="0" applyBorder="0" applyAlignment="0" applyProtection="0">
      <alignment vertical="top"/>
      <protection locked="0"/>
    </xf>
    <xf numFmtId="183" fontId="143" fillId="0" borderId="0" applyNumberFormat="0" applyFill="0" applyBorder="0" applyAlignment="0" applyProtection="0">
      <alignment vertical="top"/>
      <protection locked="0"/>
    </xf>
    <xf numFmtId="10" fontId="67" fillId="69" borderId="35" applyNumberFormat="0" applyBorder="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2" fillId="42" borderId="21"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2" fillId="42" borderId="21"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2" fillId="42" borderId="21"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2" fillId="42" borderId="21"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2" fillId="42" borderId="21"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2" fillId="42" borderId="21"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2" fillId="42" borderId="21"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2" fillId="42" borderId="21"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2" fillId="42" borderId="21"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2" fillId="42" borderId="21" applyNumberFormat="0" applyAlignment="0" applyProtection="0"/>
    <xf numFmtId="183" fontId="92" fillId="42" borderId="21" applyNumberFormat="0" applyAlignment="0" applyProtection="0"/>
    <xf numFmtId="183" fontId="9" fillId="5" borderId="4" applyNumberFormat="0" applyAlignment="0" applyProtection="0"/>
    <xf numFmtId="183" fontId="9" fillId="5" borderId="4" applyNumberFormat="0" applyAlignment="0" applyProtection="0"/>
    <xf numFmtId="183" fontId="144" fillId="42" borderId="21" applyNumberFormat="0" applyAlignment="0" applyProtection="0"/>
    <xf numFmtId="183" fontId="144" fillId="42" borderId="21" applyNumberFormat="0" applyAlignment="0" applyProtection="0"/>
    <xf numFmtId="183" fontId="144" fillId="42" borderId="21" applyNumberFormat="0" applyAlignment="0" applyProtection="0"/>
    <xf numFmtId="183" fontId="144" fillId="42" borderId="21" applyNumberFormat="0" applyAlignment="0" applyProtection="0"/>
    <xf numFmtId="183" fontId="144" fillId="42" borderId="21" applyNumberFormat="0" applyAlignment="0" applyProtection="0"/>
    <xf numFmtId="183" fontId="144"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144" fillId="42" borderId="21" applyNumberFormat="0" applyAlignment="0" applyProtection="0"/>
    <xf numFmtId="183" fontId="144" fillId="42" borderId="21" applyNumberFormat="0" applyAlignment="0" applyProtection="0"/>
    <xf numFmtId="183" fontId="144" fillId="42" borderId="21" applyNumberFormat="0" applyAlignment="0" applyProtection="0"/>
    <xf numFmtId="183" fontId="144" fillId="42" borderId="21" applyNumberFormat="0" applyAlignment="0" applyProtection="0"/>
    <xf numFmtId="183" fontId="144" fillId="42" borderId="21" applyNumberFormat="0" applyAlignment="0" applyProtection="0"/>
    <xf numFmtId="183" fontId="144" fillId="42" borderId="21" applyNumberFormat="0" applyAlignment="0" applyProtection="0"/>
    <xf numFmtId="183" fontId="144" fillId="42" borderId="21" applyNumberFormat="0" applyAlignment="0" applyProtection="0"/>
    <xf numFmtId="183" fontId="144" fillId="42" borderId="21" applyNumberFormat="0" applyAlignment="0" applyProtection="0"/>
    <xf numFmtId="183" fontId="144" fillId="42" borderId="21" applyNumberFormat="0" applyAlignment="0" applyProtection="0"/>
    <xf numFmtId="183" fontId="144"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92" fillId="42" borderId="21" applyNumberFormat="0" applyAlignment="0" applyProtection="0"/>
    <xf numFmtId="183" fontId="68" fillId="45" borderId="0" applyNumberFormat="0" applyBorder="0" applyAlignment="0" applyProtection="0"/>
    <xf numFmtId="1" fontId="67" fillId="0" borderId="0"/>
    <xf numFmtId="194" fontId="44" fillId="0" borderId="0" applyFont="0" applyFill="0" applyBorder="0" applyAlignment="0" applyProtection="0"/>
    <xf numFmtId="194" fontId="44" fillId="0" borderId="0" applyFont="0" applyFill="0" applyBorder="0" applyAlignment="0" applyProtection="0"/>
    <xf numFmtId="3" fontId="145" fillId="0" borderId="0"/>
    <xf numFmtId="183" fontId="146" fillId="0" borderId="22" applyNumberFormat="0" applyFill="0" applyAlignment="0" applyProtection="0"/>
    <xf numFmtId="183" fontId="147" fillId="66" borderId="23" applyNumberFormat="0" applyAlignment="0" applyProtection="0"/>
    <xf numFmtId="3" fontId="148" fillId="0" borderId="0"/>
    <xf numFmtId="3" fontId="46" fillId="0" borderId="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149" fillId="0" borderId="22" applyNumberFormat="0" applyFill="0" applyAlignment="0" applyProtection="0"/>
    <xf numFmtId="183" fontId="75" fillId="0" borderId="22" applyNumberFormat="0" applyFill="0" applyAlignment="0" applyProtection="0"/>
    <xf numFmtId="183" fontId="149" fillId="0" borderId="22" applyNumberFormat="0" applyFill="0" applyAlignment="0" applyProtection="0"/>
    <xf numFmtId="183" fontId="12" fillId="0" borderId="6" applyNumberFormat="0" applyFill="0" applyAlignment="0" applyProtection="0"/>
    <xf numFmtId="183" fontId="149" fillId="0" borderId="22" applyNumberFormat="0" applyFill="0" applyAlignment="0" applyProtection="0"/>
    <xf numFmtId="183" fontId="149" fillId="0" borderId="22" applyNumberFormat="0" applyFill="0" applyAlignment="0" applyProtection="0"/>
    <xf numFmtId="183" fontId="149" fillId="0" borderId="22" applyNumberFormat="0" applyFill="0" applyAlignment="0" applyProtection="0"/>
    <xf numFmtId="183" fontId="149" fillId="0" borderId="22" applyNumberFormat="0" applyFill="0" applyAlignment="0" applyProtection="0"/>
    <xf numFmtId="183" fontId="149" fillId="0" borderId="22" applyNumberFormat="0" applyFill="0" applyAlignment="0" applyProtection="0"/>
    <xf numFmtId="183" fontId="149"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12" fillId="0" borderId="6" applyNumberFormat="0" applyFill="0" applyAlignment="0" applyProtection="0"/>
    <xf numFmtId="183" fontId="12" fillId="0" borderId="6"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183" fontId="75" fillId="0" borderId="22" applyNumberFormat="0" applyFill="0" applyAlignment="0" applyProtection="0"/>
    <xf numFmtId="3" fontId="145" fillId="0" borderId="0" applyFont="0" applyFill="0" applyBorder="0" applyAlignment="0" applyProtection="0"/>
    <xf numFmtId="43" fontId="44" fillId="0" borderId="0" applyFont="0" applyFill="0" applyBorder="0" applyAlignment="0" applyProtection="0"/>
    <xf numFmtId="195" fontId="145" fillId="0" borderId="0" applyFont="0" applyFill="0" applyBorder="0" applyAlignment="0" applyProtection="0"/>
    <xf numFmtId="196" fontId="145" fillId="0" borderId="0" applyFont="0" applyFill="0" applyBorder="0" applyAlignment="0" applyProtection="0"/>
    <xf numFmtId="3" fontId="52" fillId="0" borderId="0"/>
    <xf numFmtId="183" fontId="44" fillId="0" borderId="0" applyNumberFormat="0" applyFont="0" applyFill="0" applyBorder="0" applyAlignment="0"/>
    <xf numFmtId="183" fontId="44" fillId="0" borderId="0" applyNumberFormat="0" applyFont="0" applyFill="0" applyBorder="0" applyAlignment="0"/>
    <xf numFmtId="183" fontId="150" fillId="0" borderId="32" applyNumberFormat="0" applyFill="0" applyAlignment="0" applyProtection="0"/>
    <xf numFmtId="183" fontId="151" fillId="0" borderId="33" applyNumberFormat="0" applyFill="0" applyAlignment="0" applyProtection="0"/>
    <xf numFmtId="183" fontId="152" fillId="0" borderId="34" applyNumberFormat="0" applyFill="0" applyAlignment="0" applyProtection="0"/>
    <xf numFmtId="183" fontId="152" fillId="0" borderId="0" applyNumberFormat="0" applyFill="0" applyBorder="0" applyAlignment="0" applyProtection="0"/>
    <xf numFmtId="183" fontId="44" fillId="0" borderId="0"/>
    <xf numFmtId="183" fontId="153" fillId="73" borderId="0">
      <alignment horizontal="center" vertical="center"/>
    </xf>
    <xf numFmtId="197" fontId="154" fillId="74" borderId="0">
      <alignment horizontal="center" vertical="center"/>
    </xf>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6" fillId="67" borderId="0" applyNumberFormat="0" applyBorder="0" applyAlignment="0" applyProtection="0"/>
    <xf numFmtId="183" fontId="155" fillId="67" borderId="0" applyNumberFormat="0" applyBorder="0" applyAlignment="0" applyProtection="0"/>
    <xf numFmtId="183" fontId="156" fillId="67" borderId="0" applyNumberFormat="0" applyBorder="0" applyAlignment="0" applyProtection="0"/>
    <xf numFmtId="183" fontId="8" fillId="4" borderId="0" applyNumberFormat="0" applyBorder="0" applyAlignment="0" applyProtection="0"/>
    <xf numFmtId="183" fontId="156" fillId="67" borderId="0" applyNumberFormat="0" applyBorder="0" applyAlignment="0" applyProtection="0"/>
    <xf numFmtId="183" fontId="156" fillId="67" borderId="0" applyNumberFormat="0" applyBorder="0" applyAlignment="0" applyProtection="0"/>
    <xf numFmtId="183" fontId="156" fillId="67" borderId="0" applyNumberFormat="0" applyBorder="0" applyAlignment="0" applyProtection="0"/>
    <xf numFmtId="183" fontId="156" fillId="67" borderId="0" applyNumberFormat="0" applyBorder="0" applyAlignment="0" applyProtection="0"/>
    <xf numFmtId="183" fontId="156" fillId="67" borderId="0" applyNumberFormat="0" applyBorder="0" applyAlignment="0" applyProtection="0"/>
    <xf numFmtId="183" fontId="156"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8" fillId="4" borderId="0" applyNumberFormat="0" applyBorder="0" applyAlignment="0" applyProtection="0"/>
    <xf numFmtId="183" fontId="8" fillId="4"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5" fillId="67" borderId="0" applyNumberFormat="0" applyBorder="0" applyAlignment="0" applyProtection="0"/>
    <xf numFmtId="183" fontId="157" fillId="67" borderId="0" applyNumberFormat="0" applyBorder="0" applyAlignment="0" applyProtection="0"/>
    <xf numFmtId="183" fontId="155" fillId="67" borderId="0" applyNumberFormat="0" applyBorder="0" applyAlignment="0" applyProtection="0"/>
    <xf numFmtId="37" fontId="158" fillId="0" borderId="0"/>
    <xf numFmtId="37" fontId="158" fillId="0" borderId="0"/>
    <xf numFmtId="37" fontId="158" fillId="0" borderId="0"/>
    <xf numFmtId="37" fontId="158" fillId="0" borderId="0"/>
    <xf numFmtId="37" fontId="158" fillId="0" borderId="0"/>
    <xf numFmtId="37" fontId="158" fillId="0" borderId="0"/>
    <xf numFmtId="37" fontId="158" fillId="0" borderId="0"/>
    <xf numFmtId="183" fontId="110" fillId="0" borderId="0"/>
    <xf numFmtId="3" fontId="67" fillId="0" borderId="36" applyProtection="0">
      <alignment horizontal="right"/>
    </xf>
    <xf numFmtId="198" fontId="159" fillId="0" borderId="0"/>
    <xf numFmtId="183" fontId="80" fillId="0" borderId="0"/>
    <xf numFmtId="183" fontId="80" fillId="0" borderId="0"/>
    <xf numFmtId="183" fontId="1" fillId="0" borderId="0"/>
    <xf numFmtId="183" fontId="1" fillId="0" borderId="0"/>
    <xf numFmtId="183" fontId="80" fillId="0" borderId="0"/>
    <xf numFmtId="183" fontId="80" fillId="0" borderId="0"/>
    <xf numFmtId="183" fontId="1" fillId="0" borderId="0"/>
    <xf numFmtId="183" fontId="1" fillId="0" borderId="0"/>
    <xf numFmtId="183" fontId="44" fillId="0" borderId="0"/>
    <xf numFmtId="183" fontId="1" fillId="0" borderId="0"/>
    <xf numFmtId="183" fontId="80" fillId="0" borderId="0"/>
    <xf numFmtId="183" fontId="80" fillId="0" borderId="0"/>
    <xf numFmtId="183" fontId="44" fillId="0" borderId="0"/>
    <xf numFmtId="183" fontId="51" fillId="0" borderId="0"/>
    <xf numFmtId="183" fontId="44" fillId="0" borderId="0"/>
    <xf numFmtId="183" fontId="44" fillId="0" borderId="0"/>
    <xf numFmtId="183" fontId="44" fillId="0" borderId="0"/>
    <xf numFmtId="183" fontId="44" fillId="0" borderId="0"/>
    <xf numFmtId="183" fontId="55" fillId="0" borderId="0"/>
    <xf numFmtId="183" fontId="55" fillId="0" borderId="0"/>
    <xf numFmtId="183" fontId="55" fillId="0" borderId="0"/>
    <xf numFmtId="183" fontId="55" fillId="0" borderId="0"/>
    <xf numFmtId="183" fontId="55" fillId="0" borderId="0"/>
    <xf numFmtId="183" fontId="1" fillId="0" borderId="0"/>
    <xf numFmtId="183" fontId="55" fillId="0" borderId="0"/>
    <xf numFmtId="183" fontId="55" fillId="0" borderId="0"/>
    <xf numFmtId="183" fontId="55" fillId="0" borderId="0"/>
    <xf numFmtId="183" fontId="55" fillId="0" borderId="0"/>
    <xf numFmtId="183" fontId="55" fillId="0" borderId="0"/>
    <xf numFmtId="183" fontId="44"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1" fillId="0" borderId="0"/>
    <xf numFmtId="183" fontId="55" fillId="0" borderId="0"/>
    <xf numFmtId="183" fontId="80" fillId="0" borderId="0"/>
    <xf numFmtId="183" fontId="1" fillId="0" borderId="0"/>
    <xf numFmtId="183" fontId="80" fillId="0" borderId="0"/>
    <xf numFmtId="183" fontId="80" fillId="0" borderId="0"/>
    <xf numFmtId="183" fontId="1" fillId="0" borderId="0"/>
    <xf numFmtId="183" fontId="1" fillId="0" borderId="0"/>
    <xf numFmtId="183" fontId="44" fillId="0" borderId="0"/>
    <xf numFmtId="183" fontId="1" fillId="0" borderId="0"/>
    <xf numFmtId="183" fontId="80" fillId="0" borderId="0"/>
    <xf numFmtId="183" fontId="80" fillId="0" borderId="0"/>
    <xf numFmtId="183" fontId="44" fillId="0" borderId="0"/>
    <xf numFmtId="183" fontId="1" fillId="0" borderId="0"/>
    <xf numFmtId="183" fontId="1" fillId="0" borderId="0"/>
    <xf numFmtId="183" fontId="44" fillId="0" borderId="0"/>
    <xf numFmtId="183" fontId="44" fillId="0" borderId="0"/>
    <xf numFmtId="183" fontId="44" fillId="0" borderId="0"/>
    <xf numFmtId="183" fontId="55" fillId="0" borderId="0"/>
    <xf numFmtId="183" fontId="55" fillId="0" borderId="0"/>
    <xf numFmtId="183" fontId="55" fillId="0" borderId="0"/>
    <xf numFmtId="183" fontId="55" fillId="0" borderId="0"/>
    <xf numFmtId="183" fontId="55" fillId="0" borderId="0"/>
    <xf numFmtId="183" fontId="1" fillId="0" borderId="0"/>
    <xf numFmtId="183" fontId="55" fillId="0" borderId="0"/>
    <xf numFmtId="183" fontId="55" fillId="0" borderId="0"/>
    <xf numFmtId="183" fontId="55" fillId="0" borderId="0"/>
    <xf numFmtId="183" fontId="55" fillId="0" borderId="0"/>
    <xf numFmtId="183" fontId="55" fillId="0" borderId="0"/>
    <xf numFmtId="183" fontId="1"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1" fillId="0" borderId="0"/>
    <xf numFmtId="183" fontId="80" fillId="0" borderId="0"/>
    <xf numFmtId="183" fontId="80" fillId="0" borderId="0"/>
    <xf numFmtId="183" fontId="1" fillId="0" borderId="0"/>
    <xf numFmtId="183" fontId="1" fillId="0" borderId="0"/>
    <xf numFmtId="183" fontId="44" fillId="0" borderId="0"/>
    <xf numFmtId="183" fontId="44"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80" fillId="0" borderId="0"/>
    <xf numFmtId="183" fontId="44" fillId="0" borderId="0"/>
    <xf numFmtId="183" fontId="1" fillId="0" borderId="0"/>
    <xf numFmtId="183" fontId="80" fillId="0" borderId="0"/>
    <xf numFmtId="183" fontId="80" fillId="0" borderId="0"/>
    <xf numFmtId="183" fontId="1" fillId="0" borderId="0"/>
    <xf numFmtId="183" fontId="1" fillId="0" borderId="0"/>
    <xf numFmtId="183" fontId="1" fillId="0" borderId="0"/>
    <xf numFmtId="183" fontId="44" fillId="0" borderId="0"/>
    <xf numFmtId="183" fontId="44" fillId="0" borderId="0"/>
    <xf numFmtId="183" fontId="1" fillId="0" borderId="0"/>
    <xf numFmtId="183" fontId="1" fillId="0" borderId="0"/>
    <xf numFmtId="183" fontId="1" fillId="0" borderId="0"/>
    <xf numFmtId="183" fontId="1"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44"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44" fillId="0" borderId="0"/>
    <xf numFmtId="183" fontId="1" fillId="0" borderId="0"/>
    <xf numFmtId="183" fontId="44"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80" fillId="0" borderId="0"/>
    <xf numFmtId="183" fontId="1" fillId="0" borderId="0"/>
    <xf numFmtId="183" fontId="80"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60"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44"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5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44" fillId="0" borderId="0"/>
    <xf numFmtId="183" fontId="44" fillId="0" borderId="0"/>
    <xf numFmtId="183" fontId="44"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55"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80" fillId="0" borderId="0"/>
    <xf numFmtId="183" fontId="44"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44" fillId="0" borderId="0"/>
    <xf numFmtId="183" fontId="44"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1"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44" fillId="0" borderId="0"/>
    <xf numFmtId="183" fontId="44" fillId="0" borderId="0"/>
    <xf numFmtId="183" fontId="44" fillId="0" borderId="0"/>
    <xf numFmtId="183" fontId="1"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44" fillId="0" borderId="0"/>
    <xf numFmtId="183" fontId="44" fillId="0" borderId="0"/>
    <xf numFmtId="183" fontId="44" fillId="0" borderId="0"/>
    <xf numFmtId="183" fontId="161" fillId="0" borderId="0"/>
    <xf numFmtId="183" fontId="161" fillId="0" borderId="0"/>
    <xf numFmtId="183" fontId="161" fillId="0" borderId="0"/>
    <xf numFmtId="183" fontId="161" fillId="0" borderId="0"/>
    <xf numFmtId="183" fontId="161" fillId="0" borderId="0"/>
    <xf numFmtId="183" fontId="161"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55" fillId="0" borderId="0"/>
    <xf numFmtId="183" fontId="55" fillId="0" borderId="0"/>
    <xf numFmtId="183" fontId="55" fillId="0" borderId="0"/>
    <xf numFmtId="183" fontId="55" fillId="0" borderId="0"/>
    <xf numFmtId="183" fontId="55"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55" fillId="0" borderId="0"/>
    <xf numFmtId="183" fontId="55" fillId="0" borderId="0"/>
    <xf numFmtId="183" fontId="55" fillId="0" borderId="0"/>
    <xf numFmtId="183" fontId="55" fillId="0" borderId="0"/>
    <xf numFmtId="183" fontId="55"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55" fillId="0" borderId="0"/>
    <xf numFmtId="183" fontId="55" fillId="0" borderId="0"/>
    <xf numFmtId="183" fontId="55" fillId="0" borderId="0"/>
    <xf numFmtId="183" fontId="55" fillId="0" borderId="0"/>
    <xf numFmtId="183" fontId="55"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6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44"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44" fillId="0" borderId="0"/>
    <xf numFmtId="183" fontId="1"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44" fillId="0" borderId="0"/>
    <xf numFmtId="183" fontId="1" fillId="0" borderId="0"/>
    <xf numFmtId="183" fontId="44" fillId="0" borderId="0"/>
    <xf numFmtId="183" fontId="1" fillId="0" borderId="0"/>
    <xf numFmtId="183" fontId="44" fillId="0" borderId="0"/>
    <xf numFmtId="183" fontId="1" fillId="0" borderId="0"/>
    <xf numFmtId="183" fontId="44" fillId="0" borderId="0"/>
    <xf numFmtId="183" fontId="1"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44" fillId="0" borderId="0"/>
    <xf numFmtId="183" fontId="1" fillId="0" borderId="0"/>
    <xf numFmtId="183" fontId="44" fillId="0" borderId="0"/>
    <xf numFmtId="183" fontId="1" fillId="0" borderId="0"/>
    <xf numFmtId="183" fontId="44" fillId="0" borderId="0"/>
    <xf numFmtId="183" fontId="1" fillId="0" borderId="0"/>
    <xf numFmtId="183" fontId="44" fillId="0" borderId="0"/>
    <xf numFmtId="183" fontId="1" fillId="0" borderId="0"/>
    <xf numFmtId="183" fontId="44"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1" fillId="0" borderId="0"/>
    <xf numFmtId="183" fontId="44" fillId="0" borderId="0"/>
    <xf numFmtId="183" fontId="1" fillId="0" borderId="0"/>
    <xf numFmtId="183" fontId="44" fillId="0" borderId="0"/>
    <xf numFmtId="183" fontId="1" fillId="0" borderId="0"/>
    <xf numFmtId="183" fontId="44" fillId="0" borderId="0"/>
    <xf numFmtId="183" fontId="1"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55" fillId="0" borderId="0"/>
    <xf numFmtId="183" fontId="1" fillId="0" borderId="0"/>
    <xf numFmtId="183" fontId="55" fillId="0" borderId="0"/>
    <xf numFmtId="183" fontId="55"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1" fillId="0" borderId="0"/>
    <xf numFmtId="183" fontId="1" fillId="0" borderId="0"/>
    <xf numFmtId="183" fontId="80" fillId="0" borderId="0"/>
    <xf numFmtId="183" fontId="80" fillId="0" borderId="0"/>
    <xf numFmtId="183" fontId="1" fillId="0" borderId="0"/>
    <xf numFmtId="183" fontId="44" fillId="0" borderId="0"/>
    <xf numFmtId="183" fontId="55" fillId="0" borderId="0"/>
    <xf numFmtId="183" fontId="55" fillId="0" borderId="0"/>
    <xf numFmtId="183" fontId="55" fillId="0" borderId="0"/>
    <xf numFmtId="183" fontId="55" fillId="0" borderId="0"/>
    <xf numFmtId="183" fontId="44" fillId="0" borderId="0"/>
    <xf numFmtId="183" fontId="1" fillId="0" borderId="0"/>
    <xf numFmtId="183" fontId="1" fillId="0" borderId="0"/>
    <xf numFmtId="183" fontId="1" fillId="0" borderId="0"/>
    <xf numFmtId="183" fontId="44" fillId="0" borderId="0"/>
    <xf numFmtId="183" fontId="55" fillId="0" borderId="0"/>
    <xf numFmtId="183" fontId="55" fillId="0" borderId="0"/>
    <xf numFmtId="183" fontId="55" fillId="0" borderId="0"/>
    <xf numFmtId="183" fontId="55" fillId="0" borderId="0"/>
    <xf numFmtId="183" fontId="1" fillId="0" borderId="0"/>
    <xf numFmtId="183" fontId="44" fillId="0" borderId="0"/>
    <xf numFmtId="183" fontId="1" fillId="0" borderId="0"/>
    <xf numFmtId="183" fontId="44" fillId="0" borderId="0"/>
    <xf numFmtId="183" fontId="55" fillId="0" borderId="0"/>
    <xf numFmtId="183" fontId="55" fillId="0" borderId="0"/>
    <xf numFmtId="183" fontId="55" fillId="0" borderId="0"/>
    <xf numFmtId="183" fontId="55" fillId="0" borderId="0"/>
    <xf numFmtId="183" fontId="1" fillId="0" borderId="0"/>
    <xf numFmtId="183" fontId="44" fillId="0" borderId="0"/>
    <xf numFmtId="183" fontId="1" fillId="0" borderId="0"/>
    <xf numFmtId="183" fontId="44" fillId="0" borderId="0"/>
    <xf numFmtId="183" fontId="1"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55" fillId="0" borderId="0"/>
    <xf numFmtId="183" fontId="1" fillId="0" borderId="0"/>
    <xf numFmtId="183" fontId="55"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55" fillId="0" borderId="0"/>
    <xf numFmtId="183" fontId="1" fillId="0" borderId="0"/>
    <xf numFmtId="183" fontId="55"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55"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55"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5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44"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44"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44" fillId="0" borderId="0"/>
    <xf numFmtId="183" fontId="80" fillId="0" borderId="0"/>
    <xf numFmtId="183" fontId="44" fillId="0" borderId="0"/>
    <xf numFmtId="183" fontId="80" fillId="0" borderId="0"/>
    <xf numFmtId="183" fontId="44" fillId="0" borderId="0"/>
    <xf numFmtId="183" fontId="80" fillId="0" borderId="0"/>
    <xf numFmtId="183" fontId="44" fillId="0" borderId="0"/>
    <xf numFmtId="183" fontId="80"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80" fillId="0" borderId="0"/>
    <xf numFmtId="183" fontId="80" fillId="0" borderId="0"/>
    <xf numFmtId="183" fontId="1" fillId="0" borderId="0"/>
    <xf numFmtId="183" fontId="1" fillId="0" borderId="0"/>
    <xf numFmtId="183" fontId="80" fillId="0" borderId="0"/>
    <xf numFmtId="183" fontId="44" fillId="0" borderId="0"/>
    <xf numFmtId="183" fontId="1" fillId="0" borderId="0"/>
    <xf numFmtId="183" fontId="80" fillId="0" borderId="0"/>
    <xf numFmtId="183" fontId="44" fillId="0" borderId="0"/>
    <xf numFmtId="183" fontId="80" fillId="0" borderId="0"/>
    <xf numFmtId="183" fontId="44" fillId="0" borderId="0"/>
    <xf numFmtId="183" fontId="80" fillId="0" borderId="0"/>
    <xf numFmtId="183" fontId="44" fillId="0" borderId="0"/>
    <xf numFmtId="183" fontId="80" fillId="0" borderId="0"/>
    <xf numFmtId="183" fontId="44" fillId="0" borderId="0"/>
    <xf numFmtId="183" fontId="80" fillId="0" borderId="0"/>
    <xf numFmtId="183" fontId="44" fillId="0" borderId="0"/>
    <xf numFmtId="183" fontId="80" fillId="0" borderId="0"/>
    <xf numFmtId="183" fontId="44" fillId="0" borderId="0"/>
    <xf numFmtId="183" fontId="44" fillId="0" borderId="0"/>
    <xf numFmtId="183" fontId="80" fillId="0" borderId="0"/>
    <xf numFmtId="183" fontId="1" fillId="0" borderId="0"/>
    <xf numFmtId="183" fontId="1" fillId="0" borderId="0"/>
    <xf numFmtId="183" fontId="54" fillId="0" borderId="0"/>
    <xf numFmtId="183" fontId="1" fillId="0" borderId="0"/>
    <xf numFmtId="183" fontId="1" fillId="0" borderId="0"/>
    <xf numFmtId="183" fontId="1" fillId="0" borderId="0"/>
    <xf numFmtId="183" fontId="161" fillId="0" borderId="0"/>
    <xf numFmtId="183" fontId="80" fillId="0" borderId="0"/>
    <xf numFmtId="183" fontId="1" fillId="0" borderId="0"/>
    <xf numFmtId="183" fontId="1" fillId="0" borderId="0"/>
    <xf numFmtId="183" fontId="54" fillId="0" borderId="0"/>
    <xf numFmtId="183" fontId="1" fillId="0" borderId="0"/>
    <xf numFmtId="183" fontId="1" fillId="0" borderId="0"/>
    <xf numFmtId="183" fontId="1" fillId="0" borderId="0"/>
    <xf numFmtId="183" fontId="44"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44"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44" fillId="0" borderId="0"/>
    <xf numFmtId="183" fontId="80" fillId="0" borderId="0"/>
    <xf numFmtId="183" fontId="80" fillId="0" borderId="0"/>
    <xf numFmtId="183" fontId="80" fillId="0" borderId="0"/>
    <xf numFmtId="183" fontId="80"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44" fillId="0" borderId="0"/>
    <xf numFmtId="183" fontId="44" fillId="0" borderId="0"/>
    <xf numFmtId="183" fontId="80" fillId="0" borderId="0"/>
    <xf numFmtId="183" fontId="80" fillId="0" borderId="0"/>
    <xf numFmtId="183" fontId="80" fillId="0" borderId="0"/>
    <xf numFmtId="183" fontId="80" fillId="0" borderId="0"/>
    <xf numFmtId="183" fontId="80" fillId="0" borderId="0"/>
    <xf numFmtId="183" fontId="44" fillId="0" borderId="0"/>
    <xf numFmtId="183" fontId="80" fillId="0" borderId="0"/>
    <xf numFmtId="183" fontId="44" fillId="0" borderId="0"/>
    <xf numFmtId="183" fontId="80" fillId="0" borderId="0"/>
    <xf numFmtId="183" fontId="44" fillId="0" borderId="0"/>
    <xf numFmtId="183" fontId="80" fillId="0" borderId="0"/>
    <xf numFmtId="183" fontId="44" fillId="0" borderId="0"/>
    <xf numFmtId="183" fontId="80" fillId="0" borderId="0"/>
    <xf numFmtId="183" fontId="44" fillId="0" borderId="0"/>
    <xf numFmtId="183" fontId="80" fillId="0" borderId="0"/>
    <xf numFmtId="183" fontId="44"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44" fillId="0" borderId="0"/>
    <xf numFmtId="183" fontId="80" fillId="0" borderId="0"/>
    <xf numFmtId="183" fontId="44" fillId="0" borderId="0"/>
    <xf numFmtId="183" fontId="80" fillId="0" borderId="0"/>
    <xf numFmtId="183" fontId="44" fillId="0" borderId="0"/>
    <xf numFmtId="183" fontId="80" fillId="0" borderId="0"/>
    <xf numFmtId="183" fontId="44" fillId="0" borderId="0"/>
    <xf numFmtId="183" fontId="80" fillId="0" borderId="0"/>
    <xf numFmtId="183" fontId="44" fillId="0" borderId="0"/>
    <xf numFmtId="183" fontId="80"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80" fillId="0" borderId="0"/>
    <xf numFmtId="183" fontId="80" fillId="0" borderId="0"/>
    <xf numFmtId="183" fontId="44" fillId="0" borderId="0"/>
    <xf numFmtId="183" fontId="80" fillId="0" borderId="0"/>
    <xf numFmtId="183" fontId="80" fillId="0" borderId="0"/>
    <xf numFmtId="183" fontId="80" fillId="0" borderId="0"/>
    <xf numFmtId="183" fontId="80" fillId="0" borderId="0"/>
    <xf numFmtId="183" fontId="44"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80" fillId="0" borderId="0"/>
    <xf numFmtId="183" fontId="1" fillId="0" borderId="0"/>
    <xf numFmtId="183" fontId="1" fillId="0" borderId="0"/>
    <xf numFmtId="183" fontId="44" fillId="0" borderId="0"/>
    <xf numFmtId="183" fontId="80" fillId="0" borderId="0"/>
    <xf numFmtId="183" fontId="1" fillId="0" borderId="0"/>
    <xf numFmtId="183" fontId="1" fillId="0" borderId="0"/>
    <xf numFmtId="183" fontId="44" fillId="0" borderId="0"/>
    <xf numFmtId="183" fontId="80" fillId="0" borderId="0"/>
    <xf numFmtId="183" fontId="1" fillId="0" borderId="0"/>
    <xf numFmtId="183" fontId="1" fillId="0" borderId="0"/>
    <xf numFmtId="183" fontId="80"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55"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1" fillId="0" borderId="0"/>
    <xf numFmtId="183" fontId="44" fillId="0" borderId="0"/>
    <xf numFmtId="183" fontId="1" fillId="0" borderId="0"/>
    <xf numFmtId="183" fontId="44" fillId="0" borderId="0"/>
    <xf numFmtId="183" fontId="80" fillId="0" borderId="0"/>
    <xf numFmtId="183" fontId="51"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44" fillId="0" borderId="0"/>
    <xf numFmtId="183" fontId="55" fillId="0" borderId="0"/>
    <xf numFmtId="183" fontId="80" fillId="0" borderId="0"/>
    <xf numFmtId="183" fontId="55"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51" fillId="0" borderId="0"/>
    <xf numFmtId="183" fontId="80" fillId="0" borderId="0"/>
    <xf numFmtId="183" fontId="1" fillId="0" borderId="0"/>
    <xf numFmtId="183" fontId="80"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44" fillId="0" borderId="0"/>
    <xf numFmtId="183" fontId="1" fillId="0" borderId="0"/>
    <xf numFmtId="183" fontId="44" fillId="0" borderId="0"/>
    <xf numFmtId="183" fontId="1" fillId="0" borderId="0"/>
    <xf numFmtId="183" fontId="44" fillId="0" borderId="0"/>
    <xf numFmtId="183" fontId="1" fillId="0" borderId="0"/>
    <xf numFmtId="183" fontId="44" fillId="0" borderId="0"/>
    <xf numFmtId="183" fontId="1" fillId="0" borderId="0"/>
    <xf numFmtId="183" fontId="44" fillId="0" borderId="0"/>
    <xf numFmtId="183" fontId="1" fillId="0" borderId="0"/>
    <xf numFmtId="183" fontId="44"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44" fillId="0" borderId="0"/>
    <xf numFmtId="183" fontId="1" fillId="0" borderId="0"/>
    <xf numFmtId="183" fontId="44" fillId="0" borderId="0"/>
    <xf numFmtId="183" fontId="1"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55" fillId="0" borderId="0"/>
    <xf numFmtId="183" fontId="1" fillId="0" borderId="0"/>
    <xf numFmtId="183" fontId="55"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54"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55" fillId="0" borderId="0"/>
    <xf numFmtId="183" fontId="1" fillId="0" borderId="0"/>
    <xf numFmtId="183" fontId="55"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55" fillId="0" borderId="0"/>
    <xf numFmtId="183" fontId="1" fillId="0" borderId="0"/>
    <xf numFmtId="183" fontId="55"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44"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1" fillId="0" borderId="0"/>
    <xf numFmtId="1" fontId="67"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44"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55"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55"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80" fillId="0" borderId="0"/>
    <xf numFmtId="183" fontId="80" fillId="0" borderId="0"/>
    <xf numFmtId="183" fontId="80" fillId="0" borderId="0"/>
    <xf numFmtId="183" fontId="44" fillId="0" borderId="0"/>
    <xf numFmtId="183" fontId="80" fillId="0" borderId="0"/>
    <xf numFmtId="183" fontId="80" fillId="0" borderId="0"/>
    <xf numFmtId="183" fontId="80" fillId="0" borderId="0"/>
    <xf numFmtId="183" fontId="44" fillId="0" borderId="0"/>
    <xf numFmtId="183" fontId="1"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1" fillId="0" borderId="0"/>
    <xf numFmtId="183" fontId="1" fillId="0" borderId="0"/>
    <xf numFmtId="183" fontId="1" fillId="0" borderId="0"/>
    <xf numFmtId="183" fontId="44"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44" fillId="0" borderId="0"/>
    <xf numFmtId="183" fontId="55" fillId="0" borderId="0"/>
    <xf numFmtId="183" fontId="55" fillId="0" borderId="0"/>
    <xf numFmtId="183" fontId="55" fillId="0" borderId="0"/>
    <xf numFmtId="183" fontId="55" fillId="0" borderId="0"/>
    <xf numFmtId="183" fontId="55" fillId="0" borderId="0"/>
    <xf numFmtId="183" fontId="44" fillId="0" borderId="0"/>
    <xf numFmtId="183" fontId="55" fillId="0" borderId="0"/>
    <xf numFmtId="183" fontId="55" fillId="0" borderId="0"/>
    <xf numFmtId="183" fontId="55" fillId="0" borderId="0"/>
    <xf numFmtId="183" fontId="55" fillId="0" borderId="0"/>
    <xf numFmtId="183" fontId="55" fillId="0" borderId="0"/>
    <xf numFmtId="183" fontId="44" fillId="0" borderId="0"/>
    <xf numFmtId="183" fontId="55" fillId="0" borderId="0"/>
    <xf numFmtId="183" fontId="55" fillId="0" borderId="0"/>
    <xf numFmtId="183" fontId="55" fillId="0" borderId="0"/>
    <xf numFmtId="183" fontId="55" fillId="0" borderId="0"/>
    <xf numFmtId="183" fontId="55" fillId="0" borderId="0"/>
    <xf numFmtId="183" fontId="44" fillId="0" borderId="0"/>
    <xf numFmtId="183" fontId="44" fillId="0" borderId="0"/>
    <xf numFmtId="183" fontId="55" fillId="0" borderId="0"/>
    <xf numFmtId="183" fontId="44" fillId="0" borderId="0"/>
    <xf numFmtId="183" fontId="55"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55" fillId="0" borderId="0"/>
    <xf numFmtId="183" fontId="55" fillId="0" borderId="0"/>
    <xf numFmtId="183" fontId="55" fillId="0" borderId="0"/>
    <xf numFmtId="183" fontId="55" fillId="0" borderId="0"/>
    <xf numFmtId="183" fontId="55" fillId="0" borderId="0"/>
    <xf numFmtId="183" fontId="44" fillId="0" borderId="0"/>
    <xf numFmtId="183" fontId="55" fillId="0" borderId="0"/>
    <xf numFmtId="183" fontId="44" fillId="0" borderId="0"/>
    <xf numFmtId="183" fontId="55"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55" fillId="0" borderId="0"/>
    <xf numFmtId="183" fontId="55" fillId="0" borderId="0"/>
    <xf numFmtId="183" fontId="55" fillId="0" borderId="0"/>
    <xf numFmtId="183" fontId="55" fillId="0" borderId="0"/>
    <xf numFmtId="183" fontId="55" fillId="0" borderId="0"/>
    <xf numFmtId="183" fontId="44" fillId="0" borderId="0"/>
    <xf numFmtId="183" fontId="55" fillId="0" borderId="0"/>
    <xf numFmtId="183" fontId="44" fillId="0" borderId="0"/>
    <xf numFmtId="183" fontId="55"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55" fillId="0" borderId="0"/>
    <xf numFmtId="183" fontId="55" fillId="0" borderId="0"/>
    <xf numFmtId="183" fontId="55" fillId="0" borderId="0"/>
    <xf numFmtId="183" fontId="55" fillId="0" borderId="0"/>
    <xf numFmtId="183" fontId="55" fillId="0" borderId="0"/>
    <xf numFmtId="183" fontId="44" fillId="0" borderId="0"/>
    <xf numFmtId="183" fontId="55" fillId="0" borderId="0"/>
    <xf numFmtId="183" fontId="44" fillId="0" borderId="0"/>
    <xf numFmtId="183" fontId="55"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55" fillId="0" borderId="0"/>
    <xf numFmtId="183" fontId="55" fillId="0" borderId="0"/>
    <xf numFmtId="183" fontId="55" fillId="0" borderId="0"/>
    <xf numFmtId="183" fontId="55" fillId="0" borderId="0"/>
    <xf numFmtId="183" fontId="55" fillId="0" borderId="0"/>
    <xf numFmtId="183" fontId="44" fillId="0" borderId="0"/>
    <xf numFmtId="183" fontId="55" fillId="0" borderId="0"/>
    <xf numFmtId="183" fontId="44" fillId="0" borderId="0"/>
    <xf numFmtId="183" fontId="55"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80" fillId="0" borderId="0"/>
    <xf numFmtId="183" fontId="80" fillId="0" borderId="0"/>
    <xf numFmtId="183" fontId="80" fillId="0" borderId="0"/>
    <xf numFmtId="183" fontId="80" fillId="0" borderId="0"/>
    <xf numFmtId="183" fontId="80" fillId="0" borderId="0"/>
    <xf numFmtId="183" fontId="80" fillId="0" borderId="0"/>
    <xf numFmtId="183" fontId="44" fillId="0" borderId="0"/>
    <xf numFmtId="183" fontId="44" fillId="0" borderId="0"/>
    <xf numFmtId="183" fontId="44" fillId="0" borderId="0"/>
    <xf numFmtId="183" fontId="44" fillId="0" borderId="0"/>
    <xf numFmtId="183" fontId="44"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1" fillId="0" borderId="0"/>
    <xf numFmtId="183" fontId="1" fillId="0" borderId="0"/>
    <xf numFmtId="183" fontId="1" fillId="0" borderId="0"/>
    <xf numFmtId="183" fontId="55" fillId="0" borderId="0"/>
    <xf numFmtId="183" fontId="1" fillId="0" borderId="0"/>
    <xf numFmtId="183" fontId="55"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55"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1" fillId="0" borderId="0"/>
    <xf numFmtId="183" fontId="55" fillId="0" borderId="0"/>
    <xf numFmtId="183" fontId="55" fillId="0" borderId="0"/>
    <xf numFmtId="183" fontId="55" fillId="0" borderId="0"/>
    <xf numFmtId="183" fontId="55" fillId="0" borderId="0"/>
    <xf numFmtId="183" fontId="55" fillId="0" borderId="0"/>
    <xf numFmtId="183" fontId="1" fillId="0" borderId="0"/>
    <xf numFmtId="183" fontId="55" fillId="0" borderId="0"/>
    <xf numFmtId="183" fontId="55" fillId="0" borderId="0"/>
    <xf numFmtId="183" fontId="55" fillId="0" borderId="0"/>
    <xf numFmtId="183" fontId="55" fillId="0" borderId="0"/>
    <xf numFmtId="183" fontId="55" fillId="0" borderId="0"/>
    <xf numFmtId="183" fontId="1" fillId="0" borderId="0"/>
    <xf numFmtId="183" fontId="55" fillId="0" borderId="0"/>
    <xf numFmtId="183" fontId="55" fillId="0" borderId="0"/>
    <xf numFmtId="183" fontId="55" fillId="0" borderId="0"/>
    <xf numFmtId="183" fontId="55" fillId="0" borderId="0"/>
    <xf numFmtId="183" fontId="55" fillId="0" borderId="0"/>
    <xf numFmtId="183" fontId="44" fillId="0" borderId="0"/>
    <xf numFmtId="183" fontId="55" fillId="0" borderId="0"/>
    <xf numFmtId="183" fontId="55" fillId="0" borderId="0"/>
    <xf numFmtId="183" fontId="55" fillId="0" borderId="0"/>
    <xf numFmtId="183" fontId="55" fillId="0" borderId="0"/>
    <xf numFmtId="183" fontId="55"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55" fillId="0" borderId="0"/>
    <xf numFmtId="183" fontId="55" fillId="0" borderId="0"/>
    <xf numFmtId="183" fontId="55" fillId="0" borderId="0"/>
    <xf numFmtId="183" fontId="55" fillId="0" borderId="0"/>
    <xf numFmtId="183" fontId="1" fillId="0" borderId="0"/>
    <xf numFmtId="183" fontId="55" fillId="0" borderId="0"/>
    <xf numFmtId="183" fontId="1" fillId="0" borderId="0"/>
    <xf numFmtId="183" fontId="55" fillId="0" borderId="0"/>
    <xf numFmtId="183" fontId="1" fillId="0" borderId="0"/>
    <xf numFmtId="183" fontId="1" fillId="0" borderId="0"/>
    <xf numFmtId="183" fontId="1" fillId="0" borderId="0"/>
    <xf numFmtId="183" fontId="55" fillId="0" borderId="0"/>
    <xf numFmtId="183" fontId="55" fillId="0" borderId="0"/>
    <xf numFmtId="183" fontId="55" fillId="0" borderId="0"/>
    <xf numFmtId="183" fontId="55" fillId="0" borderId="0"/>
    <xf numFmtId="183" fontId="55" fillId="0" borderId="0"/>
    <xf numFmtId="183" fontId="1" fillId="0" borderId="0"/>
    <xf numFmtId="183" fontId="55" fillId="0" borderId="0"/>
    <xf numFmtId="183" fontId="55" fillId="0" borderId="0"/>
    <xf numFmtId="183" fontId="55" fillId="0" borderId="0"/>
    <xf numFmtId="183" fontId="55" fillId="0" borderId="0"/>
    <xf numFmtId="183" fontId="1"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1"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1" fillId="0" borderId="0"/>
    <xf numFmtId="183" fontId="1" fillId="0" borderId="0"/>
    <xf numFmtId="183" fontId="80" fillId="0" borderId="0"/>
    <xf numFmtId="183" fontId="44" fillId="0" borderId="0"/>
    <xf numFmtId="183" fontId="44" fillId="0" borderId="0"/>
    <xf numFmtId="183" fontId="44"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1"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44" fillId="0" borderId="0"/>
    <xf numFmtId="183" fontId="44" fillId="0" borderId="0"/>
    <xf numFmtId="183" fontId="44"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 fontId="67"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1" fillId="0" borderId="0"/>
    <xf numFmtId="183" fontId="55" fillId="0" borderId="0"/>
    <xf numFmtId="183" fontId="55" fillId="0" borderId="0"/>
    <xf numFmtId="183" fontId="55" fillId="0" borderId="0"/>
    <xf numFmtId="183" fontId="55" fillId="0" borderId="0"/>
    <xf numFmtId="183" fontId="55" fillId="0" borderId="0"/>
    <xf numFmtId="183" fontId="1" fillId="0" borderId="0"/>
    <xf numFmtId="183" fontId="55" fillId="0" borderId="0"/>
    <xf numFmtId="183" fontId="55" fillId="0" borderId="0"/>
    <xf numFmtId="183" fontId="55" fillId="0" borderId="0"/>
    <xf numFmtId="183" fontId="55" fillId="0" borderId="0"/>
    <xf numFmtId="183" fontId="55" fillId="0" borderId="0"/>
    <xf numFmtId="183" fontId="1" fillId="0" borderId="0"/>
    <xf numFmtId="183" fontId="1"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1"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80"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55" fillId="0" borderId="0"/>
    <xf numFmtId="183" fontId="161" fillId="0" borderId="0"/>
    <xf numFmtId="183" fontId="161" fillId="0" borderId="0"/>
    <xf numFmtId="183" fontId="44" fillId="0" borderId="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44"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44"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1" fillId="8" borderId="8"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83" fontId="80" fillId="63" borderId="24" applyNumberFormat="0" applyFont="0" applyAlignment="0" applyProtection="0"/>
    <xf numFmtId="199" fontId="44" fillId="0" borderId="0" applyFill="0" applyBorder="0" applyProtection="0">
      <alignment vertical="center"/>
    </xf>
    <xf numFmtId="183" fontId="162" fillId="55" borderId="21" applyNumberFormat="0" applyAlignment="0" applyProtection="0"/>
    <xf numFmtId="183" fontId="163" fillId="0" borderId="0">
      <alignment horizontal="left"/>
    </xf>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5" fillId="65" borderId="27" applyNumberFormat="0" applyAlignment="0" applyProtection="0"/>
    <xf numFmtId="183" fontId="165" fillId="65" borderId="27" applyNumberFormat="0" applyAlignment="0" applyProtection="0"/>
    <xf numFmtId="183" fontId="165" fillId="65" borderId="27" applyNumberFormat="0" applyAlignment="0" applyProtection="0"/>
    <xf numFmtId="183" fontId="166"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64" fillId="55" borderId="27"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64" fillId="55" borderId="27"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64" fillId="55" borderId="27"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64" fillId="55" borderId="27"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64" fillId="55" borderId="27"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64" fillId="55" borderId="27"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64" fillId="55" borderId="27"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64" fillId="55" borderId="27"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64" fillId="55" borderId="27"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0" fillId="6" borderId="5" applyNumberFormat="0" applyAlignment="0" applyProtection="0"/>
    <xf numFmtId="183" fontId="164" fillId="55" borderId="27" applyNumberFormat="0" applyAlignment="0" applyProtection="0"/>
    <xf numFmtId="183" fontId="165" fillId="55" borderId="27" applyNumberFormat="0" applyAlignment="0" applyProtection="0"/>
    <xf numFmtId="183" fontId="164" fillId="55" borderId="27" applyNumberFormat="0" applyAlignment="0" applyProtection="0"/>
    <xf numFmtId="183" fontId="165" fillId="55" borderId="27" applyNumberFormat="0" applyAlignment="0" applyProtection="0"/>
    <xf numFmtId="183" fontId="10" fillId="6" borderId="5" applyNumberFormat="0" applyAlignment="0" applyProtection="0"/>
    <xf numFmtId="183" fontId="165" fillId="55" borderId="27" applyNumberFormat="0" applyAlignment="0" applyProtection="0"/>
    <xf numFmtId="183" fontId="165" fillId="55" borderId="27" applyNumberFormat="0" applyAlignment="0" applyProtection="0"/>
    <xf numFmtId="183" fontId="165" fillId="55" borderId="27" applyNumberFormat="0" applyAlignment="0" applyProtection="0"/>
    <xf numFmtId="183" fontId="165" fillId="55" borderId="27" applyNumberFormat="0" applyAlignment="0" applyProtection="0"/>
    <xf numFmtId="183" fontId="165" fillId="55" borderId="27" applyNumberFormat="0" applyAlignment="0" applyProtection="0"/>
    <xf numFmtId="183" fontId="165"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0" fillId="6" borderId="5" applyNumberFormat="0" applyAlignment="0" applyProtection="0"/>
    <xf numFmtId="183" fontId="10" fillId="6" borderId="5"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83" fontId="164" fillId="55" borderId="27" applyNumberFormat="0" applyAlignment="0" applyProtection="0"/>
    <xf numFmtId="166" fontId="44" fillId="0" borderId="0"/>
    <xf numFmtId="10" fontId="44" fillId="0" borderId="0" applyFont="0" applyFill="0" applyBorder="0" applyAlignment="0" applyProtection="0"/>
    <xf numFmtId="10" fontId="44" fillId="0" borderId="0" applyFont="0" applyFill="0" applyBorder="0" applyAlignment="0" applyProtection="0"/>
    <xf numFmtId="10" fontId="44" fillId="0" borderId="0" applyFont="0" applyFill="0" applyBorder="0" applyAlignment="0" applyProtection="0"/>
    <xf numFmtId="10" fontId="44" fillId="0" borderId="0" applyFont="0" applyFill="0" applyBorder="0" applyAlignment="0" applyProtection="0"/>
    <xf numFmtId="10" fontId="44" fillId="0" borderId="0" applyFont="0" applyFill="0" applyBorder="0" applyAlignment="0" applyProtection="0"/>
    <xf numFmtId="10" fontId="44" fillId="0" borderId="0" applyFont="0" applyFill="0" applyBorder="0" applyAlignment="0" applyProtection="0"/>
    <xf numFmtId="10" fontId="44" fillId="0" borderId="0" applyFont="0" applyFill="0" applyBorder="0" applyAlignment="0" applyProtection="0"/>
    <xf numFmtId="10" fontId="44" fillId="0" borderId="0" applyFont="0" applyFill="0" applyBorder="0" applyAlignment="0" applyProtection="0"/>
    <xf numFmtId="10" fontId="44" fillId="0" borderId="0" applyFont="0" applyFill="0" applyBorder="0" applyAlignment="0" applyProtection="0"/>
    <xf numFmtId="9" fontId="80"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6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80" fillId="0" borderId="0" applyFont="0" applyFill="0" applyBorder="0" applyAlignment="0" applyProtection="0"/>
    <xf numFmtId="9" fontId="80"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1"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80" fillId="0" borderId="0" applyFont="0" applyFill="0" applyBorder="0" applyAlignment="0" applyProtection="0"/>
    <xf numFmtId="9" fontId="168" fillId="0" borderId="0" applyFont="0" applyFill="0" applyBorder="0" applyAlignment="0" applyProtection="0"/>
    <xf numFmtId="9" fontId="1" fillId="0" borderId="0" applyFont="0" applyFill="0" applyBorder="0" applyAlignment="0" applyProtection="0"/>
    <xf numFmtId="9" fontId="80" fillId="0" borderId="0" applyFont="0" applyFill="0" applyBorder="0" applyAlignment="0" applyProtection="0"/>
    <xf numFmtId="9" fontId="80" fillId="0" borderId="0" applyFont="0" applyFill="0" applyBorder="0" applyAlignment="0" applyProtection="0"/>
    <xf numFmtId="9" fontId="80" fillId="0" borderId="0" applyFont="0" applyFill="0" applyBorder="0" applyAlignment="0" applyProtection="0"/>
    <xf numFmtId="9" fontId="80" fillId="0" borderId="0" applyFont="0" applyFill="0" applyBorder="0" applyAlignment="0" applyProtection="0"/>
    <xf numFmtId="9" fontId="80"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80" fillId="0" borderId="0" applyFont="0" applyFill="0" applyBorder="0" applyAlignment="0" applyProtection="0"/>
    <xf numFmtId="9" fontId="80" fillId="0" borderId="0" applyFont="0" applyFill="0" applyBorder="0" applyAlignment="0" applyProtection="0"/>
    <xf numFmtId="9" fontId="80" fillId="0" borderId="0" applyFont="0" applyFill="0" applyBorder="0" applyAlignment="0" applyProtection="0"/>
    <xf numFmtId="9" fontId="1" fillId="0" borderId="0" applyFont="0" applyFill="0" applyBorder="0" applyAlignment="0" applyProtection="0"/>
    <xf numFmtId="9" fontId="54" fillId="0" borderId="0" applyFont="0" applyFill="0" applyBorder="0" applyAlignment="0" applyProtection="0"/>
    <xf numFmtId="200" fontId="67" fillId="75" borderId="37"/>
    <xf numFmtId="201" fontId="67" fillId="0" borderId="37" applyFont="0" applyFill="0" applyBorder="0" applyAlignment="0" applyProtection="0">
      <protection locked="0"/>
    </xf>
    <xf numFmtId="202" fontId="44" fillId="0" borderId="38"/>
    <xf numFmtId="203" fontId="80" fillId="0" borderId="39" applyFont="0" applyFill="0" applyBorder="0" applyAlignment="0" applyProtection="0">
      <alignment horizontal="center"/>
    </xf>
    <xf numFmtId="9" fontId="44" fillId="0" borderId="0" applyFont="0" applyFill="0" applyBorder="0" applyAlignment="0" applyProtection="0"/>
    <xf numFmtId="9" fontId="44" fillId="0" borderId="0" applyFont="0" applyFill="0" applyBorder="0" applyAlignment="0" applyProtection="0"/>
    <xf numFmtId="183" fontId="169" fillId="0" borderId="0" applyNumberFormat="0" applyFont="0" applyBorder="0" applyAlignment="0" applyProtection="0"/>
    <xf numFmtId="183" fontId="145" fillId="0" borderId="0" applyNumberFormat="0" applyFont="0" applyFill="0" applyBorder="0" applyAlignment="0" applyProtection="0">
      <alignment horizontal="left"/>
    </xf>
    <xf numFmtId="15" fontId="145" fillId="0" borderId="0" applyFont="0" applyFill="0" applyBorder="0" applyAlignment="0" applyProtection="0"/>
    <xf numFmtId="4" fontId="145" fillId="0" borderId="0" applyFont="0" applyFill="0" applyBorder="0" applyAlignment="0" applyProtection="0"/>
    <xf numFmtId="183" fontId="170" fillId="0" borderId="19">
      <alignment horizontal="center"/>
    </xf>
    <xf numFmtId="3" fontId="145" fillId="0" borderId="0" applyFont="0" applyFill="0" applyBorder="0" applyAlignment="0" applyProtection="0"/>
    <xf numFmtId="183" fontId="145" fillId="76" borderId="0" applyNumberFormat="0" applyFont="0" applyBorder="0" applyAlignment="0" applyProtection="0"/>
    <xf numFmtId="183" fontId="28" fillId="0" borderId="19">
      <alignment horizontal="center" wrapText="1"/>
    </xf>
    <xf numFmtId="183" fontId="28" fillId="77" borderId="40" applyNumberFormat="0" applyProtection="0">
      <alignment horizontal="left" vertical="center" indent="1"/>
    </xf>
    <xf numFmtId="204" fontId="51" fillId="62" borderId="40" applyProtection="0">
      <alignment horizontal="right" vertical="center"/>
    </xf>
    <xf numFmtId="183" fontId="120" fillId="43" borderId="0" applyNumberFormat="0" applyBorder="0" applyAlignment="0" applyProtection="0"/>
    <xf numFmtId="183" fontId="44" fillId="78" borderId="35">
      <alignment horizontal="center"/>
    </xf>
    <xf numFmtId="183" fontId="44" fillId="78" borderId="35">
      <alignment horizontal="center"/>
    </xf>
    <xf numFmtId="183" fontId="44" fillId="78" borderId="35">
      <alignment horizontal="center"/>
    </xf>
    <xf numFmtId="183" fontId="110" fillId="70" borderId="41" applyNumberFormat="0" applyFont="0" applyBorder="0" applyAlignment="0" applyProtection="0">
      <alignment horizontal="center"/>
    </xf>
    <xf numFmtId="183" fontId="171" fillId="0" borderId="0" applyFill="0" applyBorder="0" applyProtection="0">
      <alignment horizontal="centerContinuous" vertical="top"/>
    </xf>
    <xf numFmtId="183" fontId="164" fillId="65" borderId="27" applyNumberFormat="0" applyAlignment="0" applyProtection="0"/>
    <xf numFmtId="183" fontId="110" fillId="0" borderId="0" applyFill="0" applyBorder="0" applyProtection="0">
      <alignment horizontal="left"/>
    </xf>
    <xf numFmtId="183" fontId="172" fillId="0" borderId="0"/>
    <xf numFmtId="183" fontId="173" fillId="0" borderId="0"/>
    <xf numFmtId="205" fontId="51" fillId="0" borderId="0" applyFill="0" applyBorder="0" applyAlignment="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applyNumberFormat="0" applyFill="0" applyBorder="0" applyAlignment="0" applyProtection="0"/>
    <xf numFmtId="183" fontId="44" fillId="0" borderId="0" applyNumberFormat="0" applyFill="0" applyBorder="0" applyAlignment="0" applyProtection="0"/>
    <xf numFmtId="183" fontId="44" fillId="0" borderId="0" applyNumberFormat="0" applyFill="0" applyBorder="0" applyAlignment="0" applyProtection="0"/>
    <xf numFmtId="183" fontId="44" fillId="0" borderId="0" applyNumberFormat="0" applyFill="0" applyBorder="0" applyAlignment="0" applyProtection="0"/>
    <xf numFmtId="183" fontId="44" fillId="0" borderId="0" applyNumberFormat="0" applyFill="0" applyBorder="0" applyAlignment="0" applyProtection="0"/>
    <xf numFmtId="183" fontId="44" fillId="0" borderId="0" applyNumberFormat="0" applyFill="0" applyBorder="0" applyAlignment="0" applyProtection="0"/>
    <xf numFmtId="183" fontId="44" fillId="0" borderId="0" applyNumberFormat="0" applyFill="0" applyBorder="0" applyAlignment="0" applyProtection="0"/>
    <xf numFmtId="183" fontId="44" fillId="0" borderId="0" applyNumberFormat="0" applyFill="0" applyBorder="0" applyAlignment="0" applyProtection="0"/>
    <xf numFmtId="183" fontId="44" fillId="0" borderId="0" applyNumberFormat="0" applyFill="0" applyBorder="0" applyAlignment="0" applyProtection="0"/>
    <xf numFmtId="183" fontId="44" fillId="0" borderId="0" applyNumberFormat="0" applyFill="0" applyBorder="0" applyAlignment="0" applyProtection="0"/>
    <xf numFmtId="183" fontId="44" fillId="0" borderId="0" applyNumberFormat="0" applyFill="0" applyBorder="0" applyAlignment="0" applyProtection="0"/>
    <xf numFmtId="183" fontId="44" fillId="0" borderId="0" applyNumberFormat="0" applyFill="0" applyBorder="0" applyAlignment="0" applyProtection="0"/>
    <xf numFmtId="183" fontId="44" fillId="0" borderId="0" applyNumberFormat="0" applyFill="0" applyBorder="0" applyAlignment="0" applyProtection="0"/>
    <xf numFmtId="183" fontId="44" fillId="0" borderId="0" applyNumberFormat="0" applyFill="0" applyBorder="0" applyAlignment="0" applyProtection="0"/>
    <xf numFmtId="183" fontId="44" fillId="0" borderId="0"/>
    <xf numFmtId="43" fontId="44" fillId="0" borderId="0" applyFont="0" applyFill="0" applyBorder="0" applyAlignment="0" applyProtection="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xf numFmtId="183" fontId="44" fillId="0" borderId="0" applyNumberFormat="0" applyFill="0" applyBorder="0" applyAlignment="0" applyProtection="0"/>
    <xf numFmtId="183" fontId="44" fillId="0" borderId="0" applyNumberFormat="0" applyFill="0" applyBorder="0" applyAlignment="0" applyProtection="0"/>
    <xf numFmtId="183" fontId="44" fillId="0" borderId="0" applyNumberFormat="0" applyFill="0" applyBorder="0" applyAlignment="0" applyProtection="0"/>
    <xf numFmtId="183" fontId="44" fillId="0" borderId="0" applyNumberFormat="0" applyFill="0" applyBorder="0" applyAlignment="0" applyProtection="0"/>
    <xf numFmtId="183" fontId="44" fillId="0" borderId="0" applyNumberFormat="0" applyFill="0" applyBorder="0" applyAlignment="0" applyProtection="0"/>
    <xf numFmtId="183" fontId="44" fillId="0" borderId="0" applyNumberFormat="0" applyFill="0" applyBorder="0" applyAlignment="0" applyProtection="0"/>
    <xf numFmtId="183" fontId="44" fillId="0" borderId="0" applyNumberFormat="0" applyFill="0" applyBorder="0" applyAlignment="0" applyProtection="0"/>
    <xf numFmtId="183" fontId="44" fillId="0" borderId="0" applyNumberFormat="0" applyFill="0" applyBorder="0" applyAlignment="0" applyProtection="0"/>
    <xf numFmtId="183" fontId="44" fillId="0" borderId="0" applyNumberFormat="0" applyFill="0" applyBorder="0" applyAlignment="0" applyProtection="0"/>
    <xf numFmtId="183" fontId="44" fillId="0" borderId="0" applyNumberFormat="0" applyFill="0" applyBorder="0" applyAlignment="0" applyProtection="0"/>
    <xf numFmtId="183" fontId="44" fillId="0" borderId="0" applyNumberFormat="0" applyFill="0" applyBorder="0" applyAlignment="0" applyProtection="0"/>
    <xf numFmtId="183" fontId="44" fillId="0" borderId="0" applyNumberFormat="0" applyFill="0" applyBorder="0" applyAlignment="0" applyProtection="0"/>
    <xf numFmtId="183" fontId="44" fillId="0" borderId="0" applyNumberFormat="0" applyFill="0" applyBorder="0" applyAlignment="0" applyProtection="0"/>
    <xf numFmtId="183" fontId="44" fillId="0" borderId="0" applyNumberFormat="0" applyFill="0" applyBorder="0" applyAlignment="0" applyProtection="0"/>
    <xf numFmtId="183" fontId="44" fillId="0" borderId="21" applyNumberFormat="0" applyFont="0" applyFill="0" applyProtection="0">
      <alignment horizontal="left" shrinkToFit="1"/>
    </xf>
    <xf numFmtId="183" fontId="44" fillId="0" borderId="21" applyNumberFormat="0" applyFont="0" applyFill="0" applyProtection="0">
      <alignment horizontal="left" shrinkToFit="1"/>
    </xf>
    <xf numFmtId="37" fontId="138" fillId="0" borderId="0"/>
    <xf numFmtId="183" fontId="174" fillId="0" borderId="42" applyNumberFormat="0" applyFill="0" applyAlignment="0" applyProtection="0"/>
    <xf numFmtId="183" fontId="175" fillId="0" borderId="43" applyNumberFormat="0" applyAlignment="0" applyProtection="0"/>
    <xf numFmtId="183" fontId="67" fillId="0" borderId="0"/>
    <xf numFmtId="183" fontId="67" fillId="0" borderId="0"/>
    <xf numFmtId="183" fontId="176" fillId="0" borderId="0" applyNumberFormat="0" applyFill="0" applyBorder="0" applyAlignment="0" applyProtection="0"/>
    <xf numFmtId="183" fontId="177" fillId="0" borderId="0" applyNumberFormat="0" applyFill="0" applyBorder="0" applyAlignment="0" applyProtection="0"/>
    <xf numFmtId="206" fontId="44" fillId="0" borderId="0" applyFont="0" applyFill="0" applyBorder="0" applyAlignment="0" applyProtection="0"/>
    <xf numFmtId="206" fontId="44" fillId="0" borderId="0" applyFont="0" applyFill="0" applyBorder="0" applyAlignment="0" applyProtection="0"/>
    <xf numFmtId="183" fontId="67" fillId="0" borderId="28">
      <alignment horizontal="left" vertical="center"/>
    </xf>
    <xf numFmtId="183" fontId="93" fillId="0" borderId="0" applyNumberFormat="0" applyFill="0" applyBorder="0" applyAlignment="0" applyProtection="0"/>
    <xf numFmtId="40" fontId="105" fillId="0" borderId="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9" fillId="0" borderId="0" applyNumberFormat="0" applyFill="0" applyBorder="0" applyAlignment="0" applyProtection="0"/>
    <xf numFmtId="183" fontId="180" fillId="0" borderId="0" applyNumberFormat="0" applyFill="0" applyBorder="0" applyAlignment="0" applyProtection="0"/>
    <xf numFmtId="183" fontId="180" fillId="0" borderId="0" applyNumberFormat="0" applyFill="0" applyBorder="0" applyAlignment="0" applyProtection="0"/>
    <xf numFmtId="183" fontId="180" fillId="0" borderId="0" applyNumberFormat="0" applyFill="0" applyBorder="0" applyAlignment="0" applyProtection="0"/>
    <xf numFmtId="183" fontId="180" fillId="0" borderId="0" applyNumberFormat="0" applyFill="0" applyBorder="0" applyAlignment="0" applyProtection="0"/>
    <xf numFmtId="183" fontId="179" fillId="0" borderId="0" applyNumberFormat="0" applyFill="0" applyBorder="0" applyAlignment="0" applyProtection="0"/>
    <xf numFmtId="183" fontId="179" fillId="0" borderId="0" applyNumberFormat="0" applyFill="0" applyBorder="0" applyAlignment="0" applyProtection="0"/>
    <xf numFmtId="183" fontId="179"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2" fillId="0" borderId="0" applyNumberFormat="0" applyFill="0" applyBorder="0" applyAlignment="0" applyProtection="0"/>
    <xf numFmtId="183" fontId="2"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78" fillId="0" borderId="0" applyNumberFormat="0" applyFill="0" applyBorder="0" applyAlignment="0" applyProtection="0"/>
    <xf numFmtId="183" fontId="180" fillId="0" borderId="0" applyNumberFormat="0" applyFill="0" applyBorder="0" applyAlignment="0" applyProtection="0"/>
    <xf numFmtId="183" fontId="181" fillId="0" borderId="44" applyNumberFormat="0" applyFill="0" applyAlignment="0" applyProtection="0"/>
    <xf numFmtId="183" fontId="182" fillId="0" borderId="33" applyNumberFormat="0" applyFill="0" applyAlignment="0" applyProtection="0"/>
    <xf numFmtId="183" fontId="183" fillId="0" borderId="45" applyNumberFormat="0" applyFill="0" applyAlignment="0" applyProtection="0"/>
    <xf numFmtId="183" fontId="183" fillId="0" borderId="0" applyNumberFormat="0" applyFill="0" applyBorder="0" applyAlignment="0" applyProtection="0"/>
    <xf numFmtId="183" fontId="52" fillId="0" borderId="0" applyBorder="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5" fillId="0" borderId="42" applyNumberFormat="0" applyFill="0" applyAlignment="0" applyProtection="0"/>
    <xf numFmtId="183" fontId="184" fillId="0" borderId="42" applyNumberFormat="0" applyFill="0" applyAlignment="0" applyProtection="0"/>
    <xf numFmtId="183" fontId="185" fillId="0" borderId="42" applyNumberFormat="0" applyFill="0" applyAlignment="0" applyProtection="0"/>
    <xf numFmtId="183" fontId="16" fillId="0" borderId="9" applyNumberFormat="0" applyFill="0" applyAlignment="0" applyProtection="0"/>
    <xf numFmtId="183" fontId="185" fillId="0" borderId="42" applyNumberFormat="0" applyFill="0" applyAlignment="0" applyProtection="0"/>
    <xf numFmtId="183" fontId="185" fillId="0" borderId="42" applyNumberFormat="0" applyFill="0" applyAlignment="0" applyProtection="0"/>
    <xf numFmtId="183" fontId="185" fillId="0" borderId="42" applyNumberFormat="0" applyFill="0" applyAlignment="0" applyProtection="0"/>
    <xf numFmtId="183" fontId="185" fillId="0" borderId="42" applyNumberFormat="0" applyFill="0" applyAlignment="0" applyProtection="0"/>
    <xf numFmtId="183" fontId="185" fillId="0" borderId="42" applyNumberFormat="0" applyFill="0" applyAlignment="0" applyProtection="0"/>
    <xf numFmtId="183" fontId="185"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6" fillId="0" borderId="9" applyNumberFormat="0" applyFill="0" applyAlignment="0" applyProtection="0"/>
    <xf numFmtId="183" fontId="16" fillId="0" borderId="9"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84" fillId="0" borderId="42" applyNumberFormat="0" applyFill="0" applyAlignment="0" applyProtection="0"/>
    <xf numFmtId="183" fontId="179" fillId="0" borderId="0" applyNumberFormat="0" applyFill="0" applyBorder="0" applyAlignment="0" applyProtection="0"/>
    <xf numFmtId="183" fontId="39" fillId="63" borderId="24" applyNumberFormat="0" applyFont="0" applyAlignment="0" applyProtection="0"/>
    <xf numFmtId="183" fontId="76" fillId="63" borderId="23" applyNumberFormat="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186" fillId="0" borderId="0" applyNumberFormat="0" applyFill="0" applyBorder="0" applyAlignment="0" applyProtection="0"/>
    <xf numFmtId="183" fontId="66" fillId="0" borderId="0" applyNumberFormat="0" applyFill="0" applyBorder="0" applyAlignment="0" applyProtection="0"/>
    <xf numFmtId="183" fontId="186" fillId="0" borderId="0" applyNumberFormat="0" applyFill="0" applyBorder="0" applyAlignment="0" applyProtection="0"/>
    <xf numFmtId="183" fontId="14" fillId="0" borderId="0" applyNumberFormat="0" applyFill="0" applyBorder="0" applyAlignment="0" applyProtection="0"/>
    <xf numFmtId="183" fontId="186" fillId="0" borderId="0" applyNumberFormat="0" applyFill="0" applyBorder="0" applyAlignment="0" applyProtection="0"/>
    <xf numFmtId="183" fontId="186" fillId="0" borderId="0" applyNumberFormat="0" applyFill="0" applyBorder="0" applyAlignment="0" applyProtection="0"/>
    <xf numFmtId="183" fontId="186" fillId="0" borderId="0" applyNumberFormat="0" applyFill="0" applyBorder="0" applyAlignment="0" applyProtection="0"/>
    <xf numFmtId="183" fontId="186" fillId="0" borderId="0" applyNumberFormat="0" applyFill="0" applyBorder="0" applyAlignment="0" applyProtection="0"/>
    <xf numFmtId="183" fontId="186" fillId="0" borderId="0" applyNumberFormat="0" applyFill="0" applyBorder="0" applyAlignment="0" applyProtection="0"/>
    <xf numFmtId="183" fontId="18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14" fillId="0" borderId="0" applyNumberFormat="0" applyFill="0" applyBorder="0" applyAlignment="0" applyProtection="0"/>
    <xf numFmtId="183" fontId="14"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83" fontId="66" fillId="0" borderId="0" applyNumberFormat="0" applyFill="0" applyBorder="0" applyAlignment="0" applyProtection="0"/>
    <xf numFmtId="1" fontId="187" fillId="0" borderId="0" applyFont="0" applyFill="0" applyBorder="0" applyProtection="0">
      <alignment horizontal="right" vertical="top"/>
    </xf>
    <xf numFmtId="183" fontId="188" fillId="45" borderId="0" applyNumberFormat="0" applyBorder="0" applyAlignment="0" applyProtection="0"/>
    <xf numFmtId="183" fontId="189" fillId="0" borderId="0" applyFont="0" applyFill="0" applyBorder="0" applyAlignment="0" applyProtection="0"/>
    <xf numFmtId="183" fontId="190" fillId="0" borderId="0" applyFont="0" applyFill="0" applyBorder="0" applyAlignment="0" applyProtection="0"/>
    <xf numFmtId="183" fontId="191" fillId="0" borderId="0"/>
    <xf numFmtId="9" fontId="43" fillId="0" borderId="0" applyFont="0" applyFill="0" applyBorder="0" applyAlignment="0" applyProtection="0"/>
    <xf numFmtId="183" fontId="192" fillId="0" borderId="0" applyNumberFormat="0" applyFill="0" applyBorder="0" applyAlignment="0" applyProtection="0"/>
    <xf numFmtId="183" fontId="44" fillId="0" borderId="0"/>
    <xf numFmtId="183" fontId="32" fillId="0" borderId="0" applyNumberFormat="0" applyFill="0" applyBorder="0" applyAlignment="0" applyProtection="0"/>
    <xf numFmtId="0" fontId="1" fillId="0" borderId="0"/>
    <xf numFmtId="0" fontId="43" fillId="0" borderId="0"/>
  </cellStyleXfs>
  <cellXfs count="561">
    <xf numFmtId="183" fontId="0" fillId="0" borderId="0" xfId="0"/>
    <xf numFmtId="22" fontId="1" fillId="0" borderId="0" xfId="46" applyNumberFormat="1" applyFill="1" applyAlignment="1">
      <alignment horizontal="center"/>
    </xf>
    <xf numFmtId="183" fontId="0" fillId="0" borderId="0" xfId="0"/>
    <xf numFmtId="183" fontId="0" fillId="0" borderId="0" xfId="0"/>
    <xf numFmtId="183" fontId="0" fillId="0" borderId="0" xfId="0" applyBorder="1"/>
    <xf numFmtId="183" fontId="23" fillId="33" borderId="0" xfId="0" applyFont="1" applyFill="1" applyAlignment="1">
      <alignment horizontal="center"/>
    </xf>
    <xf numFmtId="183" fontId="22" fillId="33" borderId="0" xfId="0" applyFont="1" applyFill="1"/>
    <xf numFmtId="164" fontId="22" fillId="33" borderId="0" xfId="0" applyNumberFormat="1" applyFont="1" applyFill="1"/>
    <xf numFmtId="164" fontId="23" fillId="33" borderId="0" xfId="0" applyNumberFormat="1" applyFont="1" applyFill="1" applyAlignment="1">
      <alignment horizontal="center"/>
    </xf>
    <xf numFmtId="183" fontId="22" fillId="33" borderId="0" xfId="0" applyFont="1" applyFill="1" applyAlignment="1">
      <alignment horizontal="center"/>
    </xf>
    <xf numFmtId="183" fontId="22" fillId="33" borderId="0" xfId="0" applyFont="1" applyFill="1" applyAlignment="1">
      <alignment horizontal="left"/>
    </xf>
    <xf numFmtId="164" fontId="0" fillId="0" borderId="0" xfId="0" applyNumberFormat="1" applyFill="1"/>
    <xf numFmtId="183" fontId="0" fillId="0" borderId="0" xfId="0" applyFont="1"/>
    <xf numFmtId="4" fontId="0" fillId="0" borderId="0" xfId="0" applyNumberFormat="1" applyBorder="1"/>
    <xf numFmtId="183" fontId="0" fillId="0" borderId="0" xfId="0" applyFont="1"/>
    <xf numFmtId="164" fontId="0" fillId="0" borderId="0" xfId="0" applyNumberFormat="1"/>
    <xf numFmtId="183" fontId="0" fillId="0" borderId="0" xfId="0" applyFill="1"/>
    <xf numFmtId="164" fontId="0" fillId="0" borderId="0" xfId="0" applyNumberFormat="1" applyBorder="1"/>
    <xf numFmtId="167" fontId="0" fillId="0" borderId="0" xfId="0" applyNumberFormat="1"/>
    <xf numFmtId="183" fontId="26" fillId="33" borderId="0" xfId="0" applyFont="1" applyFill="1" applyAlignment="1">
      <alignment horizontal="right"/>
    </xf>
    <xf numFmtId="167" fontId="0" fillId="0" borderId="0" xfId="0" quotePrefix="1" applyNumberFormat="1" applyFill="1" applyBorder="1"/>
    <xf numFmtId="167" fontId="0" fillId="0" borderId="0" xfId="0" applyNumberFormat="1" applyFill="1"/>
    <xf numFmtId="183" fontId="0" fillId="0" borderId="0" xfId="0" applyAlignment="1">
      <alignment horizontal="right"/>
    </xf>
    <xf numFmtId="167" fontId="0" fillId="0" borderId="0" xfId="0" applyNumberFormat="1" applyBorder="1"/>
    <xf numFmtId="183" fontId="16" fillId="0" borderId="0" xfId="0" applyFont="1" applyAlignment="1"/>
    <xf numFmtId="183" fontId="0" fillId="0" borderId="0" xfId="0"/>
    <xf numFmtId="183" fontId="19" fillId="0" borderId="0" xfId="0" applyFont="1"/>
    <xf numFmtId="183" fontId="0" fillId="0" borderId="0" xfId="0"/>
    <xf numFmtId="183" fontId="20" fillId="0" borderId="0" xfId="0" applyFont="1" applyAlignment="1"/>
    <xf numFmtId="183" fontId="20" fillId="0" borderId="0" xfId="0" applyFont="1" applyBorder="1" applyAlignment="1"/>
    <xf numFmtId="4" fontId="0" fillId="0" borderId="0" xfId="0" applyNumberFormat="1" applyFont="1" applyBorder="1"/>
    <xf numFmtId="183" fontId="0" fillId="0" borderId="0" xfId="0" applyFont="1" applyAlignment="1">
      <alignment horizontal="right"/>
    </xf>
    <xf numFmtId="164" fontId="0" fillId="0" borderId="0" xfId="0" applyNumberFormat="1" applyFont="1"/>
    <xf numFmtId="183" fontId="16" fillId="0" borderId="0" xfId="0" applyFont="1" applyBorder="1"/>
    <xf numFmtId="183" fontId="0" fillId="0" borderId="0" xfId="0" applyBorder="1" applyAlignment="1">
      <alignment horizontal="left"/>
    </xf>
    <xf numFmtId="183" fontId="16" fillId="0" borderId="0" xfId="0" applyFont="1" applyFill="1" applyBorder="1" applyAlignment="1">
      <alignment horizontal="left" vertical="center"/>
    </xf>
    <xf numFmtId="183" fontId="0" fillId="0" borderId="0" xfId="0"/>
    <xf numFmtId="183" fontId="0" fillId="0" borderId="0" xfId="0" applyFill="1"/>
    <xf numFmtId="3" fontId="0" fillId="0" borderId="0" xfId="0" applyNumberFormat="1" applyFill="1" applyBorder="1"/>
    <xf numFmtId="183" fontId="0" fillId="0" borderId="0" xfId="0" applyBorder="1" applyAlignment="1">
      <alignment horizontal="right"/>
    </xf>
    <xf numFmtId="183" fontId="0" fillId="0" borderId="0" xfId="0" applyFill="1" applyBorder="1" applyAlignment="1">
      <alignment horizontal="center"/>
    </xf>
    <xf numFmtId="183" fontId="27" fillId="33" borderId="0" xfId="0" applyFont="1" applyFill="1" applyBorder="1"/>
    <xf numFmtId="183" fontId="16" fillId="0" borderId="0" xfId="0" applyFont="1" applyFill="1" applyBorder="1"/>
    <xf numFmtId="183" fontId="18" fillId="33" borderId="0" xfId="0" applyFont="1" applyFill="1" applyBorder="1" applyAlignment="1">
      <alignment horizontal="right"/>
    </xf>
    <xf numFmtId="183" fontId="13" fillId="0" borderId="0" xfId="42" applyFont="1" applyFill="1" applyBorder="1" applyAlignment="1"/>
    <xf numFmtId="183" fontId="16" fillId="0" borderId="0" xfId="0" applyFont="1" applyBorder="1" applyAlignment="1">
      <alignment horizontal="right"/>
    </xf>
    <xf numFmtId="165" fontId="0" fillId="0" borderId="0" xfId="0" applyNumberFormat="1"/>
    <xf numFmtId="164" fontId="0" fillId="0" borderId="0" xfId="0" applyNumberFormat="1" applyAlignment="1">
      <alignment horizontal="right"/>
    </xf>
    <xf numFmtId="183" fontId="0" fillId="0" borderId="0" xfId="0"/>
    <xf numFmtId="2" fontId="0" fillId="0" borderId="0" xfId="0" applyNumberFormat="1" applyFill="1" applyBorder="1" applyAlignment="1">
      <alignment horizontal="center"/>
    </xf>
    <xf numFmtId="164" fontId="22" fillId="33" borderId="0" xfId="0" applyNumberFormat="1" applyFont="1" applyFill="1" applyAlignment="1">
      <alignment horizontal="center"/>
    </xf>
    <xf numFmtId="183" fontId="0" fillId="0" borderId="0" xfId="0"/>
    <xf numFmtId="183" fontId="0" fillId="0" borderId="0" xfId="0"/>
    <xf numFmtId="183" fontId="16" fillId="0" borderId="0" xfId="0" applyFont="1"/>
    <xf numFmtId="183" fontId="18" fillId="33" borderId="0" xfId="0" applyFont="1" applyFill="1" applyAlignment="1">
      <alignment horizontal="right"/>
    </xf>
    <xf numFmtId="183" fontId="0" fillId="33" borderId="0" xfId="0" applyFont="1" applyFill="1" applyAlignment="1">
      <alignment horizontal="right"/>
    </xf>
    <xf numFmtId="183" fontId="0" fillId="0" borderId="0" xfId="0"/>
    <xf numFmtId="183" fontId="18" fillId="0" borderId="0" xfId="0" applyFont="1" applyFill="1" applyBorder="1"/>
    <xf numFmtId="164" fontId="22" fillId="33" borderId="0" xfId="0" applyNumberFormat="1" applyFont="1" applyFill="1" applyAlignment="1">
      <alignment horizontal="right"/>
    </xf>
    <xf numFmtId="183" fontId="18" fillId="0" borderId="0" xfId="42" applyFont="1" applyFill="1" applyBorder="1" applyAlignment="1">
      <alignment horizontal="left"/>
    </xf>
    <xf numFmtId="183" fontId="0" fillId="0" borderId="0" xfId="0" applyFont="1" applyFill="1" applyBorder="1" applyAlignment="1"/>
    <xf numFmtId="183" fontId="0" fillId="0" borderId="0" xfId="0" applyFont="1" applyBorder="1" applyAlignment="1"/>
    <xf numFmtId="183" fontId="0" fillId="0" borderId="0" xfId="0" applyFont="1" applyBorder="1" applyAlignment="1">
      <alignment horizontal="right"/>
    </xf>
    <xf numFmtId="183" fontId="0" fillId="0" borderId="0" xfId="0"/>
    <xf numFmtId="183" fontId="16" fillId="33" borderId="0" xfId="0" applyFont="1" applyFill="1" applyBorder="1" applyAlignment="1">
      <alignment horizontal="center"/>
    </xf>
    <xf numFmtId="183" fontId="0" fillId="0" borderId="0" xfId="0"/>
    <xf numFmtId="183" fontId="0" fillId="0" borderId="0" xfId="0" applyFill="1" applyBorder="1" applyAlignment="1">
      <alignment horizontal="right"/>
    </xf>
    <xf numFmtId="164" fontId="0" fillId="0" borderId="0" xfId="0" applyNumberFormat="1"/>
    <xf numFmtId="183" fontId="0" fillId="0" borderId="0" xfId="0" applyFill="1"/>
    <xf numFmtId="3" fontId="0" fillId="0" borderId="0" xfId="0" applyNumberFormat="1"/>
    <xf numFmtId="183" fontId="0" fillId="0" borderId="0" xfId="0" applyFill="1" applyBorder="1"/>
    <xf numFmtId="183" fontId="0" fillId="0" borderId="0" xfId="0" applyAlignment="1">
      <alignment horizontal="right"/>
    </xf>
    <xf numFmtId="183" fontId="0" fillId="0" borderId="0" xfId="0" applyFont="1" applyFill="1" applyBorder="1"/>
    <xf numFmtId="183" fontId="27" fillId="33" borderId="0" xfId="0" applyFont="1" applyFill="1" applyBorder="1" applyAlignment="1">
      <alignment horizontal="left"/>
    </xf>
    <xf numFmtId="3" fontId="0" fillId="0" borderId="0" xfId="0" applyNumberFormat="1" applyFill="1" applyBorder="1" applyAlignment="1">
      <alignment horizontal="right"/>
    </xf>
    <xf numFmtId="165" fontId="0" fillId="0" borderId="0" xfId="0" applyNumberFormat="1" applyFont="1" applyFill="1" applyBorder="1" applyAlignment="1">
      <alignment horizontal="right"/>
    </xf>
    <xf numFmtId="165" fontId="0" fillId="33" borderId="0" xfId="0" applyNumberFormat="1" applyFont="1" applyFill="1" applyBorder="1" applyAlignment="1">
      <alignment horizontal="center"/>
    </xf>
    <xf numFmtId="183" fontId="0" fillId="33" borderId="0" xfId="0" applyFont="1" applyFill="1" applyBorder="1" applyAlignment="1">
      <alignment horizontal="center"/>
    </xf>
    <xf numFmtId="183" fontId="0" fillId="0" borderId="0" xfId="0"/>
    <xf numFmtId="165" fontId="0" fillId="0" borderId="0" xfId="0" applyNumberFormat="1" applyFill="1" applyBorder="1" applyAlignment="1">
      <alignment horizontal="right"/>
    </xf>
    <xf numFmtId="183" fontId="0" fillId="0" borderId="0" xfId="0" applyFont="1" applyFill="1" applyBorder="1" applyAlignment="1">
      <alignment horizontal="right"/>
    </xf>
    <xf numFmtId="3" fontId="0" fillId="0" borderId="0" xfId="0" applyNumberFormat="1" applyFont="1" applyBorder="1" applyAlignment="1">
      <alignment horizontal="right"/>
    </xf>
    <xf numFmtId="4" fontId="0" fillId="0" borderId="0" xfId="0" applyNumberFormat="1" applyFont="1" applyFill="1" applyBorder="1" applyAlignment="1">
      <alignment horizontal="right"/>
    </xf>
    <xf numFmtId="10" fontId="0" fillId="0" borderId="0" xfId="0" applyNumberFormat="1" applyFont="1" applyFill="1" applyBorder="1" applyAlignment="1">
      <alignment horizontal="right"/>
    </xf>
    <xf numFmtId="4" fontId="16" fillId="0" borderId="0" xfId="0" applyNumberFormat="1" applyFont="1" applyFill="1" applyBorder="1" applyAlignment="1">
      <alignment horizontal="right"/>
    </xf>
    <xf numFmtId="3" fontId="0" fillId="0" borderId="0" xfId="0" applyNumberFormat="1" applyFont="1" applyFill="1" applyBorder="1" applyAlignment="1">
      <alignment horizontal="right"/>
    </xf>
    <xf numFmtId="165" fontId="0" fillId="0" borderId="0" xfId="0" applyNumberFormat="1" applyFont="1" applyBorder="1" applyAlignment="1">
      <alignment horizontal="right"/>
    </xf>
    <xf numFmtId="183" fontId="21" fillId="0" borderId="0" xfId="0" applyFont="1" applyBorder="1"/>
    <xf numFmtId="183" fontId="13" fillId="0" borderId="0" xfId="42" applyFont="1" applyFill="1" applyBorder="1">
      <alignment horizontal="center"/>
    </xf>
    <xf numFmtId="183" fontId="26" fillId="0" borderId="0" xfId="0" applyFont="1" applyFill="1" applyBorder="1"/>
    <xf numFmtId="183" fontId="0" fillId="0" borderId="0" xfId="0" quotePrefix="1" applyFont="1" applyFill="1" applyBorder="1" applyAlignment="1">
      <alignment horizontal="center"/>
    </xf>
    <xf numFmtId="183" fontId="0" fillId="0" borderId="0" xfId="0" applyFont="1" applyFill="1" applyBorder="1" applyAlignment="1">
      <alignment horizontal="center"/>
    </xf>
    <xf numFmtId="183" fontId="19" fillId="0" borderId="0" xfId="0" applyFont="1" applyBorder="1"/>
    <xf numFmtId="183" fontId="18" fillId="0" borderId="0" xfId="42" applyFont="1" applyFill="1" applyBorder="1" applyAlignment="1">
      <alignment horizontal="left" vertical="center"/>
    </xf>
    <xf numFmtId="3" fontId="18" fillId="0" borderId="0" xfId="0" applyNumberFormat="1" applyFont="1" applyFill="1" applyBorder="1" applyAlignment="1">
      <alignment horizontal="left"/>
    </xf>
    <xf numFmtId="3" fontId="18" fillId="0" borderId="0" xfId="42" applyNumberFormat="1" applyFont="1" applyFill="1" applyBorder="1" applyAlignment="1">
      <alignment horizontal="left"/>
    </xf>
    <xf numFmtId="165" fontId="18" fillId="0" borderId="0" xfId="42" applyNumberFormat="1" applyFont="1" applyFill="1" applyBorder="1" applyAlignment="1">
      <alignment horizontal="left"/>
    </xf>
    <xf numFmtId="183" fontId="0" fillId="0" borderId="0" xfId="0" applyFont="1" applyFill="1" applyBorder="1" applyAlignment="1">
      <alignment horizontal="left" vertical="center"/>
    </xf>
    <xf numFmtId="183" fontId="0" fillId="0" borderId="0" xfId="0" applyFont="1" applyFill="1" applyBorder="1" applyAlignment="1">
      <alignment horizontal="center"/>
    </xf>
    <xf numFmtId="183" fontId="0" fillId="0" borderId="0" xfId="0" applyFont="1" applyFill="1" applyBorder="1" applyAlignment="1">
      <alignment horizontal="center" vertical="center"/>
    </xf>
    <xf numFmtId="3" fontId="0" fillId="0" borderId="0" xfId="0" applyNumberFormat="1" applyFont="1" applyFill="1" applyBorder="1" applyAlignment="1">
      <alignment horizontal="center"/>
    </xf>
    <xf numFmtId="1" fontId="0" fillId="0" borderId="0" xfId="0" applyNumberFormat="1" applyFont="1" applyFill="1" applyBorder="1" applyAlignment="1">
      <alignment horizontal="center"/>
    </xf>
    <xf numFmtId="164" fontId="0" fillId="0" borderId="0" xfId="0" applyNumberFormat="1" applyFont="1" applyBorder="1" applyAlignment="1">
      <alignment horizontal="right"/>
    </xf>
    <xf numFmtId="1" fontId="0" fillId="0" borderId="0" xfId="0" applyNumberFormat="1" applyFont="1" applyBorder="1" applyAlignment="1">
      <alignment horizontal="right"/>
    </xf>
    <xf numFmtId="164" fontId="0" fillId="0" borderId="0" xfId="0" applyNumberFormat="1" applyFont="1" applyFill="1" applyBorder="1" applyAlignment="1">
      <alignment horizontal="right"/>
    </xf>
    <xf numFmtId="164" fontId="0" fillId="0" borderId="0" xfId="0" applyNumberFormat="1" applyFont="1" applyFill="1" applyBorder="1"/>
    <xf numFmtId="1" fontId="0" fillId="0" borderId="0" xfId="0" applyNumberFormat="1" applyFont="1" applyFill="1" applyBorder="1"/>
    <xf numFmtId="4" fontId="0" fillId="0" borderId="0" xfId="0" applyNumberFormat="1" applyFont="1" applyFill="1" applyBorder="1"/>
    <xf numFmtId="165" fontId="0" fillId="0" borderId="0" xfId="0" applyNumberFormat="1" applyFont="1" applyFill="1" applyBorder="1"/>
    <xf numFmtId="9" fontId="0" fillId="0" borderId="0" xfId="0" applyNumberFormat="1" applyFont="1" applyBorder="1"/>
    <xf numFmtId="9" fontId="0" fillId="0" borderId="0" xfId="0" applyNumberFormat="1" applyFont="1" applyFill="1" applyBorder="1"/>
    <xf numFmtId="166" fontId="0" fillId="0" borderId="0" xfId="0" applyNumberFormat="1" applyFont="1" applyFill="1" applyBorder="1"/>
    <xf numFmtId="3" fontId="0" fillId="0" borderId="0" xfId="0" applyNumberFormat="1" applyFont="1" applyBorder="1"/>
    <xf numFmtId="164" fontId="0" fillId="0" borderId="0" xfId="0" applyNumberFormat="1" applyFont="1" applyBorder="1"/>
    <xf numFmtId="1" fontId="0" fillId="0" borderId="0" xfId="0" applyNumberFormat="1" applyFont="1" applyBorder="1"/>
    <xf numFmtId="183" fontId="0" fillId="0" borderId="0" xfId="43" applyFont="1" applyFill="1" applyBorder="1" applyAlignment="1"/>
    <xf numFmtId="3" fontId="13" fillId="0" borderId="0" xfId="42" applyNumberFormat="1" applyFont="1" applyFill="1" applyBorder="1" applyAlignment="1"/>
    <xf numFmtId="165" fontId="0" fillId="0" borderId="0" xfId="43" applyNumberFormat="1" applyFont="1" applyFill="1" applyBorder="1" applyAlignment="1">
      <alignment horizontal="right"/>
    </xf>
    <xf numFmtId="166" fontId="0" fillId="0" borderId="0" xfId="0" applyNumberFormat="1" applyFont="1" applyFill="1" applyBorder="1" applyAlignment="1">
      <alignment horizontal="right"/>
    </xf>
    <xf numFmtId="4" fontId="0" fillId="0" borderId="0" xfId="0" applyNumberFormat="1" applyFont="1" applyBorder="1" applyAlignment="1">
      <alignment horizontal="left"/>
    </xf>
    <xf numFmtId="165" fontId="0" fillId="0" borderId="0" xfId="0" applyNumberFormat="1" applyFont="1" applyBorder="1"/>
    <xf numFmtId="183" fontId="0" fillId="0" borderId="0" xfId="0" quotePrefix="1" applyFont="1" applyBorder="1"/>
    <xf numFmtId="4" fontId="0" fillId="0" borderId="0" xfId="0" quotePrefix="1" applyNumberFormat="1" applyFont="1" applyBorder="1"/>
    <xf numFmtId="183" fontId="0" fillId="0" borderId="0" xfId="43" applyFont="1" applyFill="1" applyBorder="1" applyAlignment="1">
      <alignment horizontal="left"/>
    </xf>
    <xf numFmtId="1" fontId="0" fillId="0" borderId="0" xfId="43" applyNumberFormat="1" applyFont="1" applyFill="1" applyBorder="1" applyAlignment="1">
      <alignment horizontal="right"/>
    </xf>
    <xf numFmtId="4" fontId="0" fillId="0" borderId="0" xfId="0" applyNumberFormat="1" applyFont="1" applyFill="1" applyBorder="1" applyAlignment="1">
      <alignment horizontal="left"/>
    </xf>
    <xf numFmtId="3" fontId="0" fillId="0" borderId="0" xfId="0" applyNumberFormat="1" applyBorder="1"/>
    <xf numFmtId="4" fontId="18" fillId="0" borderId="0" xfId="0" applyNumberFormat="1" applyFont="1" applyFill="1" applyBorder="1"/>
    <xf numFmtId="183" fontId="0" fillId="0" borderId="0" xfId="0" applyBorder="1"/>
    <xf numFmtId="183" fontId="0" fillId="0" borderId="0" xfId="0" applyBorder="1" applyAlignment="1">
      <alignment horizontal="center"/>
    </xf>
    <xf numFmtId="183" fontId="0" fillId="0" borderId="0" xfId="0" quotePrefix="1" applyBorder="1" applyAlignment="1">
      <alignment horizontal="center"/>
    </xf>
    <xf numFmtId="183" fontId="0" fillId="0" borderId="0" xfId="0" applyFont="1" applyBorder="1" applyAlignment="1">
      <alignment horizontal="left"/>
    </xf>
    <xf numFmtId="165" fontId="1" fillId="0" borderId="0" xfId="46" applyNumberFormat="1" applyFill="1" applyBorder="1">
      <alignment horizontal="center"/>
    </xf>
    <xf numFmtId="183" fontId="18" fillId="0" borderId="0" xfId="0" applyFont="1" applyBorder="1"/>
    <xf numFmtId="3" fontId="0" fillId="0" borderId="0" xfId="0" applyNumberFormat="1" applyFill="1" applyBorder="1" applyAlignment="1">
      <alignment horizontal="center"/>
    </xf>
    <xf numFmtId="4" fontId="0" fillId="0" borderId="0" xfId="0" applyNumberFormat="1" applyFill="1" applyBorder="1"/>
    <xf numFmtId="4" fontId="0" fillId="0" borderId="0" xfId="0" applyNumberFormat="1" applyFill="1" applyBorder="1" applyAlignment="1">
      <alignment horizontal="center"/>
    </xf>
    <xf numFmtId="183" fontId="16" fillId="0" borderId="0" xfId="0" applyFont="1" applyBorder="1" applyAlignment="1"/>
    <xf numFmtId="183" fontId="32" fillId="0" borderId="0" xfId="0" applyFont="1" applyFill="1" applyBorder="1" applyAlignment="1" applyProtection="1">
      <alignment horizontal="left"/>
    </xf>
    <xf numFmtId="183" fontId="18" fillId="0" borderId="0" xfId="0" applyFont="1" applyBorder="1"/>
    <xf numFmtId="165" fontId="18" fillId="0" borderId="0" xfId="0" applyNumberFormat="1" applyFont="1" applyBorder="1"/>
    <xf numFmtId="183" fontId="0" fillId="0" borderId="0" xfId="0" applyBorder="1"/>
    <xf numFmtId="183" fontId="0" fillId="33" borderId="0" xfId="0" applyFont="1" applyFill="1" applyBorder="1"/>
    <xf numFmtId="183" fontId="0" fillId="33" borderId="0" xfId="0" applyFont="1" applyFill="1"/>
    <xf numFmtId="3" fontId="0" fillId="33" borderId="0" xfId="0" applyNumberFormat="1" applyFont="1" applyFill="1" applyBorder="1"/>
    <xf numFmtId="183" fontId="26" fillId="33" borderId="0" xfId="0" applyFont="1" applyFill="1"/>
    <xf numFmtId="3" fontId="0" fillId="33" borderId="0" xfId="0" applyNumberFormat="1" applyFont="1" applyFill="1"/>
    <xf numFmtId="164" fontId="0" fillId="33" borderId="0" xfId="0" applyNumberFormat="1" applyFont="1" applyFill="1" applyBorder="1"/>
    <xf numFmtId="164" fontId="0" fillId="33" borderId="0" xfId="0" applyNumberFormat="1" applyFont="1" applyFill="1" applyBorder="1" applyAlignment="1">
      <alignment horizontal="center"/>
    </xf>
    <xf numFmtId="164" fontId="0" fillId="33" borderId="0" xfId="0" applyNumberFormat="1" applyFont="1" applyFill="1" applyAlignment="1">
      <alignment horizontal="center"/>
    </xf>
    <xf numFmtId="183" fontId="0" fillId="33" borderId="0" xfId="0" applyFont="1" applyFill="1" applyBorder="1" applyAlignment="1">
      <alignment horizontal="right"/>
    </xf>
    <xf numFmtId="183" fontId="0" fillId="33" borderId="11" xfId="0" applyFont="1" applyFill="1" applyBorder="1"/>
    <xf numFmtId="183" fontId="26" fillId="33" borderId="0" xfId="0" applyFont="1" applyFill="1" applyAlignment="1">
      <alignment horizontal="center"/>
    </xf>
    <xf numFmtId="164" fontId="0" fillId="33" borderId="0" xfId="0" applyNumberFormat="1" applyFont="1" applyFill="1"/>
    <xf numFmtId="164" fontId="0" fillId="33" borderId="11" xfId="0" applyNumberFormat="1" applyFont="1" applyFill="1" applyBorder="1"/>
    <xf numFmtId="171" fontId="0" fillId="33" borderId="0" xfId="0" applyNumberFormat="1" applyFont="1" applyFill="1"/>
    <xf numFmtId="183" fontId="0" fillId="33" borderId="10" xfId="0" applyFont="1" applyFill="1" applyBorder="1"/>
    <xf numFmtId="183" fontId="0" fillId="33" borderId="12" xfId="0" applyFont="1" applyFill="1" applyBorder="1" applyAlignment="1">
      <alignment horizontal="right"/>
    </xf>
    <xf numFmtId="1" fontId="0" fillId="33" borderId="11" xfId="0" applyNumberFormat="1" applyFont="1" applyFill="1" applyBorder="1" applyAlignment="1">
      <alignment horizontal="center"/>
    </xf>
    <xf numFmtId="164" fontId="0" fillId="33" borderId="0" xfId="0" applyNumberFormat="1" applyFont="1" applyFill="1" applyAlignment="1">
      <alignment horizontal="left"/>
    </xf>
    <xf numFmtId="183" fontId="0" fillId="33" borderId="0" xfId="0" applyFont="1" applyFill="1" applyBorder="1" applyAlignment="1">
      <alignment horizontal="center" vertical="center"/>
    </xf>
    <xf numFmtId="183" fontId="0" fillId="33" borderId="0" xfId="0" applyFont="1" applyFill="1" applyAlignment="1"/>
    <xf numFmtId="165" fontId="0" fillId="33" borderId="0" xfId="0" applyNumberFormat="1" applyFont="1" applyFill="1"/>
    <xf numFmtId="183" fontId="18" fillId="33" borderId="0" xfId="0" applyFont="1" applyFill="1"/>
    <xf numFmtId="4" fontId="18" fillId="33" borderId="0" xfId="0" applyNumberFormat="1" applyFont="1" applyFill="1"/>
    <xf numFmtId="183" fontId="16" fillId="33" borderId="0" xfId="0" applyFont="1" applyFill="1" applyBorder="1" applyAlignment="1"/>
    <xf numFmtId="183" fontId="0" fillId="33" borderId="0" xfId="0" applyFont="1" applyFill="1" applyBorder="1" applyAlignment="1">
      <alignment vertical="center"/>
    </xf>
    <xf numFmtId="1" fontId="0" fillId="33" borderId="0" xfId="0" applyNumberFormat="1" applyFont="1" applyFill="1" applyBorder="1" applyAlignment="1">
      <alignment horizontal="center"/>
    </xf>
    <xf numFmtId="183" fontId="16" fillId="33" borderId="0" xfId="0" applyFont="1" applyFill="1" applyBorder="1" applyAlignment="1">
      <alignment horizontal="right"/>
    </xf>
    <xf numFmtId="1" fontId="0" fillId="33" borderId="0" xfId="0" applyNumberFormat="1" applyFont="1" applyFill="1" applyBorder="1"/>
    <xf numFmtId="20" fontId="0" fillId="0" borderId="0" xfId="0" applyNumberFormat="1" applyBorder="1"/>
    <xf numFmtId="165" fontId="0" fillId="33" borderId="0" xfId="0" applyNumberFormat="1" applyFont="1" applyFill="1" applyAlignment="1">
      <alignment horizontal="center"/>
    </xf>
    <xf numFmtId="165" fontId="0" fillId="33" borderId="11" xfId="0" applyNumberFormat="1" applyFont="1" applyFill="1" applyBorder="1" applyAlignment="1">
      <alignment horizontal="center"/>
    </xf>
    <xf numFmtId="183" fontId="0" fillId="33" borderId="0" xfId="0" applyFill="1"/>
    <xf numFmtId="3" fontId="16" fillId="0" borderId="0" xfId="0" applyNumberFormat="1" applyFont="1" applyFill="1" applyBorder="1"/>
    <xf numFmtId="9" fontId="0" fillId="0" borderId="0" xfId="0" applyNumberFormat="1" applyBorder="1"/>
    <xf numFmtId="183" fontId="0" fillId="0" borderId="0" xfId="0" applyFill="1" applyBorder="1" applyAlignment="1">
      <alignment horizontal="center" vertical="center"/>
    </xf>
    <xf numFmtId="4" fontId="0" fillId="0" borderId="0" xfId="0" applyNumberFormat="1" applyFill="1" applyBorder="1" applyAlignment="1">
      <alignment horizontal="right"/>
    </xf>
    <xf numFmtId="10" fontId="0" fillId="0" borderId="0" xfId="0" applyNumberFormat="1" applyFont="1" applyFill="1" applyBorder="1"/>
    <xf numFmtId="3" fontId="18" fillId="0" borderId="0" xfId="42" applyNumberFormat="1" applyFont="1" applyFill="1" applyBorder="1" applyAlignment="1">
      <alignment horizontal="right"/>
    </xf>
    <xf numFmtId="172" fontId="0" fillId="33" borderId="0" xfId="0" applyNumberFormat="1" applyFont="1" applyFill="1"/>
    <xf numFmtId="183" fontId="0" fillId="33" borderId="0" xfId="0" applyFont="1" applyFill="1" applyBorder="1" applyAlignment="1">
      <alignment vertical="center" wrapText="1"/>
    </xf>
    <xf numFmtId="183" fontId="0" fillId="0" borderId="0" xfId="0" applyFont="1" applyFill="1" applyBorder="1" applyAlignment="1">
      <alignment horizontal="left"/>
    </xf>
    <xf numFmtId="183" fontId="0" fillId="33" borderId="0" xfId="0" applyFill="1" applyBorder="1"/>
    <xf numFmtId="183" fontId="0" fillId="33" borderId="0" xfId="0" applyFill="1" applyAlignment="1">
      <alignment horizontal="right"/>
    </xf>
    <xf numFmtId="4" fontId="0" fillId="33" borderId="0" xfId="0" applyNumberFormat="1" applyFont="1" applyFill="1" applyAlignment="1">
      <alignment horizontal="center"/>
    </xf>
    <xf numFmtId="4" fontId="0" fillId="0" borderId="0" xfId="0" applyNumberFormat="1" applyBorder="1"/>
    <xf numFmtId="9" fontId="0" fillId="0" borderId="0" xfId="0" applyNumberFormat="1" applyFill="1" applyBorder="1"/>
    <xf numFmtId="183" fontId="0" fillId="0" borderId="0" xfId="0"/>
    <xf numFmtId="4" fontId="0" fillId="0" borderId="0" xfId="0" applyNumberFormat="1"/>
    <xf numFmtId="10" fontId="0" fillId="0" borderId="0" xfId="0" applyNumberFormat="1"/>
    <xf numFmtId="4" fontId="18" fillId="0" borderId="0" xfId="0" applyNumberFormat="1" applyFont="1" applyBorder="1"/>
    <xf numFmtId="183" fontId="0" fillId="0" borderId="0" xfId="0" applyFill="1" applyAlignment="1">
      <alignment horizontal="right"/>
    </xf>
    <xf numFmtId="183" fontId="0" fillId="0" borderId="0" xfId="0" applyFont="1" applyAlignment="1"/>
    <xf numFmtId="2" fontId="1" fillId="38" borderId="0" xfId="46">
      <alignment horizontal="center"/>
    </xf>
    <xf numFmtId="183" fontId="0" fillId="33" borderId="0" xfId="0" applyFont="1" applyFill="1"/>
    <xf numFmtId="183" fontId="0" fillId="0" borderId="0" xfId="0" applyFont="1" applyBorder="1"/>
    <xf numFmtId="183" fontId="0" fillId="0" borderId="0" xfId="0" applyFont="1" applyBorder="1"/>
    <xf numFmtId="183" fontId="0" fillId="0" borderId="0" xfId="0" applyBorder="1" applyAlignment="1"/>
    <xf numFmtId="2" fontId="18" fillId="0" borderId="0" xfId="0" applyNumberFormat="1" applyFont="1" applyBorder="1"/>
    <xf numFmtId="3" fontId="0" fillId="36" borderId="0" xfId="0" applyNumberFormat="1" applyFill="1" applyBorder="1"/>
    <xf numFmtId="183" fontId="18" fillId="0" borderId="0" xfId="0" applyFont="1" applyBorder="1" applyAlignment="1">
      <alignment horizontal="right"/>
    </xf>
    <xf numFmtId="183" fontId="18" fillId="0" borderId="0" xfId="0" applyFont="1" applyFill="1" applyBorder="1" applyAlignment="1">
      <alignment horizontal="left"/>
    </xf>
    <xf numFmtId="1" fontId="0" fillId="0" borderId="0" xfId="0" applyNumberFormat="1"/>
    <xf numFmtId="183" fontId="34" fillId="33" borderId="0" xfId="0" applyNumberFormat="1" applyFont="1" applyFill="1"/>
    <xf numFmtId="183" fontId="35" fillId="33" borderId="0" xfId="0" applyNumberFormat="1" applyFont="1" applyFill="1" applyBorder="1" applyAlignment="1">
      <alignment vertical="center"/>
    </xf>
    <xf numFmtId="183" fontId="35" fillId="33" borderId="0" xfId="0" applyNumberFormat="1" applyFont="1" applyFill="1" applyBorder="1" applyAlignment="1">
      <alignment horizontal="right" vertical="center"/>
    </xf>
    <xf numFmtId="183" fontId="36" fillId="33" borderId="0" xfId="0" applyNumberFormat="1" applyFont="1" applyFill="1" applyAlignment="1">
      <alignment horizontal="center"/>
    </xf>
    <xf numFmtId="183" fontId="34" fillId="33" borderId="0" xfId="0" applyNumberFormat="1" applyFont="1" applyFill="1" applyBorder="1" applyAlignment="1">
      <alignment horizontal="center"/>
    </xf>
    <xf numFmtId="183" fontId="36" fillId="33" borderId="0" xfId="0" applyNumberFormat="1" applyFont="1" applyFill="1" applyBorder="1" applyAlignment="1">
      <alignment horizontal="right"/>
    </xf>
    <xf numFmtId="183" fontId="36" fillId="33" borderId="0" xfId="0" applyNumberFormat="1" applyFont="1" applyFill="1" applyBorder="1"/>
    <xf numFmtId="168" fontId="33" fillId="33" borderId="0" xfId="0" applyNumberFormat="1" applyFont="1" applyFill="1" applyBorder="1" applyAlignment="1">
      <alignment horizontal="center" vertical="center"/>
    </xf>
    <xf numFmtId="183" fontId="0" fillId="0" borderId="0" xfId="0"/>
    <xf numFmtId="165" fontId="0" fillId="0" borderId="0" xfId="0" applyNumberFormat="1" applyBorder="1"/>
    <xf numFmtId="3" fontId="18" fillId="0" borderId="0" xfId="0" applyNumberFormat="1" applyFont="1" applyFill="1" applyBorder="1" applyAlignment="1">
      <alignment horizontal="right"/>
    </xf>
    <xf numFmtId="165" fontId="18" fillId="0" borderId="0" xfId="0" applyNumberFormat="1" applyFont="1" applyFill="1" applyBorder="1" applyAlignment="1">
      <alignment horizontal="right"/>
    </xf>
    <xf numFmtId="4" fontId="18" fillId="0" borderId="0" xfId="0" applyNumberFormat="1" applyFont="1" applyFill="1" applyBorder="1" applyAlignment="1">
      <alignment horizontal="center"/>
    </xf>
    <xf numFmtId="1" fontId="0" fillId="0" borderId="0" xfId="0" applyNumberFormat="1" applyFill="1" applyBorder="1" applyAlignment="1">
      <alignment horizontal="right"/>
    </xf>
    <xf numFmtId="2" fontId="0" fillId="0" borderId="0" xfId="0" applyNumberFormat="1" applyFill="1" applyBorder="1" applyAlignment="1">
      <alignment horizontal="right"/>
    </xf>
    <xf numFmtId="165" fontId="1" fillId="0" borderId="0" xfId="46" applyNumberFormat="1" applyFill="1" applyBorder="1" applyAlignment="1">
      <alignment horizontal="right"/>
    </xf>
    <xf numFmtId="183" fontId="0" fillId="0" borderId="0" xfId="0"/>
    <xf numFmtId="183" fontId="0" fillId="0" borderId="0" xfId="0" applyAlignment="1">
      <alignment horizontal="right"/>
    </xf>
    <xf numFmtId="183" fontId="0" fillId="0" borderId="0" xfId="0" applyBorder="1"/>
    <xf numFmtId="183" fontId="0" fillId="0" borderId="0" xfId="0" applyAlignment="1">
      <alignment horizontal="center"/>
    </xf>
    <xf numFmtId="183" fontId="0" fillId="0" borderId="0" xfId="0" applyBorder="1" applyAlignment="1">
      <alignment horizontal="left"/>
    </xf>
    <xf numFmtId="4" fontId="0" fillId="0" borderId="0" xfId="0" applyNumberFormat="1"/>
    <xf numFmtId="183" fontId="0" fillId="0" borderId="0" xfId="0" applyAlignment="1">
      <alignment horizontal="left"/>
    </xf>
    <xf numFmtId="183" fontId="0" fillId="33" borderId="0" xfId="0" applyFont="1" applyFill="1" applyAlignment="1">
      <alignment horizontal="right"/>
    </xf>
    <xf numFmtId="3" fontId="0" fillId="0" borderId="0" xfId="0" applyNumberFormat="1"/>
    <xf numFmtId="183" fontId="0" fillId="0" borderId="0" xfId="0" applyFont="1" applyFill="1" applyBorder="1"/>
    <xf numFmtId="165" fontId="0" fillId="33" borderId="0" xfId="0" applyNumberFormat="1" applyFont="1" applyFill="1" applyBorder="1" applyAlignment="1">
      <alignment horizontal="center"/>
    </xf>
    <xf numFmtId="183" fontId="0" fillId="33" borderId="0" xfId="0" applyFont="1" applyFill="1" applyBorder="1" applyAlignment="1">
      <alignment horizontal="center"/>
    </xf>
    <xf numFmtId="4" fontId="0" fillId="0" borderId="0" xfId="0" applyNumberFormat="1" applyFont="1" applyFill="1" applyBorder="1" applyAlignment="1">
      <alignment horizontal="right"/>
    </xf>
    <xf numFmtId="4" fontId="0" fillId="0" borderId="0" xfId="0" applyNumberFormat="1" applyFont="1" applyBorder="1" applyAlignment="1">
      <alignment horizontal="right"/>
    </xf>
    <xf numFmtId="3" fontId="0" fillId="0" borderId="0" xfId="0" applyNumberFormat="1" applyFont="1" applyFill="1" applyBorder="1"/>
    <xf numFmtId="3" fontId="0" fillId="0" borderId="0" xfId="0" applyNumberFormat="1" applyFont="1" applyBorder="1"/>
    <xf numFmtId="183" fontId="0" fillId="0" borderId="0" xfId="0" applyFont="1" applyBorder="1" applyAlignment="1">
      <alignment horizontal="left"/>
    </xf>
    <xf numFmtId="4" fontId="0" fillId="0" borderId="0" xfId="0" applyNumberFormat="1" applyFill="1" applyBorder="1"/>
    <xf numFmtId="183" fontId="0" fillId="0" borderId="0" xfId="0" applyFill="1" applyBorder="1" applyAlignment="1">
      <alignment horizontal="left"/>
    </xf>
    <xf numFmtId="183" fontId="0" fillId="33" borderId="0" xfId="0" applyFont="1" applyFill="1"/>
    <xf numFmtId="164" fontId="0" fillId="33" borderId="0" xfId="0" applyNumberFormat="1" applyFont="1" applyFill="1" applyBorder="1" applyAlignment="1">
      <alignment horizontal="center"/>
    </xf>
    <xf numFmtId="183" fontId="0" fillId="33" borderId="0" xfId="0" applyFont="1" applyFill="1" applyBorder="1" applyAlignment="1">
      <alignment horizontal="right"/>
    </xf>
    <xf numFmtId="183" fontId="0" fillId="33" borderId="0" xfId="0" applyFont="1" applyFill="1" applyAlignment="1">
      <alignment horizontal="center"/>
    </xf>
    <xf numFmtId="183" fontId="0" fillId="33" borderId="0" xfId="0" applyFont="1" applyFill="1" applyAlignment="1">
      <alignment horizontal="left"/>
    </xf>
    <xf numFmtId="183" fontId="0" fillId="33" borderId="0" xfId="0" applyFill="1" applyBorder="1" applyAlignment="1">
      <alignment horizontal="right"/>
    </xf>
    <xf numFmtId="183" fontId="0" fillId="33" borderId="0" xfId="0" applyFill="1"/>
    <xf numFmtId="183" fontId="0" fillId="33" borderId="0" xfId="0" applyFill="1" applyBorder="1"/>
    <xf numFmtId="4" fontId="0" fillId="33" borderId="0" xfId="0" applyNumberFormat="1" applyFont="1" applyFill="1" applyAlignment="1">
      <alignment horizontal="center"/>
    </xf>
    <xf numFmtId="9" fontId="0" fillId="0" borderId="0" xfId="0" applyNumberFormat="1"/>
    <xf numFmtId="183" fontId="0" fillId="33" borderId="0" xfId="0" applyFont="1" applyFill="1" applyBorder="1" applyAlignment="1">
      <alignment horizontal="left"/>
    </xf>
    <xf numFmtId="1" fontId="0" fillId="0" borderId="0" xfId="0" applyNumberFormat="1" applyBorder="1"/>
    <xf numFmtId="9" fontId="0" fillId="0" borderId="0" xfId="0" applyNumberFormat="1" applyFont="1" applyBorder="1" applyAlignment="1">
      <alignment horizontal="right"/>
    </xf>
    <xf numFmtId="183" fontId="31" fillId="0" borderId="0" xfId="47" applyFill="1" applyBorder="1" applyAlignment="1" applyProtection="1">
      <alignment horizontal="center"/>
    </xf>
    <xf numFmtId="183" fontId="0" fillId="33" borderId="0" xfId="0" applyFill="1" applyAlignment="1">
      <alignment horizontal="left"/>
    </xf>
    <xf numFmtId="165" fontId="0" fillId="34" borderId="0" xfId="0" applyNumberFormat="1" applyFont="1" applyFill="1" applyBorder="1" applyAlignment="1">
      <alignment horizontal="center"/>
    </xf>
    <xf numFmtId="165" fontId="0" fillId="33" borderId="0" xfId="0" applyNumberFormat="1" applyFont="1" applyFill="1" applyBorder="1" applyAlignment="1">
      <alignment horizontal="center" vertical="center"/>
    </xf>
    <xf numFmtId="183" fontId="18" fillId="33" borderId="0" xfId="0" applyFont="1" applyFill="1" applyBorder="1" applyAlignment="1">
      <alignment horizontal="center"/>
    </xf>
    <xf numFmtId="183" fontId="0" fillId="33" borderId="0" xfId="0" applyFont="1" applyFill="1" applyBorder="1" applyAlignment="1">
      <alignment horizontal="right" vertical="center"/>
    </xf>
    <xf numFmtId="165" fontId="1" fillId="33" borderId="0" xfId="46" applyNumberFormat="1" applyFill="1" applyAlignment="1">
      <alignment horizontal="center"/>
    </xf>
    <xf numFmtId="4" fontId="18" fillId="33" borderId="0" xfId="0" applyNumberFormat="1" applyFont="1" applyFill="1" applyBorder="1" applyAlignment="1">
      <alignment horizontal="center"/>
    </xf>
    <xf numFmtId="183" fontId="0" fillId="0" borderId="0" xfId="0" applyBorder="1"/>
    <xf numFmtId="183" fontId="16" fillId="33" borderId="0" xfId="0" applyFont="1" applyFill="1" applyAlignment="1">
      <alignment horizontal="center"/>
    </xf>
    <xf numFmtId="165" fontId="0" fillId="33" borderId="0" xfId="0" applyNumberFormat="1" applyFont="1" applyFill="1" applyBorder="1" applyAlignment="1">
      <alignment horizontal="right" vertical="center"/>
    </xf>
    <xf numFmtId="165" fontId="27" fillId="33" borderId="0" xfId="0" applyNumberFormat="1" applyFont="1" applyFill="1" applyBorder="1" applyAlignment="1">
      <alignment horizontal="right"/>
    </xf>
    <xf numFmtId="183" fontId="0" fillId="33" borderId="10" xfId="0" applyFont="1" applyFill="1" applyBorder="1" applyAlignment="1">
      <alignment horizontal="right"/>
    </xf>
    <xf numFmtId="183" fontId="0" fillId="33" borderId="10" xfId="0" applyFont="1" applyFill="1" applyBorder="1" applyAlignment="1">
      <alignment horizontal="left"/>
    </xf>
    <xf numFmtId="183" fontId="27" fillId="33" borderId="0" xfId="0" applyFont="1" applyFill="1" applyBorder="1" applyAlignment="1">
      <alignment horizontal="center"/>
    </xf>
    <xf numFmtId="166" fontId="0" fillId="0" borderId="0" xfId="0" applyNumberFormat="1"/>
    <xf numFmtId="183" fontId="21" fillId="0" borderId="0" xfId="0" applyFont="1" applyFill="1" applyBorder="1"/>
    <xf numFmtId="183" fontId="21" fillId="0" borderId="0" xfId="0" applyFont="1" applyFill="1" applyBorder="1" applyAlignment="1">
      <alignment horizontal="left"/>
    </xf>
    <xf numFmtId="172" fontId="0" fillId="33" borderId="0" xfId="0" applyNumberFormat="1" applyFont="1" applyFill="1" applyAlignment="1">
      <alignment horizontal="center"/>
    </xf>
    <xf numFmtId="168" fontId="33" fillId="33" borderId="0" xfId="0" applyNumberFormat="1" applyFont="1" applyFill="1" applyBorder="1" applyAlignment="1">
      <alignment horizontal="right" vertical="center"/>
    </xf>
    <xf numFmtId="170" fontId="0" fillId="33" borderId="0" xfId="0" applyNumberFormat="1" applyFill="1" applyAlignment="1">
      <alignment horizontal="center"/>
    </xf>
    <xf numFmtId="4" fontId="18" fillId="33" borderId="0" xfId="0" applyNumberFormat="1" applyFont="1" applyFill="1" applyAlignment="1">
      <alignment horizontal="center"/>
    </xf>
    <xf numFmtId="183" fontId="32" fillId="0" borderId="0" xfId="0" applyFont="1" applyFill="1" applyBorder="1" applyAlignment="1" applyProtection="1">
      <alignment horizontal="center"/>
    </xf>
    <xf numFmtId="3" fontId="0" fillId="0" borderId="0" xfId="0" applyNumberFormat="1" applyFill="1" applyBorder="1" applyAlignment="1">
      <alignment horizontal="left"/>
    </xf>
    <xf numFmtId="183" fontId="0" fillId="33" borderId="0" xfId="0" applyFill="1" applyBorder="1" applyAlignment="1">
      <alignment horizontal="right" vertical="center"/>
    </xf>
    <xf numFmtId="3" fontId="0" fillId="0" borderId="0" xfId="0" applyNumberFormat="1" applyFont="1" applyFill="1" applyBorder="1" applyAlignment="1">
      <alignment horizontal="left"/>
    </xf>
    <xf numFmtId="165" fontId="18" fillId="0" borderId="0" xfId="43" applyNumberFormat="1" applyFont="1" applyFill="1" applyBorder="1" applyAlignment="1">
      <alignment horizontal="left"/>
    </xf>
    <xf numFmtId="165" fontId="18" fillId="0" borderId="0" xfId="43" applyNumberFormat="1" applyFont="1" applyFill="1" applyBorder="1" applyAlignment="1">
      <alignment horizontal="right"/>
    </xf>
    <xf numFmtId="166" fontId="18" fillId="0" borderId="0" xfId="0" applyNumberFormat="1" applyFont="1" applyFill="1" applyBorder="1" applyAlignment="1">
      <alignment horizontal="left"/>
    </xf>
    <xf numFmtId="166" fontId="18" fillId="0" borderId="0" xfId="0" applyNumberFormat="1" applyFont="1" applyFill="1" applyBorder="1" applyAlignment="1">
      <alignment horizontal="right"/>
    </xf>
    <xf numFmtId="4" fontId="18" fillId="0" borderId="0" xfId="42" applyNumberFormat="1" applyFont="1" applyFill="1" applyBorder="1" applyAlignment="1">
      <alignment horizontal="right"/>
    </xf>
    <xf numFmtId="172" fontId="0" fillId="33" borderId="0" xfId="0" applyNumberFormat="1" applyFont="1" applyFill="1" applyAlignment="1">
      <alignment vertical="center"/>
    </xf>
    <xf numFmtId="183" fontId="16" fillId="0" borderId="0" xfId="0" applyFont="1" applyFill="1" applyBorder="1" applyAlignment="1">
      <alignment horizontal="center" wrapText="1"/>
    </xf>
    <xf numFmtId="4" fontId="0" fillId="0" borderId="0" xfId="0" applyNumberFormat="1" applyFont="1" applyFill="1" applyBorder="1" applyAlignment="1">
      <alignment horizontal="center"/>
    </xf>
    <xf numFmtId="164" fontId="0" fillId="0" borderId="0" xfId="0" applyNumberFormat="1" applyFont="1" applyFill="1" applyBorder="1" applyAlignment="1">
      <alignment horizontal="center"/>
    </xf>
    <xf numFmtId="174" fontId="0" fillId="0" borderId="0" xfId="0" applyNumberFormat="1" applyFont="1" applyBorder="1"/>
    <xf numFmtId="166" fontId="18" fillId="0" borderId="0" xfId="42" applyNumberFormat="1" applyFont="1" applyFill="1" applyBorder="1" applyAlignment="1">
      <alignment horizontal="right"/>
    </xf>
    <xf numFmtId="183" fontId="16" fillId="0" borderId="0" xfId="0" applyFont="1" applyBorder="1" applyAlignment="1">
      <alignment horizontal="center"/>
    </xf>
    <xf numFmtId="183" fontId="16" fillId="0" borderId="0" xfId="0" applyFont="1" applyFill="1" applyBorder="1" applyAlignment="1">
      <alignment horizontal="center"/>
    </xf>
    <xf numFmtId="183" fontId="0" fillId="0" borderId="0" xfId="0" applyFont="1" applyBorder="1"/>
    <xf numFmtId="166" fontId="0" fillId="33" borderId="0" xfId="0" applyNumberFormat="1" applyFont="1" applyFill="1" applyAlignment="1">
      <alignment horizontal="center"/>
    </xf>
    <xf numFmtId="183" fontId="0" fillId="0" borderId="0" xfId="0"/>
    <xf numFmtId="4" fontId="0" fillId="0" borderId="0" xfId="0" applyNumberFormat="1" applyFont="1" applyBorder="1"/>
    <xf numFmtId="4" fontId="0" fillId="0" borderId="0" xfId="0" applyNumberFormat="1"/>
    <xf numFmtId="169" fontId="0" fillId="0" borderId="0" xfId="0" applyNumberFormat="1"/>
    <xf numFmtId="3" fontId="0" fillId="0" borderId="0" xfId="0" applyNumberFormat="1"/>
    <xf numFmtId="183" fontId="0" fillId="0" borderId="0" xfId="0" applyFill="1" applyBorder="1"/>
    <xf numFmtId="183" fontId="0" fillId="0" borderId="0" xfId="0" applyFont="1" applyFill="1" applyBorder="1"/>
    <xf numFmtId="3" fontId="0" fillId="0" borderId="0" xfId="0" applyNumberFormat="1" applyFont="1" applyFill="1" applyBorder="1" applyAlignment="1">
      <alignment horizontal="right"/>
    </xf>
    <xf numFmtId="4" fontId="0" fillId="0" borderId="0" xfId="0" applyNumberFormat="1" applyFont="1" applyFill="1" applyBorder="1"/>
    <xf numFmtId="3" fontId="0" fillId="0" borderId="0" xfId="0" applyNumberFormat="1" applyFont="1" applyFill="1" applyBorder="1"/>
    <xf numFmtId="183" fontId="0" fillId="0" borderId="0" xfId="0" applyFont="1" applyBorder="1"/>
    <xf numFmtId="183" fontId="0" fillId="33" borderId="0" xfId="0" applyFill="1"/>
    <xf numFmtId="10" fontId="0" fillId="0" borderId="0" xfId="0" applyNumberFormat="1"/>
    <xf numFmtId="175" fontId="0" fillId="33" borderId="0" xfId="0" applyNumberFormat="1" applyFont="1" applyFill="1"/>
    <xf numFmtId="183" fontId="1" fillId="0" borderId="0" xfId="0" applyFont="1"/>
    <xf numFmtId="183" fontId="0" fillId="33" borderId="0" xfId="0" applyFill="1" applyBorder="1" applyAlignment="1">
      <alignment horizontal="left"/>
    </xf>
    <xf numFmtId="183" fontId="16" fillId="0" borderId="0" xfId="0" applyFont="1" applyFill="1" applyBorder="1" applyAlignment="1">
      <alignment horizontal="right"/>
    </xf>
    <xf numFmtId="4" fontId="27" fillId="33" borderId="0" xfId="0" applyNumberFormat="1" applyFont="1" applyFill="1" applyBorder="1" applyAlignment="1">
      <alignment horizontal="center"/>
    </xf>
    <xf numFmtId="165" fontId="0" fillId="34" borderId="0" xfId="0" applyNumberFormat="1" applyFont="1" applyFill="1" applyBorder="1"/>
    <xf numFmtId="10" fontId="0" fillId="33" borderId="0" xfId="0" applyNumberFormat="1" applyFill="1" applyAlignment="1">
      <alignment horizontal="center"/>
    </xf>
    <xf numFmtId="3" fontId="0" fillId="0" borderId="0" xfId="0" applyNumberFormat="1" applyFont="1" applyBorder="1" applyAlignment="1">
      <alignment horizontal="center"/>
    </xf>
    <xf numFmtId="183" fontId="0" fillId="0" borderId="0" xfId="0"/>
    <xf numFmtId="183" fontId="0" fillId="0" borderId="0" xfId="0"/>
    <xf numFmtId="183" fontId="16" fillId="0" borderId="0" xfId="0" applyFont="1"/>
    <xf numFmtId="183" fontId="0" fillId="0" borderId="0" xfId="0" applyFont="1"/>
    <xf numFmtId="4" fontId="0" fillId="0" borderId="0" xfId="0" applyNumberFormat="1" applyBorder="1"/>
    <xf numFmtId="183" fontId="0" fillId="0" borderId="0" xfId="0" applyAlignment="1">
      <alignment horizontal="right"/>
    </xf>
    <xf numFmtId="4" fontId="0" fillId="0" borderId="0" xfId="0" applyNumberFormat="1" applyFont="1" applyBorder="1"/>
    <xf numFmtId="4" fontId="0" fillId="0" borderId="0" xfId="0" applyNumberFormat="1"/>
    <xf numFmtId="165" fontId="0" fillId="0" borderId="0" xfId="0" applyNumberFormat="1"/>
    <xf numFmtId="183" fontId="0" fillId="33" borderId="0" xfId="0" applyFont="1" applyFill="1" applyAlignment="1">
      <alignment horizontal="right"/>
    </xf>
    <xf numFmtId="3" fontId="0" fillId="0" borderId="0" xfId="0" applyNumberFormat="1"/>
    <xf numFmtId="183" fontId="0" fillId="0" borderId="0" xfId="0" applyFont="1" applyFill="1" applyBorder="1"/>
    <xf numFmtId="165" fontId="0" fillId="33" borderId="0" xfId="0" applyNumberFormat="1" applyFont="1" applyFill="1" applyBorder="1" applyAlignment="1">
      <alignment horizontal="center"/>
    </xf>
    <xf numFmtId="183" fontId="0" fillId="0" borderId="0" xfId="0" applyFont="1" applyFill="1" applyBorder="1" applyAlignment="1">
      <alignment horizontal="right"/>
    </xf>
    <xf numFmtId="4" fontId="0" fillId="0" borderId="0" xfId="0" applyNumberFormat="1" applyFont="1" applyFill="1" applyBorder="1" applyAlignment="1">
      <alignment horizontal="right"/>
    </xf>
    <xf numFmtId="3" fontId="0" fillId="0" borderId="0" xfId="0" applyNumberFormat="1" applyFont="1" applyFill="1" applyBorder="1" applyAlignment="1">
      <alignment horizontal="right"/>
    </xf>
    <xf numFmtId="4" fontId="0" fillId="0" borderId="0" xfId="0" applyNumberFormat="1" applyFont="1" applyFill="1" applyBorder="1"/>
    <xf numFmtId="165" fontId="0" fillId="0" borderId="0" xfId="0" applyNumberFormat="1" applyFont="1" applyFill="1" applyBorder="1"/>
    <xf numFmtId="9" fontId="0" fillId="0" borderId="0" xfId="0" applyNumberFormat="1" applyFont="1" applyFill="1" applyBorder="1"/>
    <xf numFmtId="3" fontId="0" fillId="0" borderId="0" xfId="0" applyNumberFormat="1" applyBorder="1"/>
    <xf numFmtId="183" fontId="0" fillId="0" borderId="0" xfId="0" applyFont="1" applyBorder="1"/>
    <xf numFmtId="4" fontId="0" fillId="0" borderId="0" xfId="0" applyNumberFormat="1" applyFill="1" applyBorder="1"/>
    <xf numFmtId="183" fontId="0" fillId="33" borderId="0" xfId="0" applyFont="1" applyFill="1"/>
    <xf numFmtId="165" fontId="0" fillId="33" borderId="0" xfId="0" applyNumberFormat="1" applyFont="1" applyFill="1"/>
    <xf numFmtId="1" fontId="0" fillId="33" borderId="0" xfId="0" applyNumberFormat="1" applyFont="1" applyFill="1" applyBorder="1" applyAlignment="1">
      <alignment horizontal="center"/>
    </xf>
    <xf numFmtId="183" fontId="0" fillId="33" borderId="0" xfId="0" applyFill="1"/>
    <xf numFmtId="4" fontId="0" fillId="0" borderId="0" xfId="0" applyNumberFormat="1" applyFont="1" applyFill="1" applyBorder="1"/>
    <xf numFmtId="4" fontId="0" fillId="0" borderId="0" xfId="44" applyNumberFormat="1" applyFont="1" applyFill="1" applyBorder="1" applyAlignment="1">
      <alignment horizontal="right"/>
    </xf>
    <xf numFmtId="9" fontId="0" fillId="0" borderId="0" xfId="0" applyNumberFormat="1" applyBorder="1"/>
    <xf numFmtId="4" fontId="0" fillId="0" borderId="0" xfId="0" applyNumberFormat="1" applyFill="1" applyBorder="1" applyAlignment="1">
      <alignment horizontal="right"/>
    </xf>
    <xf numFmtId="10" fontId="0" fillId="0" borderId="0" xfId="0" applyNumberFormat="1" applyFont="1" applyFill="1" applyBorder="1"/>
    <xf numFmtId="3" fontId="18" fillId="0" borderId="0" xfId="42" applyNumberFormat="1" applyFont="1" applyFill="1" applyBorder="1" applyAlignment="1">
      <alignment horizontal="right"/>
    </xf>
    <xf numFmtId="9" fontId="0" fillId="0" borderId="0" xfId="0" applyNumberFormat="1" applyFont="1" applyFill="1" applyBorder="1" applyAlignment="1">
      <alignment horizontal="right"/>
    </xf>
    <xf numFmtId="4" fontId="0" fillId="33" borderId="0" xfId="0" applyNumberFormat="1" applyFont="1" applyFill="1" applyAlignment="1">
      <alignment horizontal="center"/>
    </xf>
    <xf numFmtId="9" fontId="0" fillId="0" borderId="0" xfId="0" applyNumberFormat="1" applyFill="1" applyBorder="1"/>
    <xf numFmtId="10" fontId="0" fillId="0" borderId="0" xfId="0" applyNumberFormat="1"/>
    <xf numFmtId="4" fontId="0" fillId="0" borderId="0" xfId="0" applyNumberFormat="1" applyFont="1" applyBorder="1" applyAlignment="1">
      <alignment horizontal="right"/>
    </xf>
    <xf numFmtId="3" fontId="0" fillId="0" borderId="0" xfId="0" applyNumberFormat="1" applyFont="1" applyFill="1" applyBorder="1"/>
    <xf numFmtId="9" fontId="0" fillId="0" borderId="0" xfId="0" applyNumberFormat="1"/>
    <xf numFmtId="9" fontId="0" fillId="0" borderId="0" xfId="0" applyNumberFormat="1" applyFont="1" applyBorder="1" applyAlignment="1">
      <alignment horizontal="right"/>
    </xf>
    <xf numFmtId="183" fontId="16" fillId="33" borderId="0" xfId="0" applyFont="1" applyFill="1" applyAlignment="1">
      <alignment horizontal="center"/>
    </xf>
    <xf numFmtId="14" fontId="0" fillId="0" borderId="0" xfId="0" applyNumberFormat="1" applyAlignment="1">
      <alignment horizontal="center"/>
    </xf>
    <xf numFmtId="4" fontId="0" fillId="33" borderId="0" xfId="0" applyNumberFormat="1" applyFont="1" applyFill="1"/>
    <xf numFmtId="170" fontId="0" fillId="0" borderId="0" xfId="0" applyNumberFormat="1" applyFont="1" applyFill="1" applyBorder="1"/>
    <xf numFmtId="3" fontId="0" fillId="33" borderId="0" xfId="0" applyNumberFormat="1" applyFont="1" applyFill="1" applyAlignment="1">
      <alignment horizontal="center"/>
    </xf>
    <xf numFmtId="183" fontId="0" fillId="0" borderId="0" xfId="0" applyFont="1" applyFill="1" applyBorder="1" applyAlignment="1">
      <alignment horizontal="center"/>
    </xf>
    <xf numFmtId="165" fontId="0" fillId="0" borderId="0" xfId="0" applyNumberFormat="1" applyFont="1" applyFill="1"/>
    <xf numFmtId="3" fontId="0" fillId="0" borderId="0" xfId="0" applyNumberFormat="1" applyFill="1"/>
    <xf numFmtId="183" fontId="0" fillId="33" borderId="0" xfId="0" quotePrefix="1" applyFont="1" applyFill="1"/>
    <xf numFmtId="183" fontId="16" fillId="0" borderId="0" xfId="0" applyFont="1" applyFill="1" applyBorder="1" applyAlignment="1">
      <alignment horizontal="left"/>
    </xf>
    <xf numFmtId="183" fontId="16" fillId="0" borderId="0" xfId="0" applyFont="1" applyBorder="1" applyAlignment="1">
      <alignment horizontal="left"/>
    </xf>
    <xf numFmtId="165" fontId="0" fillId="0" borderId="0" xfId="0" applyNumberFormat="1" applyFont="1" applyFill="1" applyBorder="1" applyAlignment="1">
      <alignment horizontal="center"/>
    </xf>
    <xf numFmtId="165" fontId="0" fillId="36" borderId="0" xfId="0" applyNumberFormat="1" applyFont="1" applyFill="1" applyBorder="1" applyAlignment="1">
      <alignment horizontal="center" vertical="center"/>
    </xf>
    <xf numFmtId="165" fontId="0" fillId="0" borderId="0" xfId="0" applyNumberFormat="1" applyFont="1" applyFill="1" applyBorder="1" applyAlignment="1">
      <alignment horizontal="center" vertical="center"/>
    </xf>
    <xf numFmtId="183" fontId="0" fillId="0" borderId="0" xfId="0" quotePrefix="1"/>
    <xf numFmtId="4" fontId="0" fillId="33" borderId="0" xfId="0" applyNumberFormat="1" applyFont="1" applyFill="1" applyBorder="1" applyAlignment="1">
      <alignment horizontal="center" vertical="center"/>
    </xf>
    <xf numFmtId="166" fontId="0" fillId="33" borderId="0" xfId="0" applyNumberFormat="1" applyFill="1" applyAlignment="1">
      <alignment horizontal="center"/>
    </xf>
    <xf numFmtId="183" fontId="0" fillId="34" borderId="0" xfId="0" applyFill="1"/>
    <xf numFmtId="183" fontId="5" fillId="0" borderId="3" xfId="73"/>
    <xf numFmtId="10" fontId="0" fillId="0" borderId="0" xfId="0" applyNumberFormat="1" applyFont="1" applyBorder="1"/>
    <xf numFmtId="183" fontId="3" fillId="0" borderId="1" xfId="71" applyFill="1"/>
    <xf numFmtId="183" fontId="4" fillId="0" borderId="2" xfId="72">
      <alignment horizontal="center"/>
    </xf>
    <xf numFmtId="183" fontId="3" fillId="0" borderId="1" xfId="71"/>
    <xf numFmtId="183" fontId="3" fillId="33" borderId="1" xfId="71" applyFill="1"/>
    <xf numFmtId="183" fontId="0" fillId="33" borderId="11" xfId="0" applyFont="1" applyFill="1" applyBorder="1" applyAlignment="1">
      <alignment horizontal="center"/>
    </xf>
    <xf numFmtId="164" fontId="0" fillId="33" borderId="0" xfId="0" applyNumberFormat="1" applyFill="1" applyAlignment="1">
      <alignment horizontal="center"/>
    </xf>
    <xf numFmtId="165" fontId="27" fillId="33" borderId="0" xfId="0" applyNumberFormat="1" applyFont="1" applyFill="1" applyBorder="1" applyAlignment="1">
      <alignment horizontal="center"/>
    </xf>
    <xf numFmtId="183" fontId="0" fillId="33" borderId="10" xfId="0" applyFont="1" applyFill="1" applyBorder="1" applyAlignment="1">
      <alignment horizontal="center"/>
    </xf>
    <xf numFmtId="183" fontId="0" fillId="33" borderId="11" xfId="0" applyFont="1" applyFill="1" applyBorder="1" applyAlignment="1"/>
    <xf numFmtId="165" fontId="0" fillId="34" borderId="14" xfId="0" applyNumberFormat="1" applyFont="1" applyFill="1" applyBorder="1" applyAlignment="1">
      <alignment horizontal="center"/>
    </xf>
    <xf numFmtId="183" fontId="5" fillId="0" borderId="3" xfId="73" applyFill="1" applyAlignment="1">
      <alignment horizontal="left"/>
    </xf>
    <xf numFmtId="183" fontId="5" fillId="0" borderId="3" xfId="73" applyFill="1" applyAlignment="1">
      <alignment horizontal="left" vertical="center"/>
    </xf>
    <xf numFmtId="165" fontId="0" fillId="0" borderId="0" xfId="0" applyNumberFormat="1" applyFill="1"/>
    <xf numFmtId="183" fontId="42" fillId="0" borderId="0" xfId="0" applyFont="1" applyFill="1" applyBorder="1" applyAlignment="1">
      <alignment horizontal="left"/>
    </xf>
    <xf numFmtId="183" fontId="21" fillId="0" borderId="0" xfId="0" applyFont="1" applyBorder="1" applyAlignment="1">
      <alignment horizontal="left"/>
    </xf>
    <xf numFmtId="183" fontId="4" fillId="0" borderId="2" xfId="72" applyAlignment="1">
      <alignment horizontal="center"/>
    </xf>
    <xf numFmtId="183" fontId="4" fillId="0" borderId="2" xfId="72" applyAlignment="1"/>
    <xf numFmtId="183" fontId="4" fillId="0" borderId="2" xfId="72" applyFill="1">
      <alignment horizontal="center"/>
    </xf>
    <xf numFmtId="183" fontId="4" fillId="0" borderId="2" xfId="72" applyFill="1" applyAlignment="1"/>
    <xf numFmtId="4" fontId="4" fillId="0" borderId="2" xfId="72" applyNumberFormat="1" applyFill="1">
      <alignment horizontal="center"/>
    </xf>
    <xf numFmtId="183" fontId="5" fillId="0" borderId="3" xfId="73" applyFill="1"/>
    <xf numFmtId="3" fontId="16" fillId="0" borderId="0" xfId="0" applyNumberFormat="1" applyFont="1" applyFill="1" applyBorder="1" applyAlignment="1">
      <alignment horizontal="right"/>
    </xf>
    <xf numFmtId="165" fontId="5" fillId="0" borderId="3" xfId="73" applyNumberFormat="1" applyFill="1"/>
    <xf numFmtId="165" fontId="5" fillId="0" borderId="3" xfId="73" applyNumberFormat="1" applyFill="1" applyAlignment="1">
      <alignment horizontal="right"/>
    </xf>
    <xf numFmtId="165" fontId="5" fillId="0" borderId="3" xfId="73" applyNumberFormat="1"/>
    <xf numFmtId="183" fontId="0" fillId="0" borderId="0" xfId="0" applyFont="1" applyFill="1" applyBorder="1" applyAlignment="1">
      <alignment wrapText="1"/>
    </xf>
    <xf numFmtId="9" fontId="16" fillId="0" borderId="0" xfId="0" applyNumberFormat="1" applyFont="1" applyFill="1" applyBorder="1" applyAlignment="1">
      <alignment horizontal="right"/>
    </xf>
    <xf numFmtId="4" fontId="4" fillId="0" borderId="2" xfId="72" applyNumberFormat="1">
      <alignment horizontal="center"/>
    </xf>
    <xf numFmtId="3" fontId="0" fillId="0" borderId="0" xfId="0" applyNumberFormat="1" applyFont="1" applyBorder="1" applyAlignment="1"/>
    <xf numFmtId="165" fontId="0" fillId="0" borderId="0" xfId="0" applyNumberFormat="1" applyFont="1" applyBorder="1" applyAlignment="1"/>
    <xf numFmtId="165" fontId="0" fillId="0" borderId="0" xfId="0" applyNumberFormat="1" applyFont="1" applyFill="1" applyBorder="1" applyAlignment="1"/>
    <xf numFmtId="3" fontId="0" fillId="0" borderId="0" xfId="0" applyNumberFormat="1" applyFont="1" applyFill="1" applyBorder="1" applyAlignment="1"/>
    <xf numFmtId="3" fontId="16" fillId="0" borderId="0" xfId="0" applyNumberFormat="1" applyFont="1" applyBorder="1" applyAlignment="1">
      <alignment horizontal="right"/>
    </xf>
    <xf numFmtId="183" fontId="26" fillId="38" borderId="0" xfId="43">
      <alignment horizontal="center"/>
    </xf>
    <xf numFmtId="183" fontId="13" fillId="40" borderId="0" xfId="42">
      <alignment horizontal="center"/>
    </xf>
    <xf numFmtId="183" fontId="26" fillId="38" borderId="0" xfId="43" applyAlignment="1">
      <alignment horizontal="center"/>
    </xf>
    <xf numFmtId="183" fontId="16" fillId="37" borderId="0" xfId="44">
      <alignment horizontal="center"/>
    </xf>
    <xf numFmtId="9" fontId="4" fillId="0" borderId="2" xfId="72" applyNumberFormat="1">
      <alignment horizontal="center"/>
    </xf>
    <xf numFmtId="3" fontId="16" fillId="0" borderId="0" xfId="0" applyNumberFormat="1" applyFont="1" applyBorder="1"/>
    <xf numFmtId="164" fontId="0" fillId="33" borderId="0" xfId="0" applyNumberFormat="1" applyFont="1" applyFill="1" applyBorder="1" applyAlignment="1">
      <alignment horizontal="left"/>
    </xf>
    <xf numFmtId="183" fontId="0" fillId="33" borderId="11" xfId="0" applyFont="1" applyFill="1" applyBorder="1" applyAlignment="1">
      <alignment horizontal="left"/>
    </xf>
    <xf numFmtId="164" fontId="0" fillId="33" borderId="0" xfId="0" applyNumberFormat="1" applyFont="1" applyFill="1" applyBorder="1" applyAlignment="1">
      <alignment horizontal="right"/>
    </xf>
    <xf numFmtId="164" fontId="27" fillId="33" borderId="0" xfId="0" applyNumberFormat="1" applyFont="1" applyFill="1" applyBorder="1" applyAlignment="1"/>
    <xf numFmtId="165" fontId="0" fillId="34" borderId="15" xfId="0" applyNumberFormat="1" applyFont="1" applyFill="1" applyBorder="1" applyAlignment="1">
      <alignment horizontal="center"/>
    </xf>
    <xf numFmtId="165" fontId="0" fillId="34" borderId="16" xfId="0" applyNumberFormat="1" applyFont="1" applyFill="1" applyBorder="1" applyAlignment="1">
      <alignment horizontal="center"/>
    </xf>
    <xf numFmtId="164" fontId="22" fillId="33" borderId="15" xfId="0" applyNumberFormat="1" applyFont="1" applyFill="1" applyBorder="1" applyAlignment="1">
      <alignment horizontal="center"/>
    </xf>
    <xf numFmtId="164" fontId="22" fillId="33" borderId="16" xfId="0" applyNumberFormat="1" applyFont="1" applyFill="1" applyBorder="1" applyAlignment="1">
      <alignment horizontal="center"/>
    </xf>
    <xf numFmtId="183" fontId="0" fillId="33" borderId="15" xfId="0" applyFont="1" applyFill="1" applyBorder="1" applyAlignment="1">
      <alignment horizontal="center"/>
    </xf>
    <xf numFmtId="183" fontId="0" fillId="33" borderId="16" xfId="0" applyFont="1" applyFill="1" applyBorder="1" applyAlignment="1">
      <alignment horizontal="center"/>
    </xf>
    <xf numFmtId="183" fontId="14" fillId="33" borderId="15" xfId="0" applyFont="1" applyFill="1" applyBorder="1" applyAlignment="1">
      <alignment horizontal="center"/>
    </xf>
    <xf numFmtId="183" fontId="14" fillId="33" borderId="16" xfId="0" applyFont="1" applyFill="1" applyBorder="1" applyAlignment="1">
      <alignment horizontal="center"/>
    </xf>
    <xf numFmtId="164" fontId="0" fillId="33" borderId="0" xfId="0" applyNumberFormat="1" applyFont="1" applyFill="1" applyBorder="1" applyAlignment="1"/>
    <xf numFmtId="164" fontId="27" fillId="33" borderId="0" xfId="0" applyNumberFormat="1" applyFont="1" applyFill="1" applyBorder="1" applyAlignment="1">
      <alignment horizontal="left"/>
    </xf>
    <xf numFmtId="183" fontId="14" fillId="33" borderId="0" xfId="0" applyFont="1" applyFill="1" applyAlignment="1">
      <alignment horizontal="right"/>
    </xf>
    <xf numFmtId="9" fontId="0" fillId="33" borderId="0" xfId="0" applyNumberFormat="1" applyFont="1" applyFill="1" applyBorder="1" applyAlignment="1">
      <alignment horizontal="center"/>
    </xf>
    <xf numFmtId="4" fontId="0" fillId="0" borderId="0" xfId="0" applyNumberFormat="1" applyFill="1" applyAlignment="1">
      <alignment horizontal="center"/>
    </xf>
    <xf numFmtId="22" fontId="1" fillId="0" borderId="0" xfId="46" applyNumberFormat="1" applyFont="1" applyFill="1" applyAlignment="1">
      <alignment horizontal="center"/>
    </xf>
    <xf numFmtId="183" fontId="0" fillId="0" borderId="0" xfId="0" applyFont="1" applyFill="1" applyAlignment="1">
      <alignment horizontal="center"/>
    </xf>
    <xf numFmtId="3" fontId="0" fillId="0" borderId="0" xfId="0" applyNumberFormat="1" applyFont="1" applyFill="1" applyAlignment="1">
      <alignment horizontal="center"/>
    </xf>
    <xf numFmtId="183" fontId="3" fillId="0" borderId="1" xfId="71" applyFill="1" applyAlignment="1">
      <alignment horizontal="center"/>
    </xf>
    <xf numFmtId="183" fontId="0" fillId="34" borderId="0" xfId="0" applyFont="1" applyFill="1" applyBorder="1" applyAlignment="1">
      <alignment horizontal="left"/>
    </xf>
    <xf numFmtId="4" fontId="0" fillId="0" borderId="0" xfId="0" applyNumberFormat="1" applyFill="1"/>
    <xf numFmtId="183" fontId="0" fillId="0" borderId="0" xfId="0" applyFill="1" applyAlignment="1">
      <alignment horizontal="center"/>
    </xf>
    <xf numFmtId="183" fontId="16" fillId="0" borderId="13" xfId="0" applyFont="1" applyFill="1" applyBorder="1" applyAlignment="1">
      <alignment horizontal="center"/>
    </xf>
    <xf numFmtId="4" fontId="0" fillId="0" borderId="0" xfId="0" applyNumberFormat="1" applyFill="1" applyAlignment="1">
      <alignment horizontal="center" vertical="center"/>
    </xf>
    <xf numFmtId="3" fontId="0" fillId="0" borderId="0" xfId="44" applyNumberFormat="1" applyFont="1" applyFill="1" applyBorder="1" applyAlignment="1">
      <alignment horizontal="right"/>
    </xf>
    <xf numFmtId="183" fontId="0" fillId="0" borderId="0" xfId="44" applyFont="1" applyFill="1" applyBorder="1" applyAlignment="1">
      <alignment horizontal="left"/>
    </xf>
    <xf numFmtId="169" fontId="0" fillId="0" borderId="0" xfId="0" applyNumberFormat="1" applyAlignment="1">
      <alignment horizontal="right"/>
    </xf>
    <xf numFmtId="183" fontId="16" fillId="37" borderId="0" xfId="44" applyAlignment="1">
      <alignment horizontal="left"/>
    </xf>
    <xf numFmtId="3" fontId="14" fillId="33" borderId="0" xfId="0" applyNumberFormat="1" applyFont="1" applyFill="1" applyAlignment="1">
      <alignment horizontal="center"/>
    </xf>
    <xf numFmtId="164" fontId="0" fillId="33" borderId="11" xfId="0" applyNumberFormat="1" applyFont="1" applyFill="1" applyBorder="1" applyAlignment="1">
      <alignment horizontal="left"/>
    </xf>
    <xf numFmtId="183" fontId="4" fillId="0" borderId="2" xfId="72" applyAlignment="1">
      <alignment horizontal="left"/>
    </xf>
    <xf numFmtId="165" fontId="18" fillId="0" borderId="0" xfId="0" applyNumberFormat="1" applyFont="1" applyBorder="1" applyAlignment="1">
      <alignment horizontal="left"/>
    </xf>
    <xf numFmtId="183" fontId="3" fillId="0" borderId="1" xfId="71" applyAlignment="1">
      <alignment horizontal="center"/>
    </xf>
    <xf numFmtId="3" fontId="4" fillId="0" borderId="2" xfId="72" applyNumberFormat="1" applyFill="1">
      <alignment horizontal="center"/>
    </xf>
    <xf numFmtId="22" fontId="1" fillId="0" borderId="0" xfId="46" applyNumberFormat="1" applyFont="1" applyFill="1" applyAlignment="1">
      <alignment horizontal="right"/>
    </xf>
    <xf numFmtId="165" fontId="1" fillId="0" borderId="0" xfId="46" applyNumberFormat="1" applyFill="1" applyAlignment="1">
      <alignment horizontal="right"/>
    </xf>
    <xf numFmtId="6" fontId="0" fillId="0" borderId="0" xfId="0" applyNumberFormat="1"/>
    <xf numFmtId="3" fontId="1" fillId="38" borderId="0" xfId="46" applyNumberFormat="1">
      <alignment horizontal="center"/>
    </xf>
    <xf numFmtId="183" fontId="4" fillId="33" borderId="2" xfId="72" applyFill="1">
      <alignment horizontal="center"/>
    </xf>
    <xf numFmtId="165" fontId="0" fillId="33" borderId="0" xfId="0" applyNumberFormat="1" applyFont="1" applyFill="1" applyBorder="1" applyAlignment="1">
      <alignment horizontal="left"/>
    </xf>
    <xf numFmtId="3" fontId="0" fillId="34" borderId="0" xfId="0" applyNumberFormat="1" applyFill="1"/>
    <xf numFmtId="183" fontId="4" fillId="0" borderId="2" xfId="72">
      <alignment horizontal="center"/>
    </xf>
    <xf numFmtId="6" fontId="0" fillId="33" borderId="0" xfId="0" applyNumberFormat="1" applyFill="1"/>
    <xf numFmtId="4" fontId="0" fillId="33" borderId="0" xfId="0" applyNumberFormat="1" applyFont="1" applyFill="1" applyBorder="1" applyAlignment="1">
      <alignment horizontal="center"/>
    </xf>
    <xf numFmtId="4" fontId="16" fillId="33" borderId="0" xfId="0" applyNumberFormat="1" applyFont="1" applyFill="1" applyBorder="1" applyAlignment="1">
      <alignment horizontal="center"/>
    </xf>
    <xf numFmtId="4" fontId="0" fillId="0" borderId="0" xfId="0" applyNumberFormat="1" applyBorder="1" applyAlignment="1">
      <alignment horizontal="right"/>
    </xf>
    <xf numFmtId="3" fontId="1" fillId="38" borderId="0" xfId="46" applyNumberFormat="1" applyAlignment="1">
      <alignment horizontal="right"/>
    </xf>
    <xf numFmtId="22" fontId="1" fillId="33" borderId="0" xfId="46" applyNumberFormat="1" applyFont="1" applyFill="1" applyAlignment="1">
      <alignment horizontal="right"/>
    </xf>
    <xf numFmtId="4" fontId="0" fillId="33" borderId="0" xfId="0" applyNumberFormat="1" applyFont="1" applyFill="1" applyBorder="1" applyAlignment="1">
      <alignment horizontal="right"/>
    </xf>
    <xf numFmtId="3" fontId="0" fillId="33" borderId="0" xfId="0" applyNumberFormat="1" applyFont="1" applyFill="1" applyBorder="1" applyAlignment="1">
      <alignment horizontal="right"/>
    </xf>
    <xf numFmtId="9" fontId="0" fillId="33" borderId="0" xfId="0" applyNumberFormat="1" applyFont="1" applyFill="1" applyBorder="1" applyAlignment="1">
      <alignment horizontal="right"/>
    </xf>
    <xf numFmtId="3" fontId="1" fillId="33" borderId="0" xfId="46" applyNumberFormat="1" applyFill="1" applyAlignment="1">
      <alignment horizontal="right"/>
    </xf>
    <xf numFmtId="2" fontId="1" fillId="33" borderId="0" xfId="46" applyFill="1" applyAlignment="1">
      <alignment horizontal="right"/>
    </xf>
    <xf numFmtId="183" fontId="16" fillId="33" borderId="0" xfId="44" applyFill="1">
      <alignment horizontal="center"/>
    </xf>
    <xf numFmtId="169" fontId="0" fillId="33" borderId="0" xfId="0" applyNumberFormat="1" applyFill="1" applyAlignment="1">
      <alignment horizontal="right"/>
    </xf>
    <xf numFmtId="4" fontId="0" fillId="33" borderId="0" xfId="44" applyNumberFormat="1" applyFont="1" applyFill="1" applyBorder="1" applyAlignment="1">
      <alignment horizontal="right"/>
    </xf>
    <xf numFmtId="4" fontId="0" fillId="33" borderId="0" xfId="0" applyNumberFormat="1" applyFont="1" applyFill="1" applyBorder="1"/>
    <xf numFmtId="3" fontId="0" fillId="33" borderId="0" xfId="0" applyNumberFormat="1" applyFill="1" applyBorder="1"/>
    <xf numFmtId="4" fontId="18" fillId="33" borderId="0" xfId="0" applyNumberFormat="1" applyFont="1" applyFill="1" applyBorder="1"/>
    <xf numFmtId="3" fontId="4" fillId="33" borderId="2" xfId="72" applyNumberFormat="1" applyFill="1">
      <alignment horizontal="center"/>
    </xf>
    <xf numFmtId="170" fontId="0" fillId="33" borderId="0" xfId="0" applyNumberFormat="1" applyFont="1" applyFill="1" applyBorder="1"/>
    <xf numFmtId="176" fontId="0" fillId="0" borderId="0" xfId="0" applyNumberFormat="1" applyFont="1" applyFill="1" applyBorder="1"/>
    <xf numFmtId="4" fontId="1" fillId="38" borderId="0" xfId="46" applyNumberFormat="1" applyAlignment="1">
      <alignment horizontal="right"/>
    </xf>
    <xf numFmtId="3" fontId="0" fillId="0" borderId="0" xfId="0" applyNumberFormat="1" applyFill="1" applyAlignment="1">
      <alignment horizontal="center" vertical="center"/>
    </xf>
    <xf numFmtId="10" fontId="0" fillId="0" borderId="0" xfId="0" applyNumberFormat="1" applyFill="1" applyAlignment="1">
      <alignment horizontal="center" vertical="center"/>
    </xf>
    <xf numFmtId="6" fontId="0" fillId="0" borderId="0" xfId="0" applyNumberFormat="1" applyFill="1" applyAlignment="1">
      <alignment horizontal="center" vertical="center"/>
    </xf>
    <xf numFmtId="183" fontId="3" fillId="0" borderId="1" xfId="71" applyAlignment="1">
      <alignment horizontal="center"/>
    </xf>
    <xf numFmtId="10" fontId="0" fillId="0" borderId="0" xfId="0" applyNumberFormat="1" applyBorder="1"/>
    <xf numFmtId="166" fontId="0" fillId="0" borderId="0" xfId="0" applyNumberFormat="1" applyBorder="1"/>
    <xf numFmtId="3" fontId="18" fillId="0" borderId="0" xfId="43" applyNumberFormat="1" applyFont="1" applyFill="1" applyBorder="1" applyAlignment="1">
      <alignment horizontal="right"/>
    </xf>
    <xf numFmtId="207" fontId="0" fillId="0" borderId="0" xfId="0" applyNumberFormat="1" applyFont="1" applyFill="1" applyBorder="1"/>
    <xf numFmtId="194" fontId="0" fillId="0" borderId="0" xfId="0" applyNumberFormat="1" applyBorder="1"/>
    <xf numFmtId="183" fontId="16" fillId="33" borderId="0" xfId="0" applyFont="1" applyFill="1" applyBorder="1" applyAlignment="1">
      <alignment vertical="center"/>
    </xf>
    <xf numFmtId="3" fontId="1" fillId="0" borderId="0" xfId="46" applyNumberFormat="1" applyFill="1" applyAlignment="1">
      <alignment horizontal="right"/>
    </xf>
    <xf numFmtId="3" fontId="0" fillId="0" borderId="0" xfId="0" applyNumberFormat="1" applyAlignment="1">
      <alignment horizontal="right"/>
    </xf>
    <xf numFmtId="4" fontId="1" fillId="0" borderId="0" xfId="46" applyNumberFormat="1" applyFill="1" applyAlignment="1">
      <alignment horizontal="right"/>
    </xf>
    <xf numFmtId="166" fontId="18" fillId="0" borderId="0" xfId="43" applyNumberFormat="1" applyFont="1" applyFill="1" applyBorder="1" applyAlignment="1">
      <alignment horizontal="right"/>
    </xf>
    <xf numFmtId="9" fontId="0" fillId="34" borderId="0" xfId="0" applyNumberFormat="1" applyFont="1" applyFill="1" applyBorder="1"/>
    <xf numFmtId="9" fontId="0" fillId="0" borderId="0" xfId="0" applyNumberFormat="1" applyAlignment="1">
      <alignment horizontal="right"/>
    </xf>
    <xf numFmtId="4" fontId="0" fillId="34" borderId="0" xfId="0" applyNumberFormat="1" applyFill="1"/>
    <xf numFmtId="183" fontId="4" fillId="0" borderId="2" xfId="72">
      <alignment horizontal="center"/>
    </xf>
    <xf numFmtId="3" fontId="14" fillId="33" borderId="0" xfId="0" applyNumberFormat="1" applyFont="1" applyFill="1" applyAlignment="1">
      <alignment horizontal="left"/>
    </xf>
    <xf numFmtId="10" fontId="0" fillId="0" borderId="0" xfId="0" applyNumberFormat="1" applyFill="1" applyBorder="1"/>
    <xf numFmtId="169" fontId="0" fillId="0" borderId="0" xfId="0" applyNumberFormat="1" applyFont="1" applyFill="1" applyBorder="1"/>
    <xf numFmtId="3" fontId="16" fillId="0" borderId="0" xfId="0" applyNumberFormat="1" applyFont="1" applyAlignment="1">
      <alignment horizontal="center"/>
    </xf>
    <xf numFmtId="3" fontId="16" fillId="33" borderId="0" xfId="0" applyNumberFormat="1" applyFont="1" applyFill="1" applyAlignment="1">
      <alignment horizontal="center"/>
    </xf>
    <xf numFmtId="4" fontId="0" fillId="33" borderId="0" xfId="0" applyNumberFormat="1" applyFont="1" applyFill="1" applyAlignment="1">
      <alignment horizontal="right"/>
    </xf>
    <xf numFmtId="208" fontId="0" fillId="0" borderId="0" xfId="0" applyNumberFormat="1" applyFill="1" applyBorder="1" applyAlignment="1">
      <alignment horizontal="center"/>
    </xf>
    <xf numFmtId="169" fontId="1" fillId="0" borderId="0" xfId="46" applyNumberFormat="1" applyFill="1" applyAlignment="1">
      <alignment horizontal="right"/>
    </xf>
    <xf numFmtId="3" fontId="16" fillId="0" borderId="0" xfId="0" applyNumberFormat="1" applyFont="1" applyBorder="1" applyAlignment="1">
      <alignment horizontal="center"/>
    </xf>
    <xf numFmtId="3" fontId="0" fillId="0" borderId="0" xfId="0" applyNumberFormat="1" applyBorder="1" applyAlignment="1">
      <alignment horizontal="right"/>
    </xf>
    <xf numFmtId="4" fontId="16" fillId="0" borderId="0" xfId="0" applyNumberFormat="1" applyFont="1" applyBorder="1" applyAlignment="1">
      <alignment horizontal="center"/>
    </xf>
    <xf numFmtId="3" fontId="16" fillId="0" borderId="0" xfId="0" applyNumberFormat="1" applyFont="1" applyFill="1" applyBorder="1" applyAlignment="1">
      <alignment horizontal="center"/>
    </xf>
    <xf numFmtId="183" fontId="0" fillId="0" borderId="0" xfId="44" applyFont="1" applyFill="1" applyBorder="1" applyAlignment="1">
      <alignment horizontal="right"/>
    </xf>
    <xf numFmtId="4" fontId="0" fillId="0" borderId="0" xfId="0" applyNumberFormat="1" applyBorder="1" applyAlignment="1">
      <alignment horizontal="center"/>
    </xf>
    <xf numFmtId="4" fontId="27" fillId="33" borderId="0" xfId="0" applyNumberFormat="1" applyFont="1" applyFill="1" applyBorder="1" applyAlignment="1">
      <alignment horizontal="right"/>
    </xf>
    <xf numFmtId="4" fontId="0" fillId="34" borderId="0" xfId="44" applyNumberFormat="1" applyFont="1" applyFill="1" applyBorder="1" applyAlignment="1">
      <alignment horizontal="right"/>
    </xf>
    <xf numFmtId="165" fontId="0" fillId="33" borderId="0" xfId="0" applyNumberFormat="1" applyFill="1" applyBorder="1" applyAlignment="1">
      <alignment horizontal="center"/>
    </xf>
    <xf numFmtId="4" fontId="16" fillId="0" borderId="0" xfId="0" applyNumberFormat="1" applyFont="1" applyFill="1" applyBorder="1"/>
    <xf numFmtId="183" fontId="32" fillId="0" borderId="0" xfId="47085" applyFill="1" applyBorder="1" applyAlignment="1" applyProtection="1">
      <alignment horizontal="center"/>
    </xf>
    <xf numFmtId="3" fontId="0" fillId="33" borderId="0" xfId="0" applyNumberFormat="1" applyFont="1" applyFill="1" applyBorder="1" applyAlignment="1">
      <alignment horizontal="center" vertical="center"/>
    </xf>
    <xf numFmtId="4" fontId="0" fillId="0" borderId="0" xfId="0" quotePrefix="1" applyNumberFormat="1" applyFont="1" applyFill="1" applyBorder="1"/>
    <xf numFmtId="183" fontId="0" fillId="0" borderId="0" xfId="0" quotePrefix="1" applyFont="1" applyFill="1" applyBorder="1"/>
    <xf numFmtId="3" fontId="0" fillId="34" borderId="0" xfId="0" applyNumberFormat="1" applyFont="1" applyFill="1" applyBorder="1" applyAlignment="1">
      <alignment horizontal="center"/>
    </xf>
    <xf numFmtId="10" fontId="0" fillId="33" borderId="0" xfId="0" applyNumberFormat="1" applyFont="1" applyFill="1" applyBorder="1" applyAlignment="1">
      <alignment horizontal="center"/>
    </xf>
    <xf numFmtId="9" fontId="0" fillId="34" borderId="0" xfId="0" applyNumberFormat="1" applyFont="1" applyFill="1" applyBorder="1" applyAlignment="1">
      <alignment horizontal="right"/>
    </xf>
    <xf numFmtId="3" fontId="0" fillId="34" borderId="0" xfId="0" applyNumberFormat="1" applyFont="1" applyFill="1" applyBorder="1"/>
    <xf numFmtId="4" fontId="0" fillId="0" borderId="0" xfId="0" quotePrefix="1" applyNumberFormat="1" applyBorder="1" applyAlignment="1">
      <alignment horizontal="center"/>
    </xf>
    <xf numFmtId="2" fontId="16" fillId="0" borderId="0" xfId="0" applyNumberFormat="1" applyFont="1" applyFill="1" applyBorder="1" applyAlignment="1">
      <alignment horizontal="center"/>
    </xf>
    <xf numFmtId="3" fontId="18" fillId="0" borderId="0" xfId="0" applyNumberFormat="1" applyFont="1" applyFill="1" applyBorder="1"/>
    <xf numFmtId="165" fontId="0" fillId="0" borderId="0" xfId="0" applyNumberFormat="1" applyBorder="1" applyAlignment="1">
      <alignment horizontal="center"/>
    </xf>
    <xf numFmtId="4" fontId="0" fillId="35" borderId="0" xfId="0" applyNumberFormat="1" applyFill="1" applyBorder="1"/>
    <xf numFmtId="4" fontId="28" fillId="0" borderId="0" xfId="0" applyNumberFormat="1" applyFont="1" applyBorder="1" applyAlignment="1">
      <alignment horizontal="center"/>
    </xf>
    <xf numFmtId="4" fontId="0" fillId="0" borderId="0" xfId="0" quotePrefix="1" applyNumberFormat="1" applyFill="1" applyBorder="1"/>
    <xf numFmtId="183" fontId="16" fillId="79" borderId="0" xfId="0" applyFont="1" applyFill="1" applyBorder="1"/>
    <xf numFmtId="3" fontId="0" fillId="34" borderId="0" xfId="44" applyNumberFormat="1" applyFont="1" applyFill="1" applyBorder="1" applyAlignment="1">
      <alignment horizontal="right"/>
    </xf>
    <xf numFmtId="4" fontId="0" fillId="34" borderId="0" xfId="0" applyNumberFormat="1" applyFont="1" applyFill="1" applyBorder="1"/>
    <xf numFmtId="169" fontId="18" fillId="33" borderId="0" xfId="0" applyNumberFormat="1" applyFont="1" applyFill="1" applyBorder="1"/>
    <xf numFmtId="183" fontId="194" fillId="0" borderId="2" xfId="72" applyFont="1" applyAlignment="1">
      <alignment horizontal="left"/>
    </xf>
    <xf numFmtId="3" fontId="26" fillId="0" borderId="0" xfId="42" applyNumberFormat="1" applyFont="1" applyFill="1" applyBorder="1" applyAlignment="1">
      <alignment horizontal="left"/>
    </xf>
    <xf numFmtId="9" fontId="18" fillId="0" borderId="0" xfId="42" applyNumberFormat="1" applyFont="1" applyFill="1" applyBorder="1" applyAlignment="1">
      <alignment horizontal="right"/>
    </xf>
    <xf numFmtId="3" fontId="0" fillId="80" borderId="0" xfId="0" applyNumberFormat="1" applyFont="1" applyFill="1" applyBorder="1"/>
    <xf numFmtId="183" fontId="32" fillId="0" borderId="0" xfId="47085" applyFill="1" applyAlignment="1">
      <alignment horizontal="center"/>
    </xf>
    <xf numFmtId="4" fontId="32" fillId="0" borderId="0" xfId="47085" applyNumberFormat="1" applyFill="1" applyAlignment="1">
      <alignment horizontal="center"/>
    </xf>
    <xf numFmtId="4" fontId="0" fillId="0" borderId="0" xfId="0" applyNumberFormat="1" applyFont="1" applyFill="1" applyAlignment="1">
      <alignment horizontal="center"/>
    </xf>
    <xf numFmtId="183" fontId="16" fillId="0" borderId="46" xfId="0" applyFont="1" applyFill="1" applyBorder="1" applyAlignment="1">
      <alignment horizontal="center"/>
    </xf>
    <xf numFmtId="183" fontId="3" fillId="0" borderId="48" xfId="71" applyFill="1" applyBorder="1" applyAlignment="1">
      <alignment horizontal="center"/>
    </xf>
    <xf numFmtId="183" fontId="16" fillId="0" borderId="47" xfId="0" applyFont="1" applyFill="1" applyBorder="1" applyAlignment="1">
      <alignment horizontal="center"/>
    </xf>
    <xf numFmtId="22" fontId="1" fillId="0" borderId="47" xfId="46" applyNumberFormat="1" applyFont="1" applyFill="1" applyBorder="1" applyAlignment="1">
      <alignment horizontal="center"/>
    </xf>
    <xf numFmtId="2" fontId="1" fillId="38" borderId="47" xfId="46" applyBorder="1">
      <alignment horizontal="center"/>
    </xf>
    <xf numFmtId="3" fontId="1" fillId="38" borderId="47" xfId="46" applyNumberFormat="1" applyBorder="1">
      <alignment horizontal="center"/>
    </xf>
    <xf numFmtId="183" fontId="16" fillId="0" borderId="49" xfId="0" applyFont="1" applyFill="1" applyBorder="1" applyAlignment="1">
      <alignment horizontal="center"/>
    </xf>
    <xf numFmtId="183" fontId="0" fillId="0" borderId="47" xfId="0" applyFill="1" applyBorder="1" applyAlignment="1">
      <alignment horizontal="center"/>
    </xf>
    <xf numFmtId="183" fontId="0" fillId="0" borderId="47" xfId="0" applyFont="1" applyFill="1" applyBorder="1" applyAlignment="1">
      <alignment horizontal="center"/>
    </xf>
    <xf numFmtId="169" fontId="1" fillId="38" borderId="47" xfId="46" applyNumberFormat="1" applyBorder="1" applyAlignment="1">
      <alignment horizontal="center"/>
    </xf>
    <xf numFmtId="183" fontId="0" fillId="0" borderId="47" xfId="0" applyFill="1" applyBorder="1"/>
    <xf numFmtId="4" fontId="1" fillId="38" borderId="47" xfId="46" applyNumberFormat="1" applyBorder="1" applyAlignment="1">
      <alignment horizontal="center"/>
    </xf>
    <xf numFmtId="4" fontId="0" fillId="0" borderId="47" xfId="0" applyNumberFormat="1" applyFill="1" applyBorder="1"/>
    <xf numFmtId="209" fontId="0" fillId="33" borderId="0" xfId="0" applyNumberFormat="1" applyFont="1" applyFill="1" applyAlignment="1">
      <alignment horizontal="center" vertical="center"/>
    </xf>
    <xf numFmtId="183" fontId="3" fillId="0" borderId="50" xfId="71" applyFont="1" applyFill="1" applyBorder="1" applyAlignment="1">
      <alignment horizontal="center"/>
    </xf>
    <xf numFmtId="183" fontId="3" fillId="0" borderId="1" xfId="71" applyFont="1" applyFill="1" applyBorder="1" applyAlignment="1">
      <alignment horizontal="center"/>
    </xf>
    <xf numFmtId="2" fontId="0" fillId="33" borderId="0" xfId="0" applyNumberFormat="1" applyFont="1" applyFill="1" applyAlignment="1">
      <alignment horizontal="left"/>
    </xf>
    <xf numFmtId="4" fontId="16" fillId="0" borderId="0" xfId="0" applyNumberFormat="1" applyFont="1" applyAlignment="1">
      <alignment horizontal="center"/>
    </xf>
    <xf numFmtId="4" fontId="18" fillId="79" borderId="0" xfId="0" applyNumberFormat="1" applyFont="1" applyFill="1" applyBorder="1"/>
    <xf numFmtId="3" fontId="0" fillId="0" borderId="0" xfId="0" applyNumberFormat="1" applyFill="1" applyAlignment="1">
      <alignment horizontal="center"/>
    </xf>
    <xf numFmtId="9" fontId="0" fillId="33" borderId="0" xfId="0" applyNumberFormat="1" applyFont="1" applyFill="1" applyBorder="1"/>
  </cellXfs>
  <cellStyles count="47088">
    <cellStyle name="_x000a_386grabber=M" xfId="101" xr:uid="{00000000-0005-0000-0000-000001000000}"/>
    <cellStyle name=" 1" xfId="100" xr:uid="{00000000-0005-0000-0000-000000000000}"/>
    <cellStyle name="_CC" xfId="109" xr:uid="{00000000-0005-0000-0000-000009000000}"/>
    <cellStyle name="_CC 2" xfId="110" xr:uid="{00000000-0005-0000-0000-00000A000000}"/>
    <cellStyle name="_Cover Sheet" xfId="111" xr:uid="{00000000-0005-0000-0000-00000B000000}"/>
    <cellStyle name="_Cover Sheet 2" xfId="112" xr:uid="{00000000-0005-0000-0000-00000C000000}"/>
    <cellStyle name="_decDeclarations" xfId="113" xr:uid="{00000000-0005-0000-0000-00000D000000}"/>
    <cellStyle name="_decDeclarations 2" xfId="114" xr:uid="{00000000-0005-0000-0000-00000E000000}"/>
    <cellStyle name="_DFN_OLD" xfId="115" xr:uid="{00000000-0005-0000-0000-00000F000000}"/>
    <cellStyle name="_DFN_OLD 2" xfId="116" xr:uid="{00000000-0005-0000-0000-000010000000}"/>
    <cellStyle name="_dlgParameters" xfId="117" xr:uid="{00000000-0005-0000-0000-000011000000}"/>
    <cellStyle name="_dlgParameters 2" xfId="118" xr:uid="{00000000-0005-0000-0000-000012000000}"/>
    <cellStyle name="_libdlgLogon" xfId="119" xr:uid="{00000000-0005-0000-0000-000013000000}"/>
    <cellStyle name="_libdlgLogon 2" xfId="120" xr:uid="{00000000-0005-0000-0000-000014000000}"/>
    <cellStyle name="_libmodControl" xfId="121" xr:uid="{00000000-0005-0000-0000-000015000000}"/>
    <cellStyle name="_libmodControl 2" xfId="122" xr:uid="{00000000-0005-0000-0000-000016000000}"/>
    <cellStyle name="_libmodDatabase" xfId="123" xr:uid="{00000000-0005-0000-0000-000017000000}"/>
    <cellStyle name="_libmodDatabase 2" xfId="124" xr:uid="{00000000-0005-0000-0000-000018000000}"/>
    <cellStyle name="_libmodErrorHand" xfId="125" xr:uid="{00000000-0005-0000-0000-000019000000}"/>
    <cellStyle name="_libmodErrorHand 2" xfId="126" xr:uid="{00000000-0005-0000-0000-00001A000000}"/>
    <cellStyle name="_libmodMailing" xfId="127" xr:uid="{00000000-0005-0000-0000-00001B000000}"/>
    <cellStyle name="_libmodMailing 2" xfId="128" xr:uid="{00000000-0005-0000-0000-00001C000000}"/>
    <cellStyle name="_libmodParameters" xfId="129" xr:uid="{00000000-0005-0000-0000-00001D000000}"/>
    <cellStyle name="_libmodParameters 2" xfId="130" xr:uid="{00000000-0005-0000-0000-00001E000000}"/>
    <cellStyle name="_libmodRepUserSetup" xfId="131" xr:uid="{00000000-0005-0000-0000-00001F000000}"/>
    <cellStyle name="_libmodRepUserSetup 2" xfId="132" xr:uid="{00000000-0005-0000-0000-000020000000}"/>
    <cellStyle name="_libmodSelects" xfId="133" xr:uid="{00000000-0005-0000-0000-000021000000}"/>
    <cellStyle name="_libmodSelects 2" xfId="134" xr:uid="{00000000-0005-0000-0000-000022000000}"/>
    <cellStyle name="_libmodStartup" xfId="135" xr:uid="{00000000-0005-0000-0000-000023000000}"/>
    <cellStyle name="_libmodStartup 2" xfId="136" xr:uid="{00000000-0005-0000-0000-000024000000}"/>
    <cellStyle name="_libmodToolbarMenu" xfId="137" xr:uid="{00000000-0005-0000-0000-000025000000}"/>
    <cellStyle name="_libmodToolbarMenu 2" xfId="138" xr:uid="{00000000-0005-0000-0000-000026000000}"/>
    <cellStyle name="_libmodUtility" xfId="139" xr:uid="{00000000-0005-0000-0000-000027000000}"/>
    <cellStyle name="_libmodUtility 2" xfId="140" xr:uid="{00000000-0005-0000-0000-000028000000}"/>
    <cellStyle name="_Mailing List" xfId="141" xr:uid="{00000000-0005-0000-0000-000029000000}"/>
    <cellStyle name="_Mailing List 2" xfId="142" xr:uid="{00000000-0005-0000-0000-00002A000000}"/>
    <cellStyle name="_modParameters" xfId="143" xr:uid="{00000000-0005-0000-0000-00002B000000}"/>
    <cellStyle name="_modParameters 2" xfId="144" xr:uid="{00000000-0005-0000-0000-00002C000000}"/>
    <cellStyle name="_modReportCode" xfId="145" xr:uid="{00000000-0005-0000-0000-00002D000000}"/>
    <cellStyle name="_modReportCode 2" xfId="146" xr:uid="{00000000-0005-0000-0000-00002E000000}"/>
    <cellStyle name="_msgMessages" xfId="147" xr:uid="{00000000-0005-0000-0000-00002F000000}"/>
    <cellStyle name="_msgMessages 2" xfId="148" xr:uid="{00000000-0005-0000-0000-000030000000}"/>
    <cellStyle name="_wrkDataLoad" xfId="149" xr:uid="{00000000-0005-0000-0000-000031000000}"/>
    <cellStyle name="_wrkDataLoad 2" xfId="150" xr:uid="{00000000-0005-0000-0000-000032000000}"/>
    <cellStyle name="_wrkParameters" xfId="151" xr:uid="{00000000-0005-0000-0000-000033000000}"/>
    <cellStyle name="_wrkParameters 2" xfId="152" xr:uid="{00000000-0005-0000-0000-000034000000}"/>
    <cellStyle name="_wrkSelectList" xfId="153" xr:uid="{00000000-0005-0000-0000-000035000000}"/>
    <cellStyle name="_wrkSelectList 2" xfId="154" xr:uid="{00000000-0005-0000-0000-000036000000}"/>
    <cellStyle name="_wrkTemplate" xfId="155" xr:uid="{00000000-0005-0000-0000-000037000000}"/>
    <cellStyle name="_wrkTemplate (2)" xfId="156" xr:uid="{00000000-0005-0000-0000-000038000000}"/>
    <cellStyle name="_wrkTemplate (2) 2" xfId="157" xr:uid="{00000000-0005-0000-0000-000039000000}"/>
    <cellStyle name="_wrkTemplate (2)_1" xfId="158" xr:uid="{00000000-0005-0000-0000-00003A000000}"/>
    <cellStyle name="_wrkTemplate (2)_1 2" xfId="159" xr:uid="{00000000-0005-0000-0000-00003B000000}"/>
    <cellStyle name="_wrkTemplate 10" xfId="160" xr:uid="{00000000-0005-0000-0000-00003C000000}"/>
    <cellStyle name="_wrkTemplate 11" xfId="161" xr:uid="{00000000-0005-0000-0000-00003D000000}"/>
    <cellStyle name="_wrkTemplate 12" xfId="162" xr:uid="{00000000-0005-0000-0000-00003E000000}"/>
    <cellStyle name="_wrkTemplate 13" xfId="163" xr:uid="{00000000-0005-0000-0000-00003F000000}"/>
    <cellStyle name="_wrkTemplate 14" xfId="164" xr:uid="{00000000-0005-0000-0000-000040000000}"/>
    <cellStyle name="_wrkTemplate 15" xfId="165" xr:uid="{00000000-0005-0000-0000-000041000000}"/>
    <cellStyle name="_wrkTemplate 16" xfId="166" xr:uid="{00000000-0005-0000-0000-000042000000}"/>
    <cellStyle name="_wrkTemplate 17" xfId="167" xr:uid="{00000000-0005-0000-0000-000043000000}"/>
    <cellStyle name="_wrkTemplate 18" xfId="168" xr:uid="{00000000-0005-0000-0000-000044000000}"/>
    <cellStyle name="_wrkTemplate 19" xfId="169" xr:uid="{00000000-0005-0000-0000-000045000000}"/>
    <cellStyle name="_wrkTemplate 2" xfId="170" xr:uid="{00000000-0005-0000-0000-000046000000}"/>
    <cellStyle name="_wrkTemplate 20" xfId="171" xr:uid="{00000000-0005-0000-0000-000047000000}"/>
    <cellStyle name="_wrkTemplate 21" xfId="172" xr:uid="{00000000-0005-0000-0000-000048000000}"/>
    <cellStyle name="_wrkTemplate 22" xfId="173" xr:uid="{00000000-0005-0000-0000-000049000000}"/>
    <cellStyle name="_wrkTemplate 23" xfId="174" xr:uid="{00000000-0005-0000-0000-00004A000000}"/>
    <cellStyle name="_wrkTemplate 24" xfId="175" xr:uid="{00000000-0005-0000-0000-00004B000000}"/>
    <cellStyle name="_wrkTemplate 25" xfId="176" xr:uid="{00000000-0005-0000-0000-00004C000000}"/>
    <cellStyle name="_wrkTemplate 26" xfId="177" xr:uid="{00000000-0005-0000-0000-00004D000000}"/>
    <cellStyle name="_wrkTemplate 27" xfId="178" xr:uid="{00000000-0005-0000-0000-00004E000000}"/>
    <cellStyle name="_wrkTemplate 28" xfId="179" xr:uid="{00000000-0005-0000-0000-00004F000000}"/>
    <cellStyle name="_wrkTemplate 29" xfId="180" xr:uid="{00000000-0005-0000-0000-000050000000}"/>
    <cellStyle name="_wrkTemplate 3" xfId="181" xr:uid="{00000000-0005-0000-0000-000051000000}"/>
    <cellStyle name="_wrkTemplate 30" xfId="182" xr:uid="{00000000-0005-0000-0000-000052000000}"/>
    <cellStyle name="_wrkTemplate 31" xfId="183" xr:uid="{00000000-0005-0000-0000-000053000000}"/>
    <cellStyle name="_wrkTemplate 32" xfId="184" xr:uid="{00000000-0005-0000-0000-000054000000}"/>
    <cellStyle name="_wrkTemplate 33" xfId="185" xr:uid="{00000000-0005-0000-0000-000055000000}"/>
    <cellStyle name="_wrkTemplate 34" xfId="186" xr:uid="{00000000-0005-0000-0000-000056000000}"/>
    <cellStyle name="_wrkTemplate 35" xfId="187" xr:uid="{00000000-0005-0000-0000-000057000000}"/>
    <cellStyle name="_wrkTemplate 36" xfId="188" xr:uid="{00000000-0005-0000-0000-000058000000}"/>
    <cellStyle name="_wrkTemplate 37" xfId="189" xr:uid="{00000000-0005-0000-0000-000059000000}"/>
    <cellStyle name="_wrkTemplate 38" xfId="190" xr:uid="{00000000-0005-0000-0000-00005A000000}"/>
    <cellStyle name="_wrkTemplate 39" xfId="191" xr:uid="{00000000-0005-0000-0000-00005B000000}"/>
    <cellStyle name="_wrkTemplate 4" xfId="192" xr:uid="{00000000-0005-0000-0000-00005C000000}"/>
    <cellStyle name="_wrkTemplate 40" xfId="193" xr:uid="{00000000-0005-0000-0000-00005D000000}"/>
    <cellStyle name="_wrkTemplate 5" xfId="194" xr:uid="{00000000-0005-0000-0000-00005E000000}"/>
    <cellStyle name="_wrkTemplate 6" xfId="195" xr:uid="{00000000-0005-0000-0000-00005F000000}"/>
    <cellStyle name="_wrkTemplate 7" xfId="196" xr:uid="{00000000-0005-0000-0000-000060000000}"/>
    <cellStyle name="_wrkTemplate 8" xfId="197" xr:uid="{00000000-0005-0000-0000-000061000000}"/>
    <cellStyle name="_wrkTemplate 9" xfId="198" xr:uid="{00000000-0005-0000-0000-000062000000}"/>
    <cellStyle name="?? [0]_ 2??? " xfId="107" xr:uid="{00000000-0005-0000-0000-000007000000}"/>
    <cellStyle name="??_ 2??? " xfId="108" xr:uid="{00000000-0005-0000-0000-000008000000}"/>
    <cellStyle name="# ##0" xfId="102" xr:uid="{00000000-0005-0000-0000-000002000000}"/>
    <cellStyle name="##" xfId="103" xr:uid="{00000000-0005-0000-0000-000003000000}"/>
    <cellStyle name="%" xfId="104" xr:uid="{00000000-0005-0000-0000-000004000000}"/>
    <cellStyle name="_x0002__x001c_%_x0012_%_x000e__x0002_ _x0016_%_x0018_%_x001a_%_x001a_*_x0002__x0008__x0004_" xfId="105" xr:uid="{00000000-0005-0000-0000-000005000000}"/>
    <cellStyle name="_x0002__x001c_%_x0012_%_x000e__x0002_ _x0016_%_x0018_%_x001a_%_x001a_*_x0002__x0008__x0004_ 2" xfId="106" xr:uid="{00000000-0005-0000-0000-000006000000}"/>
    <cellStyle name="=C:\WINNT\SYSTEM32\COMMAND.COM" xfId="199" xr:uid="{00000000-0005-0000-0000-000063000000}"/>
    <cellStyle name="=C:\WINNT\SYSTEM32\COMMAND.COM 2" xfId="200" xr:uid="{00000000-0005-0000-0000-000064000000}"/>
    <cellStyle name="=C:\WINNT\SYSTEM32\COMMAND.COM 2 2" xfId="201" xr:uid="{00000000-0005-0000-0000-000065000000}"/>
    <cellStyle name="=C:\WINNT\SYSTEM32\COMMAND.COM 2 2 2" xfId="202" xr:uid="{00000000-0005-0000-0000-000066000000}"/>
    <cellStyle name="=C:\WINNT\SYSTEM32\COMMAND.COM 2 2_Flow" xfId="203" xr:uid="{00000000-0005-0000-0000-000067000000}"/>
    <cellStyle name="=C:\WINNT\SYSTEM32\COMMAND.COM 2 3" xfId="204" xr:uid="{00000000-0005-0000-0000-000068000000}"/>
    <cellStyle name="=C:\WINNT\SYSTEM32\COMMAND.COM 2 3 2" xfId="205" xr:uid="{00000000-0005-0000-0000-000069000000}"/>
    <cellStyle name="=C:\WINNT\SYSTEM32\COMMAND.COM 2 3_Flow" xfId="206" xr:uid="{00000000-0005-0000-0000-00006A000000}"/>
    <cellStyle name="=C:\WINNT\SYSTEM32\COMMAND.COM 2 4" xfId="207" xr:uid="{00000000-0005-0000-0000-00006B000000}"/>
    <cellStyle name="=C:\WINNT\SYSTEM32\COMMAND.COM 2_Flow" xfId="208" xr:uid="{00000000-0005-0000-0000-00006C000000}"/>
    <cellStyle name="=C:\WINNT\SYSTEM32\COMMAND.COM 3" xfId="209" xr:uid="{00000000-0005-0000-0000-00006D000000}"/>
    <cellStyle name="=C:\WINNT\SYSTEM32\COMMAND.COM 3 2" xfId="210" xr:uid="{00000000-0005-0000-0000-00006E000000}"/>
    <cellStyle name="=C:\WINNT\SYSTEM32\COMMAND.COM 3_Flow" xfId="211" xr:uid="{00000000-0005-0000-0000-00006F000000}"/>
    <cellStyle name="=C:\WINNT\SYSTEM32\COMMAND.COM 4" xfId="212" xr:uid="{00000000-0005-0000-0000-000070000000}"/>
    <cellStyle name="=C:\WINNT\SYSTEM32\COMMAND.COM 5" xfId="213" xr:uid="{00000000-0005-0000-0000-000071000000}"/>
    <cellStyle name="=C:\WINNT\SYSTEM32\COMMAND.COM 6" xfId="214" xr:uid="{00000000-0005-0000-0000-000072000000}"/>
    <cellStyle name="=C:\WINNT\SYSTEM32\COMMAND.COM 6 2" xfId="215" xr:uid="{00000000-0005-0000-0000-000073000000}"/>
    <cellStyle name="=C:\WINNT\SYSTEM32\COMMAND.COM 7" xfId="216" xr:uid="{00000000-0005-0000-0000-000074000000}"/>
    <cellStyle name="=C:\WINNT\SYSTEM32\COMMAND.COM_Belker-InternalTrade" xfId="217" xr:uid="{00000000-0005-0000-0000-000075000000}"/>
    <cellStyle name="0 00 h" xfId="218" xr:uid="{00000000-0005-0000-0000-000076000000}"/>
    <cellStyle name="0,0 Mwh pci" xfId="219" xr:uid="{00000000-0005-0000-0000-000077000000}"/>
    <cellStyle name="0,00" xfId="220" xr:uid="{00000000-0005-0000-0000-000078000000}"/>
    <cellStyle name="000" xfId="221" xr:uid="{00000000-0005-0000-0000-000079000000}"/>
    <cellStyle name="20 % - Accent1" xfId="222" xr:uid="{00000000-0005-0000-0000-00007A000000}"/>
    <cellStyle name="20 % - Accent2" xfId="223" xr:uid="{00000000-0005-0000-0000-00007B000000}"/>
    <cellStyle name="20 % - Accent3" xfId="224" xr:uid="{00000000-0005-0000-0000-00007C000000}"/>
    <cellStyle name="20 % - Accent4" xfId="225" xr:uid="{00000000-0005-0000-0000-00007D000000}"/>
    <cellStyle name="20 % - Accent5" xfId="226" xr:uid="{00000000-0005-0000-0000-00007E000000}"/>
    <cellStyle name="20 % - Accent6" xfId="227" xr:uid="{00000000-0005-0000-0000-00007F000000}"/>
    <cellStyle name="20% - Accent1" xfId="19" builtinId="30" customBuiltin="1"/>
    <cellStyle name="20% - Accent1 10" xfId="228" xr:uid="{00000000-0005-0000-0000-000081000000}"/>
    <cellStyle name="20% - Accent1 10 2" xfId="229" xr:uid="{00000000-0005-0000-0000-000082000000}"/>
    <cellStyle name="20% - Accent1 10 2 2" xfId="230" xr:uid="{00000000-0005-0000-0000-000083000000}"/>
    <cellStyle name="20% - Accent1 10 2 3" xfId="231" xr:uid="{00000000-0005-0000-0000-000084000000}"/>
    <cellStyle name="20% - Accent1 10 2 4" xfId="232" xr:uid="{00000000-0005-0000-0000-000085000000}"/>
    <cellStyle name="20% - Accent1 10 3" xfId="233" xr:uid="{00000000-0005-0000-0000-000086000000}"/>
    <cellStyle name="20% - Accent1 10 4" xfId="234" xr:uid="{00000000-0005-0000-0000-000087000000}"/>
    <cellStyle name="20% - Accent1 10 5" xfId="235" xr:uid="{00000000-0005-0000-0000-000088000000}"/>
    <cellStyle name="20% - Accent1 100" xfId="236" xr:uid="{00000000-0005-0000-0000-000089000000}"/>
    <cellStyle name="20% - Accent1 101" xfId="237" xr:uid="{00000000-0005-0000-0000-00008A000000}"/>
    <cellStyle name="20% - Accent1 102" xfId="238" xr:uid="{00000000-0005-0000-0000-00008B000000}"/>
    <cellStyle name="20% - Accent1 103" xfId="239" xr:uid="{00000000-0005-0000-0000-00008C000000}"/>
    <cellStyle name="20% - Accent1 104" xfId="240" xr:uid="{00000000-0005-0000-0000-00008D000000}"/>
    <cellStyle name="20% - Accent1 105" xfId="241" xr:uid="{00000000-0005-0000-0000-00008E000000}"/>
    <cellStyle name="20% - Accent1 106" xfId="242" xr:uid="{00000000-0005-0000-0000-00008F000000}"/>
    <cellStyle name="20% - Accent1 107" xfId="243" xr:uid="{00000000-0005-0000-0000-000090000000}"/>
    <cellStyle name="20% - Accent1 108" xfId="244" xr:uid="{00000000-0005-0000-0000-000091000000}"/>
    <cellStyle name="20% - Accent1 109" xfId="245" xr:uid="{00000000-0005-0000-0000-000092000000}"/>
    <cellStyle name="20% - Accent1 11" xfId="246" xr:uid="{00000000-0005-0000-0000-000093000000}"/>
    <cellStyle name="20% - Accent1 11 2" xfId="247" xr:uid="{00000000-0005-0000-0000-000094000000}"/>
    <cellStyle name="20% - Accent1 11 2 2" xfId="248" xr:uid="{00000000-0005-0000-0000-000095000000}"/>
    <cellStyle name="20% - Accent1 11 2 3" xfId="249" xr:uid="{00000000-0005-0000-0000-000096000000}"/>
    <cellStyle name="20% - Accent1 11 2 4" xfId="250" xr:uid="{00000000-0005-0000-0000-000097000000}"/>
    <cellStyle name="20% - Accent1 11 3" xfId="251" xr:uid="{00000000-0005-0000-0000-000098000000}"/>
    <cellStyle name="20% - Accent1 11 4" xfId="252" xr:uid="{00000000-0005-0000-0000-000099000000}"/>
    <cellStyle name="20% - Accent1 11 5" xfId="253" xr:uid="{00000000-0005-0000-0000-00009A000000}"/>
    <cellStyle name="20% - Accent1 110" xfId="254" xr:uid="{00000000-0005-0000-0000-00009B000000}"/>
    <cellStyle name="20% - Accent1 111" xfId="255" xr:uid="{00000000-0005-0000-0000-00009C000000}"/>
    <cellStyle name="20% - Accent1 112" xfId="256" xr:uid="{00000000-0005-0000-0000-00009D000000}"/>
    <cellStyle name="20% - Accent1 113" xfId="257" xr:uid="{00000000-0005-0000-0000-00009E000000}"/>
    <cellStyle name="20% - Accent1 114" xfId="258" xr:uid="{00000000-0005-0000-0000-00009F000000}"/>
    <cellStyle name="20% - Accent1 115" xfId="259" xr:uid="{00000000-0005-0000-0000-0000A0000000}"/>
    <cellStyle name="20% - Accent1 116" xfId="260" xr:uid="{00000000-0005-0000-0000-0000A1000000}"/>
    <cellStyle name="20% - Accent1 117" xfId="261" xr:uid="{00000000-0005-0000-0000-0000A2000000}"/>
    <cellStyle name="20% - Accent1 118" xfId="262" xr:uid="{00000000-0005-0000-0000-0000A3000000}"/>
    <cellStyle name="20% - Accent1 119" xfId="263" xr:uid="{00000000-0005-0000-0000-0000A4000000}"/>
    <cellStyle name="20% - Accent1 12" xfId="264" xr:uid="{00000000-0005-0000-0000-0000A5000000}"/>
    <cellStyle name="20% - Accent1 12 2" xfId="265" xr:uid="{00000000-0005-0000-0000-0000A6000000}"/>
    <cellStyle name="20% - Accent1 12 2 2" xfId="266" xr:uid="{00000000-0005-0000-0000-0000A7000000}"/>
    <cellStyle name="20% - Accent1 12 2 3" xfId="267" xr:uid="{00000000-0005-0000-0000-0000A8000000}"/>
    <cellStyle name="20% - Accent1 12 2 4" xfId="268" xr:uid="{00000000-0005-0000-0000-0000A9000000}"/>
    <cellStyle name="20% - Accent1 12 3" xfId="269" xr:uid="{00000000-0005-0000-0000-0000AA000000}"/>
    <cellStyle name="20% - Accent1 12 4" xfId="270" xr:uid="{00000000-0005-0000-0000-0000AB000000}"/>
    <cellStyle name="20% - Accent1 12 5" xfId="271" xr:uid="{00000000-0005-0000-0000-0000AC000000}"/>
    <cellStyle name="20% - Accent1 120" xfId="272" xr:uid="{00000000-0005-0000-0000-0000AD000000}"/>
    <cellStyle name="20% - Accent1 121" xfId="273" xr:uid="{00000000-0005-0000-0000-0000AE000000}"/>
    <cellStyle name="20% - Accent1 122" xfId="274" xr:uid="{00000000-0005-0000-0000-0000AF000000}"/>
    <cellStyle name="20% - Accent1 123" xfId="275" xr:uid="{00000000-0005-0000-0000-0000B0000000}"/>
    <cellStyle name="20% - Accent1 124" xfId="276" xr:uid="{00000000-0005-0000-0000-0000B1000000}"/>
    <cellStyle name="20% - Accent1 125" xfId="277" xr:uid="{00000000-0005-0000-0000-0000B2000000}"/>
    <cellStyle name="20% - Accent1 126" xfId="278" xr:uid="{00000000-0005-0000-0000-0000B3000000}"/>
    <cellStyle name="20% - Accent1 127" xfId="279" xr:uid="{00000000-0005-0000-0000-0000B4000000}"/>
    <cellStyle name="20% - Accent1 128" xfId="280" xr:uid="{00000000-0005-0000-0000-0000B5000000}"/>
    <cellStyle name="20% - Accent1 129" xfId="281" xr:uid="{00000000-0005-0000-0000-0000B6000000}"/>
    <cellStyle name="20% - Accent1 13" xfId="282" xr:uid="{00000000-0005-0000-0000-0000B7000000}"/>
    <cellStyle name="20% - Accent1 13 2" xfId="283" xr:uid="{00000000-0005-0000-0000-0000B8000000}"/>
    <cellStyle name="20% - Accent1 13 2 2" xfId="284" xr:uid="{00000000-0005-0000-0000-0000B9000000}"/>
    <cellStyle name="20% - Accent1 13 2 3" xfId="285" xr:uid="{00000000-0005-0000-0000-0000BA000000}"/>
    <cellStyle name="20% - Accent1 13 2 4" xfId="286" xr:uid="{00000000-0005-0000-0000-0000BB000000}"/>
    <cellStyle name="20% - Accent1 13 3" xfId="287" xr:uid="{00000000-0005-0000-0000-0000BC000000}"/>
    <cellStyle name="20% - Accent1 13 4" xfId="288" xr:uid="{00000000-0005-0000-0000-0000BD000000}"/>
    <cellStyle name="20% - Accent1 13 5" xfId="289" xr:uid="{00000000-0005-0000-0000-0000BE000000}"/>
    <cellStyle name="20% - Accent1 130" xfId="290" xr:uid="{00000000-0005-0000-0000-0000BF000000}"/>
    <cellStyle name="20% - Accent1 131" xfId="291" xr:uid="{00000000-0005-0000-0000-0000C0000000}"/>
    <cellStyle name="20% - Accent1 132" xfId="292" xr:uid="{00000000-0005-0000-0000-0000C1000000}"/>
    <cellStyle name="20% - Accent1 133" xfId="293" xr:uid="{00000000-0005-0000-0000-0000C2000000}"/>
    <cellStyle name="20% - Accent1 134" xfId="294" xr:uid="{00000000-0005-0000-0000-0000C3000000}"/>
    <cellStyle name="20% - Accent1 135" xfId="295" xr:uid="{00000000-0005-0000-0000-0000C4000000}"/>
    <cellStyle name="20% - Accent1 136" xfId="296" xr:uid="{00000000-0005-0000-0000-0000C5000000}"/>
    <cellStyle name="20% - Accent1 137" xfId="297" xr:uid="{00000000-0005-0000-0000-0000C6000000}"/>
    <cellStyle name="20% - Accent1 138" xfId="298" xr:uid="{00000000-0005-0000-0000-0000C7000000}"/>
    <cellStyle name="20% - Accent1 139" xfId="299" xr:uid="{00000000-0005-0000-0000-0000C8000000}"/>
    <cellStyle name="20% - Accent1 14" xfId="300" xr:uid="{00000000-0005-0000-0000-0000C9000000}"/>
    <cellStyle name="20% - Accent1 14 2" xfId="301" xr:uid="{00000000-0005-0000-0000-0000CA000000}"/>
    <cellStyle name="20% - Accent1 14 2 2" xfId="302" xr:uid="{00000000-0005-0000-0000-0000CB000000}"/>
    <cellStyle name="20% - Accent1 14 2 3" xfId="303" xr:uid="{00000000-0005-0000-0000-0000CC000000}"/>
    <cellStyle name="20% - Accent1 14 2 4" xfId="304" xr:uid="{00000000-0005-0000-0000-0000CD000000}"/>
    <cellStyle name="20% - Accent1 14 3" xfId="305" xr:uid="{00000000-0005-0000-0000-0000CE000000}"/>
    <cellStyle name="20% - Accent1 14 4" xfId="306" xr:uid="{00000000-0005-0000-0000-0000CF000000}"/>
    <cellStyle name="20% - Accent1 14 5" xfId="307" xr:uid="{00000000-0005-0000-0000-0000D0000000}"/>
    <cellStyle name="20% - Accent1 140" xfId="308" xr:uid="{00000000-0005-0000-0000-0000D1000000}"/>
    <cellStyle name="20% - Accent1 141" xfId="309" xr:uid="{00000000-0005-0000-0000-0000D2000000}"/>
    <cellStyle name="20% - Accent1 142" xfId="310" xr:uid="{00000000-0005-0000-0000-0000D3000000}"/>
    <cellStyle name="20% - Accent1 143" xfId="311" xr:uid="{00000000-0005-0000-0000-0000D4000000}"/>
    <cellStyle name="20% - Accent1 144" xfId="312" xr:uid="{00000000-0005-0000-0000-0000D5000000}"/>
    <cellStyle name="20% - Accent1 145" xfId="313" xr:uid="{00000000-0005-0000-0000-0000D6000000}"/>
    <cellStyle name="20% - Accent1 146" xfId="314" xr:uid="{00000000-0005-0000-0000-0000D7000000}"/>
    <cellStyle name="20% - Accent1 147" xfId="315" xr:uid="{00000000-0005-0000-0000-0000D8000000}"/>
    <cellStyle name="20% - Accent1 148" xfId="316" xr:uid="{00000000-0005-0000-0000-0000D9000000}"/>
    <cellStyle name="20% - Accent1 149" xfId="317" xr:uid="{00000000-0005-0000-0000-0000DA000000}"/>
    <cellStyle name="20% - Accent1 15" xfId="318" xr:uid="{00000000-0005-0000-0000-0000DB000000}"/>
    <cellStyle name="20% - Accent1 15 2" xfId="319" xr:uid="{00000000-0005-0000-0000-0000DC000000}"/>
    <cellStyle name="20% - Accent1 15 2 2" xfId="320" xr:uid="{00000000-0005-0000-0000-0000DD000000}"/>
    <cellStyle name="20% - Accent1 15 2 3" xfId="321" xr:uid="{00000000-0005-0000-0000-0000DE000000}"/>
    <cellStyle name="20% - Accent1 15 2 4" xfId="322" xr:uid="{00000000-0005-0000-0000-0000DF000000}"/>
    <cellStyle name="20% - Accent1 15 3" xfId="323" xr:uid="{00000000-0005-0000-0000-0000E0000000}"/>
    <cellStyle name="20% - Accent1 15 4" xfId="324" xr:uid="{00000000-0005-0000-0000-0000E1000000}"/>
    <cellStyle name="20% - Accent1 15 5" xfId="325" xr:uid="{00000000-0005-0000-0000-0000E2000000}"/>
    <cellStyle name="20% - Accent1 150" xfId="326" xr:uid="{00000000-0005-0000-0000-0000E3000000}"/>
    <cellStyle name="20% - Accent1 151" xfId="327" xr:uid="{00000000-0005-0000-0000-0000E4000000}"/>
    <cellStyle name="20% - Accent1 152" xfId="328" xr:uid="{00000000-0005-0000-0000-0000E5000000}"/>
    <cellStyle name="20% - Accent1 153" xfId="329" xr:uid="{00000000-0005-0000-0000-0000E6000000}"/>
    <cellStyle name="20% - Accent1 154" xfId="330" xr:uid="{00000000-0005-0000-0000-0000E7000000}"/>
    <cellStyle name="20% - Accent1 155" xfId="331" xr:uid="{00000000-0005-0000-0000-0000E8000000}"/>
    <cellStyle name="20% - Accent1 156" xfId="332" xr:uid="{00000000-0005-0000-0000-0000E9000000}"/>
    <cellStyle name="20% - Accent1 157" xfId="333" xr:uid="{00000000-0005-0000-0000-0000EA000000}"/>
    <cellStyle name="20% - Accent1 158" xfId="334" xr:uid="{00000000-0005-0000-0000-0000EB000000}"/>
    <cellStyle name="20% - Accent1 159" xfId="335" xr:uid="{00000000-0005-0000-0000-0000EC000000}"/>
    <cellStyle name="20% - Accent1 16" xfId="336" xr:uid="{00000000-0005-0000-0000-0000ED000000}"/>
    <cellStyle name="20% - Accent1 16 2" xfId="337" xr:uid="{00000000-0005-0000-0000-0000EE000000}"/>
    <cellStyle name="20% - Accent1 16 2 2" xfId="338" xr:uid="{00000000-0005-0000-0000-0000EF000000}"/>
    <cellStyle name="20% - Accent1 16 3" xfId="339" xr:uid="{00000000-0005-0000-0000-0000F0000000}"/>
    <cellStyle name="20% - Accent1 16 4" xfId="340" xr:uid="{00000000-0005-0000-0000-0000F1000000}"/>
    <cellStyle name="20% - Accent1 16 5" xfId="341" xr:uid="{00000000-0005-0000-0000-0000F2000000}"/>
    <cellStyle name="20% - Accent1 160" xfId="342" xr:uid="{00000000-0005-0000-0000-0000F3000000}"/>
    <cellStyle name="20% - Accent1 161" xfId="343" xr:uid="{00000000-0005-0000-0000-0000F4000000}"/>
    <cellStyle name="20% - Accent1 162" xfId="344" xr:uid="{00000000-0005-0000-0000-0000F5000000}"/>
    <cellStyle name="20% - Accent1 163" xfId="345" xr:uid="{00000000-0005-0000-0000-0000F6000000}"/>
    <cellStyle name="20% - Accent1 164" xfId="346" xr:uid="{00000000-0005-0000-0000-0000F7000000}"/>
    <cellStyle name="20% - Accent1 165" xfId="347" xr:uid="{00000000-0005-0000-0000-0000F8000000}"/>
    <cellStyle name="20% - Accent1 166" xfId="348" xr:uid="{00000000-0005-0000-0000-0000F9000000}"/>
    <cellStyle name="20% - Accent1 167" xfId="349" xr:uid="{00000000-0005-0000-0000-0000FA000000}"/>
    <cellStyle name="20% - Accent1 168" xfId="350" xr:uid="{00000000-0005-0000-0000-0000FB000000}"/>
    <cellStyle name="20% - Accent1 169" xfId="351" xr:uid="{00000000-0005-0000-0000-0000FC000000}"/>
    <cellStyle name="20% - Accent1 17" xfId="352" xr:uid="{00000000-0005-0000-0000-0000FD000000}"/>
    <cellStyle name="20% - Accent1 17 2" xfId="353" xr:uid="{00000000-0005-0000-0000-0000FE000000}"/>
    <cellStyle name="20% - Accent1 17 2 2" xfId="354" xr:uid="{00000000-0005-0000-0000-0000FF000000}"/>
    <cellStyle name="20% - Accent1 17 3" xfId="355" xr:uid="{00000000-0005-0000-0000-000000010000}"/>
    <cellStyle name="20% - Accent1 17 4" xfId="356" xr:uid="{00000000-0005-0000-0000-000001010000}"/>
    <cellStyle name="20% - Accent1 17 5" xfId="357" xr:uid="{00000000-0005-0000-0000-000002010000}"/>
    <cellStyle name="20% - Accent1 18" xfId="358" xr:uid="{00000000-0005-0000-0000-000003010000}"/>
    <cellStyle name="20% - Accent1 18 2" xfId="359" xr:uid="{00000000-0005-0000-0000-000004010000}"/>
    <cellStyle name="20% - Accent1 18 2 2" xfId="360" xr:uid="{00000000-0005-0000-0000-000005010000}"/>
    <cellStyle name="20% - Accent1 18 3" xfId="361" xr:uid="{00000000-0005-0000-0000-000006010000}"/>
    <cellStyle name="20% - Accent1 18 4" xfId="362" xr:uid="{00000000-0005-0000-0000-000007010000}"/>
    <cellStyle name="20% - Accent1 18 5" xfId="363" xr:uid="{00000000-0005-0000-0000-000008010000}"/>
    <cellStyle name="20% - Accent1 19" xfId="364" xr:uid="{00000000-0005-0000-0000-000009010000}"/>
    <cellStyle name="20% - Accent1 19 2" xfId="365" xr:uid="{00000000-0005-0000-0000-00000A010000}"/>
    <cellStyle name="20% - Accent1 19 2 2" xfId="366" xr:uid="{00000000-0005-0000-0000-00000B010000}"/>
    <cellStyle name="20% - Accent1 19 3" xfId="367" xr:uid="{00000000-0005-0000-0000-00000C010000}"/>
    <cellStyle name="20% - Accent1 19 4" xfId="368" xr:uid="{00000000-0005-0000-0000-00000D010000}"/>
    <cellStyle name="20% - Accent1 19 5" xfId="369" xr:uid="{00000000-0005-0000-0000-00000E010000}"/>
    <cellStyle name="20% - Accent1 2" xfId="370" xr:uid="{00000000-0005-0000-0000-00000F010000}"/>
    <cellStyle name="20% - Accent1 2 10" xfId="371" xr:uid="{00000000-0005-0000-0000-000010010000}"/>
    <cellStyle name="20% - Accent1 2 11" xfId="372" xr:uid="{00000000-0005-0000-0000-000011010000}"/>
    <cellStyle name="20% - Accent1 2 12" xfId="373" xr:uid="{00000000-0005-0000-0000-000012010000}"/>
    <cellStyle name="20% - Accent1 2 13" xfId="374" xr:uid="{00000000-0005-0000-0000-000013010000}"/>
    <cellStyle name="20% - Accent1 2 14" xfId="375" xr:uid="{00000000-0005-0000-0000-000014010000}"/>
    <cellStyle name="20% - Accent1 2 15" xfId="376" xr:uid="{00000000-0005-0000-0000-000015010000}"/>
    <cellStyle name="20% - Accent1 2 16" xfId="377" xr:uid="{00000000-0005-0000-0000-000016010000}"/>
    <cellStyle name="20% - Accent1 2 17" xfId="378" xr:uid="{00000000-0005-0000-0000-000017010000}"/>
    <cellStyle name="20% - Accent1 2 18" xfId="379" xr:uid="{00000000-0005-0000-0000-000018010000}"/>
    <cellStyle name="20% - Accent1 2 19" xfId="380" xr:uid="{00000000-0005-0000-0000-000019010000}"/>
    <cellStyle name="20% - Accent1 2 2" xfId="381" xr:uid="{00000000-0005-0000-0000-00001A010000}"/>
    <cellStyle name="20% - Accent1 2 2 2" xfId="382" xr:uid="{00000000-0005-0000-0000-00001B010000}"/>
    <cellStyle name="20% - Accent1 2 20" xfId="383" xr:uid="{00000000-0005-0000-0000-00001C010000}"/>
    <cellStyle name="20% - Accent1 2 21" xfId="384" xr:uid="{00000000-0005-0000-0000-00001D010000}"/>
    <cellStyle name="20% - Accent1 2 22" xfId="385" xr:uid="{00000000-0005-0000-0000-00001E010000}"/>
    <cellStyle name="20% - Accent1 2 23" xfId="386" xr:uid="{00000000-0005-0000-0000-00001F010000}"/>
    <cellStyle name="20% - Accent1 2 24" xfId="387" xr:uid="{00000000-0005-0000-0000-000020010000}"/>
    <cellStyle name="20% - Accent1 2 25" xfId="388" xr:uid="{00000000-0005-0000-0000-000021010000}"/>
    <cellStyle name="20% - Accent1 2 26" xfId="389" xr:uid="{00000000-0005-0000-0000-000022010000}"/>
    <cellStyle name="20% - Accent1 2 27" xfId="390" xr:uid="{00000000-0005-0000-0000-000023010000}"/>
    <cellStyle name="20% - Accent1 2 28" xfId="391" xr:uid="{00000000-0005-0000-0000-000024010000}"/>
    <cellStyle name="20% - Accent1 2 29" xfId="392" xr:uid="{00000000-0005-0000-0000-000025010000}"/>
    <cellStyle name="20% - Accent1 2 3" xfId="393" xr:uid="{00000000-0005-0000-0000-000026010000}"/>
    <cellStyle name="20% - Accent1 2 30" xfId="394" xr:uid="{00000000-0005-0000-0000-000027010000}"/>
    <cellStyle name="20% - Accent1 2 31" xfId="395" xr:uid="{00000000-0005-0000-0000-000028010000}"/>
    <cellStyle name="20% - Accent1 2 32" xfId="396" xr:uid="{00000000-0005-0000-0000-000029010000}"/>
    <cellStyle name="20% - Accent1 2 33" xfId="397" xr:uid="{00000000-0005-0000-0000-00002A010000}"/>
    <cellStyle name="20% - Accent1 2 34" xfId="398" xr:uid="{00000000-0005-0000-0000-00002B010000}"/>
    <cellStyle name="20% - Accent1 2 35" xfId="399" xr:uid="{00000000-0005-0000-0000-00002C010000}"/>
    <cellStyle name="20% - Accent1 2 36" xfId="400" xr:uid="{00000000-0005-0000-0000-00002D010000}"/>
    <cellStyle name="20% - Accent1 2 37" xfId="401" xr:uid="{00000000-0005-0000-0000-00002E010000}"/>
    <cellStyle name="20% - Accent1 2 4" xfId="402" xr:uid="{00000000-0005-0000-0000-00002F010000}"/>
    <cellStyle name="20% - Accent1 2 4 2" xfId="403" xr:uid="{00000000-0005-0000-0000-000030010000}"/>
    <cellStyle name="20% - Accent1 2 4 2 2" xfId="404" xr:uid="{00000000-0005-0000-0000-000031010000}"/>
    <cellStyle name="20% - Accent1 2 4 3" xfId="405" xr:uid="{00000000-0005-0000-0000-000032010000}"/>
    <cellStyle name="20% - Accent1 2 4 3 2" xfId="406" xr:uid="{00000000-0005-0000-0000-000033010000}"/>
    <cellStyle name="20% - Accent1 2 4 4" xfId="407" xr:uid="{00000000-0005-0000-0000-000034010000}"/>
    <cellStyle name="20% - Accent1 2 5" xfId="408" xr:uid="{00000000-0005-0000-0000-000035010000}"/>
    <cellStyle name="20% - Accent1 2 6" xfId="409" xr:uid="{00000000-0005-0000-0000-000036010000}"/>
    <cellStyle name="20% - Accent1 2 7" xfId="410" xr:uid="{00000000-0005-0000-0000-000037010000}"/>
    <cellStyle name="20% - Accent1 2 8" xfId="411" xr:uid="{00000000-0005-0000-0000-000038010000}"/>
    <cellStyle name="20% - Accent1 2 9" xfId="412" xr:uid="{00000000-0005-0000-0000-000039010000}"/>
    <cellStyle name="20% - Accent1 2_ERDF Losses" xfId="413" xr:uid="{00000000-0005-0000-0000-00003A010000}"/>
    <cellStyle name="20% - Accent1 20" xfId="414" xr:uid="{00000000-0005-0000-0000-00003B010000}"/>
    <cellStyle name="20% - Accent1 20 10" xfId="415" xr:uid="{00000000-0005-0000-0000-00003C010000}"/>
    <cellStyle name="20% - Accent1 20 11" xfId="416" xr:uid="{00000000-0005-0000-0000-00003D010000}"/>
    <cellStyle name="20% - Accent1 20 12" xfId="417" xr:uid="{00000000-0005-0000-0000-00003E010000}"/>
    <cellStyle name="20% - Accent1 20 13" xfId="418" xr:uid="{00000000-0005-0000-0000-00003F010000}"/>
    <cellStyle name="20% - Accent1 20 14" xfId="419" xr:uid="{00000000-0005-0000-0000-000040010000}"/>
    <cellStyle name="20% - Accent1 20 15" xfId="420" xr:uid="{00000000-0005-0000-0000-000041010000}"/>
    <cellStyle name="20% - Accent1 20 16" xfId="421" xr:uid="{00000000-0005-0000-0000-000042010000}"/>
    <cellStyle name="20% - Accent1 20 17" xfId="422" xr:uid="{00000000-0005-0000-0000-000043010000}"/>
    <cellStyle name="20% - Accent1 20 18" xfId="423" xr:uid="{00000000-0005-0000-0000-000044010000}"/>
    <cellStyle name="20% - Accent1 20 2" xfId="424" xr:uid="{00000000-0005-0000-0000-000045010000}"/>
    <cellStyle name="20% - Accent1 20 2 2" xfId="425" xr:uid="{00000000-0005-0000-0000-000046010000}"/>
    <cellStyle name="20% - Accent1 20 2 3" xfId="426" xr:uid="{00000000-0005-0000-0000-000047010000}"/>
    <cellStyle name="20% - Accent1 20 2 4" xfId="427" xr:uid="{00000000-0005-0000-0000-000048010000}"/>
    <cellStyle name="20% - Accent1 20 3" xfId="428" xr:uid="{00000000-0005-0000-0000-000049010000}"/>
    <cellStyle name="20% - Accent1 20 4" xfId="429" xr:uid="{00000000-0005-0000-0000-00004A010000}"/>
    <cellStyle name="20% - Accent1 20 5" xfId="430" xr:uid="{00000000-0005-0000-0000-00004B010000}"/>
    <cellStyle name="20% - Accent1 20 6" xfId="431" xr:uid="{00000000-0005-0000-0000-00004C010000}"/>
    <cellStyle name="20% - Accent1 20 7" xfId="432" xr:uid="{00000000-0005-0000-0000-00004D010000}"/>
    <cellStyle name="20% - Accent1 20 8" xfId="433" xr:uid="{00000000-0005-0000-0000-00004E010000}"/>
    <cellStyle name="20% - Accent1 20 9" xfId="434" xr:uid="{00000000-0005-0000-0000-00004F010000}"/>
    <cellStyle name="20% - Accent1 21" xfId="435" xr:uid="{00000000-0005-0000-0000-000050010000}"/>
    <cellStyle name="20% - Accent1 21 2" xfId="436" xr:uid="{00000000-0005-0000-0000-000051010000}"/>
    <cellStyle name="20% - Accent1 21 2 2" xfId="437" xr:uid="{00000000-0005-0000-0000-000052010000}"/>
    <cellStyle name="20% - Accent1 21 2 3" xfId="438" xr:uid="{00000000-0005-0000-0000-000053010000}"/>
    <cellStyle name="20% - Accent1 21 3" xfId="439" xr:uid="{00000000-0005-0000-0000-000054010000}"/>
    <cellStyle name="20% - Accent1 21 4" xfId="440" xr:uid="{00000000-0005-0000-0000-000055010000}"/>
    <cellStyle name="20% - Accent1 21 5" xfId="441" xr:uid="{00000000-0005-0000-0000-000056010000}"/>
    <cellStyle name="20% - Accent1 21 6" xfId="442" xr:uid="{00000000-0005-0000-0000-000057010000}"/>
    <cellStyle name="20% - Accent1 22" xfId="443" xr:uid="{00000000-0005-0000-0000-000058010000}"/>
    <cellStyle name="20% - Accent1 22 2" xfId="444" xr:uid="{00000000-0005-0000-0000-000059010000}"/>
    <cellStyle name="20% - Accent1 22 3" xfId="445" xr:uid="{00000000-0005-0000-0000-00005A010000}"/>
    <cellStyle name="20% - Accent1 23" xfId="446" xr:uid="{00000000-0005-0000-0000-00005B010000}"/>
    <cellStyle name="20% - Accent1 23 2" xfId="447" xr:uid="{00000000-0005-0000-0000-00005C010000}"/>
    <cellStyle name="20% - Accent1 23 3" xfId="448" xr:uid="{00000000-0005-0000-0000-00005D010000}"/>
    <cellStyle name="20% - Accent1 24" xfId="449" xr:uid="{00000000-0005-0000-0000-00005E010000}"/>
    <cellStyle name="20% - Accent1 24 2" xfId="450" xr:uid="{00000000-0005-0000-0000-00005F010000}"/>
    <cellStyle name="20% - Accent1 24 3" xfId="451" xr:uid="{00000000-0005-0000-0000-000060010000}"/>
    <cellStyle name="20% - Accent1 25" xfId="452" xr:uid="{00000000-0005-0000-0000-000061010000}"/>
    <cellStyle name="20% - Accent1 25 2" xfId="453" xr:uid="{00000000-0005-0000-0000-000062010000}"/>
    <cellStyle name="20% - Accent1 25 3" xfId="454" xr:uid="{00000000-0005-0000-0000-000063010000}"/>
    <cellStyle name="20% - Accent1 26" xfId="455" xr:uid="{00000000-0005-0000-0000-000064010000}"/>
    <cellStyle name="20% - Accent1 26 2" xfId="456" xr:uid="{00000000-0005-0000-0000-000065010000}"/>
    <cellStyle name="20% - Accent1 26 3" xfId="457" xr:uid="{00000000-0005-0000-0000-000066010000}"/>
    <cellStyle name="20% - Accent1 27" xfId="458" xr:uid="{00000000-0005-0000-0000-000067010000}"/>
    <cellStyle name="20% - Accent1 27 2" xfId="459" xr:uid="{00000000-0005-0000-0000-000068010000}"/>
    <cellStyle name="20% - Accent1 27 3" xfId="460" xr:uid="{00000000-0005-0000-0000-000069010000}"/>
    <cellStyle name="20% - Accent1 28" xfId="461" xr:uid="{00000000-0005-0000-0000-00006A010000}"/>
    <cellStyle name="20% - Accent1 28 2" xfId="462" xr:uid="{00000000-0005-0000-0000-00006B010000}"/>
    <cellStyle name="20% - Accent1 28 3" xfId="463" xr:uid="{00000000-0005-0000-0000-00006C010000}"/>
    <cellStyle name="20% - Accent1 29" xfId="464" xr:uid="{00000000-0005-0000-0000-00006D010000}"/>
    <cellStyle name="20% - Accent1 29 2" xfId="465" xr:uid="{00000000-0005-0000-0000-00006E010000}"/>
    <cellStyle name="20% - Accent1 29 3" xfId="466" xr:uid="{00000000-0005-0000-0000-00006F010000}"/>
    <cellStyle name="20% - Accent1 3" xfId="467" xr:uid="{00000000-0005-0000-0000-000070010000}"/>
    <cellStyle name="20% - Accent1 3 10" xfId="468" xr:uid="{00000000-0005-0000-0000-000071010000}"/>
    <cellStyle name="20% - Accent1 3 10 10" xfId="469" xr:uid="{00000000-0005-0000-0000-000072010000}"/>
    <cellStyle name="20% - Accent1 3 10 11" xfId="470" xr:uid="{00000000-0005-0000-0000-000073010000}"/>
    <cellStyle name="20% - Accent1 3 10 12" xfId="471" xr:uid="{00000000-0005-0000-0000-000074010000}"/>
    <cellStyle name="20% - Accent1 3 10 13" xfId="472" xr:uid="{00000000-0005-0000-0000-000075010000}"/>
    <cellStyle name="20% - Accent1 3 10 14" xfId="473" xr:uid="{00000000-0005-0000-0000-000076010000}"/>
    <cellStyle name="20% - Accent1 3 10 15" xfId="474" xr:uid="{00000000-0005-0000-0000-000077010000}"/>
    <cellStyle name="20% - Accent1 3 10 2" xfId="475" xr:uid="{00000000-0005-0000-0000-000078010000}"/>
    <cellStyle name="20% - Accent1 3 10 3" xfId="476" xr:uid="{00000000-0005-0000-0000-000079010000}"/>
    <cellStyle name="20% - Accent1 3 10 4" xfId="477" xr:uid="{00000000-0005-0000-0000-00007A010000}"/>
    <cellStyle name="20% - Accent1 3 10 5" xfId="478" xr:uid="{00000000-0005-0000-0000-00007B010000}"/>
    <cellStyle name="20% - Accent1 3 10 6" xfId="479" xr:uid="{00000000-0005-0000-0000-00007C010000}"/>
    <cellStyle name="20% - Accent1 3 10 7" xfId="480" xr:uid="{00000000-0005-0000-0000-00007D010000}"/>
    <cellStyle name="20% - Accent1 3 10 8" xfId="481" xr:uid="{00000000-0005-0000-0000-00007E010000}"/>
    <cellStyle name="20% - Accent1 3 10 9" xfId="482" xr:uid="{00000000-0005-0000-0000-00007F010000}"/>
    <cellStyle name="20% - Accent1 3 11" xfId="483" xr:uid="{00000000-0005-0000-0000-000080010000}"/>
    <cellStyle name="20% - Accent1 3 11 10" xfId="484" xr:uid="{00000000-0005-0000-0000-000081010000}"/>
    <cellStyle name="20% - Accent1 3 11 11" xfId="485" xr:uid="{00000000-0005-0000-0000-000082010000}"/>
    <cellStyle name="20% - Accent1 3 11 12" xfId="486" xr:uid="{00000000-0005-0000-0000-000083010000}"/>
    <cellStyle name="20% - Accent1 3 11 13" xfId="487" xr:uid="{00000000-0005-0000-0000-000084010000}"/>
    <cellStyle name="20% - Accent1 3 11 14" xfId="488" xr:uid="{00000000-0005-0000-0000-000085010000}"/>
    <cellStyle name="20% - Accent1 3 11 15" xfId="489" xr:uid="{00000000-0005-0000-0000-000086010000}"/>
    <cellStyle name="20% - Accent1 3 11 2" xfId="490" xr:uid="{00000000-0005-0000-0000-000087010000}"/>
    <cellStyle name="20% - Accent1 3 11 3" xfId="491" xr:uid="{00000000-0005-0000-0000-000088010000}"/>
    <cellStyle name="20% - Accent1 3 11 4" xfId="492" xr:uid="{00000000-0005-0000-0000-000089010000}"/>
    <cellStyle name="20% - Accent1 3 11 5" xfId="493" xr:uid="{00000000-0005-0000-0000-00008A010000}"/>
    <cellStyle name="20% - Accent1 3 11 6" xfId="494" xr:uid="{00000000-0005-0000-0000-00008B010000}"/>
    <cellStyle name="20% - Accent1 3 11 7" xfId="495" xr:uid="{00000000-0005-0000-0000-00008C010000}"/>
    <cellStyle name="20% - Accent1 3 11 8" xfId="496" xr:uid="{00000000-0005-0000-0000-00008D010000}"/>
    <cellStyle name="20% - Accent1 3 11 9" xfId="497" xr:uid="{00000000-0005-0000-0000-00008E010000}"/>
    <cellStyle name="20% - Accent1 3 12" xfId="498" xr:uid="{00000000-0005-0000-0000-00008F010000}"/>
    <cellStyle name="20% - Accent1 3 12 10" xfId="499" xr:uid="{00000000-0005-0000-0000-000090010000}"/>
    <cellStyle name="20% - Accent1 3 12 11" xfId="500" xr:uid="{00000000-0005-0000-0000-000091010000}"/>
    <cellStyle name="20% - Accent1 3 12 12" xfId="501" xr:uid="{00000000-0005-0000-0000-000092010000}"/>
    <cellStyle name="20% - Accent1 3 12 13" xfId="502" xr:uid="{00000000-0005-0000-0000-000093010000}"/>
    <cellStyle name="20% - Accent1 3 12 14" xfId="503" xr:uid="{00000000-0005-0000-0000-000094010000}"/>
    <cellStyle name="20% - Accent1 3 12 15" xfId="504" xr:uid="{00000000-0005-0000-0000-000095010000}"/>
    <cellStyle name="20% - Accent1 3 12 2" xfId="505" xr:uid="{00000000-0005-0000-0000-000096010000}"/>
    <cellStyle name="20% - Accent1 3 12 3" xfId="506" xr:uid="{00000000-0005-0000-0000-000097010000}"/>
    <cellStyle name="20% - Accent1 3 12 4" xfId="507" xr:uid="{00000000-0005-0000-0000-000098010000}"/>
    <cellStyle name="20% - Accent1 3 12 5" xfId="508" xr:uid="{00000000-0005-0000-0000-000099010000}"/>
    <cellStyle name="20% - Accent1 3 12 6" xfId="509" xr:uid="{00000000-0005-0000-0000-00009A010000}"/>
    <cellStyle name="20% - Accent1 3 12 7" xfId="510" xr:uid="{00000000-0005-0000-0000-00009B010000}"/>
    <cellStyle name="20% - Accent1 3 12 8" xfId="511" xr:uid="{00000000-0005-0000-0000-00009C010000}"/>
    <cellStyle name="20% - Accent1 3 12 9" xfId="512" xr:uid="{00000000-0005-0000-0000-00009D010000}"/>
    <cellStyle name="20% - Accent1 3 13" xfId="513" xr:uid="{00000000-0005-0000-0000-00009E010000}"/>
    <cellStyle name="20% - Accent1 3 13 10" xfId="514" xr:uid="{00000000-0005-0000-0000-00009F010000}"/>
    <cellStyle name="20% - Accent1 3 13 11" xfId="515" xr:uid="{00000000-0005-0000-0000-0000A0010000}"/>
    <cellStyle name="20% - Accent1 3 13 12" xfId="516" xr:uid="{00000000-0005-0000-0000-0000A1010000}"/>
    <cellStyle name="20% - Accent1 3 13 13" xfId="517" xr:uid="{00000000-0005-0000-0000-0000A2010000}"/>
    <cellStyle name="20% - Accent1 3 13 14" xfId="518" xr:uid="{00000000-0005-0000-0000-0000A3010000}"/>
    <cellStyle name="20% - Accent1 3 13 15" xfId="519" xr:uid="{00000000-0005-0000-0000-0000A4010000}"/>
    <cellStyle name="20% - Accent1 3 13 2" xfId="520" xr:uid="{00000000-0005-0000-0000-0000A5010000}"/>
    <cellStyle name="20% - Accent1 3 13 3" xfId="521" xr:uid="{00000000-0005-0000-0000-0000A6010000}"/>
    <cellStyle name="20% - Accent1 3 13 4" xfId="522" xr:uid="{00000000-0005-0000-0000-0000A7010000}"/>
    <cellStyle name="20% - Accent1 3 13 5" xfId="523" xr:uid="{00000000-0005-0000-0000-0000A8010000}"/>
    <cellStyle name="20% - Accent1 3 13 6" xfId="524" xr:uid="{00000000-0005-0000-0000-0000A9010000}"/>
    <cellStyle name="20% - Accent1 3 13 7" xfId="525" xr:uid="{00000000-0005-0000-0000-0000AA010000}"/>
    <cellStyle name="20% - Accent1 3 13 8" xfId="526" xr:uid="{00000000-0005-0000-0000-0000AB010000}"/>
    <cellStyle name="20% - Accent1 3 13 9" xfId="527" xr:uid="{00000000-0005-0000-0000-0000AC010000}"/>
    <cellStyle name="20% - Accent1 3 14" xfId="528" xr:uid="{00000000-0005-0000-0000-0000AD010000}"/>
    <cellStyle name="20% - Accent1 3 14 10" xfId="529" xr:uid="{00000000-0005-0000-0000-0000AE010000}"/>
    <cellStyle name="20% - Accent1 3 14 11" xfId="530" xr:uid="{00000000-0005-0000-0000-0000AF010000}"/>
    <cellStyle name="20% - Accent1 3 14 12" xfId="531" xr:uid="{00000000-0005-0000-0000-0000B0010000}"/>
    <cellStyle name="20% - Accent1 3 14 13" xfId="532" xr:uid="{00000000-0005-0000-0000-0000B1010000}"/>
    <cellStyle name="20% - Accent1 3 14 14" xfId="533" xr:uid="{00000000-0005-0000-0000-0000B2010000}"/>
    <cellStyle name="20% - Accent1 3 14 15" xfId="534" xr:uid="{00000000-0005-0000-0000-0000B3010000}"/>
    <cellStyle name="20% - Accent1 3 14 2" xfId="535" xr:uid="{00000000-0005-0000-0000-0000B4010000}"/>
    <cellStyle name="20% - Accent1 3 14 3" xfId="536" xr:uid="{00000000-0005-0000-0000-0000B5010000}"/>
    <cellStyle name="20% - Accent1 3 14 4" xfId="537" xr:uid="{00000000-0005-0000-0000-0000B6010000}"/>
    <cellStyle name="20% - Accent1 3 14 5" xfId="538" xr:uid="{00000000-0005-0000-0000-0000B7010000}"/>
    <cellStyle name="20% - Accent1 3 14 6" xfId="539" xr:uid="{00000000-0005-0000-0000-0000B8010000}"/>
    <cellStyle name="20% - Accent1 3 14 7" xfId="540" xr:uid="{00000000-0005-0000-0000-0000B9010000}"/>
    <cellStyle name="20% - Accent1 3 14 8" xfId="541" xr:uid="{00000000-0005-0000-0000-0000BA010000}"/>
    <cellStyle name="20% - Accent1 3 14 9" xfId="542" xr:uid="{00000000-0005-0000-0000-0000BB010000}"/>
    <cellStyle name="20% - Accent1 3 15" xfId="543" xr:uid="{00000000-0005-0000-0000-0000BC010000}"/>
    <cellStyle name="20% - Accent1 3 15 10" xfId="544" xr:uid="{00000000-0005-0000-0000-0000BD010000}"/>
    <cellStyle name="20% - Accent1 3 15 11" xfId="545" xr:uid="{00000000-0005-0000-0000-0000BE010000}"/>
    <cellStyle name="20% - Accent1 3 15 12" xfId="546" xr:uid="{00000000-0005-0000-0000-0000BF010000}"/>
    <cellStyle name="20% - Accent1 3 15 13" xfId="547" xr:uid="{00000000-0005-0000-0000-0000C0010000}"/>
    <cellStyle name="20% - Accent1 3 15 14" xfId="548" xr:uid="{00000000-0005-0000-0000-0000C1010000}"/>
    <cellStyle name="20% - Accent1 3 15 15" xfId="549" xr:uid="{00000000-0005-0000-0000-0000C2010000}"/>
    <cellStyle name="20% - Accent1 3 15 2" xfId="550" xr:uid="{00000000-0005-0000-0000-0000C3010000}"/>
    <cellStyle name="20% - Accent1 3 15 3" xfId="551" xr:uid="{00000000-0005-0000-0000-0000C4010000}"/>
    <cellStyle name="20% - Accent1 3 15 4" xfId="552" xr:uid="{00000000-0005-0000-0000-0000C5010000}"/>
    <cellStyle name="20% - Accent1 3 15 5" xfId="553" xr:uid="{00000000-0005-0000-0000-0000C6010000}"/>
    <cellStyle name="20% - Accent1 3 15 6" xfId="554" xr:uid="{00000000-0005-0000-0000-0000C7010000}"/>
    <cellStyle name="20% - Accent1 3 15 7" xfId="555" xr:uid="{00000000-0005-0000-0000-0000C8010000}"/>
    <cellStyle name="20% - Accent1 3 15 8" xfId="556" xr:uid="{00000000-0005-0000-0000-0000C9010000}"/>
    <cellStyle name="20% - Accent1 3 15 9" xfId="557" xr:uid="{00000000-0005-0000-0000-0000CA010000}"/>
    <cellStyle name="20% - Accent1 3 16" xfId="558" xr:uid="{00000000-0005-0000-0000-0000CB010000}"/>
    <cellStyle name="20% - Accent1 3 16 10" xfId="559" xr:uid="{00000000-0005-0000-0000-0000CC010000}"/>
    <cellStyle name="20% - Accent1 3 16 11" xfId="560" xr:uid="{00000000-0005-0000-0000-0000CD010000}"/>
    <cellStyle name="20% - Accent1 3 16 12" xfId="561" xr:uid="{00000000-0005-0000-0000-0000CE010000}"/>
    <cellStyle name="20% - Accent1 3 16 13" xfId="562" xr:uid="{00000000-0005-0000-0000-0000CF010000}"/>
    <cellStyle name="20% - Accent1 3 16 14" xfId="563" xr:uid="{00000000-0005-0000-0000-0000D0010000}"/>
    <cellStyle name="20% - Accent1 3 16 15" xfId="564" xr:uid="{00000000-0005-0000-0000-0000D1010000}"/>
    <cellStyle name="20% - Accent1 3 16 2" xfId="565" xr:uid="{00000000-0005-0000-0000-0000D2010000}"/>
    <cellStyle name="20% - Accent1 3 16 3" xfId="566" xr:uid="{00000000-0005-0000-0000-0000D3010000}"/>
    <cellStyle name="20% - Accent1 3 16 4" xfId="567" xr:uid="{00000000-0005-0000-0000-0000D4010000}"/>
    <cellStyle name="20% - Accent1 3 16 5" xfId="568" xr:uid="{00000000-0005-0000-0000-0000D5010000}"/>
    <cellStyle name="20% - Accent1 3 16 6" xfId="569" xr:uid="{00000000-0005-0000-0000-0000D6010000}"/>
    <cellStyle name="20% - Accent1 3 16 7" xfId="570" xr:uid="{00000000-0005-0000-0000-0000D7010000}"/>
    <cellStyle name="20% - Accent1 3 16 8" xfId="571" xr:uid="{00000000-0005-0000-0000-0000D8010000}"/>
    <cellStyle name="20% - Accent1 3 16 9" xfId="572" xr:uid="{00000000-0005-0000-0000-0000D9010000}"/>
    <cellStyle name="20% - Accent1 3 17" xfId="573" xr:uid="{00000000-0005-0000-0000-0000DA010000}"/>
    <cellStyle name="20% - Accent1 3 17 10" xfId="574" xr:uid="{00000000-0005-0000-0000-0000DB010000}"/>
    <cellStyle name="20% - Accent1 3 17 11" xfId="575" xr:uid="{00000000-0005-0000-0000-0000DC010000}"/>
    <cellStyle name="20% - Accent1 3 17 12" xfId="576" xr:uid="{00000000-0005-0000-0000-0000DD010000}"/>
    <cellStyle name="20% - Accent1 3 17 13" xfId="577" xr:uid="{00000000-0005-0000-0000-0000DE010000}"/>
    <cellStyle name="20% - Accent1 3 17 14" xfId="578" xr:uid="{00000000-0005-0000-0000-0000DF010000}"/>
    <cellStyle name="20% - Accent1 3 17 15" xfId="579" xr:uid="{00000000-0005-0000-0000-0000E0010000}"/>
    <cellStyle name="20% - Accent1 3 17 2" xfId="580" xr:uid="{00000000-0005-0000-0000-0000E1010000}"/>
    <cellStyle name="20% - Accent1 3 17 3" xfId="581" xr:uid="{00000000-0005-0000-0000-0000E2010000}"/>
    <cellStyle name="20% - Accent1 3 17 4" xfId="582" xr:uid="{00000000-0005-0000-0000-0000E3010000}"/>
    <cellStyle name="20% - Accent1 3 17 5" xfId="583" xr:uid="{00000000-0005-0000-0000-0000E4010000}"/>
    <cellStyle name="20% - Accent1 3 17 6" xfId="584" xr:uid="{00000000-0005-0000-0000-0000E5010000}"/>
    <cellStyle name="20% - Accent1 3 17 7" xfId="585" xr:uid="{00000000-0005-0000-0000-0000E6010000}"/>
    <cellStyle name="20% - Accent1 3 17 8" xfId="586" xr:uid="{00000000-0005-0000-0000-0000E7010000}"/>
    <cellStyle name="20% - Accent1 3 17 9" xfId="587" xr:uid="{00000000-0005-0000-0000-0000E8010000}"/>
    <cellStyle name="20% - Accent1 3 18" xfId="588" xr:uid="{00000000-0005-0000-0000-0000E9010000}"/>
    <cellStyle name="20% - Accent1 3 18 10" xfId="589" xr:uid="{00000000-0005-0000-0000-0000EA010000}"/>
    <cellStyle name="20% - Accent1 3 18 11" xfId="590" xr:uid="{00000000-0005-0000-0000-0000EB010000}"/>
    <cellStyle name="20% - Accent1 3 18 12" xfId="591" xr:uid="{00000000-0005-0000-0000-0000EC010000}"/>
    <cellStyle name="20% - Accent1 3 18 13" xfId="592" xr:uid="{00000000-0005-0000-0000-0000ED010000}"/>
    <cellStyle name="20% - Accent1 3 18 14" xfId="593" xr:uid="{00000000-0005-0000-0000-0000EE010000}"/>
    <cellStyle name="20% - Accent1 3 18 15" xfId="594" xr:uid="{00000000-0005-0000-0000-0000EF010000}"/>
    <cellStyle name="20% - Accent1 3 18 2" xfId="595" xr:uid="{00000000-0005-0000-0000-0000F0010000}"/>
    <cellStyle name="20% - Accent1 3 18 3" xfId="596" xr:uid="{00000000-0005-0000-0000-0000F1010000}"/>
    <cellStyle name="20% - Accent1 3 18 4" xfId="597" xr:uid="{00000000-0005-0000-0000-0000F2010000}"/>
    <cellStyle name="20% - Accent1 3 18 5" xfId="598" xr:uid="{00000000-0005-0000-0000-0000F3010000}"/>
    <cellStyle name="20% - Accent1 3 18 6" xfId="599" xr:uid="{00000000-0005-0000-0000-0000F4010000}"/>
    <cellStyle name="20% - Accent1 3 18 7" xfId="600" xr:uid="{00000000-0005-0000-0000-0000F5010000}"/>
    <cellStyle name="20% - Accent1 3 18 8" xfId="601" xr:uid="{00000000-0005-0000-0000-0000F6010000}"/>
    <cellStyle name="20% - Accent1 3 18 9" xfId="602" xr:uid="{00000000-0005-0000-0000-0000F7010000}"/>
    <cellStyle name="20% - Accent1 3 19" xfId="603" xr:uid="{00000000-0005-0000-0000-0000F8010000}"/>
    <cellStyle name="20% - Accent1 3 19 10" xfId="604" xr:uid="{00000000-0005-0000-0000-0000F9010000}"/>
    <cellStyle name="20% - Accent1 3 19 11" xfId="605" xr:uid="{00000000-0005-0000-0000-0000FA010000}"/>
    <cellStyle name="20% - Accent1 3 19 12" xfId="606" xr:uid="{00000000-0005-0000-0000-0000FB010000}"/>
    <cellStyle name="20% - Accent1 3 19 13" xfId="607" xr:uid="{00000000-0005-0000-0000-0000FC010000}"/>
    <cellStyle name="20% - Accent1 3 19 14" xfId="608" xr:uid="{00000000-0005-0000-0000-0000FD010000}"/>
    <cellStyle name="20% - Accent1 3 19 15" xfId="609" xr:uid="{00000000-0005-0000-0000-0000FE010000}"/>
    <cellStyle name="20% - Accent1 3 19 2" xfId="610" xr:uid="{00000000-0005-0000-0000-0000FF010000}"/>
    <cellStyle name="20% - Accent1 3 19 3" xfId="611" xr:uid="{00000000-0005-0000-0000-000000020000}"/>
    <cellStyle name="20% - Accent1 3 19 4" xfId="612" xr:uid="{00000000-0005-0000-0000-000001020000}"/>
    <cellStyle name="20% - Accent1 3 19 5" xfId="613" xr:uid="{00000000-0005-0000-0000-000002020000}"/>
    <cellStyle name="20% - Accent1 3 19 6" xfId="614" xr:uid="{00000000-0005-0000-0000-000003020000}"/>
    <cellStyle name="20% - Accent1 3 19 7" xfId="615" xr:uid="{00000000-0005-0000-0000-000004020000}"/>
    <cellStyle name="20% - Accent1 3 19 8" xfId="616" xr:uid="{00000000-0005-0000-0000-000005020000}"/>
    <cellStyle name="20% - Accent1 3 19 9" xfId="617" xr:uid="{00000000-0005-0000-0000-000006020000}"/>
    <cellStyle name="20% - Accent1 3 2" xfId="618" xr:uid="{00000000-0005-0000-0000-000007020000}"/>
    <cellStyle name="20% - Accent1 3 2 10" xfId="619" xr:uid="{00000000-0005-0000-0000-000008020000}"/>
    <cellStyle name="20% - Accent1 3 2 11" xfId="620" xr:uid="{00000000-0005-0000-0000-000009020000}"/>
    <cellStyle name="20% - Accent1 3 2 12" xfId="621" xr:uid="{00000000-0005-0000-0000-00000A020000}"/>
    <cellStyle name="20% - Accent1 3 2 13" xfId="622" xr:uid="{00000000-0005-0000-0000-00000B020000}"/>
    <cellStyle name="20% - Accent1 3 2 14" xfId="623" xr:uid="{00000000-0005-0000-0000-00000C020000}"/>
    <cellStyle name="20% - Accent1 3 2 15" xfId="624" xr:uid="{00000000-0005-0000-0000-00000D020000}"/>
    <cellStyle name="20% - Accent1 3 2 16" xfId="625" xr:uid="{00000000-0005-0000-0000-00000E020000}"/>
    <cellStyle name="20% - Accent1 3 2 17" xfId="626" xr:uid="{00000000-0005-0000-0000-00000F020000}"/>
    <cellStyle name="20% - Accent1 3 2 18" xfId="627" xr:uid="{00000000-0005-0000-0000-000010020000}"/>
    <cellStyle name="20% - Accent1 3 2 19" xfId="628" xr:uid="{00000000-0005-0000-0000-000011020000}"/>
    <cellStyle name="20% - Accent1 3 2 2" xfId="629" xr:uid="{00000000-0005-0000-0000-000012020000}"/>
    <cellStyle name="20% - Accent1 3 2 20" xfId="630" xr:uid="{00000000-0005-0000-0000-000013020000}"/>
    <cellStyle name="20% - Accent1 3 2 21" xfId="631" xr:uid="{00000000-0005-0000-0000-000014020000}"/>
    <cellStyle name="20% - Accent1 3 2 22" xfId="632" xr:uid="{00000000-0005-0000-0000-000015020000}"/>
    <cellStyle name="20% - Accent1 3 2 23" xfId="633" xr:uid="{00000000-0005-0000-0000-000016020000}"/>
    <cellStyle name="20% - Accent1 3 2 24" xfId="634" xr:uid="{00000000-0005-0000-0000-000017020000}"/>
    <cellStyle name="20% - Accent1 3 2 25" xfId="635" xr:uid="{00000000-0005-0000-0000-000018020000}"/>
    <cellStyle name="20% - Accent1 3 2 26" xfId="636" xr:uid="{00000000-0005-0000-0000-000019020000}"/>
    <cellStyle name="20% - Accent1 3 2 27" xfId="637" xr:uid="{00000000-0005-0000-0000-00001A020000}"/>
    <cellStyle name="20% - Accent1 3 2 28" xfId="638" xr:uid="{00000000-0005-0000-0000-00001B020000}"/>
    <cellStyle name="20% - Accent1 3 2 29" xfId="639" xr:uid="{00000000-0005-0000-0000-00001C020000}"/>
    <cellStyle name="20% - Accent1 3 2 3" xfId="640" xr:uid="{00000000-0005-0000-0000-00001D020000}"/>
    <cellStyle name="20% - Accent1 3 2 30" xfId="641" xr:uid="{00000000-0005-0000-0000-00001E020000}"/>
    <cellStyle name="20% - Accent1 3 2 31" xfId="642" xr:uid="{00000000-0005-0000-0000-00001F020000}"/>
    <cellStyle name="20% - Accent1 3 2 32" xfId="643" xr:uid="{00000000-0005-0000-0000-000020020000}"/>
    <cellStyle name="20% - Accent1 3 2 33" xfId="644" xr:uid="{00000000-0005-0000-0000-000021020000}"/>
    <cellStyle name="20% - Accent1 3 2 34" xfId="645" xr:uid="{00000000-0005-0000-0000-000022020000}"/>
    <cellStyle name="20% - Accent1 3 2 35" xfId="646" xr:uid="{00000000-0005-0000-0000-000023020000}"/>
    <cellStyle name="20% - Accent1 3 2 36" xfId="647" xr:uid="{00000000-0005-0000-0000-000024020000}"/>
    <cellStyle name="20% - Accent1 3 2 37" xfId="648" xr:uid="{00000000-0005-0000-0000-000025020000}"/>
    <cellStyle name="20% - Accent1 3 2 38" xfId="649" xr:uid="{00000000-0005-0000-0000-000026020000}"/>
    <cellStyle name="20% - Accent1 3 2 39" xfId="650" xr:uid="{00000000-0005-0000-0000-000027020000}"/>
    <cellStyle name="20% - Accent1 3 2 4" xfId="651" xr:uid="{00000000-0005-0000-0000-000028020000}"/>
    <cellStyle name="20% - Accent1 3 2 40" xfId="652" xr:uid="{00000000-0005-0000-0000-000029020000}"/>
    <cellStyle name="20% - Accent1 3 2 41" xfId="653" xr:uid="{00000000-0005-0000-0000-00002A020000}"/>
    <cellStyle name="20% - Accent1 3 2 42" xfId="654" xr:uid="{00000000-0005-0000-0000-00002B020000}"/>
    <cellStyle name="20% - Accent1 3 2 43" xfId="655" xr:uid="{00000000-0005-0000-0000-00002C020000}"/>
    <cellStyle name="20% - Accent1 3 2 44" xfId="656" xr:uid="{00000000-0005-0000-0000-00002D020000}"/>
    <cellStyle name="20% - Accent1 3 2 45" xfId="657" xr:uid="{00000000-0005-0000-0000-00002E020000}"/>
    <cellStyle name="20% - Accent1 3 2 46" xfId="658" xr:uid="{00000000-0005-0000-0000-00002F020000}"/>
    <cellStyle name="20% - Accent1 3 2 47" xfId="659" xr:uid="{00000000-0005-0000-0000-000030020000}"/>
    <cellStyle name="20% - Accent1 3 2 48" xfId="660" xr:uid="{00000000-0005-0000-0000-000031020000}"/>
    <cellStyle name="20% - Accent1 3 2 49" xfId="661" xr:uid="{00000000-0005-0000-0000-000032020000}"/>
    <cellStyle name="20% - Accent1 3 2 5" xfId="662" xr:uid="{00000000-0005-0000-0000-000033020000}"/>
    <cellStyle name="20% - Accent1 3 2 50" xfId="663" xr:uid="{00000000-0005-0000-0000-000034020000}"/>
    <cellStyle name="20% - Accent1 3 2 51" xfId="664" xr:uid="{00000000-0005-0000-0000-000035020000}"/>
    <cellStyle name="20% - Accent1 3 2 52" xfId="665" xr:uid="{00000000-0005-0000-0000-000036020000}"/>
    <cellStyle name="20% - Accent1 3 2 53" xfId="666" xr:uid="{00000000-0005-0000-0000-000037020000}"/>
    <cellStyle name="20% - Accent1 3 2 54" xfId="667" xr:uid="{00000000-0005-0000-0000-000038020000}"/>
    <cellStyle name="20% - Accent1 3 2 6" xfId="668" xr:uid="{00000000-0005-0000-0000-000039020000}"/>
    <cellStyle name="20% - Accent1 3 2 7" xfId="669" xr:uid="{00000000-0005-0000-0000-00003A020000}"/>
    <cellStyle name="20% - Accent1 3 2 8" xfId="670" xr:uid="{00000000-0005-0000-0000-00003B020000}"/>
    <cellStyle name="20% - Accent1 3 2 9" xfId="671" xr:uid="{00000000-0005-0000-0000-00003C020000}"/>
    <cellStyle name="20% - Accent1 3 20" xfId="672" xr:uid="{00000000-0005-0000-0000-00003D020000}"/>
    <cellStyle name="20% - Accent1 3 20 10" xfId="673" xr:uid="{00000000-0005-0000-0000-00003E020000}"/>
    <cellStyle name="20% - Accent1 3 20 11" xfId="674" xr:uid="{00000000-0005-0000-0000-00003F020000}"/>
    <cellStyle name="20% - Accent1 3 20 12" xfId="675" xr:uid="{00000000-0005-0000-0000-000040020000}"/>
    <cellStyle name="20% - Accent1 3 20 13" xfId="676" xr:uid="{00000000-0005-0000-0000-000041020000}"/>
    <cellStyle name="20% - Accent1 3 20 14" xfId="677" xr:uid="{00000000-0005-0000-0000-000042020000}"/>
    <cellStyle name="20% - Accent1 3 20 15" xfId="678" xr:uid="{00000000-0005-0000-0000-000043020000}"/>
    <cellStyle name="20% - Accent1 3 20 2" xfId="679" xr:uid="{00000000-0005-0000-0000-000044020000}"/>
    <cellStyle name="20% - Accent1 3 20 3" xfId="680" xr:uid="{00000000-0005-0000-0000-000045020000}"/>
    <cellStyle name="20% - Accent1 3 20 4" xfId="681" xr:uid="{00000000-0005-0000-0000-000046020000}"/>
    <cellStyle name="20% - Accent1 3 20 5" xfId="682" xr:uid="{00000000-0005-0000-0000-000047020000}"/>
    <cellStyle name="20% - Accent1 3 20 6" xfId="683" xr:uid="{00000000-0005-0000-0000-000048020000}"/>
    <cellStyle name="20% - Accent1 3 20 7" xfId="684" xr:uid="{00000000-0005-0000-0000-000049020000}"/>
    <cellStyle name="20% - Accent1 3 20 8" xfId="685" xr:uid="{00000000-0005-0000-0000-00004A020000}"/>
    <cellStyle name="20% - Accent1 3 20 9" xfId="686" xr:uid="{00000000-0005-0000-0000-00004B020000}"/>
    <cellStyle name="20% - Accent1 3 21" xfId="687" xr:uid="{00000000-0005-0000-0000-00004C020000}"/>
    <cellStyle name="20% - Accent1 3 21 10" xfId="688" xr:uid="{00000000-0005-0000-0000-00004D020000}"/>
    <cellStyle name="20% - Accent1 3 21 11" xfId="689" xr:uid="{00000000-0005-0000-0000-00004E020000}"/>
    <cellStyle name="20% - Accent1 3 21 12" xfId="690" xr:uid="{00000000-0005-0000-0000-00004F020000}"/>
    <cellStyle name="20% - Accent1 3 21 13" xfId="691" xr:uid="{00000000-0005-0000-0000-000050020000}"/>
    <cellStyle name="20% - Accent1 3 21 14" xfId="692" xr:uid="{00000000-0005-0000-0000-000051020000}"/>
    <cellStyle name="20% - Accent1 3 21 15" xfId="693" xr:uid="{00000000-0005-0000-0000-000052020000}"/>
    <cellStyle name="20% - Accent1 3 21 2" xfId="694" xr:uid="{00000000-0005-0000-0000-000053020000}"/>
    <cellStyle name="20% - Accent1 3 21 3" xfId="695" xr:uid="{00000000-0005-0000-0000-000054020000}"/>
    <cellStyle name="20% - Accent1 3 21 4" xfId="696" xr:uid="{00000000-0005-0000-0000-000055020000}"/>
    <cellStyle name="20% - Accent1 3 21 5" xfId="697" xr:uid="{00000000-0005-0000-0000-000056020000}"/>
    <cellStyle name="20% - Accent1 3 21 6" xfId="698" xr:uid="{00000000-0005-0000-0000-000057020000}"/>
    <cellStyle name="20% - Accent1 3 21 7" xfId="699" xr:uid="{00000000-0005-0000-0000-000058020000}"/>
    <cellStyle name="20% - Accent1 3 21 8" xfId="700" xr:uid="{00000000-0005-0000-0000-000059020000}"/>
    <cellStyle name="20% - Accent1 3 21 9" xfId="701" xr:uid="{00000000-0005-0000-0000-00005A020000}"/>
    <cellStyle name="20% - Accent1 3 22" xfId="702" xr:uid="{00000000-0005-0000-0000-00005B020000}"/>
    <cellStyle name="20% - Accent1 3 22 10" xfId="703" xr:uid="{00000000-0005-0000-0000-00005C020000}"/>
    <cellStyle name="20% - Accent1 3 22 11" xfId="704" xr:uid="{00000000-0005-0000-0000-00005D020000}"/>
    <cellStyle name="20% - Accent1 3 22 12" xfId="705" xr:uid="{00000000-0005-0000-0000-00005E020000}"/>
    <cellStyle name="20% - Accent1 3 22 13" xfId="706" xr:uid="{00000000-0005-0000-0000-00005F020000}"/>
    <cellStyle name="20% - Accent1 3 22 14" xfId="707" xr:uid="{00000000-0005-0000-0000-000060020000}"/>
    <cellStyle name="20% - Accent1 3 22 15" xfId="708" xr:uid="{00000000-0005-0000-0000-000061020000}"/>
    <cellStyle name="20% - Accent1 3 22 2" xfId="709" xr:uid="{00000000-0005-0000-0000-000062020000}"/>
    <cellStyle name="20% - Accent1 3 22 3" xfId="710" xr:uid="{00000000-0005-0000-0000-000063020000}"/>
    <cellStyle name="20% - Accent1 3 22 4" xfId="711" xr:uid="{00000000-0005-0000-0000-000064020000}"/>
    <cellStyle name="20% - Accent1 3 22 5" xfId="712" xr:uid="{00000000-0005-0000-0000-000065020000}"/>
    <cellStyle name="20% - Accent1 3 22 6" xfId="713" xr:uid="{00000000-0005-0000-0000-000066020000}"/>
    <cellStyle name="20% - Accent1 3 22 7" xfId="714" xr:uid="{00000000-0005-0000-0000-000067020000}"/>
    <cellStyle name="20% - Accent1 3 22 8" xfId="715" xr:uid="{00000000-0005-0000-0000-000068020000}"/>
    <cellStyle name="20% - Accent1 3 22 9" xfId="716" xr:uid="{00000000-0005-0000-0000-000069020000}"/>
    <cellStyle name="20% - Accent1 3 23" xfId="717" xr:uid="{00000000-0005-0000-0000-00006A020000}"/>
    <cellStyle name="20% - Accent1 3 23 10" xfId="718" xr:uid="{00000000-0005-0000-0000-00006B020000}"/>
    <cellStyle name="20% - Accent1 3 23 11" xfId="719" xr:uid="{00000000-0005-0000-0000-00006C020000}"/>
    <cellStyle name="20% - Accent1 3 23 12" xfId="720" xr:uid="{00000000-0005-0000-0000-00006D020000}"/>
    <cellStyle name="20% - Accent1 3 23 13" xfId="721" xr:uid="{00000000-0005-0000-0000-00006E020000}"/>
    <cellStyle name="20% - Accent1 3 23 14" xfId="722" xr:uid="{00000000-0005-0000-0000-00006F020000}"/>
    <cellStyle name="20% - Accent1 3 23 15" xfId="723" xr:uid="{00000000-0005-0000-0000-000070020000}"/>
    <cellStyle name="20% - Accent1 3 23 2" xfId="724" xr:uid="{00000000-0005-0000-0000-000071020000}"/>
    <cellStyle name="20% - Accent1 3 23 3" xfId="725" xr:uid="{00000000-0005-0000-0000-000072020000}"/>
    <cellStyle name="20% - Accent1 3 23 4" xfId="726" xr:uid="{00000000-0005-0000-0000-000073020000}"/>
    <cellStyle name="20% - Accent1 3 23 5" xfId="727" xr:uid="{00000000-0005-0000-0000-000074020000}"/>
    <cellStyle name="20% - Accent1 3 23 6" xfId="728" xr:uid="{00000000-0005-0000-0000-000075020000}"/>
    <cellStyle name="20% - Accent1 3 23 7" xfId="729" xr:uid="{00000000-0005-0000-0000-000076020000}"/>
    <cellStyle name="20% - Accent1 3 23 8" xfId="730" xr:uid="{00000000-0005-0000-0000-000077020000}"/>
    <cellStyle name="20% - Accent1 3 23 9" xfId="731" xr:uid="{00000000-0005-0000-0000-000078020000}"/>
    <cellStyle name="20% - Accent1 3 24" xfId="732" xr:uid="{00000000-0005-0000-0000-000079020000}"/>
    <cellStyle name="20% - Accent1 3 24 10" xfId="733" xr:uid="{00000000-0005-0000-0000-00007A020000}"/>
    <cellStyle name="20% - Accent1 3 24 11" xfId="734" xr:uid="{00000000-0005-0000-0000-00007B020000}"/>
    <cellStyle name="20% - Accent1 3 24 12" xfId="735" xr:uid="{00000000-0005-0000-0000-00007C020000}"/>
    <cellStyle name="20% - Accent1 3 24 13" xfId="736" xr:uid="{00000000-0005-0000-0000-00007D020000}"/>
    <cellStyle name="20% - Accent1 3 24 14" xfId="737" xr:uid="{00000000-0005-0000-0000-00007E020000}"/>
    <cellStyle name="20% - Accent1 3 24 15" xfId="738" xr:uid="{00000000-0005-0000-0000-00007F020000}"/>
    <cellStyle name="20% - Accent1 3 24 2" xfId="739" xr:uid="{00000000-0005-0000-0000-000080020000}"/>
    <cellStyle name="20% - Accent1 3 24 3" xfId="740" xr:uid="{00000000-0005-0000-0000-000081020000}"/>
    <cellStyle name="20% - Accent1 3 24 4" xfId="741" xr:uid="{00000000-0005-0000-0000-000082020000}"/>
    <cellStyle name="20% - Accent1 3 24 5" xfId="742" xr:uid="{00000000-0005-0000-0000-000083020000}"/>
    <cellStyle name="20% - Accent1 3 24 6" xfId="743" xr:uid="{00000000-0005-0000-0000-000084020000}"/>
    <cellStyle name="20% - Accent1 3 24 7" xfId="744" xr:uid="{00000000-0005-0000-0000-000085020000}"/>
    <cellStyle name="20% - Accent1 3 24 8" xfId="745" xr:uid="{00000000-0005-0000-0000-000086020000}"/>
    <cellStyle name="20% - Accent1 3 24 9" xfId="746" xr:uid="{00000000-0005-0000-0000-000087020000}"/>
    <cellStyle name="20% - Accent1 3 25" xfId="747" xr:uid="{00000000-0005-0000-0000-000088020000}"/>
    <cellStyle name="20% - Accent1 3 25 10" xfId="748" xr:uid="{00000000-0005-0000-0000-000089020000}"/>
    <cellStyle name="20% - Accent1 3 25 11" xfId="749" xr:uid="{00000000-0005-0000-0000-00008A020000}"/>
    <cellStyle name="20% - Accent1 3 25 12" xfId="750" xr:uid="{00000000-0005-0000-0000-00008B020000}"/>
    <cellStyle name="20% - Accent1 3 25 13" xfId="751" xr:uid="{00000000-0005-0000-0000-00008C020000}"/>
    <cellStyle name="20% - Accent1 3 25 14" xfId="752" xr:uid="{00000000-0005-0000-0000-00008D020000}"/>
    <cellStyle name="20% - Accent1 3 25 15" xfId="753" xr:uid="{00000000-0005-0000-0000-00008E020000}"/>
    <cellStyle name="20% - Accent1 3 25 2" xfId="754" xr:uid="{00000000-0005-0000-0000-00008F020000}"/>
    <cellStyle name="20% - Accent1 3 25 3" xfId="755" xr:uid="{00000000-0005-0000-0000-000090020000}"/>
    <cellStyle name="20% - Accent1 3 25 4" xfId="756" xr:uid="{00000000-0005-0000-0000-000091020000}"/>
    <cellStyle name="20% - Accent1 3 25 5" xfId="757" xr:uid="{00000000-0005-0000-0000-000092020000}"/>
    <cellStyle name="20% - Accent1 3 25 6" xfId="758" xr:uid="{00000000-0005-0000-0000-000093020000}"/>
    <cellStyle name="20% - Accent1 3 25 7" xfId="759" xr:uid="{00000000-0005-0000-0000-000094020000}"/>
    <cellStyle name="20% - Accent1 3 25 8" xfId="760" xr:uid="{00000000-0005-0000-0000-000095020000}"/>
    <cellStyle name="20% - Accent1 3 25 9" xfId="761" xr:uid="{00000000-0005-0000-0000-000096020000}"/>
    <cellStyle name="20% - Accent1 3 26" xfId="762" xr:uid="{00000000-0005-0000-0000-000097020000}"/>
    <cellStyle name="20% - Accent1 3 26 10" xfId="763" xr:uid="{00000000-0005-0000-0000-000098020000}"/>
    <cellStyle name="20% - Accent1 3 26 11" xfId="764" xr:uid="{00000000-0005-0000-0000-000099020000}"/>
    <cellStyle name="20% - Accent1 3 26 12" xfId="765" xr:uid="{00000000-0005-0000-0000-00009A020000}"/>
    <cellStyle name="20% - Accent1 3 26 13" xfId="766" xr:uid="{00000000-0005-0000-0000-00009B020000}"/>
    <cellStyle name="20% - Accent1 3 26 14" xfId="767" xr:uid="{00000000-0005-0000-0000-00009C020000}"/>
    <cellStyle name="20% - Accent1 3 26 15" xfId="768" xr:uid="{00000000-0005-0000-0000-00009D020000}"/>
    <cellStyle name="20% - Accent1 3 26 2" xfId="769" xr:uid="{00000000-0005-0000-0000-00009E020000}"/>
    <cellStyle name="20% - Accent1 3 26 3" xfId="770" xr:uid="{00000000-0005-0000-0000-00009F020000}"/>
    <cellStyle name="20% - Accent1 3 26 4" xfId="771" xr:uid="{00000000-0005-0000-0000-0000A0020000}"/>
    <cellStyle name="20% - Accent1 3 26 5" xfId="772" xr:uid="{00000000-0005-0000-0000-0000A1020000}"/>
    <cellStyle name="20% - Accent1 3 26 6" xfId="773" xr:uid="{00000000-0005-0000-0000-0000A2020000}"/>
    <cellStyle name="20% - Accent1 3 26 7" xfId="774" xr:uid="{00000000-0005-0000-0000-0000A3020000}"/>
    <cellStyle name="20% - Accent1 3 26 8" xfId="775" xr:uid="{00000000-0005-0000-0000-0000A4020000}"/>
    <cellStyle name="20% - Accent1 3 26 9" xfId="776" xr:uid="{00000000-0005-0000-0000-0000A5020000}"/>
    <cellStyle name="20% - Accent1 3 27" xfId="777" xr:uid="{00000000-0005-0000-0000-0000A6020000}"/>
    <cellStyle name="20% - Accent1 3 27 10" xfId="778" xr:uid="{00000000-0005-0000-0000-0000A7020000}"/>
    <cellStyle name="20% - Accent1 3 27 11" xfId="779" xr:uid="{00000000-0005-0000-0000-0000A8020000}"/>
    <cellStyle name="20% - Accent1 3 27 12" xfId="780" xr:uid="{00000000-0005-0000-0000-0000A9020000}"/>
    <cellStyle name="20% - Accent1 3 27 13" xfId="781" xr:uid="{00000000-0005-0000-0000-0000AA020000}"/>
    <cellStyle name="20% - Accent1 3 27 14" xfId="782" xr:uid="{00000000-0005-0000-0000-0000AB020000}"/>
    <cellStyle name="20% - Accent1 3 27 15" xfId="783" xr:uid="{00000000-0005-0000-0000-0000AC020000}"/>
    <cellStyle name="20% - Accent1 3 27 2" xfId="784" xr:uid="{00000000-0005-0000-0000-0000AD020000}"/>
    <cellStyle name="20% - Accent1 3 27 3" xfId="785" xr:uid="{00000000-0005-0000-0000-0000AE020000}"/>
    <cellStyle name="20% - Accent1 3 27 4" xfId="786" xr:uid="{00000000-0005-0000-0000-0000AF020000}"/>
    <cellStyle name="20% - Accent1 3 27 5" xfId="787" xr:uid="{00000000-0005-0000-0000-0000B0020000}"/>
    <cellStyle name="20% - Accent1 3 27 6" xfId="788" xr:uid="{00000000-0005-0000-0000-0000B1020000}"/>
    <cellStyle name="20% - Accent1 3 27 7" xfId="789" xr:uid="{00000000-0005-0000-0000-0000B2020000}"/>
    <cellStyle name="20% - Accent1 3 27 8" xfId="790" xr:uid="{00000000-0005-0000-0000-0000B3020000}"/>
    <cellStyle name="20% - Accent1 3 27 9" xfId="791" xr:uid="{00000000-0005-0000-0000-0000B4020000}"/>
    <cellStyle name="20% - Accent1 3 28" xfId="792" xr:uid="{00000000-0005-0000-0000-0000B5020000}"/>
    <cellStyle name="20% - Accent1 3 28 10" xfId="793" xr:uid="{00000000-0005-0000-0000-0000B6020000}"/>
    <cellStyle name="20% - Accent1 3 28 11" xfId="794" xr:uid="{00000000-0005-0000-0000-0000B7020000}"/>
    <cellStyle name="20% - Accent1 3 28 12" xfId="795" xr:uid="{00000000-0005-0000-0000-0000B8020000}"/>
    <cellStyle name="20% - Accent1 3 28 13" xfId="796" xr:uid="{00000000-0005-0000-0000-0000B9020000}"/>
    <cellStyle name="20% - Accent1 3 28 14" xfId="797" xr:uid="{00000000-0005-0000-0000-0000BA020000}"/>
    <cellStyle name="20% - Accent1 3 28 15" xfId="798" xr:uid="{00000000-0005-0000-0000-0000BB020000}"/>
    <cellStyle name="20% - Accent1 3 28 2" xfId="799" xr:uid="{00000000-0005-0000-0000-0000BC020000}"/>
    <cellStyle name="20% - Accent1 3 28 3" xfId="800" xr:uid="{00000000-0005-0000-0000-0000BD020000}"/>
    <cellStyle name="20% - Accent1 3 28 4" xfId="801" xr:uid="{00000000-0005-0000-0000-0000BE020000}"/>
    <cellStyle name="20% - Accent1 3 28 5" xfId="802" xr:uid="{00000000-0005-0000-0000-0000BF020000}"/>
    <cellStyle name="20% - Accent1 3 28 6" xfId="803" xr:uid="{00000000-0005-0000-0000-0000C0020000}"/>
    <cellStyle name="20% - Accent1 3 28 7" xfId="804" xr:uid="{00000000-0005-0000-0000-0000C1020000}"/>
    <cellStyle name="20% - Accent1 3 28 8" xfId="805" xr:uid="{00000000-0005-0000-0000-0000C2020000}"/>
    <cellStyle name="20% - Accent1 3 28 9" xfId="806" xr:uid="{00000000-0005-0000-0000-0000C3020000}"/>
    <cellStyle name="20% - Accent1 3 29" xfId="807" xr:uid="{00000000-0005-0000-0000-0000C4020000}"/>
    <cellStyle name="20% - Accent1 3 29 10" xfId="808" xr:uid="{00000000-0005-0000-0000-0000C5020000}"/>
    <cellStyle name="20% - Accent1 3 29 11" xfId="809" xr:uid="{00000000-0005-0000-0000-0000C6020000}"/>
    <cellStyle name="20% - Accent1 3 29 12" xfId="810" xr:uid="{00000000-0005-0000-0000-0000C7020000}"/>
    <cellStyle name="20% - Accent1 3 29 13" xfId="811" xr:uid="{00000000-0005-0000-0000-0000C8020000}"/>
    <cellStyle name="20% - Accent1 3 29 14" xfId="812" xr:uid="{00000000-0005-0000-0000-0000C9020000}"/>
    <cellStyle name="20% - Accent1 3 29 15" xfId="813" xr:uid="{00000000-0005-0000-0000-0000CA020000}"/>
    <cellStyle name="20% - Accent1 3 29 2" xfId="814" xr:uid="{00000000-0005-0000-0000-0000CB020000}"/>
    <cellStyle name="20% - Accent1 3 29 3" xfId="815" xr:uid="{00000000-0005-0000-0000-0000CC020000}"/>
    <cellStyle name="20% - Accent1 3 29 4" xfId="816" xr:uid="{00000000-0005-0000-0000-0000CD020000}"/>
    <cellStyle name="20% - Accent1 3 29 5" xfId="817" xr:uid="{00000000-0005-0000-0000-0000CE020000}"/>
    <cellStyle name="20% - Accent1 3 29 6" xfId="818" xr:uid="{00000000-0005-0000-0000-0000CF020000}"/>
    <cellStyle name="20% - Accent1 3 29 7" xfId="819" xr:uid="{00000000-0005-0000-0000-0000D0020000}"/>
    <cellStyle name="20% - Accent1 3 29 8" xfId="820" xr:uid="{00000000-0005-0000-0000-0000D1020000}"/>
    <cellStyle name="20% - Accent1 3 29 9" xfId="821" xr:uid="{00000000-0005-0000-0000-0000D2020000}"/>
    <cellStyle name="20% - Accent1 3 3" xfId="822" xr:uid="{00000000-0005-0000-0000-0000D3020000}"/>
    <cellStyle name="20% - Accent1 3 3 10" xfId="823" xr:uid="{00000000-0005-0000-0000-0000D4020000}"/>
    <cellStyle name="20% - Accent1 3 3 11" xfId="824" xr:uid="{00000000-0005-0000-0000-0000D5020000}"/>
    <cellStyle name="20% - Accent1 3 3 12" xfId="825" xr:uid="{00000000-0005-0000-0000-0000D6020000}"/>
    <cellStyle name="20% - Accent1 3 3 13" xfId="826" xr:uid="{00000000-0005-0000-0000-0000D7020000}"/>
    <cellStyle name="20% - Accent1 3 3 14" xfId="827" xr:uid="{00000000-0005-0000-0000-0000D8020000}"/>
    <cellStyle name="20% - Accent1 3 3 15" xfId="828" xr:uid="{00000000-0005-0000-0000-0000D9020000}"/>
    <cellStyle name="20% - Accent1 3 3 16" xfId="829" xr:uid="{00000000-0005-0000-0000-0000DA020000}"/>
    <cellStyle name="20% - Accent1 3 3 2" xfId="830" xr:uid="{00000000-0005-0000-0000-0000DB020000}"/>
    <cellStyle name="20% - Accent1 3 3 3" xfId="831" xr:uid="{00000000-0005-0000-0000-0000DC020000}"/>
    <cellStyle name="20% - Accent1 3 3 4" xfId="832" xr:uid="{00000000-0005-0000-0000-0000DD020000}"/>
    <cellStyle name="20% - Accent1 3 3 5" xfId="833" xr:uid="{00000000-0005-0000-0000-0000DE020000}"/>
    <cellStyle name="20% - Accent1 3 3 6" xfId="834" xr:uid="{00000000-0005-0000-0000-0000DF020000}"/>
    <cellStyle name="20% - Accent1 3 3 7" xfId="835" xr:uid="{00000000-0005-0000-0000-0000E0020000}"/>
    <cellStyle name="20% - Accent1 3 3 8" xfId="836" xr:uid="{00000000-0005-0000-0000-0000E1020000}"/>
    <cellStyle name="20% - Accent1 3 3 9" xfId="837" xr:uid="{00000000-0005-0000-0000-0000E2020000}"/>
    <cellStyle name="20% - Accent1 3 30" xfId="838" xr:uid="{00000000-0005-0000-0000-0000E3020000}"/>
    <cellStyle name="20% - Accent1 3 30 10" xfId="839" xr:uid="{00000000-0005-0000-0000-0000E4020000}"/>
    <cellStyle name="20% - Accent1 3 30 11" xfId="840" xr:uid="{00000000-0005-0000-0000-0000E5020000}"/>
    <cellStyle name="20% - Accent1 3 30 12" xfId="841" xr:uid="{00000000-0005-0000-0000-0000E6020000}"/>
    <cellStyle name="20% - Accent1 3 30 13" xfId="842" xr:uid="{00000000-0005-0000-0000-0000E7020000}"/>
    <cellStyle name="20% - Accent1 3 30 14" xfId="843" xr:uid="{00000000-0005-0000-0000-0000E8020000}"/>
    <cellStyle name="20% - Accent1 3 30 15" xfId="844" xr:uid="{00000000-0005-0000-0000-0000E9020000}"/>
    <cellStyle name="20% - Accent1 3 30 2" xfId="845" xr:uid="{00000000-0005-0000-0000-0000EA020000}"/>
    <cellStyle name="20% - Accent1 3 30 3" xfId="846" xr:uid="{00000000-0005-0000-0000-0000EB020000}"/>
    <cellStyle name="20% - Accent1 3 30 4" xfId="847" xr:uid="{00000000-0005-0000-0000-0000EC020000}"/>
    <cellStyle name="20% - Accent1 3 30 5" xfId="848" xr:uid="{00000000-0005-0000-0000-0000ED020000}"/>
    <cellStyle name="20% - Accent1 3 30 6" xfId="849" xr:uid="{00000000-0005-0000-0000-0000EE020000}"/>
    <cellStyle name="20% - Accent1 3 30 7" xfId="850" xr:uid="{00000000-0005-0000-0000-0000EF020000}"/>
    <cellStyle name="20% - Accent1 3 30 8" xfId="851" xr:uid="{00000000-0005-0000-0000-0000F0020000}"/>
    <cellStyle name="20% - Accent1 3 30 9" xfId="852" xr:uid="{00000000-0005-0000-0000-0000F1020000}"/>
    <cellStyle name="20% - Accent1 3 31" xfId="853" xr:uid="{00000000-0005-0000-0000-0000F2020000}"/>
    <cellStyle name="20% - Accent1 3 31 10" xfId="854" xr:uid="{00000000-0005-0000-0000-0000F3020000}"/>
    <cellStyle name="20% - Accent1 3 31 11" xfId="855" xr:uid="{00000000-0005-0000-0000-0000F4020000}"/>
    <cellStyle name="20% - Accent1 3 31 12" xfId="856" xr:uid="{00000000-0005-0000-0000-0000F5020000}"/>
    <cellStyle name="20% - Accent1 3 31 13" xfId="857" xr:uid="{00000000-0005-0000-0000-0000F6020000}"/>
    <cellStyle name="20% - Accent1 3 31 14" xfId="858" xr:uid="{00000000-0005-0000-0000-0000F7020000}"/>
    <cellStyle name="20% - Accent1 3 31 15" xfId="859" xr:uid="{00000000-0005-0000-0000-0000F8020000}"/>
    <cellStyle name="20% - Accent1 3 31 2" xfId="860" xr:uid="{00000000-0005-0000-0000-0000F9020000}"/>
    <cellStyle name="20% - Accent1 3 31 3" xfId="861" xr:uid="{00000000-0005-0000-0000-0000FA020000}"/>
    <cellStyle name="20% - Accent1 3 31 4" xfId="862" xr:uid="{00000000-0005-0000-0000-0000FB020000}"/>
    <cellStyle name="20% - Accent1 3 31 5" xfId="863" xr:uid="{00000000-0005-0000-0000-0000FC020000}"/>
    <cellStyle name="20% - Accent1 3 31 6" xfId="864" xr:uid="{00000000-0005-0000-0000-0000FD020000}"/>
    <cellStyle name="20% - Accent1 3 31 7" xfId="865" xr:uid="{00000000-0005-0000-0000-0000FE020000}"/>
    <cellStyle name="20% - Accent1 3 31 8" xfId="866" xr:uid="{00000000-0005-0000-0000-0000FF020000}"/>
    <cellStyle name="20% - Accent1 3 31 9" xfId="867" xr:uid="{00000000-0005-0000-0000-000000030000}"/>
    <cellStyle name="20% - Accent1 3 32" xfId="868" xr:uid="{00000000-0005-0000-0000-000001030000}"/>
    <cellStyle name="20% - Accent1 3 32 10" xfId="869" xr:uid="{00000000-0005-0000-0000-000002030000}"/>
    <cellStyle name="20% - Accent1 3 32 11" xfId="870" xr:uid="{00000000-0005-0000-0000-000003030000}"/>
    <cellStyle name="20% - Accent1 3 32 12" xfId="871" xr:uid="{00000000-0005-0000-0000-000004030000}"/>
    <cellStyle name="20% - Accent1 3 32 13" xfId="872" xr:uid="{00000000-0005-0000-0000-000005030000}"/>
    <cellStyle name="20% - Accent1 3 32 14" xfId="873" xr:uid="{00000000-0005-0000-0000-000006030000}"/>
    <cellStyle name="20% - Accent1 3 32 15" xfId="874" xr:uid="{00000000-0005-0000-0000-000007030000}"/>
    <cellStyle name="20% - Accent1 3 32 2" xfId="875" xr:uid="{00000000-0005-0000-0000-000008030000}"/>
    <cellStyle name="20% - Accent1 3 32 3" xfId="876" xr:uid="{00000000-0005-0000-0000-000009030000}"/>
    <cellStyle name="20% - Accent1 3 32 4" xfId="877" xr:uid="{00000000-0005-0000-0000-00000A030000}"/>
    <cellStyle name="20% - Accent1 3 32 5" xfId="878" xr:uid="{00000000-0005-0000-0000-00000B030000}"/>
    <cellStyle name="20% - Accent1 3 32 6" xfId="879" xr:uid="{00000000-0005-0000-0000-00000C030000}"/>
    <cellStyle name="20% - Accent1 3 32 7" xfId="880" xr:uid="{00000000-0005-0000-0000-00000D030000}"/>
    <cellStyle name="20% - Accent1 3 32 8" xfId="881" xr:uid="{00000000-0005-0000-0000-00000E030000}"/>
    <cellStyle name="20% - Accent1 3 32 9" xfId="882" xr:uid="{00000000-0005-0000-0000-00000F030000}"/>
    <cellStyle name="20% - Accent1 3 33" xfId="883" xr:uid="{00000000-0005-0000-0000-000010030000}"/>
    <cellStyle name="20% - Accent1 3 34" xfId="884" xr:uid="{00000000-0005-0000-0000-000011030000}"/>
    <cellStyle name="20% - Accent1 3 35" xfId="885" xr:uid="{00000000-0005-0000-0000-000012030000}"/>
    <cellStyle name="20% - Accent1 3 36" xfId="886" xr:uid="{00000000-0005-0000-0000-000013030000}"/>
    <cellStyle name="20% - Accent1 3 37" xfId="887" xr:uid="{00000000-0005-0000-0000-000014030000}"/>
    <cellStyle name="20% - Accent1 3 38" xfId="888" xr:uid="{00000000-0005-0000-0000-000015030000}"/>
    <cellStyle name="20% - Accent1 3 39" xfId="889" xr:uid="{00000000-0005-0000-0000-000016030000}"/>
    <cellStyle name="20% - Accent1 3 4" xfId="890" xr:uid="{00000000-0005-0000-0000-000017030000}"/>
    <cellStyle name="20% - Accent1 3 4 10" xfId="891" xr:uid="{00000000-0005-0000-0000-000018030000}"/>
    <cellStyle name="20% - Accent1 3 4 11" xfId="892" xr:uid="{00000000-0005-0000-0000-000019030000}"/>
    <cellStyle name="20% - Accent1 3 4 12" xfId="893" xr:uid="{00000000-0005-0000-0000-00001A030000}"/>
    <cellStyle name="20% - Accent1 3 4 13" xfId="894" xr:uid="{00000000-0005-0000-0000-00001B030000}"/>
    <cellStyle name="20% - Accent1 3 4 14" xfId="895" xr:uid="{00000000-0005-0000-0000-00001C030000}"/>
    <cellStyle name="20% - Accent1 3 4 15" xfId="896" xr:uid="{00000000-0005-0000-0000-00001D030000}"/>
    <cellStyle name="20% - Accent1 3 4 16" xfId="897" xr:uid="{00000000-0005-0000-0000-00001E030000}"/>
    <cellStyle name="20% - Accent1 3 4 2" xfId="898" xr:uid="{00000000-0005-0000-0000-00001F030000}"/>
    <cellStyle name="20% - Accent1 3 4 3" xfId="899" xr:uid="{00000000-0005-0000-0000-000020030000}"/>
    <cellStyle name="20% - Accent1 3 4 4" xfId="900" xr:uid="{00000000-0005-0000-0000-000021030000}"/>
    <cellStyle name="20% - Accent1 3 4 5" xfId="901" xr:uid="{00000000-0005-0000-0000-000022030000}"/>
    <cellStyle name="20% - Accent1 3 4 6" xfId="902" xr:uid="{00000000-0005-0000-0000-000023030000}"/>
    <cellStyle name="20% - Accent1 3 4 7" xfId="903" xr:uid="{00000000-0005-0000-0000-000024030000}"/>
    <cellStyle name="20% - Accent1 3 4 8" xfId="904" xr:uid="{00000000-0005-0000-0000-000025030000}"/>
    <cellStyle name="20% - Accent1 3 4 9" xfId="905" xr:uid="{00000000-0005-0000-0000-000026030000}"/>
    <cellStyle name="20% - Accent1 3 40" xfId="906" xr:uid="{00000000-0005-0000-0000-000027030000}"/>
    <cellStyle name="20% - Accent1 3 41" xfId="907" xr:uid="{00000000-0005-0000-0000-000028030000}"/>
    <cellStyle name="20% - Accent1 3 42" xfId="908" xr:uid="{00000000-0005-0000-0000-000029030000}"/>
    <cellStyle name="20% - Accent1 3 43" xfId="909" xr:uid="{00000000-0005-0000-0000-00002A030000}"/>
    <cellStyle name="20% - Accent1 3 44" xfId="910" xr:uid="{00000000-0005-0000-0000-00002B030000}"/>
    <cellStyle name="20% - Accent1 3 45" xfId="911" xr:uid="{00000000-0005-0000-0000-00002C030000}"/>
    <cellStyle name="20% - Accent1 3 46" xfId="912" xr:uid="{00000000-0005-0000-0000-00002D030000}"/>
    <cellStyle name="20% - Accent1 3 47" xfId="913" xr:uid="{00000000-0005-0000-0000-00002E030000}"/>
    <cellStyle name="20% - Accent1 3 48" xfId="914" xr:uid="{00000000-0005-0000-0000-00002F030000}"/>
    <cellStyle name="20% - Accent1 3 49" xfId="915" xr:uid="{00000000-0005-0000-0000-000030030000}"/>
    <cellStyle name="20% - Accent1 3 5" xfId="916" xr:uid="{00000000-0005-0000-0000-000031030000}"/>
    <cellStyle name="20% - Accent1 3 5 10" xfId="917" xr:uid="{00000000-0005-0000-0000-000032030000}"/>
    <cellStyle name="20% - Accent1 3 5 11" xfId="918" xr:uid="{00000000-0005-0000-0000-000033030000}"/>
    <cellStyle name="20% - Accent1 3 5 12" xfId="919" xr:uid="{00000000-0005-0000-0000-000034030000}"/>
    <cellStyle name="20% - Accent1 3 5 13" xfId="920" xr:uid="{00000000-0005-0000-0000-000035030000}"/>
    <cellStyle name="20% - Accent1 3 5 14" xfId="921" xr:uid="{00000000-0005-0000-0000-000036030000}"/>
    <cellStyle name="20% - Accent1 3 5 15" xfId="922" xr:uid="{00000000-0005-0000-0000-000037030000}"/>
    <cellStyle name="20% - Accent1 3 5 2" xfId="923" xr:uid="{00000000-0005-0000-0000-000038030000}"/>
    <cellStyle name="20% - Accent1 3 5 3" xfId="924" xr:uid="{00000000-0005-0000-0000-000039030000}"/>
    <cellStyle name="20% - Accent1 3 5 4" xfId="925" xr:uid="{00000000-0005-0000-0000-00003A030000}"/>
    <cellStyle name="20% - Accent1 3 5 5" xfId="926" xr:uid="{00000000-0005-0000-0000-00003B030000}"/>
    <cellStyle name="20% - Accent1 3 5 6" xfId="927" xr:uid="{00000000-0005-0000-0000-00003C030000}"/>
    <cellStyle name="20% - Accent1 3 5 7" xfId="928" xr:uid="{00000000-0005-0000-0000-00003D030000}"/>
    <cellStyle name="20% - Accent1 3 5 8" xfId="929" xr:uid="{00000000-0005-0000-0000-00003E030000}"/>
    <cellStyle name="20% - Accent1 3 5 9" xfId="930" xr:uid="{00000000-0005-0000-0000-00003F030000}"/>
    <cellStyle name="20% - Accent1 3 50" xfId="931" xr:uid="{00000000-0005-0000-0000-000040030000}"/>
    <cellStyle name="20% - Accent1 3 51" xfId="932" xr:uid="{00000000-0005-0000-0000-000041030000}"/>
    <cellStyle name="20% - Accent1 3 52" xfId="933" xr:uid="{00000000-0005-0000-0000-000042030000}"/>
    <cellStyle name="20% - Accent1 3 53" xfId="934" xr:uid="{00000000-0005-0000-0000-000043030000}"/>
    <cellStyle name="20% - Accent1 3 54" xfId="935" xr:uid="{00000000-0005-0000-0000-000044030000}"/>
    <cellStyle name="20% - Accent1 3 55" xfId="936" xr:uid="{00000000-0005-0000-0000-000045030000}"/>
    <cellStyle name="20% - Accent1 3 6" xfId="937" xr:uid="{00000000-0005-0000-0000-000046030000}"/>
    <cellStyle name="20% - Accent1 3 6 10" xfId="938" xr:uid="{00000000-0005-0000-0000-000047030000}"/>
    <cellStyle name="20% - Accent1 3 6 11" xfId="939" xr:uid="{00000000-0005-0000-0000-000048030000}"/>
    <cellStyle name="20% - Accent1 3 6 12" xfId="940" xr:uid="{00000000-0005-0000-0000-000049030000}"/>
    <cellStyle name="20% - Accent1 3 6 13" xfId="941" xr:uid="{00000000-0005-0000-0000-00004A030000}"/>
    <cellStyle name="20% - Accent1 3 6 14" xfId="942" xr:uid="{00000000-0005-0000-0000-00004B030000}"/>
    <cellStyle name="20% - Accent1 3 6 15" xfId="943" xr:uid="{00000000-0005-0000-0000-00004C030000}"/>
    <cellStyle name="20% - Accent1 3 6 2" xfId="944" xr:uid="{00000000-0005-0000-0000-00004D030000}"/>
    <cellStyle name="20% - Accent1 3 6 3" xfId="945" xr:uid="{00000000-0005-0000-0000-00004E030000}"/>
    <cellStyle name="20% - Accent1 3 6 4" xfId="946" xr:uid="{00000000-0005-0000-0000-00004F030000}"/>
    <cellStyle name="20% - Accent1 3 6 5" xfId="947" xr:uid="{00000000-0005-0000-0000-000050030000}"/>
    <cellStyle name="20% - Accent1 3 6 6" xfId="948" xr:uid="{00000000-0005-0000-0000-000051030000}"/>
    <cellStyle name="20% - Accent1 3 6 7" xfId="949" xr:uid="{00000000-0005-0000-0000-000052030000}"/>
    <cellStyle name="20% - Accent1 3 6 8" xfId="950" xr:uid="{00000000-0005-0000-0000-000053030000}"/>
    <cellStyle name="20% - Accent1 3 6 9" xfId="951" xr:uid="{00000000-0005-0000-0000-000054030000}"/>
    <cellStyle name="20% - Accent1 3 7" xfId="952" xr:uid="{00000000-0005-0000-0000-000055030000}"/>
    <cellStyle name="20% - Accent1 3 7 10" xfId="953" xr:uid="{00000000-0005-0000-0000-000056030000}"/>
    <cellStyle name="20% - Accent1 3 7 11" xfId="954" xr:uid="{00000000-0005-0000-0000-000057030000}"/>
    <cellStyle name="20% - Accent1 3 7 12" xfId="955" xr:uid="{00000000-0005-0000-0000-000058030000}"/>
    <cellStyle name="20% - Accent1 3 7 13" xfId="956" xr:uid="{00000000-0005-0000-0000-000059030000}"/>
    <cellStyle name="20% - Accent1 3 7 14" xfId="957" xr:uid="{00000000-0005-0000-0000-00005A030000}"/>
    <cellStyle name="20% - Accent1 3 7 15" xfId="958" xr:uid="{00000000-0005-0000-0000-00005B030000}"/>
    <cellStyle name="20% - Accent1 3 7 2" xfId="959" xr:uid="{00000000-0005-0000-0000-00005C030000}"/>
    <cellStyle name="20% - Accent1 3 7 3" xfId="960" xr:uid="{00000000-0005-0000-0000-00005D030000}"/>
    <cellStyle name="20% - Accent1 3 7 4" xfId="961" xr:uid="{00000000-0005-0000-0000-00005E030000}"/>
    <cellStyle name="20% - Accent1 3 7 5" xfId="962" xr:uid="{00000000-0005-0000-0000-00005F030000}"/>
    <cellStyle name="20% - Accent1 3 7 6" xfId="963" xr:uid="{00000000-0005-0000-0000-000060030000}"/>
    <cellStyle name="20% - Accent1 3 7 7" xfId="964" xr:uid="{00000000-0005-0000-0000-000061030000}"/>
    <cellStyle name="20% - Accent1 3 7 8" xfId="965" xr:uid="{00000000-0005-0000-0000-000062030000}"/>
    <cellStyle name="20% - Accent1 3 7 9" xfId="966" xr:uid="{00000000-0005-0000-0000-000063030000}"/>
    <cellStyle name="20% - Accent1 3 8" xfId="967" xr:uid="{00000000-0005-0000-0000-000064030000}"/>
    <cellStyle name="20% - Accent1 3 8 10" xfId="968" xr:uid="{00000000-0005-0000-0000-000065030000}"/>
    <cellStyle name="20% - Accent1 3 8 11" xfId="969" xr:uid="{00000000-0005-0000-0000-000066030000}"/>
    <cellStyle name="20% - Accent1 3 8 12" xfId="970" xr:uid="{00000000-0005-0000-0000-000067030000}"/>
    <cellStyle name="20% - Accent1 3 8 13" xfId="971" xr:uid="{00000000-0005-0000-0000-000068030000}"/>
    <cellStyle name="20% - Accent1 3 8 14" xfId="972" xr:uid="{00000000-0005-0000-0000-000069030000}"/>
    <cellStyle name="20% - Accent1 3 8 15" xfId="973" xr:uid="{00000000-0005-0000-0000-00006A030000}"/>
    <cellStyle name="20% - Accent1 3 8 2" xfId="974" xr:uid="{00000000-0005-0000-0000-00006B030000}"/>
    <cellStyle name="20% - Accent1 3 8 3" xfId="975" xr:uid="{00000000-0005-0000-0000-00006C030000}"/>
    <cellStyle name="20% - Accent1 3 8 4" xfId="976" xr:uid="{00000000-0005-0000-0000-00006D030000}"/>
    <cellStyle name="20% - Accent1 3 8 5" xfId="977" xr:uid="{00000000-0005-0000-0000-00006E030000}"/>
    <cellStyle name="20% - Accent1 3 8 6" xfId="978" xr:uid="{00000000-0005-0000-0000-00006F030000}"/>
    <cellStyle name="20% - Accent1 3 8 7" xfId="979" xr:uid="{00000000-0005-0000-0000-000070030000}"/>
    <cellStyle name="20% - Accent1 3 8 8" xfId="980" xr:uid="{00000000-0005-0000-0000-000071030000}"/>
    <cellStyle name="20% - Accent1 3 8 9" xfId="981" xr:uid="{00000000-0005-0000-0000-000072030000}"/>
    <cellStyle name="20% - Accent1 3 9" xfId="982" xr:uid="{00000000-0005-0000-0000-000073030000}"/>
    <cellStyle name="20% - Accent1 3 9 10" xfId="983" xr:uid="{00000000-0005-0000-0000-000074030000}"/>
    <cellStyle name="20% - Accent1 3 9 11" xfId="984" xr:uid="{00000000-0005-0000-0000-000075030000}"/>
    <cellStyle name="20% - Accent1 3 9 12" xfId="985" xr:uid="{00000000-0005-0000-0000-000076030000}"/>
    <cellStyle name="20% - Accent1 3 9 13" xfId="986" xr:uid="{00000000-0005-0000-0000-000077030000}"/>
    <cellStyle name="20% - Accent1 3 9 14" xfId="987" xr:uid="{00000000-0005-0000-0000-000078030000}"/>
    <cellStyle name="20% - Accent1 3 9 15" xfId="988" xr:uid="{00000000-0005-0000-0000-000079030000}"/>
    <cellStyle name="20% - Accent1 3 9 2" xfId="989" xr:uid="{00000000-0005-0000-0000-00007A030000}"/>
    <cellStyle name="20% - Accent1 3 9 3" xfId="990" xr:uid="{00000000-0005-0000-0000-00007B030000}"/>
    <cellStyle name="20% - Accent1 3 9 4" xfId="991" xr:uid="{00000000-0005-0000-0000-00007C030000}"/>
    <cellStyle name="20% - Accent1 3 9 5" xfId="992" xr:uid="{00000000-0005-0000-0000-00007D030000}"/>
    <cellStyle name="20% - Accent1 3 9 6" xfId="993" xr:uid="{00000000-0005-0000-0000-00007E030000}"/>
    <cellStyle name="20% - Accent1 3 9 7" xfId="994" xr:uid="{00000000-0005-0000-0000-00007F030000}"/>
    <cellStyle name="20% - Accent1 3 9 8" xfId="995" xr:uid="{00000000-0005-0000-0000-000080030000}"/>
    <cellStyle name="20% - Accent1 3 9 9" xfId="996" xr:uid="{00000000-0005-0000-0000-000081030000}"/>
    <cellStyle name="20% - Accent1 30" xfId="997" xr:uid="{00000000-0005-0000-0000-000082030000}"/>
    <cellStyle name="20% - Accent1 30 10" xfId="998" xr:uid="{00000000-0005-0000-0000-000083030000}"/>
    <cellStyle name="20% - Accent1 30 11" xfId="999" xr:uid="{00000000-0005-0000-0000-000084030000}"/>
    <cellStyle name="20% - Accent1 30 12" xfId="1000" xr:uid="{00000000-0005-0000-0000-000085030000}"/>
    <cellStyle name="20% - Accent1 30 13" xfId="1001" xr:uid="{00000000-0005-0000-0000-000086030000}"/>
    <cellStyle name="20% - Accent1 30 14" xfId="1002" xr:uid="{00000000-0005-0000-0000-000087030000}"/>
    <cellStyle name="20% - Accent1 30 15" xfId="1003" xr:uid="{00000000-0005-0000-0000-000088030000}"/>
    <cellStyle name="20% - Accent1 30 16" xfId="1004" xr:uid="{00000000-0005-0000-0000-000089030000}"/>
    <cellStyle name="20% - Accent1 30 2" xfId="1005" xr:uid="{00000000-0005-0000-0000-00008A030000}"/>
    <cellStyle name="20% - Accent1 30 3" xfId="1006" xr:uid="{00000000-0005-0000-0000-00008B030000}"/>
    <cellStyle name="20% - Accent1 30 4" xfId="1007" xr:uid="{00000000-0005-0000-0000-00008C030000}"/>
    <cellStyle name="20% - Accent1 30 5" xfId="1008" xr:uid="{00000000-0005-0000-0000-00008D030000}"/>
    <cellStyle name="20% - Accent1 30 6" xfId="1009" xr:uid="{00000000-0005-0000-0000-00008E030000}"/>
    <cellStyle name="20% - Accent1 30 7" xfId="1010" xr:uid="{00000000-0005-0000-0000-00008F030000}"/>
    <cellStyle name="20% - Accent1 30 8" xfId="1011" xr:uid="{00000000-0005-0000-0000-000090030000}"/>
    <cellStyle name="20% - Accent1 30 9" xfId="1012" xr:uid="{00000000-0005-0000-0000-000091030000}"/>
    <cellStyle name="20% - Accent1 31" xfId="1013" xr:uid="{00000000-0005-0000-0000-000092030000}"/>
    <cellStyle name="20% - Accent1 31 10" xfId="1014" xr:uid="{00000000-0005-0000-0000-000093030000}"/>
    <cellStyle name="20% - Accent1 31 11" xfId="1015" xr:uid="{00000000-0005-0000-0000-000094030000}"/>
    <cellStyle name="20% - Accent1 31 12" xfId="1016" xr:uid="{00000000-0005-0000-0000-000095030000}"/>
    <cellStyle name="20% - Accent1 31 13" xfId="1017" xr:uid="{00000000-0005-0000-0000-000096030000}"/>
    <cellStyle name="20% - Accent1 31 14" xfId="1018" xr:uid="{00000000-0005-0000-0000-000097030000}"/>
    <cellStyle name="20% - Accent1 31 15" xfId="1019" xr:uid="{00000000-0005-0000-0000-000098030000}"/>
    <cellStyle name="20% - Accent1 31 16" xfId="1020" xr:uid="{00000000-0005-0000-0000-000099030000}"/>
    <cellStyle name="20% - Accent1 31 2" xfId="1021" xr:uid="{00000000-0005-0000-0000-00009A030000}"/>
    <cellStyle name="20% - Accent1 31 3" xfId="1022" xr:uid="{00000000-0005-0000-0000-00009B030000}"/>
    <cellStyle name="20% - Accent1 31 4" xfId="1023" xr:uid="{00000000-0005-0000-0000-00009C030000}"/>
    <cellStyle name="20% - Accent1 31 5" xfId="1024" xr:uid="{00000000-0005-0000-0000-00009D030000}"/>
    <cellStyle name="20% - Accent1 31 6" xfId="1025" xr:uid="{00000000-0005-0000-0000-00009E030000}"/>
    <cellStyle name="20% - Accent1 31 7" xfId="1026" xr:uid="{00000000-0005-0000-0000-00009F030000}"/>
    <cellStyle name="20% - Accent1 31 8" xfId="1027" xr:uid="{00000000-0005-0000-0000-0000A0030000}"/>
    <cellStyle name="20% - Accent1 31 9" xfId="1028" xr:uid="{00000000-0005-0000-0000-0000A1030000}"/>
    <cellStyle name="20% - Accent1 32" xfId="1029" xr:uid="{00000000-0005-0000-0000-0000A2030000}"/>
    <cellStyle name="20% - Accent1 32 10" xfId="1030" xr:uid="{00000000-0005-0000-0000-0000A3030000}"/>
    <cellStyle name="20% - Accent1 32 11" xfId="1031" xr:uid="{00000000-0005-0000-0000-0000A4030000}"/>
    <cellStyle name="20% - Accent1 32 12" xfId="1032" xr:uid="{00000000-0005-0000-0000-0000A5030000}"/>
    <cellStyle name="20% - Accent1 32 13" xfId="1033" xr:uid="{00000000-0005-0000-0000-0000A6030000}"/>
    <cellStyle name="20% - Accent1 32 14" xfId="1034" xr:uid="{00000000-0005-0000-0000-0000A7030000}"/>
    <cellStyle name="20% - Accent1 32 15" xfId="1035" xr:uid="{00000000-0005-0000-0000-0000A8030000}"/>
    <cellStyle name="20% - Accent1 32 2" xfId="1036" xr:uid="{00000000-0005-0000-0000-0000A9030000}"/>
    <cellStyle name="20% - Accent1 32 3" xfId="1037" xr:uid="{00000000-0005-0000-0000-0000AA030000}"/>
    <cellStyle name="20% - Accent1 32 4" xfId="1038" xr:uid="{00000000-0005-0000-0000-0000AB030000}"/>
    <cellStyle name="20% - Accent1 32 5" xfId="1039" xr:uid="{00000000-0005-0000-0000-0000AC030000}"/>
    <cellStyle name="20% - Accent1 32 6" xfId="1040" xr:uid="{00000000-0005-0000-0000-0000AD030000}"/>
    <cellStyle name="20% - Accent1 32 7" xfId="1041" xr:uid="{00000000-0005-0000-0000-0000AE030000}"/>
    <cellStyle name="20% - Accent1 32 8" xfId="1042" xr:uid="{00000000-0005-0000-0000-0000AF030000}"/>
    <cellStyle name="20% - Accent1 32 9" xfId="1043" xr:uid="{00000000-0005-0000-0000-0000B0030000}"/>
    <cellStyle name="20% - Accent1 33" xfId="1044" xr:uid="{00000000-0005-0000-0000-0000B1030000}"/>
    <cellStyle name="20% - Accent1 33 10" xfId="1045" xr:uid="{00000000-0005-0000-0000-0000B2030000}"/>
    <cellStyle name="20% - Accent1 33 11" xfId="1046" xr:uid="{00000000-0005-0000-0000-0000B3030000}"/>
    <cellStyle name="20% - Accent1 33 12" xfId="1047" xr:uid="{00000000-0005-0000-0000-0000B4030000}"/>
    <cellStyle name="20% - Accent1 33 13" xfId="1048" xr:uid="{00000000-0005-0000-0000-0000B5030000}"/>
    <cellStyle name="20% - Accent1 33 14" xfId="1049" xr:uid="{00000000-0005-0000-0000-0000B6030000}"/>
    <cellStyle name="20% - Accent1 33 15" xfId="1050" xr:uid="{00000000-0005-0000-0000-0000B7030000}"/>
    <cellStyle name="20% - Accent1 33 16" xfId="1051" xr:uid="{00000000-0005-0000-0000-0000B8030000}"/>
    <cellStyle name="20% - Accent1 33 2" xfId="1052" xr:uid="{00000000-0005-0000-0000-0000B9030000}"/>
    <cellStyle name="20% - Accent1 33 3" xfId="1053" xr:uid="{00000000-0005-0000-0000-0000BA030000}"/>
    <cellStyle name="20% - Accent1 33 4" xfId="1054" xr:uid="{00000000-0005-0000-0000-0000BB030000}"/>
    <cellStyle name="20% - Accent1 33 5" xfId="1055" xr:uid="{00000000-0005-0000-0000-0000BC030000}"/>
    <cellStyle name="20% - Accent1 33 6" xfId="1056" xr:uid="{00000000-0005-0000-0000-0000BD030000}"/>
    <cellStyle name="20% - Accent1 33 7" xfId="1057" xr:uid="{00000000-0005-0000-0000-0000BE030000}"/>
    <cellStyle name="20% - Accent1 33 8" xfId="1058" xr:uid="{00000000-0005-0000-0000-0000BF030000}"/>
    <cellStyle name="20% - Accent1 33 9" xfId="1059" xr:uid="{00000000-0005-0000-0000-0000C0030000}"/>
    <cellStyle name="20% - Accent1 34" xfId="1060" xr:uid="{00000000-0005-0000-0000-0000C1030000}"/>
    <cellStyle name="20% - Accent1 34 10" xfId="1061" xr:uid="{00000000-0005-0000-0000-0000C2030000}"/>
    <cellStyle name="20% - Accent1 34 11" xfId="1062" xr:uid="{00000000-0005-0000-0000-0000C3030000}"/>
    <cellStyle name="20% - Accent1 34 12" xfId="1063" xr:uid="{00000000-0005-0000-0000-0000C4030000}"/>
    <cellStyle name="20% - Accent1 34 13" xfId="1064" xr:uid="{00000000-0005-0000-0000-0000C5030000}"/>
    <cellStyle name="20% - Accent1 34 14" xfId="1065" xr:uid="{00000000-0005-0000-0000-0000C6030000}"/>
    <cellStyle name="20% - Accent1 34 15" xfId="1066" xr:uid="{00000000-0005-0000-0000-0000C7030000}"/>
    <cellStyle name="20% - Accent1 34 16" xfId="1067" xr:uid="{00000000-0005-0000-0000-0000C8030000}"/>
    <cellStyle name="20% - Accent1 34 2" xfId="1068" xr:uid="{00000000-0005-0000-0000-0000C9030000}"/>
    <cellStyle name="20% - Accent1 34 3" xfId="1069" xr:uid="{00000000-0005-0000-0000-0000CA030000}"/>
    <cellStyle name="20% - Accent1 34 4" xfId="1070" xr:uid="{00000000-0005-0000-0000-0000CB030000}"/>
    <cellStyle name="20% - Accent1 34 5" xfId="1071" xr:uid="{00000000-0005-0000-0000-0000CC030000}"/>
    <cellStyle name="20% - Accent1 34 6" xfId="1072" xr:uid="{00000000-0005-0000-0000-0000CD030000}"/>
    <cellStyle name="20% - Accent1 34 7" xfId="1073" xr:uid="{00000000-0005-0000-0000-0000CE030000}"/>
    <cellStyle name="20% - Accent1 34 8" xfId="1074" xr:uid="{00000000-0005-0000-0000-0000CF030000}"/>
    <cellStyle name="20% - Accent1 34 9" xfId="1075" xr:uid="{00000000-0005-0000-0000-0000D0030000}"/>
    <cellStyle name="20% - Accent1 35" xfId="1076" xr:uid="{00000000-0005-0000-0000-0000D1030000}"/>
    <cellStyle name="20% - Accent1 35 10" xfId="1077" xr:uid="{00000000-0005-0000-0000-0000D2030000}"/>
    <cellStyle name="20% - Accent1 35 11" xfId="1078" xr:uid="{00000000-0005-0000-0000-0000D3030000}"/>
    <cellStyle name="20% - Accent1 35 12" xfId="1079" xr:uid="{00000000-0005-0000-0000-0000D4030000}"/>
    <cellStyle name="20% - Accent1 35 13" xfId="1080" xr:uid="{00000000-0005-0000-0000-0000D5030000}"/>
    <cellStyle name="20% - Accent1 35 14" xfId="1081" xr:uid="{00000000-0005-0000-0000-0000D6030000}"/>
    <cellStyle name="20% - Accent1 35 15" xfId="1082" xr:uid="{00000000-0005-0000-0000-0000D7030000}"/>
    <cellStyle name="20% - Accent1 35 16" xfId="1083" xr:uid="{00000000-0005-0000-0000-0000D8030000}"/>
    <cellStyle name="20% - Accent1 35 2" xfId="1084" xr:uid="{00000000-0005-0000-0000-0000D9030000}"/>
    <cellStyle name="20% - Accent1 35 3" xfId="1085" xr:uid="{00000000-0005-0000-0000-0000DA030000}"/>
    <cellStyle name="20% - Accent1 35 4" xfId="1086" xr:uid="{00000000-0005-0000-0000-0000DB030000}"/>
    <cellStyle name="20% - Accent1 35 5" xfId="1087" xr:uid="{00000000-0005-0000-0000-0000DC030000}"/>
    <cellStyle name="20% - Accent1 35 6" xfId="1088" xr:uid="{00000000-0005-0000-0000-0000DD030000}"/>
    <cellStyle name="20% - Accent1 35 7" xfId="1089" xr:uid="{00000000-0005-0000-0000-0000DE030000}"/>
    <cellStyle name="20% - Accent1 35 8" xfId="1090" xr:uid="{00000000-0005-0000-0000-0000DF030000}"/>
    <cellStyle name="20% - Accent1 35 9" xfId="1091" xr:uid="{00000000-0005-0000-0000-0000E0030000}"/>
    <cellStyle name="20% - Accent1 36" xfId="1092" xr:uid="{00000000-0005-0000-0000-0000E1030000}"/>
    <cellStyle name="20% - Accent1 36 10" xfId="1093" xr:uid="{00000000-0005-0000-0000-0000E2030000}"/>
    <cellStyle name="20% - Accent1 36 11" xfId="1094" xr:uid="{00000000-0005-0000-0000-0000E3030000}"/>
    <cellStyle name="20% - Accent1 36 12" xfId="1095" xr:uid="{00000000-0005-0000-0000-0000E4030000}"/>
    <cellStyle name="20% - Accent1 36 13" xfId="1096" xr:uid="{00000000-0005-0000-0000-0000E5030000}"/>
    <cellStyle name="20% - Accent1 36 14" xfId="1097" xr:uid="{00000000-0005-0000-0000-0000E6030000}"/>
    <cellStyle name="20% - Accent1 36 15" xfId="1098" xr:uid="{00000000-0005-0000-0000-0000E7030000}"/>
    <cellStyle name="20% - Accent1 36 16" xfId="1099" xr:uid="{00000000-0005-0000-0000-0000E8030000}"/>
    <cellStyle name="20% - Accent1 36 2" xfId="1100" xr:uid="{00000000-0005-0000-0000-0000E9030000}"/>
    <cellStyle name="20% - Accent1 36 3" xfId="1101" xr:uid="{00000000-0005-0000-0000-0000EA030000}"/>
    <cellStyle name="20% - Accent1 36 4" xfId="1102" xr:uid="{00000000-0005-0000-0000-0000EB030000}"/>
    <cellStyle name="20% - Accent1 36 5" xfId="1103" xr:uid="{00000000-0005-0000-0000-0000EC030000}"/>
    <cellStyle name="20% - Accent1 36 6" xfId="1104" xr:uid="{00000000-0005-0000-0000-0000ED030000}"/>
    <cellStyle name="20% - Accent1 36 7" xfId="1105" xr:uid="{00000000-0005-0000-0000-0000EE030000}"/>
    <cellStyle name="20% - Accent1 36 8" xfId="1106" xr:uid="{00000000-0005-0000-0000-0000EF030000}"/>
    <cellStyle name="20% - Accent1 36 9" xfId="1107" xr:uid="{00000000-0005-0000-0000-0000F0030000}"/>
    <cellStyle name="20% - Accent1 37" xfId="1108" xr:uid="{00000000-0005-0000-0000-0000F1030000}"/>
    <cellStyle name="20% - Accent1 37 10" xfId="1109" xr:uid="{00000000-0005-0000-0000-0000F2030000}"/>
    <cellStyle name="20% - Accent1 37 11" xfId="1110" xr:uid="{00000000-0005-0000-0000-0000F3030000}"/>
    <cellStyle name="20% - Accent1 37 12" xfId="1111" xr:uid="{00000000-0005-0000-0000-0000F4030000}"/>
    <cellStyle name="20% - Accent1 37 13" xfId="1112" xr:uid="{00000000-0005-0000-0000-0000F5030000}"/>
    <cellStyle name="20% - Accent1 37 14" xfId="1113" xr:uid="{00000000-0005-0000-0000-0000F6030000}"/>
    <cellStyle name="20% - Accent1 37 15" xfId="1114" xr:uid="{00000000-0005-0000-0000-0000F7030000}"/>
    <cellStyle name="20% - Accent1 37 2" xfId="1115" xr:uid="{00000000-0005-0000-0000-0000F8030000}"/>
    <cellStyle name="20% - Accent1 37 3" xfId="1116" xr:uid="{00000000-0005-0000-0000-0000F9030000}"/>
    <cellStyle name="20% - Accent1 37 4" xfId="1117" xr:uid="{00000000-0005-0000-0000-0000FA030000}"/>
    <cellStyle name="20% - Accent1 37 5" xfId="1118" xr:uid="{00000000-0005-0000-0000-0000FB030000}"/>
    <cellStyle name="20% - Accent1 37 6" xfId="1119" xr:uid="{00000000-0005-0000-0000-0000FC030000}"/>
    <cellStyle name="20% - Accent1 37 7" xfId="1120" xr:uid="{00000000-0005-0000-0000-0000FD030000}"/>
    <cellStyle name="20% - Accent1 37 8" xfId="1121" xr:uid="{00000000-0005-0000-0000-0000FE030000}"/>
    <cellStyle name="20% - Accent1 37 9" xfId="1122" xr:uid="{00000000-0005-0000-0000-0000FF030000}"/>
    <cellStyle name="20% - Accent1 38" xfId="1123" xr:uid="{00000000-0005-0000-0000-000000040000}"/>
    <cellStyle name="20% - Accent1 38 10" xfId="1124" xr:uid="{00000000-0005-0000-0000-000001040000}"/>
    <cellStyle name="20% - Accent1 38 11" xfId="1125" xr:uid="{00000000-0005-0000-0000-000002040000}"/>
    <cellStyle name="20% - Accent1 38 12" xfId="1126" xr:uid="{00000000-0005-0000-0000-000003040000}"/>
    <cellStyle name="20% - Accent1 38 13" xfId="1127" xr:uid="{00000000-0005-0000-0000-000004040000}"/>
    <cellStyle name="20% - Accent1 38 14" xfId="1128" xr:uid="{00000000-0005-0000-0000-000005040000}"/>
    <cellStyle name="20% - Accent1 38 15" xfId="1129" xr:uid="{00000000-0005-0000-0000-000006040000}"/>
    <cellStyle name="20% - Accent1 38 2" xfId="1130" xr:uid="{00000000-0005-0000-0000-000007040000}"/>
    <cellStyle name="20% - Accent1 38 3" xfId="1131" xr:uid="{00000000-0005-0000-0000-000008040000}"/>
    <cellStyle name="20% - Accent1 38 4" xfId="1132" xr:uid="{00000000-0005-0000-0000-000009040000}"/>
    <cellStyle name="20% - Accent1 38 5" xfId="1133" xr:uid="{00000000-0005-0000-0000-00000A040000}"/>
    <cellStyle name="20% - Accent1 38 6" xfId="1134" xr:uid="{00000000-0005-0000-0000-00000B040000}"/>
    <cellStyle name="20% - Accent1 38 7" xfId="1135" xr:uid="{00000000-0005-0000-0000-00000C040000}"/>
    <cellStyle name="20% - Accent1 38 8" xfId="1136" xr:uid="{00000000-0005-0000-0000-00000D040000}"/>
    <cellStyle name="20% - Accent1 38 9" xfId="1137" xr:uid="{00000000-0005-0000-0000-00000E040000}"/>
    <cellStyle name="20% - Accent1 39" xfId="1138" xr:uid="{00000000-0005-0000-0000-00000F040000}"/>
    <cellStyle name="20% - Accent1 39 10" xfId="1139" xr:uid="{00000000-0005-0000-0000-000010040000}"/>
    <cellStyle name="20% - Accent1 39 11" xfId="1140" xr:uid="{00000000-0005-0000-0000-000011040000}"/>
    <cellStyle name="20% - Accent1 39 12" xfId="1141" xr:uid="{00000000-0005-0000-0000-000012040000}"/>
    <cellStyle name="20% - Accent1 39 13" xfId="1142" xr:uid="{00000000-0005-0000-0000-000013040000}"/>
    <cellStyle name="20% - Accent1 39 14" xfId="1143" xr:uid="{00000000-0005-0000-0000-000014040000}"/>
    <cellStyle name="20% - Accent1 39 15" xfId="1144" xr:uid="{00000000-0005-0000-0000-000015040000}"/>
    <cellStyle name="20% - Accent1 39 2" xfId="1145" xr:uid="{00000000-0005-0000-0000-000016040000}"/>
    <cellStyle name="20% - Accent1 39 3" xfId="1146" xr:uid="{00000000-0005-0000-0000-000017040000}"/>
    <cellStyle name="20% - Accent1 39 4" xfId="1147" xr:uid="{00000000-0005-0000-0000-000018040000}"/>
    <cellStyle name="20% - Accent1 39 5" xfId="1148" xr:uid="{00000000-0005-0000-0000-000019040000}"/>
    <cellStyle name="20% - Accent1 39 6" xfId="1149" xr:uid="{00000000-0005-0000-0000-00001A040000}"/>
    <cellStyle name="20% - Accent1 39 7" xfId="1150" xr:uid="{00000000-0005-0000-0000-00001B040000}"/>
    <cellStyle name="20% - Accent1 39 8" xfId="1151" xr:uid="{00000000-0005-0000-0000-00001C040000}"/>
    <cellStyle name="20% - Accent1 39 9" xfId="1152" xr:uid="{00000000-0005-0000-0000-00001D040000}"/>
    <cellStyle name="20% - Accent1 4" xfId="1153" xr:uid="{00000000-0005-0000-0000-00001E040000}"/>
    <cellStyle name="20% - Accent1 4 2" xfId="1154" xr:uid="{00000000-0005-0000-0000-00001F040000}"/>
    <cellStyle name="20% - Accent1 4 2 2" xfId="1155" xr:uid="{00000000-0005-0000-0000-000020040000}"/>
    <cellStyle name="20% - Accent1 4 2 3" xfId="1156" xr:uid="{00000000-0005-0000-0000-000021040000}"/>
    <cellStyle name="20% - Accent1 4 2 4" xfId="1157" xr:uid="{00000000-0005-0000-0000-000022040000}"/>
    <cellStyle name="20% - Accent1 4 2 5" xfId="1158" xr:uid="{00000000-0005-0000-0000-000023040000}"/>
    <cellStyle name="20% - Accent1 4 3" xfId="1159" xr:uid="{00000000-0005-0000-0000-000024040000}"/>
    <cellStyle name="20% - Accent1 4 3 2" xfId="1160" xr:uid="{00000000-0005-0000-0000-000025040000}"/>
    <cellStyle name="20% - Accent1 4 4" xfId="1161" xr:uid="{00000000-0005-0000-0000-000026040000}"/>
    <cellStyle name="20% - Accent1 4 4 2" xfId="1162" xr:uid="{00000000-0005-0000-0000-000027040000}"/>
    <cellStyle name="20% - Accent1 4 5" xfId="1163" xr:uid="{00000000-0005-0000-0000-000028040000}"/>
    <cellStyle name="20% - Accent1 4 5 2" xfId="1164" xr:uid="{00000000-0005-0000-0000-000029040000}"/>
    <cellStyle name="20% - Accent1 4 6" xfId="1165" xr:uid="{00000000-0005-0000-0000-00002A040000}"/>
    <cellStyle name="20% - Accent1 4 6 2" xfId="1166" xr:uid="{00000000-0005-0000-0000-00002B040000}"/>
    <cellStyle name="20% - Accent1 4 7" xfId="1167" xr:uid="{00000000-0005-0000-0000-00002C040000}"/>
    <cellStyle name="20% - Accent1 40" xfId="1168" xr:uid="{00000000-0005-0000-0000-00002D040000}"/>
    <cellStyle name="20% - Accent1 41" xfId="1169" xr:uid="{00000000-0005-0000-0000-00002E040000}"/>
    <cellStyle name="20% - Accent1 42" xfId="1170" xr:uid="{00000000-0005-0000-0000-00002F040000}"/>
    <cellStyle name="20% - Accent1 43" xfId="1171" xr:uid="{00000000-0005-0000-0000-000030040000}"/>
    <cellStyle name="20% - Accent1 44" xfId="1172" xr:uid="{00000000-0005-0000-0000-000031040000}"/>
    <cellStyle name="20% - Accent1 45" xfId="1173" xr:uid="{00000000-0005-0000-0000-000032040000}"/>
    <cellStyle name="20% - Accent1 46" xfId="1174" xr:uid="{00000000-0005-0000-0000-000033040000}"/>
    <cellStyle name="20% - Accent1 47" xfId="1175" xr:uid="{00000000-0005-0000-0000-000034040000}"/>
    <cellStyle name="20% - Accent1 48" xfId="1176" xr:uid="{00000000-0005-0000-0000-000035040000}"/>
    <cellStyle name="20% - Accent1 49" xfId="1177" xr:uid="{00000000-0005-0000-0000-000036040000}"/>
    <cellStyle name="20% - Accent1 5" xfId="1178" xr:uid="{00000000-0005-0000-0000-000037040000}"/>
    <cellStyle name="20% - Accent1 5 2" xfId="1179" xr:uid="{00000000-0005-0000-0000-000038040000}"/>
    <cellStyle name="20% - Accent1 5 2 2" xfId="1180" xr:uid="{00000000-0005-0000-0000-000039040000}"/>
    <cellStyle name="20% - Accent1 5 2 3" xfId="1181" xr:uid="{00000000-0005-0000-0000-00003A040000}"/>
    <cellStyle name="20% - Accent1 5 2 4" xfId="1182" xr:uid="{00000000-0005-0000-0000-00003B040000}"/>
    <cellStyle name="20% - Accent1 5 2 5" xfId="1183" xr:uid="{00000000-0005-0000-0000-00003C040000}"/>
    <cellStyle name="20% - Accent1 5 3" xfId="1184" xr:uid="{00000000-0005-0000-0000-00003D040000}"/>
    <cellStyle name="20% - Accent1 5 3 2" xfId="1185" xr:uid="{00000000-0005-0000-0000-00003E040000}"/>
    <cellStyle name="20% - Accent1 5 3 3" xfId="1186" xr:uid="{00000000-0005-0000-0000-00003F040000}"/>
    <cellStyle name="20% - Accent1 5 4" xfId="1187" xr:uid="{00000000-0005-0000-0000-000040040000}"/>
    <cellStyle name="20% - Accent1 5 4 2" xfId="1188" xr:uid="{00000000-0005-0000-0000-000041040000}"/>
    <cellStyle name="20% - Accent1 5 5" xfId="1189" xr:uid="{00000000-0005-0000-0000-000042040000}"/>
    <cellStyle name="20% - Accent1 5 6" xfId="1190" xr:uid="{00000000-0005-0000-0000-000043040000}"/>
    <cellStyle name="20% - Accent1 50" xfId="1191" xr:uid="{00000000-0005-0000-0000-000044040000}"/>
    <cellStyle name="20% - Accent1 51" xfId="1192" xr:uid="{00000000-0005-0000-0000-000045040000}"/>
    <cellStyle name="20% - Accent1 52" xfId="1193" xr:uid="{00000000-0005-0000-0000-000046040000}"/>
    <cellStyle name="20% - Accent1 53" xfId="1194" xr:uid="{00000000-0005-0000-0000-000047040000}"/>
    <cellStyle name="20% - Accent1 54" xfId="1195" xr:uid="{00000000-0005-0000-0000-000048040000}"/>
    <cellStyle name="20% - Accent1 55" xfId="1196" xr:uid="{00000000-0005-0000-0000-000049040000}"/>
    <cellStyle name="20% - Accent1 56" xfId="1197" xr:uid="{00000000-0005-0000-0000-00004A040000}"/>
    <cellStyle name="20% - Accent1 57" xfId="1198" xr:uid="{00000000-0005-0000-0000-00004B040000}"/>
    <cellStyle name="20% - Accent1 58" xfId="1199" xr:uid="{00000000-0005-0000-0000-00004C040000}"/>
    <cellStyle name="20% - Accent1 59" xfId="1200" xr:uid="{00000000-0005-0000-0000-00004D040000}"/>
    <cellStyle name="20% - Accent1 6" xfId="1201" xr:uid="{00000000-0005-0000-0000-00004E040000}"/>
    <cellStyle name="20% - Accent1 6 2" xfId="1202" xr:uid="{00000000-0005-0000-0000-00004F040000}"/>
    <cellStyle name="20% - Accent1 6 2 2" xfId="1203" xr:uid="{00000000-0005-0000-0000-000050040000}"/>
    <cellStyle name="20% - Accent1 6 2 3" xfId="1204" xr:uid="{00000000-0005-0000-0000-000051040000}"/>
    <cellStyle name="20% - Accent1 6 2 4" xfId="1205" xr:uid="{00000000-0005-0000-0000-000052040000}"/>
    <cellStyle name="20% - Accent1 6 3" xfId="1206" xr:uid="{00000000-0005-0000-0000-000053040000}"/>
    <cellStyle name="20% - Accent1 6 4" xfId="1207" xr:uid="{00000000-0005-0000-0000-000054040000}"/>
    <cellStyle name="20% - Accent1 6 5" xfId="1208" xr:uid="{00000000-0005-0000-0000-000055040000}"/>
    <cellStyle name="20% - Accent1 60" xfId="1209" xr:uid="{00000000-0005-0000-0000-000056040000}"/>
    <cellStyle name="20% - Accent1 61" xfId="1210" xr:uid="{00000000-0005-0000-0000-000057040000}"/>
    <cellStyle name="20% - Accent1 62" xfId="1211" xr:uid="{00000000-0005-0000-0000-000058040000}"/>
    <cellStyle name="20% - Accent1 63" xfId="1212" xr:uid="{00000000-0005-0000-0000-000059040000}"/>
    <cellStyle name="20% - Accent1 64" xfId="1213" xr:uid="{00000000-0005-0000-0000-00005A040000}"/>
    <cellStyle name="20% - Accent1 65" xfId="1214" xr:uid="{00000000-0005-0000-0000-00005B040000}"/>
    <cellStyle name="20% - Accent1 66" xfId="1215" xr:uid="{00000000-0005-0000-0000-00005C040000}"/>
    <cellStyle name="20% - Accent1 67" xfId="1216" xr:uid="{00000000-0005-0000-0000-00005D040000}"/>
    <cellStyle name="20% - Accent1 68" xfId="1217" xr:uid="{00000000-0005-0000-0000-00005E040000}"/>
    <cellStyle name="20% - Accent1 69" xfId="1218" xr:uid="{00000000-0005-0000-0000-00005F040000}"/>
    <cellStyle name="20% - Accent1 7" xfId="1219" xr:uid="{00000000-0005-0000-0000-000060040000}"/>
    <cellStyle name="20% - Accent1 7 2" xfId="1220" xr:uid="{00000000-0005-0000-0000-000061040000}"/>
    <cellStyle name="20% - Accent1 7 2 2" xfId="1221" xr:uid="{00000000-0005-0000-0000-000062040000}"/>
    <cellStyle name="20% - Accent1 7 2 3" xfId="1222" xr:uid="{00000000-0005-0000-0000-000063040000}"/>
    <cellStyle name="20% - Accent1 7 2 4" xfId="1223" xr:uid="{00000000-0005-0000-0000-000064040000}"/>
    <cellStyle name="20% - Accent1 7 3" xfId="1224" xr:uid="{00000000-0005-0000-0000-000065040000}"/>
    <cellStyle name="20% - Accent1 7 4" xfId="1225" xr:uid="{00000000-0005-0000-0000-000066040000}"/>
    <cellStyle name="20% - Accent1 7 5" xfId="1226" xr:uid="{00000000-0005-0000-0000-000067040000}"/>
    <cellStyle name="20% - Accent1 70" xfId="1227" xr:uid="{00000000-0005-0000-0000-000068040000}"/>
    <cellStyle name="20% - Accent1 71" xfId="1228" xr:uid="{00000000-0005-0000-0000-000069040000}"/>
    <cellStyle name="20% - Accent1 72" xfId="1229" xr:uid="{00000000-0005-0000-0000-00006A040000}"/>
    <cellStyle name="20% - Accent1 73" xfId="1230" xr:uid="{00000000-0005-0000-0000-00006B040000}"/>
    <cellStyle name="20% - Accent1 74" xfId="1231" xr:uid="{00000000-0005-0000-0000-00006C040000}"/>
    <cellStyle name="20% - Accent1 75" xfId="1232" xr:uid="{00000000-0005-0000-0000-00006D040000}"/>
    <cellStyle name="20% - Accent1 76" xfId="1233" xr:uid="{00000000-0005-0000-0000-00006E040000}"/>
    <cellStyle name="20% - Accent1 77" xfId="1234" xr:uid="{00000000-0005-0000-0000-00006F040000}"/>
    <cellStyle name="20% - Accent1 78" xfId="1235" xr:uid="{00000000-0005-0000-0000-000070040000}"/>
    <cellStyle name="20% - Accent1 79" xfId="1236" xr:uid="{00000000-0005-0000-0000-000071040000}"/>
    <cellStyle name="20% - Accent1 79 2" xfId="1237" xr:uid="{00000000-0005-0000-0000-000072040000}"/>
    <cellStyle name="20% - Accent1 8" xfId="1238" xr:uid="{00000000-0005-0000-0000-000073040000}"/>
    <cellStyle name="20% - Accent1 8 2" xfId="1239" xr:uid="{00000000-0005-0000-0000-000074040000}"/>
    <cellStyle name="20% - Accent1 8 2 2" xfId="1240" xr:uid="{00000000-0005-0000-0000-000075040000}"/>
    <cellStyle name="20% - Accent1 8 2 3" xfId="1241" xr:uid="{00000000-0005-0000-0000-000076040000}"/>
    <cellStyle name="20% - Accent1 8 2 4" xfId="1242" xr:uid="{00000000-0005-0000-0000-000077040000}"/>
    <cellStyle name="20% - Accent1 8 3" xfId="1243" xr:uid="{00000000-0005-0000-0000-000078040000}"/>
    <cellStyle name="20% - Accent1 8 4" xfId="1244" xr:uid="{00000000-0005-0000-0000-000079040000}"/>
    <cellStyle name="20% - Accent1 8 5" xfId="1245" xr:uid="{00000000-0005-0000-0000-00007A040000}"/>
    <cellStyle name="20% - Accent1 80" xfId="1246" xr:uid="{00000000-0005-0000-0000-00007B040000}"/>
    <cellStyle name="20% - Accent1 80 2" xfId="1247" xr:uid="{00000000-0005-0000-0000-00007C040000}"/>
    <cellStyle name="20% - Accent1 81" xfId="1248" xr:uid="{00000000-0005-0000-0000-00007D040000}"/>
    <cellStyle name="20% - Accent1 81 2" xfId="1249" xr:uid="{00000000-0005-0000-0000-00007E040000}"/>
    <cellStyle name="20% - Accent1 82" xfId="1250" xr:uid="{00000000-0005-0000-0000-00007F040000}"/>
    <cellStyle name="20% - Accent1 82 2" xfId="1251" xr:uid="{00000000-0005-0000-0000-000080040000}"/>
    <cellStyle name="20% - Accent1 83" xfId="1252" xr:uid="{00000000-0005-0000-0000-000081040000}"/>
    <cellStyle name="20% - Accent1 83 2" xfId="1253" xr:uid="{00000000-0005-0000-0000-000082040000}"/>
    <cellStyle name="20% - Accent1 84" xfId="1254" xr:uid="{00000000-0005-0000-0000-000083040000}"/>
    <cellStyle name="20% - Accent1 84 2" xfId="1255" xr:uid="{00000000-0005-0000-0000-000084040000}"/>
    <cellStyle name="20% - Accent1 85" xfId="1256" xr:uid="{00000000-0005-0000-0000-000085040000}"/>
    <cellStyle name="20% - Accent1 85 2" xfId="1257" xr:uid="{00000000-0005-0000-0000-000086040000}"/>
    <cellStyle name="20% - Accent1 86" xfId="1258" xr:uid="{00000000-0005-0000-0000-000087040000}"/>
    <cellStyle name="20% - Accent1 86 2" xfId="1259" xr:uid="{00000000-0005-0000-0000-000088040000}"/>
    <cellStyle name="20% - Accent1 87" xfId="1260" xr:uid="{00000000-0005-0000-0000-000089040000}"/>
    <cellStyle name="20% - Accent1 87 2" xfId="1261" xr:uid="{00000000-0005-0000-0000-00008A040000}"/>
    <cellStyle name="20% - Accent1 88" xfId="1262" xr:uid="{00000000-0005-0000-0000-00008B040000}"/>
    <cellStyle name="20% - Accent1 88 2" xfId="1263" xr:uid="{00000000-0005-0000-0000-00008C040000}"/>
    <cellStyle name="20% - Accent1 89" xfId="1264" xr:uid="{00000000-0005-0000-0000-00008D040000}"/>
    <cellStyle name="20% - Accent1 89 2" xfId="1265" xr:uid="{00000000-0005-0000-0000-00008E040000}"/>
    <cellStyle name="20% - Accent1 9" xfId="1266" xr:uid="{00000000-0005-0000-0000-00008F040000}"/>
    <cellStyle name="20% - Accent1 9 2" xfId="1267" xr:uid="{00000000-0005-0000-0000-000090040000}"/>
    <cellStyle name="20% - Accent1 9 2 2" xfId="1268" xr:uid="{00000000-0005-0000-0000-000091040000}"/>
    <cellStyle name="20% - Accent1 9 2 3" xfId="1269" xr:uid="{00000000-0005-0000-0000-000092040000}"/>
    <cellStyle name="20% - Accent1 9 2 4" xfId="1270" xr:uid="{00000000-0005-0000-0000-000093040000}"/>
    <cellStyle name="20% - Accent1 9 3" xfId="1271" xr:uid="{00000000-0005-0000-0000-000094040000}"/>
    <cellStyle name="20% - Accent1 9 4" xfId="1272" xr:uid="{00000000-0005-0000-0000-000095040000}"/>
    <cellStyle name="20% - Accent1 9 5" xfId="1273" xr:uid="{00000000-0005-0000-0000-000096040000}"/>
    <cellStyle name="20% - Accent1 90" xfId="1274" xr:uid="{00000000-0005-0000-0000-000097040000}"/>
    <cellStyle name="20% - Accent1 91" xfId="1275" xr:uid="{00000000-0005-0000-0000-000098040000}"/>
    <cellStyle name="20% - Accent1 92" xfId="1276" xr:uid="{00000000-0005-0000-0000-000099040000}"/>
    <cellStyle name="20% - Accent1 93" xfId="1277" xr:uid="{00000000-0005-0000-0000-00009A040000}"/>
    <cellStyle name="20% - Accent1 94" xfId="1278" xr:uid="{00000000-0005-0000-0000-00009B040000}"/>
    <cellStyle name="20% - Accent1 95" xfId="1279" xr:uid="{00000000-0005-0000-0000-00009C040000}"/>
    <cellStyle name="20% - Accent1 96" xfId="1280" xr:uid="{00000000-0005-0000-0000-00009D040000}"/>
    <cellStyle name="20% - Accent1 97" xfId="1281" xr:uid="{00000000-0005-0000-0000-00009E040000}"/>
    <cellStyle name="20% - Accent1 98" xfId="1282" xr:uid="{00000000-0005-0000-0000-00009F040000}"/>
    <cellStyle name="20% - Accent1 99" xfId="1283" xr:uid="{00000000-0005-0000-0000-0000A0040000}"/>
    <cellStyle name="20% - Accent2" xfId="23" builtinId="34" customBuiltin="1"/>
    <cellStyle name="20% - Accent2 10" xfId="1284" xr:uid="{00000000-0005-0000-0000-0000A2040000}"/>
    <cellStyle name="20% - Accent2 10 2" xfId="1285" xr:uid="{00000000-0005-0000-0000-0000A3040000}"/>
    <cellStyle name="20% - Accent2 10 2 2" xfId="1286" xr:uid="{00000000-0005-0000-0000-0000A4040000}"/>
    <cellStyle name="20% - Accent2 10 2 3" xfId="1287" xr:uid="{00000000-0005-0000-0000-0000A5040000}"/>
    <cellStyle name="20% - Accent2 10 2 4" xfId="1288" xr:uid="{00000000-0005-0000-0000-0000A6040000}"/>
    <cellStyle name="20% - Accent2 10 3" xfId="1289" xr:uid="{00000000-0005-0000-0000-0000A7040000}"/>
    <cellStyle name="20% - Accent2 10 4" xfId="1290" xr:uid="{00000000-0005-0000-0000-0000A8040000}"/>
    <cellStyle name="20% - Accent2 10 5" xfId="1291" xr:uid="{00000000-0005-0000-0000-0000A9040000}"/>
    <cellStyle name="20% - Accent2 100" xfId="1292" xr:uid="{00000000-0005-0000-0000-0000AA040000}"/>
    <cellStyle name="20% - Accent2 101" xfId="1293" xr:uid="{00000000-0005-0000-0000-0000AB040000}"/>
    <cellStyle name="20% - Accent2 102" xfId="1294" xr:uid="{00000000-0005-0000-0000-0000AC040000}"/>
    <cellStyle name="20% - Accent2 103" xfId="1295" xr:uid="{00000000-0005-0000-0000-0000AD040000}"/>
    <cellStyle name="20% - Accent2 104" xfId="1296" xr:uid="{00000000-0005-0000-0000-0000AE040000}"/>
    <cellStyle name="20% - Accent2 105" xfId="1297" xr:uid="{00000000-0005-0000-0000-0000AF040000}"/>
    <cellStyle name="20% - Accent2 106" xfId="1298" xr:uid="{00000000-0005-0000-0000-0000B0040000}"/>
    <cellStyle name="20% - Accent2 107" xfId="1299" xr:uid="{00000000-0005-0000-0000-0000B1040000}"/>
    <cellStyle name="20% - Accent2 108" xfId="1300" xr:uid="{00000000-0005-0000-0000-0000B2040000}"/>
    <cellStyle name="20% - Accent2 109" xfId="1301" xr:uid="{00000000-0005-0000-0000-0000B3040000}"/>
    <cellStyle name="20% - Accent2 11" xfId="1302" xr:uid="{00000000-0005-0000-0000-0000B4040000}"/>
    <cellStyle name="20% - Accent2 11 2" xfId="1303" xr:uid="{00000000-0005-0000-0000-0000B5040000}"/>
    <cellStyle name="20% - Accent2 11 2 2" xfId="1304" xr:uid="{00000000-0005-0000-0000-0000B6040000}"/>
    <cellStyle name="20% - Accent2 11 2 3" xfId="1305" xr:uid="{00000000-0005-0000-0000-0000B7040000}"/>
    <cellStyle name="20% - Accent2 11 2 4" xfId="1306" xr:uid="{00000000-0005-0000-0000-0000B8040000}"/>
    <cellStyle name="20% - Accent2 11 3" xfId="1307" xr:uid="{00000000-0005-0000-0000-0000B9040000}"/>
    <cellStyle name="20% - Accent2 11 4" xfId="1308" xr:uid="{00000000-0005-0000-0000-0000BA040000}"/>
    <cellStyle name="20% - Accent2 11 5" xfId="1309" xr:uid="{00000000-0005-0000-0000-0000BB040000}"/>
    <cellStyle name="20% - Accent2 110" xfId="1310" xr:uid="{00000000-0005-0000-0000-0000BC040000}"/>
    <cellStyle name="20% - Accent2 111" xfId="1311" xr:uid="{00000000-0005-0000-0000-0000BD040000}"/>
    <cellStyle name="20% - Accent2 112" xfId="1312" xr:uid="{00000000-0005-0000-0000-0000BE040000}"/>
    <cellStyle name="20% - Accent2 113" xfId="1313" xr:uid="{00000000-0005-0000-0000-0000BF040000}"/>
    <cellStyle name="20% - Accent2 114" xfId="1314" xr:uid="{00000000-0005-0000-0000-0000C0040000}"/>
    <cellStyle name="20% - Accent2 115" xfId="1315" xr:uid="{00000000-0005-0000-0000-0000C1040000}"/>
    <cellStyle name="20% - Accent2 116" xfId="1316" xr:uid="{00000000-0005-0000-0000-0000C2040000}"/>
    <cellStyle name="20% - Accent2 117" xfId="1317" xr:uid="{00000000-0005-0000-0000-0000C3040000}"/>
    <cellStyle name="20% - Accent2 118" xfId="1318" xr:uid="{00000000-0005-0000-0000-0000C4040000}"/>
    <cellStyle name="20% - Accent2 119" xfId="1319" xr:uid="{00000000-0005-0000-0000-0000C5040000}"/>
    <cellStyle name="20% - Accent2 12" xfId="1320" xr:uid="{00000000-0005-0000-0000-0000C6040000}"/>
    <cellStyle name="20% - Accent2 12 2" xfId="1321" xr:uid="{00000000-0005-0000-0000-0000C7040000}"/>
    <cellStyle name="20% - Accent2 12 2 2" xfId="1322" xr:uid="{00000000-0005-0000-0000-0000C8040000}"/>
    <cellStyle name="20% - Accent2 12 2 3" xfId="1323" xr:uid="{00000000-0005-0000-0000-0000C9040000}"/>
    <cellStyle name="20% - Accent2 12 2 4" xfId="1324" xr:uid="{00000000-0005-0000-0000-0000CA040000}"/>
    <cellStyle name="20% - Accent2 12 3" xfId="1325" xr:uid="{00000000-0005-0000-0000-0000CB040000}"/>
    <cellStyle name="20% - Accent2 12 4" xfId="1326" xr:uid="{00000000-0005-0000-0000-0000CC040000}"/>
    <cellStyle name="20% - Accent2 12 5" xfId="1327" xr:uid="{00000000-0005-0000-0000-0000CD040000}"/>
    <cellStyle name="20% - Accent2 120" xfId="1328" xr:uid="{00000000-0005-0000-0000-0000CE040000}"/>
    <cellStyle name="20% - Accent2 121" xfId="1329" xr:uid="{00000000-0005-0000-0000-0000CF040000}"/>
    <cellStyle name="20% - Accent2 122" xfId="1330" xr:uid="{00000000-0005-0000-0000-0000D0040000}"/>
    <cellStyle name="20% - Accent2 123" xfId="1331" xr:uid="{00000000-0005-0000-0000-0000D1040000}"/>
    <cellStyle name="20% - Accent2 124" xfId="1332" xr:uid="{00000000-0005-0000-0000-0000D2040000}"/>
    <cellStyle name="20% - Accent2 125" xfId="1333" xr:uid="{00000000-0005-0000-0000-0000D3040000}"/>
    <cellStyle name="20% - Accent2 126" xfId="1334" xr:uid="{00000000-0005-0000-0000-0000D4040000}"/>
    <cellStyle name="20% - Accent2 127" xfId="1335" xr:uid="{00000000-0005-0000-0000-0000D5040000}"/>
    <cellStyle name="20% - Accent2 128" xfId="1336" xr:uid="{00000000-0005-0000-0000-0000D6040000}"/>
    <cellStyle name="20% - Accent2 129" xfId="1337" xr:uid="{00000000-0005-0000-0000-0000D7040000}"/>
    <cellStyle name="20% - Accent2 13" xfId="1338" xr:uid="{00000000-0005-0000-0000-0000D8040000}"/>
    <cellStyle name="20% - Accent2 13 2" xfId="1339" xr:uid="{00000000-0005-0000-0000-0000D9040000}"/>
    <cellStyle name="20% - Accent2 13 2 2" xfId="1340" xr:uid="{00000000-0005-0000-0000-0000DA040000}"/>
    <cellStyle name="20% - Accent2 13 2 3" xfId="1341" xr:uid="{00000000-0005-0000-0000-0000DB040000}"/>
    <cellStyle name="20% - Accent2 13 2 4" xfId="1342" xr:uid="{00000000-0005-0000-0000-0000DC040000}"/>
    <cellStyle name="20% - Accent2 13 3" xfId="1343" xr:uid="{00000000-0005-0000-0000-0000DD040000}"/>
    <cellStyle name="20% - Accent2 13 4" xfId="1344" xr:uid="{00000000-0005-0000-0000-0000DE040000}"/>
    <cellStyle name="20% - Accent2 13 5" xfId="1345" xr:uid="{00000000-0005-0000-0000-0000DF040000}"/>
    <cellStyle name="20% - Accent2 130" xfId="1346" xr:uid="{00000000-0005-0000-0000-0000E0040000}"/>
    <cellStyle name="20% - Accent2 131" xfId="1347" xr:uid="{00000000-0005-0000-0000-0000E1040000}"/>
    <cellStyle name="20% - Accent2 132" xfId="1348" xr:uid="{00000000-0005-0000-0000-0000E2040000}"/>
    <cellStyle name="20% - Accent2 133" xfId="1349" xr:uid="{00000000-0005-0000-0000-0000E3040000}"/>
    <cellStyle name="20% - Accent2 134" xfId="1350" xr:uid="{00000000-0005-0000-0000-0000E4040000}"/>
    <cellStyle name="20% - Accent2 135" xfId="1351" xr:uid="{00000000-0005-0000-0000-0000E5040000}"/>
    <cellStyle name="20% - Accent2 136" xfId="1352" xr:uid="{00000000-0005-0000-0000-0000E6040000}"/>
    <cellStyle name="20% - Accent2 137" xfId="1353" xr:uid="{00000000-0005-0000-0000-0000E7040000}"/>
    <cellStyle name="20% - Accent2 138" xfId="1354" xr:uid="{00000000-0005-0000-0000-0000E8040000}"/>
    <cellStyle name="20% - Accent2 139" xfId="1355" xr:uid="{00000000-0005-0000-0000-0000E9040000}"/>
    <cellStyle name="20% - Accent2 14" xfId="1356" xr:uid="{00000000-0005-0000-0000-0000EA040000}"/>
    <cellStyle name="20% - Accent2 14 2" xfId="1357" xr:uid="{00000000-0005-0000-0000-0000EB040000}"/>
    <cellStyle name="20% - Accent2 14 2 2" xfId="1358" xr:uid="{00000000-0005-0000-0000-0000EC040000}"/>
    <cellStyle name="20% - Accent2 14 2 3" xfId="1359" xr:uid="{00000000-0005-0000-0000-0000ED040000}"/>
    <cellStyle name="20% - Accent2 14 2 4" xfId="1360" xr:uid="{00000000-0005-0000-0000-0000EE040000}"/>
    <cellStyle name="20% - Accent2 14 3" xfId="1361" xr:uid="{00000000-0005-0000-0000-0000EF040000}"/>
    <cellStyle name="20% - Accent2 14 4" xfId="1362" xr:uid="{00000000-0005-0000-0000-0000F0040000}"/>
    <cellStyle name="20% - Accent2 14 5" xfId="1363" xr:uid="{00000000-0005-0000-0000-0000F1040000}"/>
    <cellStyle name="20% - Accent2 140" xfId="1364" xr:uid="{00000000-0005-0000-0000-0000F2040000}"/>
    <cellStyle name="20% - Accent2 141" xfId="1365" xr:uid="{00000000-0005-0000-0000-0000F3040000}"/>
    <cellStyle name="20% - Accent2 142" xfId="1366" xr:uid="{00000000-0005-0000-0000-0000F4040000}"/>
    <cellStyle name="20% - Accent2 143" xfId="1367" xr:uid="{00000000-0005-0000-0000-0000F5040000}"/>
    <cellStyle name="20% - Accent2 144" xfId="1368" xr:uid="{00000000-0005-0000-0000-0000F6040000}"/>
    <cellStyle name="20% - Accent2 145" xfId="1369" xr:uid="{00000000-0005-0000-0000-0000F7040000}"/>
    <cellStyle name="20% - Accent2 146" xfId="1370" xr:uid="{00000000-0005-0000-0000-0000F8040000}"/>
    <cellStyle name="20% - Accent2 147" xfId="1371" xr:uid="{00000000-0005-0000-0000-0000F9040000}"/>
    <cellStyle name="20% - Accent2 148" xfId="1372" xr:uid="{00000000-0005-0000-0000-0000FA040000}"/>
    <cellStyle name="20% - Accent2 149" xfId="1373" xr:uid="{00000000-0005-0000-0000-0000FB040000}"/>
    <cellStyle name="20% - Accent2 15" xfId="1374" xr:uid="{00000000-0005-0000-0000-0000FC040000}"/>
    <cellStyle name="20% - Accent2 15 2" xfId="1375" xr:uid="{00000000-0005-0000-0000-0000FD040000}"/>
    <cellStyle name="20% - Accent2 15 2 2" xfId="1376" xr:uid="{00000000-0005-0000-0000-0000FE040000}"/>
    <cellStyle name="20% - Accent2 15 2 3" xfId="1377" xr:uid="{00000000-0005-0000-0000-0000FF040000}"/>
    <cellStyle name="20% - Accent2 15 2 4" xfId="1378" xr:uid="{00000000-0005-0000-0000-000000050000}"/>
    <cellStyle name="20% - Accent2 15 3" xfId="1379" xr:uid="{00000000-0005-0000-0000-000001050000}"/>
    <cellStyle name="20% - Accent2 15 4" xfId="1380" xr:uid="{00000000-0005-0000-0000-000002050000}"/>
    <cellStyle name="20% - Accent2 15 5" xfId="1381" xr:uid="{00000000-0005-0000-0000-000003050000}"/>
    <cellStyle name="20% - Accent2 150" xfId="1382" xr:uid="{00000000-0005-0000-0000-000004050000}"/>
    <cellStyle name="20% - Accent2 151" xfId="1383" xr:uid="{00000000-0005-0000-0000-000005050000}"/>
    <cellStyle name="20% - Accent2 152" xfId="1384" xr:uid="{00000000-0005-0000-0000-000006050000}"/>
    <cellStyle name="20% - Accent2 153" xfId="1385" xr:uid="{00000000-0005-0000-0000-000007050000}"/>
    <cellStyle name="20% - Accent2 154" xfId="1386" xr:uid="{00000000-0005-0000-0000-000008050000}"/>
    <cellStyle name="20% - Accent2 155" xfId="1387" xr:uid="{00000000-0005-0000-0000-000009050000}"/>
    <cellStyle name="20% - Accent2 156" xfId="1388" xr:uid="{00000000-0005-0000-0000-00000A050000}"/>
    <cellStyle name="20% - Accent2 157" xfId="1389" xr:uid="{00000000-0005-0000-0000-00000B050000}"/>
    <cellStyle name="20% - Accent2 158" xfId="1390" xr:uid="{00000000-0005-0000-0000-00000C050000}"/>
    <cellStyle name="20% - Accent2 159" xfId="1391" xr:uid="{00000000-0005-0000-0000-00000D050000}"/>
    <cellStyle name="20% - Accent2 16" xfId="1392" xr:uid="{00000000-0005-0000-0000-00000E050000}"/>
    <cellStyle name="20% - Accent2 16 2" xfId="1393" xr:uid="{00000000-0005-0000-0000-00000F050000}"/>
    <cellStyle name="20% - Accent2 16 2 2" xfId="1394" xr:uid="{00000000-0005-0000-0000-000010050000}"/>
    <cellStyle name="20% - Accent2 16 3" xfId="1395" xr:uid="{00000000-0005-0000-0000-000011050000}"/>
    <cellStyle name="20% - Accent2 16 4" xfId="1396" xr:uid="{00000000-0005-0000-0000-000012050000}"/>
    <cellStyle name="20% - Accent2 16 5" xfId="1397" xr:uid="{00000000-0005-0000-0000-000013050000}"/>
    <cellStyle name="20% - Accent2 160" xfId="1398" xr:uid="{00000000-0005-0000-0000-000014050000}"/>
    <cellStyle name="20% - Accent2 161" xfId="1399" xr:uid="{00000000-0005-0000-0000-000015050000}"/>
    <cellStyle name="20% - Accent2 162" xfId="1400" xr:uid="{00000000-0005-0000-0000-000016050000}"/>
    <cellStyle name="20% - Accent2 163" xfId="1401" xr:uid="{00000000-0005-0000-0000-000017050000}"/>
    <cellStyle name="20% - Accent2 164" xfId="1402" xr:uid="{00000000-0005-0000-0000-000018050000}"/>
    <cellStyle name="20% - Accent2 165" xfId="1403" xr:uid="{00000000-0005-0000-0000-000019050000}"/>
    <cellStyle name="20% - Accent2 166" xfId="1404" xr:uid="{00000000-0005-0000-0000-00001A050000}"/>
    <cellStyle name="20% - Accent2 167" xfId="1405" xr:uid="{00000000-0005-0000-0000-00001B050000}"/>
    <cellStyle name="20% - Accent2 168" xfId="1406" xr:uid="{00000000-0005-0000-0000-00001C050000}"/>
    <cellStyle name="20% - Accent2 169" xfId="1407" xr:uid="{00000000-0005-0000-0000-00001D050000}"/>
    <cellStyle name="20% - Accent2 17" xfId="1408" xr:uid="{00000000-0005-0000-0000-00001E050000}"/>
    <cellStyle name="20% - Accent2 17 2" xfId="1409" xr:uid="{00000000-0005-0000-0000-00001F050000}"/>
    <cellStyle name="20% - Accent2 17 2 2" xfId="1410" xr:uid="{00000000-0005-0000-0000-000020050000}"/>
    <cellStyle name="20% - Accent2 17 3" xfId="1411" xr:uid="{00000000-0005-0000-0000-000021050000}"/>
    <cellStyle name="20% - Accent2 17 4" xfId="1412" xr:uid="{00000000-0005-0000-0000-000022050000}"/>
    <cellStyle name="20% - Accent2 17 5" xfId="1413" xr:uid="{00000000-0005-0000-0000-000023050000}"/>
    <cellStyle name="20% - Accent2 18" xfId="1414" xr:uid="{00000000-0005-0000-0000-000024050000}"/>
    <cellStyle name="20% - Accent2 18 2" xfId="1415" xr:uid="{00000000-0005-0000-0000-000025050000}"/>
    <cellStyle name="20% - Accent2 18 2 2" xfId="1416" xr:uid="{00000000-0005-0000-0000-000026050000}"/>
    <cellStyle name="20% - Accent2 18 3" xfId="1417" xr:uid="{00000000-0005-0000-0000-000027050000}"/>
    <cellStyle name="20% - Accent2 18 4" xfId="1418" xr:uid="{00000000-0005-0000-0000-000028050000}"/>
    <cellStyle name="20% - Accent2 18 5" xfId="1419" xr:uid="{00000000-0005-0000-0000-000029050000}"/>
    <cellStyle name="20% - Accent2 19" xfId="1420" xr:uid="{00000000-0005-0000-0000-00002A050000}"/>
    <cellStyle name="20% - Accent2 19 2" xfId="1421" xr:uid="{00000000-0005-0000-0000-00002B050000}"/>
    <cellStyle name="20% - Accent2 19 2 2" xfId="1422" xr:uid="{00000000-0005-0000-0000-00002C050000}"/>
    <cellStyle name="20% - Accent2 19 3" xfId="1423" xr:uid="{00000000-0005-0000-0000-00002D050000}"/>
    <cellStyle name="20% - Accent2 19 4" xfId="1424" xr:uid="{00000000-0005-0000-0000-00002E050000}"/>
    <cellStyle name="20% - Accent2 19 5" xfId="1425" xr:uid="{00000000-0005-0000-0000-00002F050000}"/>
    <cellStyle name="20% - Accent2 2" xfId="1426" xr:uid="{00000000-0005-0000-0000-000030050000}"/>
    <cellStyle name="20% - Accent2 2 10" xfId="1427" xr:uid="{00000000-0005-0000-0000-000031050000}"/>
    <cellStyle name="20% - Accent2 2 11" xfId="1428" xr:uid="{00000000-0005-0000-0000-000032050000}"/>
    <cellStyle name="20% - Accent2 2 12" xfId="1429" xr:uid="{00000000-0005-0000-0000-000033050000}"/>
    <cellStyle name="20% - Accent2 2 13" xfId="1430" xr:uid="{00000000-0005-0000-0000-000034050000}"/>
    <cellStyle name="20% - Accent2 2 14" xfId="1431" xr:uid="{00000000-0005-0000-0000-000035050000}"/>
    <cellStyle name="20% - Accent2 2 15" xfId="1432" xr:uid="{00000000-0005-0000-0000-000036050000}"/>
    <cellStyle name="20% - Accent2 2 16" xfId="1433" xr:uid="{00000000-0005-0000-0000-000037050000}"/>
    <cellStyle name="20% - Accent2 2 17" xfId="1434" xr:uid="{00000000-0005-0000-0000-000038050000}"/>
    <cellStyle name="20% - Accent2 2 18" xfId="1435" xr:uid="{00000000-0005-0000-0000-000039050000}"/>
    <cellStyle name="20% - Accent2 2 19" xfId="1436" xr:uid="{00000000-0005-0000-0000-00003A050000}"/>
    <cellStyle name="20% - Accent2 2 2" xfId="1437" xr:uid="{00000000-0005-0000-0000-00003B050000}"/>
    <cellStyle name="20% - Accent2 2 2 2" xfId="1438" xr:uid="{00000000-0005-0000-0000-00003C050000}"/>
    <cellStyle name="20% - Accent2 2 20" xfId="1439" xr:uid="{00000000-0005-0000-0000-00003D050000}"/>
    <cellStyle name="20% - Accent2 2 21" xfId="1440" xr:uid="{00000000-0005-0000-0000-00003E050000}"/>
    <cellStyle name="20% - Accent2 2 22" xfId="1441" xr:uid="{00000000-0005-0000-0000-00003F050000}"/>
    <cellStyle name="20% - Accent2 2 23" xfId="1442" xr:uid="{00000000-0005-0000-0000-000040050000}"/>
    <cellStyle name="20% - Accent2 2 24" xfId="1443" xr:uid="{00000000-0005-0000-0000-000041050000}"/>
    <cellStyle name="20% - Accent2 2 25" xfId="1444" xr:uid="{00000000-0005-0000-0000-000042050000}"/>
    <cellStyle name="20% - Accent2 2 26" xfId="1445" xr:uid="{00000000-0005-0000-0000-000043050000}"/>
    <cellStyle name="20% - Accent2 2 27" xfId="1446" xr:uid="{00000000-0005-0000-0000-000044050000}"/>
    <cellStyle name="20% - Accent2 2 28" xfId="1447" xr:uid="{00000000-0005-0000-0000-000045050000}"/>
    <cellStyle name="20% - Accent2 2 29" xfId="1448" xr:uid="{00000000-0005-0000-0000-000046050000}"/>
    <cellStyle name="20% - Accent2 2 3" xfId="1449" xr:uid="{00000000-0005-0000-0000-000047050000}"/>
    <cellStyle name="20% - Accent2 2 30" xfId="1450" xr:uid="{00000000-0005-0000-0000-000048050000}"/>
    <cellStyle name="20% - Accent2 2 31" xfId="1451" xr:uid="{00000000-0005-0000-0000-000049050000}"/>
    <cellStyle name="20% - Accent2 2 32" xfId="1452" xr:uid="{00000000-0005-0000-0000-00004A050000}"/>
    <cellStyle name="20% - Accent2 2 33" xfId="1453" xr:uid="{00000000-0005-0000-0000-00004B050000}"/>
    <cellStyle name="20% - Accent2 2 34" xfId="1454" xr:uid="{00000000-0005-0000-0000-00004C050000}"/>
    <cellStyle name="20% - Accent2 2 35" xfId="1455" xr:uid="{00000000-0005-0000-0000-00004D050000}"/>
    <cellStyle name="20% - Accent2 2 36" xfId="1456" xr:uid="{00000000-0005-0000-0000-00004E050000}"/>
    <cellStyle name="20% - Accent2 2 37" xfId="1457" xr:uid="{00000000-0005-0000-0000-00004F050000}"/>
    <cellStyle name="20% - Accent2 2 4" xfId="1458" xr:uid="{00000000-0005-0000-0000-000050050000}"/>
    <cellStyle name="20% - Accent2 2 4 2" xfId="1459" xr:uid="{00000000-0005-0000-0000-000051050000}"/>
    <cellStyle name="20% - Accent2 2 4 2 2" xfId="1460" xr:uid="{00000000-0005-0000-0000-000052050000}"/>
    <cellStyle name="20% - Accent2 2 4 3" xfId="1461" xr:uid="{00000000-0005-0000-0000-000053050000}"/>
    <cellStyle name="20% - Accent2 2 4 3 2" xfId="1462" xr:uid="{00000000-0005-0000-0000-000054050000}"/>
    <cellStyle name="20% - Accent2 2 4 4" xfId="1463" xr:uid="{00000000-0005-0000-0000-000055050000}"/>
    <cellStyle name="20% - Accent2 2 5" xfId="1464" xr:uid="{00000000-0005-0000-0000-000056050000}"/>
    <cellStyle name="20% - Accent2 2 6" xfId="1465" xr:uid="{00000000-0005-0000-0000-000057050000}"/>
    <cellStyle name="20% - Accent2 2 7" xfId="1466" xr:uid="{00000000-0005-0000-0000-000058050000}"/>
    <cellStyle name="20% - Accent2 2 8" xfId="1467" xr:uid="{00000000-0005-0000-0000-000059050000}"/>
    <cellStyle name="20% - Accent2 2 9" xfId="1468" xr:uid="{00000000-0005-0000-0000-00005A050000}"/>
    <cellStyle name="20% - Accent2 2_ERDF Losses" xfId="1469" xr:uid="{00000000-0005-0000-0000-00005B050000}"/>
    <cellStyle name="20% - Accent2 20" xfId="1470" xr:uid="{00000000-0005-0000-0000-00005C050000}"/>
    <cellStyle name="20% - Accent2 20 10" xfId="1471" xr:uid="{00000000-0005-0000-0000-00005D050000}"/>
    <cellStyle name="20% - Accent2 20 11" xfId="1472" xr:uid="{00000000-0005-0000-0000-00005E050000}"/>
    <cellStyle name="20% - Accent2 20 12" xfId="1473" xr:uid="{00000000-0005-0000-0000-00005F050000}"/>
    <cellStyle name="20% - Accent2 20 13" xfId="1474" xr:uid="{00000000-0005-0000-0000-000060050000}"/>
    <cellStyle name="20% - Accent2 20 14" xfId="1475" xr:uid="{00000000-0005-0000-0000-000061050000}"/>
    <cellStyle name="20% - Accent2 20 15" xfId="1476" xr:uid="{00000000-0005-0000-0000-000062050000}"/>
    <cellStyle name="20% - Accent2 20 16" xfId="1477" xr:uid="{00000000-0005-0000-0000-000063050000}"/>
    <cellStyle name="20% - Accent2 20 17" xfId="1478" xr:uid="{00000000-0005-0000-0000-000064050000}"/>
    <cellStyle name="20% - Accent2 20 18" xfId="1479" xr:uid="{00000000-0005-0000-0000-000065050000}"/>
    <cellStyle name="20% - Accent2 20 2" xfId="1480" xr:uid="{00000000-0005-0000-0000-000066050000}"/>
    <cellStyle name="20% - Accent2 20 2 2" xfId="1481" xr:uid="{00000000-0005-0000-0000-000067050000}"/>
    <cellStyle name="20% - Accent2 20 2 3" xfId="1482" xr:uid="{00000000-0005-0000-0000-000068050000}"/>
    <cellStyle name="20% - Accent2 20 2 4" xfId="1483" xr:uid="{00000000-0005-0000-0000-000069050000}"/>
    <cellStyle name="20% - Accent2 20 3" xfId="1484" xr:uid="{00000000-0005-0000-0000-00006A050000}"/>
    <cellStyle name="20% - Accent2 20 4" xfId="1485" xr:uid="{00000000-0005-0000-0000-00006B050000}"/>
    <cellStyle name="20% - Accent2 20 5" xfId="1486" xr:uid="{00000000-0005-0000-0000-00006C050000}"/>
    <cellStyle name="20% - Accent2 20 6" xfId="1487" xr:uid="{00000000-0005-0000-0000-00006D050000}"/>
    <cellStyle name="20% - Accent2 20 7" xfId="1488" xr:uid="{00000000-0005-0000-0000-00006E050000}"/>
    <cellStyle name="20% - Accent2 20 8" xfId="1489" xr:uid="{00000000-0005-0000-0000-00006F050000}"/>
    <cellStyle name="20% - Accent2 20 9" xfId="1490" xr:uid="{00000000-0005-0000-0000-000070050000}"/>
    <cellStyle name="20% - Accent2 21" xfId="1491" xr:uid="{00000000-0005-0000-0000-000071050000}"/>
    <cellStyle name="20% - Accent2 21 2" xfId="1492" xr:uid="{00000000-0005-0000-0000-000072050000}"/>
    <cellStyle name="20% - Accent2 21 2 2" xfId="1493" xr:uid="{00000000-0005-0000-0000-000073050000}"/>
    <cellStyle name="20% - Accent2 21 2 3" xfId="1494" xr:uid="{00000000-0005-0000-0000-000074050000}"/>
    <cellStyle name="20% - Accent2 21 3" xfId="1495" xr:uid="{00000000-0005-0000-0000-000075050000}"/>
    <cellStyle name="20% - Accent2 21 4" xfId="1496" xr:uid="{00000000-0005-0000-0000-000076050000}"/>
    <cellStyle name="20% - Accent2 21 5" xfId="1497" xr:uid="{00000000-0005-0000-0000-000077050000}"/>
    <cellStyle name="20% - Accent2 21 6" xfId="1498" xr:uid="{00000000-0005-0000-0000-000078050000}"/>
    <cellStyle name="20% - Accent2 22" xfId="1499" xr:uid="{00000000-0005-0000-0000-000079050000}"/>
    <cellStyle name="20% - Accent2 22 2" xfId="1500" xr:uid="{00000000-0005-0000-0000-00007A050000}"/>
    <cellStyle name="20% - Accent2 22 3" xfId="1501" xr:uid="{00000000-0005-0000-0000-00007B050000}"/>
    <cellStyle name="20% - Accent2 23" xfId="1502" xr:uid="{00000000-0005-0000-0000-00007C050000}"/>
    <cellStyle name="20% - Accent2 23 2" xfId="1503" xr:uid="{00000000-0005-0000-0000-00007D050000}"/>
    <cellStyle name="20% - Accent2 23 3" xfId="1504" xr:uid="{00000000-0005-0000-0000-00007E050000}"/>
    <cellStyle name="20% - Accent2 24" xfId="1505" xr:uid="{00000000-0005-0000-0000-00007F050000}"/>
    <cellStyle name="20% - Accent2 24 2" xfId="1506" xr:uid="{00000000-0005-0000-0000-000080050000}"/>
    <cellStyle name="20% - Accent2 24 3" xfId="1507" xr:uid="{00000000-0005-0000-0000-000081050000}"/>
    <cellStyle name="20% - Accent2 25" xfId="1508" xr:uid="{00000000-0005-0000-0000-000082050000}"/>
    <cellStyle name="20% - Accent2 25 2" xfId="1509" xr:uid="{00000000-0005-0000-0000-000083050000}"/>
    <cellStyle name="20% - Accent2 25 3" xfId="1510" xr:uid="{00000000-0005-0000-0000-000084050000}"/>
    <cellStyle name="20% - Accent2 26" xfId="1511" xr:uid="{00000000-0005-0000-0000-000085050000}"/>
    <cellStyle name="20% - Accent2 26 2" xfId="1512" xr:uid="{00000000-0005-0000-0000-000086050000}"/>
    <cellStyle name="20% - Accent2 26 3" xfId="1513" xr:uid="{00000000-0005-0000-0000-000087050000}"/>
    <cellStyle name="20% - Accent2 27" xfId="1514" xr:uid="{00000000-0005-0000-0000-000088050000}"/>
    <cellStyle name="20% - Accent2 27 2" xfId="1515" xr:uid="{00000000-0005-0000-0000-000089050000}"/>
    <cellStyle name="20% - Accent2 27 3" xfId="1516" xr:uid="{00000000-0005-0000-0000-00008A050000}"/>
    <cellStyle name="20% - Accent2 28" xfId="1517" xr:uid="{00000000-0005-0000-0000-00008B050000}"/>
    <cellStyle name="20% - Accent2 28 2" xfId="1518" xr:uid="{00000000-0005-0000-0000-00008C050000}"/>
    <cellStyle name="20% - Accent2 28 3" xfId="1519" xr:uid="{00000000-0005-0000-0000-00008D050000}"/>
    <cellStyle name="20% - Accent2 29" xfId="1520" xr:uid="{00000000-0005-0000-0000-00008E050000}"/>
    <cellStyle name="20% - Accent2 29 2" xfId="1521" xr:uid="{00000000-0005-0000-0000-00008F050000}"/>
    <cellStyle name="20% - Accent2 29 3" xfId="1522" xr:uid="{00000000-0005-0000-0000-000090050000}"/>
    <cellStyle name="20% - Accent2 3" xfId="1523" xr:uid="{00000000-0005-0000-0000-000091050000}"/>
    <cellStyle name="20% - Accent2 3 10" xfId="1524" xr:uid="{00000000-0005-0000-0000-000092050000}"/>
    <cellStyle name="20% - Accent2 3 10 10" xfId="1525" xr:uid="{00000000-0005-0000-0000-000093050000}"/>
    <cellStyle name="20% - Accent2 3 10 11" xfId="1526" xr:uid="{00000000-0005-0000-0000-000094050000}"/>
    <cellStyle name="20% - Accent2 3 10 12" xfId="1527" xr:uid="{00000000-0005-0000-0000-000095050000}"/>
    <cellStyle name="20% - Accent2 3 10 13" xfId="1528" xr:uid="{00000000-0005-0000-0000-000096050000}"/>
    <cellStyle name="20% - Accent2 3 10 14" xfId="1529" xr:uid="{00000000-0005-0000-0000-000097050000}"/>
    <cellStyle name="20% - Accent2 3 10 15" xfId="1530" xr:uid="{00000000-0005-0000-0000-000098050000}"/>
    <cellStyle name="20% - Accent2 3 10 2" xfId="1531" xr:uid="{00000000-0005-0000-0000-000099050000}"/>
    <cellStyle name="20% - Accent2 3 10 3" xfId="1532" xr:uid="{00000000-0005-0000-0000-00009A050000}"/>
    <cellStyle name="20% - Accent2 3 10 4" xfId="1533" xr:uid="{00000000-0005-0000-0000-00009B050000}"/>
    <cellStyle name="20% - Accent2 3 10 5" xfId="1534" xr:uid="{00000000-0005-0000-0000-00009C050000}"/>
    <cellStyle name="20% - Accent2 3 10 6" xfId="1535" xr:uid="{00000000-0005-0000-0000-00009D050000}"/>
    <cellStyle name="20% - Accent2 3 10 7" xfId="1536" xr:uid="{00000000-0005-0000-0000-00009E050000}"/>
    <cellStyle name="20% - Accent2 3 10 8" xfId="1537" xr:uid="{00000000-0005-0000-0000-00009F050000}"/>
    <cellStyle name="20% - Accent2 3 10 9" xfId="1538" xr:uid="{00000000-0005-0000-0000-0000A0050000}"/>
    <cellStyle name="20% - Accent2 3 11" xfId="1539" xr:uid="{00000000-0005-0000-0000-0000A1050000}"/>
    <cellStyle name="20% - Accent2 3 11 10" xfId="1540" xr:uid="{00000000-0005-0000-0000-0000A2050000}"/>
    <cellStyle name="20% - Accent2 3 11 11" xfId="1541" xr:uid="{00000000-0005-0000-0000-0000A3050000}"/>
    <cellStyle name="20% - Accent2 3 11 12" xfId="1542" xr:uid="{00000000-0005-0000-0000-0000A4050000}"/>
    <cellStyle name="20% - Accent2 3 11 13" xfId="1543" xr:uid="{00000000-0005-0000-0000-0000A5050000}"/>
    <cellStyle name="20% - Accent2 3 11 14" xfId="1544" xr:uid="{00000000-0005-0000-0000-0000A6050000}"/>
    <cellStyle name="20% - Accent2 3 11 15" xfId="1545" xr:uid="{00000000-0005-0000-0000-0000A7050000}"/>
    <cellStyle name="20% - Accent2 3 11 2" xfId="1546" xr:uid="{00000000-0005-0000-0000-0000A8050000}"/>
    <cellStyle name="20% - Accent2 3 11 3" xfId="1547" xr:uid="{00000000-0005-0000-0000-0000A9050000}"/>
    <cellStyle name="20% - Accent2 3 11 4" xfId="1548" xr:uid="{00000000-0005-0000-0000-0000AA050000}"/>
    <cellStyle name="20% - Accent2 3 11 5" xfId="1549" xr:uid="{00000000-0005-0000-0000-0000AB050000}"/>
    <cellStyle name="20% - Accent2 3 11 6" xfId="1550" xr:uid="{00000000-0005-0000-0000-0000AC050000}"/>
    <cellStyle name="20% - Accent2 3 11 7" xfId="1551" xr:uid="{00000000-0005-0000-0000-0000AD050000}"/>
    <cellStyle name="20% - Accent2 3 11 8" xfId="1552" xr:uid="{00000000-0005-0000-0000-0000AE050000}"/>
    <cellStyle name="20% - Accent2 3 11 9" xfId="1553" xr:uid="{00000000-0005-0000-0000-0000AF050000}"/>
    <cellStyle name="20% - Accent2 3 12" xfId="1554" xr:uid="{00000000-0005-0000-0000-0000B0050000}"/>
    <cellStyle name="20% - Accent2 3 12 10" xfId="1555" xr:uid="{00000000-0005-0000-0000-0000B1050000}"/>
    <cellStyle name="20% - Accent2 3 12 11" xfId="1556" xr:uid="{00000000-0005-0000-0000-0000B2050000}"/>
    <cellStyle name="20% - Accent2 3 12 12" xfId="1557" xr:uid="{00000000-0005-0000-0000-0000B3050000}"/>
    <cellStyle name="20% - Accent2 3 12 13" xfId="1558" xr:uid="{00000000-0005-0000-0000-0000B4050000}"/>
    <cellStyle name="20% - Accent2 3 12 14" xfId="1559" xr:uid="{00000000-0005-0000-0000-0000B5050000}"/>
    <cellStyle name="20% - Accent2 3 12 15" xfId="1560" xr:uid="{00000000-0005-0000-0000-0000B6050000}"/>
    <cellStyle name="20% - Accent2 3 12 2" xfId="1561" xr:uid="{00000000-0005-0000-0000-0000B7050000}"/>
    <cellStyle name="20% - Accent2 3 12 3" xfId="1562" xr:uid="{00000000-0005-0000-0000-0000B8050000}"/>
    <cellStyle name="20% - Accent2 3 12 4" xfId="1563" xr:uid="{00000000-0005-0000-0000-0000B9050000}"/>
    <cellStyle name="20% - Accent2 3 12 5" xfId="1564" xr:uid="{00000000-0005-0000-0000-0000BA050000}"/>
    <cellStyle name="20% - Accent2 3 12 6" xfId="1565" xr:uid="{00000000-0005-0000-0000-0000BB050000}"/>
    <cellStyle name="20% - Accent2 3 12 7" xfId="1566" xr:uid="{00000000-0005-0000-0000-0000BC050000}"/>
    <cellStyle name="20% - Accent2 3 12 8" xfId="1567" xr:uid="{00000000-0005-0000-0000-0000BD050000}"/>
    <cellStyle name="20% - Accent2 3 12 9" xfId="1568" xr:uid="{00000000-0005-0000-0000-0000BE050000}"/>
    <cellStyle name="20% - Accent2 3 13" xfId="1569" xr:uid="{00000000-0005-0000-0000-0000BF050000}"/>
    <cellStyle name="20% - Accent2 3 13 10" xfId="1570" xr:uid="{00000000-0005-0000-0000-0000C0050000}"/>
    <cellStyle name="20% - Accent2 3 13 11" xfId="1571" xr:uid="{00000000-0005-0000-0000-0000C1050000}"/>
    <cellStyle name="20% - Accent2 3 13 12" xfId="1572" xr:uid="{00000000-0005-0000-0000-0000C2050000}"/>
    <cellStyle name="20% - Accent2 3 13 13" xfId="1573" xr:uid="{00000000-0005-0000-0000-0000C3050000}"/>
    <cellStyle name="20% - Accent2 3 13 14" xfId="1574" xr:uid="{00000000-0005-0000-0000-0000C4050000}"/>
    <cellStyle name="20% - Accent2 3 13 15" xfId="1575" xr:uid="{00000000-0005-0000-0000-0000C5050000}"/>
    <cellStyle name="20% - Accent2 3 13 2" xfId="1576" xr:uid="{00000000-0005-0000-0000-0000C6050000}"/>
    <cellStyle name="20% - Accent2 3 13 3" xfId="1577" xr:uid="{00000000-0005-0000-0000-0000C7050000}"/>
    <cellStyle name="20% - Accent2 3 13 4" xfId="1578" xr:uid="{00000000-0005-0000-0000-0000C8050000}"/>
    <cellStyle name="20% - Accent2 3 13 5" xfId="1579" xr:uid="{00000000-0005-0000-0000-0000C9050000}"/>
    <cellStyle name="20% - Accent2 3 13 6" xfId="1580" xr:uid="{00000000-0005-0000-0000-0000CA050000}"/>
    <cellStyle name="20% - Accent2 3 13 7" xfId="1581" xr:uid="{00000000-0005-0000-0000-0000CB050000}"/>
    <cellStyle name="20% - Accent2 3 13 8" xfId="1582" xr:uid="{00000000-0005-0000-0000-0000CC050000}"/>
    <cellStyle name="20% - Accent2 3 13 9" xfId="1583" xr:uid="{00000000-0005-0000-0000-0000CD050000}"/>
    <cellStyle name="20% - Accent2 3 14" xfId="1584" xr:uid="{00000000-0005-0000-0000-0000CE050000}"/>
    <cellStyle name="20% - Accent2 3 14 10" xfId="1585" xr:uid="{00000000-0005-0000-0000-0000CF050000}"/>
    <cellStyle name="20% - Accent2 3 14 11" xfId="1586" xr:uid="{00000000-0005-0000-0000-0000D0050000}"/>
    <cellStyle name="20% - Accent2 3 14 12" xfId="1587" xr:uid="{00000000-0005-0000-0000-0000D1050000}"/>
    <cellStyle name="20% - Accent2 3 14 13" xfId="1588" xr:uid="{00000000-0005-0000-0000-0000D2050000}"/>
    <cellStyle name="20% - Accent2 3 14 14" xfId="1589" xr:uid="{00000000-0005-0000-0000-0000D3050000}"/>
    <cellStyle name="20% - Accent2 3 14 15" xfId="1590" xr:uid="{00000000-0005-0000-0000-0000D4050000}"/>
    <cellStyle name="20% - Accent2 3 14 2" xfId="1591" xr:uid="{00000000-0005-0000-0000-0000D5050000}"/>
    <cellStyle name="20% - Accent2 3 14 3" xfId="1592" xr:uid="{00000000-0005-0000-0000-0000D6050000}"/>
    <cellStyle name="20% - Accent2 3 14 4" xfId="1593" xr:uid="{00000000-0005-0000-0000-0000D7050000}"/>
    <cellStyle name="20% - Accent2 3 14 5" xfId="1594" xr:uid="{00000000-0005-0000-0000-0000D8050000}"/>
    <cellStyle name="20% - Accent2 3 14 6" xfId="1595" xr:uid="{00000000-0005-0000-0000-0000D9050000}"/>
    <cellStyle name="20% - Accent2 3 14 7" xfId="1596" xr:uid="{00000000-0005-0000-0000-0000DA050000}"/>
    <cellStyle name="20% - Accent2 3 14 8" xfId="1597" xr:uid="{00000000-0005-0000-0000-0000DB050000}"/>
    <cellStyle name="20% - Accent2 3 14 9" xfId="1598" xr:uid="{00000000-0005-0000-0000-0000DC050000}"/>
    <cellStyle name="20% - Accent2 3 15" xfId="1599" xr:uid="{00000000-0005-0000-0000-0000DD050000}"/>
    <cellStyle name="20% - Accent2 3 15 10" xfId="1600" xr:uid="{00000000-0005-0000-0000-0000DE050000}"/>
    <cellStyle name="20% - Accent2 3 15 11" xfId="1601" xr:uid="{00000000-0005-0000-0000-0000DF050000}"/>
    <cellStyle name="20% - Accent2 3 15 12" xfId="1602" xr:uid="{00000000-0005-0000-0000-0000E0050000}"/>
    <cellStyle name="20% - Accent2 3 15 13" xfId="1603" xr:uid="{00000000-0005-0000-0000-0000E1050000}"/>
    <cellStyle name="20% - Accent2 3 15 14" xfId="1604" xr:uid="{00000000-0005-0000-0000-0000E2050000}"/>
    <cellStyle name="20% - Accent2 3 15 15" xfId="1605" xr:uid="{00000000-0005-0000-0000-0000E3050000}"/>
    <cellStyle name="20% - Accent2 3 15 2" xfId="1606" xr:uid="{00000000-0005-0000-0000-0000E4050000}"/>
    <cellStyle name="20% - Accent2 3 15 3" xfId="1607" xr:uid="{00000000-0005-0000-0000-0000E5050000}"/>
    <cellStyle name="20% - Accent2 3 15 4" xfId="1608" xr:uid="{00000000-0005-0000-0000-0000E6050000}"/>
    <cellStyle name="20% - Accent2 3 15 5" xfId="1609" xr:uid="{00000000-0005-0000-0000-0000E7050000}"/>
    <cellStyle name="20% - Accent2 3 15 6" xfId="1610" xr:uid="{00000000-0005-0000-0000-0000E8050000}"/>
    <cellStyle name="20% - Accent2 3 15 7" xfId="1611" xr:uid="{00000000-0005-0000-0000-0000E9050000}"/>
    <cellStyle name="20% - Accent2 3 15 8" xfId="1612" xr:uid="{00000000-0005-0000-0000-0000EA050000}"/>
    <cellStyle name="20% - Accent2 3 15 9" xfId="1613" xr:uid="{00000000-0005-0000-0000-0000EB050000}"/>
    <cellStyle name="20% - Accent2 3 16" xfId="1614" xr:uid="{00000000-0005-0000-0000-0000EC050000}"/>
    <cellStyle name="20% - Accent2 3 16 10" xfId="1615" xr:uid="{00000000-0005-0000-0000-0000ED050000}"/>
    <cellStyle name="20% - Accent2 3 16 11" xfId="1616" xr:uid="{00000000-0005-0000-0000-0000EE050000}"/>
    <cellStyle name="20% - Accent2 3 16 12" xfId="1617" xr:uid="{00000000-0005-0000-0000-0000EF050000}"/>
    <cellStyle name="20% - Accent2 3 16 13" xfId="1618" xr:uid="{00000000-0005-0000-0000-0000F0050000}"/>
    <cellStyle name="20% - Accent2 3 16 14" xfId="1619" xr:uid="{00000000-0005-0000-0000-0000F1050000}"/>
    <cellStyle name="20% - Accent2 3 16 15" xfId="1620" xr:uid="{00000000-0005-0000-0000-0000F2050000}"/>
    <cellStyle name="20% - Accent2 3 16 2" xfId="1621" xr:uid="{00000000-0005-0000-0000-0000F3050000}"/>
    <cellStyle name="20% - Accent2 3 16 3" xfId="1622" xr:uid="{00000000-0005-0000-0000-0000F4050000}"/>
    <cellStyle name="20% - Accent2 3 16 4" xfId="1623" xr:uid="{00000000-0005-0000-0000-0000F5050000}"/>
    <cellStyle name="20% - Accent2 3 16 5" xfId="1624" xr:uid="{00000000-0005-0000-0000-0000F6050000}"/>
    <cellStyle name="20% - Accent2 3 16 6" xfId="1625" xr:uid="{00000000-0005-0000-0000-0000F7050000}"/>
    <cellStyle name="20% - Accent2 3 16 7" xfId="1626" xr:uid="{00000000-0005-0000-0000-0000F8050000}"/>
    <cellStyle name="20% - Accent2 3 16 8" xfId="1627" xr:uid="{00000000-0005-0000-0000-0000F9050000}"/>
    <cellStyle name="20% - Accent2 3 16 9" xfId="1628" xr:uid="{00000000-0005-0000-0000-0000FA050000}"/>
    <cellStyle name="20% - Accent2 3 17" xfId="1629" xr:uid="{00000000-0005-0000-0000-0000FB050000}"/>
    <cellStyle name="20% - Accent2 3 17 10" xfId="1630" xr:uid="{00000000-0005-0000-0000-0000FC050000}"/>
    <cellStyle name="20% - Accent2 3 17 11" xfId="1631" xr:uid="{00000000-0005-0000-0000-0000FD050000}"/>
    <cellStyle name="20% - Accent2 3 17 12" xfId="1632" xr:uid="{00000000-0005-0000-0000-0000FE050000}"/>
    <cellStyle name="20% - Accent2 3 17 13" xfId="1633" xr:uid="{00000000-0005-0000-0000-0000FF050000}"/>
    <cellStyle name="20% - Accent2 3 17 14" xfId="1634" xr:uid="{00000000-0005-0000-0000-000000060000}"/>
    <cellStyle name="20% - Accent2 3 17 15" xfId="1635" xr:uid="{00000000-0005-0000-0000-000001060000}"/>
    <cellStyle name="20% - Accent2 3 17 2" xfId="1636" xr:uid="{00000000-0005-0000-0000-000002060000}"/>
    <cellStyle name="20% - Accent2 3 17 3" xfId="1637" xr:uid="{00000000-0005-0000-0000-000003060000}"/>
    <cellStyle name="20% - Accent2 3 17 4" xfId="1638" xr:uid="{00000000-0005-0000-0000-000004060000}"/>
    <cellStyle name="20% - Accent2 3 17 5" xfId="1639" xr:uid="{00000000-0005-0000-0000-000005060000}"/>
    <cellStyle name="20% - Accent2 3 17 6" xfId="1640" xr:uid="{00000000-0005-0000-0000-000006060000}"/>
    <cellStyle name="20% - Accent2 3 17 7" xfId="1641" xr:uid="{00000000-0005-0000-0000-000007060000}"/>
    <cellStyle name="20% - Accent2 3 17 8" xfId="1642" xr:uid="{00000000-0005-0000-0000-000008060000}"/>
    <cellStyle name="20% - Accent2 3 17 9" xfId="1643" xr:uid="{00000000-0005-0000-0000-000009060000}"/>
    <cellStyle name="20% - Accent2 3 18" xfId="1644" xr:uid="{00000000-0005-0000-0000-00000A060000}"/>
    <cellStyle name="20% - Accent2 3 18 10" xfId="1645" xr:uid="{00000000-0005-0000-0000-00000B060000}"/>
    <cellStyle name="20% - Accent2 3 18 11" xfId="1646" xr:uid="{00000000-0005-0000-0000-00000C060000}"/>
    <cellStyle name="20% - Accent2 3 18 12" xfId="1647" xr:uid="{00000000-0005-0000-0000-00000D060000}"/>
    <cellStyle name="20% - Accent2 3 18 13" xfId="1648" xr:uid="{00000000-0005-0000-0000-00000E060000}"/>
    <cellStyle name="20% - Accent2 3 18 14" xfId="1649" xr:uid="{00000000-0005-0000-0000-00000F060000}"/>
    <cellStyle name="20% - Accent2 3 18 15" xfId="1650" xr:uid="{00000000-0005-0000-0000-000010060000}"/>
    <cellStyle name="20% - Accent2 3 18 2" xfId="1651" xr:uid="{00000000-0005-0000-0000-000011060000}"/>
    <cellStyle name="20% - Accent2 3 18 3" xfId="1652" xr:uid="{00000000-0005-0000-0000-000012060000}"/>
    <cellStyle name="20% - Accent2 3 18 4" xfId="1653" xr:uid="{00000000-0005-0000-0000-000013060000}"/>
    <cellStyle name="20% - Accent2 3 18 5" xfId="1654" xr:uid="{00000000-0005-0000-0000-000014060000}"/>
    <cellStyle name="20% - Accent2 3 18 6" xfId="1655" xr:uid="{00000000-0005-0000-0000-000015060000}"/>
    <cellStyle name="20% - Accent2 3 18 7" xfId="1656" xr:uid="{00000000-0005-0000-0000-000016060000}"/>
    <cellStyle name="20% - Accent2 3 18 8" xfId="1657" xr:uid="{00000000-0005-0000-0000-000017060000}"/>
    <cellStyle name="20% - Accent2 3 18 9" xfId="1658" xr:uid="{00000000-0005-0000-0000-000018060000}"/>
    <cellStyle name="20% - Accent2 3 19" xfId="1659" xr:uid="{00000000-0005-0000-0000-000019060000}"/>
    <cellStyle name="20% - Accent2 3 19 10" xfId="1660" xr:uid="{00000000-0005-0000-0000-00001A060000}"/>
    <cellStyle name="20% - Accent2 3 19 11" xfId="1661" xr:uid="{00000000-0005-0000-0000-00001B060000}"/>
    <cellStyle name="20% - Accent2 3 19 12" xfId="1662" xr:uid="{00000000-0005-0000-0000-00001C060000}"/>
    <cellStyle name="20% - Accent2 3 19 13" xfId="1663" xr:uid="{00000000-0005-0000-0000-00001D060000}"/>
    <cellStyle name="20% - Accent2 3 19 14" xfId="1664" xr:uid="{00000000-0005-0000-0000-00001E060000}"/>
    <cellStyle name="20% - Accent2 3 19 15" xfId="1665" xr:uid="{00000000-0005-0000-0000-00001F060000}"/>
    <cellStyle name="20% - Accent2 3 19 2" xfId="1666" xr:uid="{00000000-0005-0000-0000-000020060000}"/>
    <cellStyle name="20% - Accent2 3 19 3" xfId="1667" xr:uid="{00000000-0005-0000-0000-000021060000}"/>
    <cellStyle name="20% - Accent2 3 19 4" xfId="1668" xr:uid="{00000000-0005-0000-0000-000022060000}"/>
    <cellStyle name="20% - Accent2 3 19 5" xfId="1669" xr:uid="{00000000-0005-0000-0000-000023060000}"/>
    <cellStyle name="20% - Accent2 3 19 6" xfId="1670" xr:uid="{00000000-0005-0000-0000-000024060000}"/>
    <cellStyle name="20% - Accent2 3 19 7" xfId="1671" xr:uid="{00000000-0005-0000-0000-000025060000}"/>
    <cellStyle name="20% - Accent2 3 19 8" xfId="1672" xr:uid="{00000000-0005-0000-0000-000026060000}"/>
    <cellStyle name="20% - Accent2 3 19 9" xfId="1673" xr:uid="{00000000-0005-0000-0000-000027060000}"/>
    <cellStyle name="20% - Accent2 3 2" xfId="1674" xr:uid="{00000000-0005-0000-0000-000028060000}"/>
    <cellStyle name="20% - Accent2 3 2 10" xfId="1675" xr:uid="{00000000-0005-0000-0000-000029060000}"/>
    <cellStyle name="20% - Accent2 3 2 11" xfId="1676" xr:uid="{00000000-0005-0000-0000-00002A060000}"/>
    <cellStyle name="20% - Accent2 3 2 12" xfId="1677" xr:uid="{00000000-0005-0000-0000-00002B060000}"/>
    <cellStyle name="20% - Accent2 3 2 13" xfId="1678" xr:uid="{00000000-0005-0000-0000-00002C060000}"/>
    <cellStyle name="20% - Accent2 3 2 14" xfId="1679" xr:uid="{00000000-0005-0000-0000-00002D060000}"/>
    <cellStyle name="20% - Accent2 3 2 15" xfId="1680" xr:uid="{00000000-0005-0000-0000-00002E060000}"/>
    <cellStyle name="20% - Accent2 3 2 16" xfId="1681" xr:uid="{00000000-0005-0000-0000-00002F060000}"/>
    <cellStyle name="20% - Accent2 3 2 17" xfId="1682" xr:uid="{00000000-0005-0000-0000-000030060000}"/>
    <cellStyle name="20% - Accent2 3 2 18" xfId="1683" xr:uid="{00000000-0005-0000-0000-000031060000}"/>
    <cellStyle name="20% - Accent2 3 2 19" xfId="1684" xr:uid="{00000000-0005-0000-0000-000032060000}"/>
    <cellStyle name="20% - Accent2 3 2 2" xfId="1685" xr:uid="{00000000-0005-0000-0000-000033060000}"/>
    <cellStyle name="20% - Accent2 3 2 20" xfId="1686" xr:uid="{00000000-0005-0000-0000-000034060000}"/>
    <cellStyle name="20% - Accent2 3 2 21" xfId="1687" xr:uid="{00000000-0005-0000-0000-000035060000}"/>
    <cellStyle name="20% - Accent2 3 2 22" xfId="1688" xr:uid="{00000000-0005-0000-0000-000036060000}"/>
    <cellStyle name="20% - Accent2 3 2 23" xfId="1689" xr:uid="{00000000-0005-0000-0000-000037060000}"/>
    <cellStyle name="20% - Accent2 3 2 24" xfId="1690" xr:uid="{00000000-0005-0000-0000-000038060000}"/>
    <cellStyle name="20% - Accent2 3 2 25" xfId="1691" xr:uid="{00000000-0005-0000-0000-000039060000}"/>
    <cellStyle name="20% - Accent2 3 2 26" xfId="1692" xr:uid="{00000000-0005-0000-0000-00003A060000}"/>
    <cellStyle name="20% - Accent2 3 2 27" xfId="1693" xr:uid="{00000000-0005-0000-0000-00003B060000}"/>
    <cellStyle name="20% - Accent2 3 2 28" xfId="1694" xr:uid="{00000000-0005-0000-0000-00003C060000}"/>
    <cellStyle name="20% - Accent2 3 2 29" xfId="1695" xr:uid="{00000000-0005-0000-0000-00003D060000}"/>
    <cellStyle name="20% - Accent2 3 2 3" xfId="1696" xr:uid="{00000000-0005-0000-0000-00003E060000}"/>
    <cellStyle name="20% - Accent2 3 2 30" xfId="1697" xr:uid="{00000000-0005-0000-0000-00003F060000}"/>
    <cellStyle name="20% - Accent2 3 2 31" xfId="1698" xr:uid="{00000000-0005-0000-0000-000040060000}"/>
    <cellStyle name="20% - Accent2 3 2 32" xfId="1699" xr:uid="{00000000-0005-0000-0000-000041060000}"/>
    <cellStyle name="20% - Accent2 3 2 33" xfId="1700" xr:uid="{00000000-0005-0000-0000-000042060000}"/>
    <cellStyle name="20% - Accent2 3 2 34" xfId="1701" xr:uid="{00000000-0005-0000-0000-000043060000}"/>
    <cellStyle name="20% - Accent2 3 2 35" xfId="1702" xr:uid="{00000000-0005-0000-0000-000044060000}"/>
    <cellStyle name="20% - Accent2 3 2 36" xfId="1703" xr:uid="{00000000-0005-0000-0000-000045060000}"/>
    <cellStyle name="20% - Accent2 3 2 37" xfId="1704" xr:uid="{00000000-0005-0000-0000-000046060000}"/>
    <cellStyle name="20% - Accent2 3 2 38" xfId="1705" xr:uid="{00000000-0005-0000-0000-000047060000}"/>
    <cellStyle name="20% - Accent2 3 2 39" xfId="1706" xr:uid="{00000000-0005-0000-0000-000048060000}"/>
    <cellStyle name="20% - Accent2 3 2 4" xfId="1707" xr:uid="{00000000-0005-0000-0000-000049060000}"/>
    <cellStyle name="20% - Accent2 3 2 40" xfId="1708" xr:uid="{00000000-0005-0000-0000-00004A060000}"/>
    <cellStyle name="20% - Accent2 3 2 41" xfId="1709" xr:uid="{00000000-0005-0000-0000-00004B060000}"/>
    <cellStyle name="20% - Accent2 3 2 42" xfId="1710" xr:uid="{00000000-0005-0000-0000-00004C060000}"/>
    <cellStyle name="20% - Accent2 3 2 43" xfId="1711" xr:uid="{00000000-0005-0000-0000-00004D060000}"/>
    <cellStyle name="20% - Accent2 3 2 44" xfId="1712" xr:uid="{00000000-0005-0000-0000-00004E060000}"/>
    <cellStyle name="20% - Accent2 3 2 45" xfId="1713" xr:uid="{00000000-0005-0000-0000-00004F060000}"/>
    <cellStyle name="20% - Accent2 3 2 46" xfId="1714" xr:uid="{00000000-0005-0000-0000-000050060000}"/>
    <cellStyle name="20% - Accent2 3 2 47" xfId="1715" xr:uid="{00000000-0005-0000-0000-000051060000}"/>
    <cellStyle name="20% - Accent2 3 2 48" xfId="1716" xr:uid="{00000000-0005-0000-0000-000052060000}"/>
    <cellStyle name="20% - Accent2 3 2 49" xfId="1717" xr:uid="{00000000-0005-0000-0000-000053060000}"/>
    <cellStyle name="20% - Accent2 3 2 5" xfId="1718" xr:uid="{00000000-0005-0000-0000-000054060000}"/>
    <cellStyle name="20% - Accent2 3 2 50" xfId="1719" xr:uid="{00000000-0005-0000-0000-000055060000}"/>
    <cellStyle name="20% - Accent2 3 2 51" xfId="1720" xr:uid="{00000000-0005-0000-0000-000056060000}"/>
    <cellStyle name="20% - Accent2 3 2 52" xfId="1721" xr:uid="{00000000-0005-0000-0000-000057060000}"/>
    <cellStyle name="20% - Accent2 3 2 53" xfId="1722" xr:uid="{00000000-0005-0000-0000-000058060000}"/>
    <cellStyle name="20% - Accent2 3 2 54" xfId="1723" xr:uid="{00000000-0005-0000-0000-000059060000}"/>
    <cellStyle name="20% - Accent2 3 2 6" xfId="1724" xr:uid="{00000000-0005-0000-0000-00005A060000}"/>
    <cellStyle name="20% - Accent2 3 2 7" xfId="1725" xr:uid="{00000000-0005-0000-0000-00005B060000}"/>
    <cellStyle name="20% - Accent2 3 2 8" xfId="1726" xr:uid="{00000000-0005-0000-0000-00005C060000}"/>
    <cellStyle name="20% - Accent2 3 2 9" xfId="1727" xr:uid="{00000000-0005-0000-0000-00005D060000}"/>
    <cellStyle name="20% - Accent2 3 20" xfId="1728" xr:uid="{00000000-0005-0000-0000-00005E060000}"/>
    <cellStyle name="20% - Accent2 3 20 10" xfId="1729" xr:uid="{00000000-0005-0000-0000-00005F060000}"/>
    <cellStyle name="20% - Accent2 3 20 11" xfId="1730" xr:uid="{00000000-0005-0000-0000-000060060000}"/>
    <cellStyle name="20% - Accent2 3 20 12" xfId="1731" xr:uid="{00000000-0005-0000-0000-000061060000}"/>
    <cellStyle name="20% - Accent2 3 20 13" xfId="1732" xr:uid="{00000000-0005-0000-0000-000062060000}"/>
    <cellStyle name="20% - Accent2 3 20 14" xfId="1733" xr:uid="{00000000-0005-0000-0000-000063060000}"/>
    <cellStyle name="20% - Accent2 3 20 15" xfId="1734" xr:uid="{00000000-0005-0000-0000-000064060000}"/>
    <cellStyle name="20% - Accent2 3 20 2" xfId="1735" xr:uid="{00000000-0005-0000-0000-000065060000}"/>
    <cellStyle name="20% - Accent2 3 20 3" xfId="1736" xr:uid="{00000000-0005-0000-0000-000066060000}"/>
    <cellStyle name="20% - Accent2 3 20 4" xfId="1737" xr:uid="{00000000-0005-0000-0000-000067060000}"/>
    <cellStyle name="20% - Accent2 3 20 5" xfId="1738" xr:uid="{00000000-0005-0000-0000-000068060000}"/>
    <cellStyle name="20% - Accent2 3 20 6" xfId="1739" xr:uid="{00000000-0005-0000-0000-000069060000}"/>
    <cellStyle name="20% - Accent2 3 20 7" xfId="1740" xr:uid="{00000000-0005-0000-0000-00006A060000}"/>
    <cellStyle name="20% - Accent2 3 20 8" xfId="1741" xr:uid="{00000000-0005-0000-0000-00006B060000}"/>
    <cellStyle name="20% - Accent2 3 20 9" xfId="1742" xr:uid="{00000000-0005-0000-0000-00006C060000}"/>
    <cellStyle name="20% - Accent2 3 21" xfId="1743" xr:uid="{00000000-0005-0000-0000-00006D060000}"/>
    <cellStyle name="20% - Accent2 3 21 10" xfId="1744" xr:uid="{00000000-0005-0000-0000-00006E060000}"/>
    <cellStyle name="20% - Accent2 3 21 11" xfId="1745" xr:uid="{00000000-0005-0000-0000-00006F060000}"/>
    <cellStyle name="20% - Accent2 3 21 12" xfId="1746" xr:uid="{00000000-0005-0000-0000-000070060000}"/>
    <cellStyle name="20% - Accent2 3 21 13" xfId="1747" xr:uid="{00000000-0005-0000-0000-000071060000}"/>
    <cellStyle name="20% - Accent2 3 21 14" xfId="1748" xr:uid="{00000000-0005-0000-0000-000072060000}"/>
    <cellStyle name="20% - Accent2 3 21 15" xfId="1749" xr:uid="{00000000-0005-0000-0000-000073060000}"/>
    <cellStyle name="20% - Accent2 3 21 2" xfId="1750" xr:uid="{00000000-0005-0000-0000-000074060000}"/>
    <cellStyle name="20% - Accent2 3 21 3" xfId="1751" xr:uid="{00000000-0005-0000-0000-000075060000}"/>
    <cellStyle name="20% - Accent2 3 21 4" xfId="1752" xr:uid="{00000000-0005-0000-0000-000076060000}"/>
    <cellStyle name="20% - Accent2 3 21 5" xfId="1753" xr:uid="{00000000-0005-0000-0000-000077060000}"/>
    <cellStyle name="20% - Accent2 3 21 6" xfId="1754" xr:uid="{00000000-0005-0000-0000-000078060000}"/>
    <cellStyle name="20% - Accent2 3 21 7" xfId="1755" xr:uid="{00000000-0005-0000-0000-000079060000}"/>
    <cellStyle name="20% - Accent2 3 21 8" xfId="1756" xr:uid="{00000000-0005-0000-0000-00007A060000}"/>
    <cellStyle name="20% - Accent2 3 21 9" xfId="1757" xr:uid="{00000000-0005-0000-0000-00007B060000}"/>
    <cellStyle name="20% - Accent2 3 22" xfId="1758" xr:uid="{00000000-0005-0000-0000-00007C060000}"/>
    <cellStyle name="20% - Accent2 3 22 10" xfId="1759" xr:uid="{00000000-0005-0000-0000-00007D060000}"/>
    <cellStyle name="20% - Accent2 3 22 11" xfId="1760" xr:uid="{00000000-0005-0000-0000-00007E060000}"/>
    <cellStyle name="20% - Accent2 3 22 12" xfId="1761" xr:uid="{00000000-0005-0000-0000-00007F060000}"/>
    <cellStyle name="20% - Accent2 3 22 13" xfId="1762" xr:uid="{00000000-0005-0000-0000-000080060000}"/>
    <cellStyle name="20% - Accent2 3 22 14" xfId="1763" xr:uid="{00000000-0005-0000-0000-000081060000}"/>
    <cellStyle name="20% - Accent2 3 22 15" xfId="1764" xr:uid="{00000000-0005-0000-0000-000082060000}"/>
    <cellStyle name="20% - Accent2 3 22 2" xfId="1765" xr:uid="{00000000-0005-0000-0000-000083060000}"/>
    <cellStyle name="20% - Accent2 3 22 3" xfId="1766" xr:uid="{00000000-0005-0000-0000-000084060000}"/>
    <cellStyle name="20% - Accent2 3 22 4" xfId="1767" xr:uid="{00000000-0005-0000-0000-000085060000}"/>
    <cellStyle name="20% - Accent2 3 22 5" xfId="1768" xr:uid="{00000000-0005-0000-0000-000086060000}"/>
    <cellStyle name="20% - Accent2 3 22 6" xfId="1769" xr:uid="{00000000-0005-0000-0000-000087060000}"/>
    <cellStyle name="20% - Accent2 3 22 7" xfId="1770" xr:uid="{00000000-0005-0000-0000-000088060000}"/>
    <cellStyle name="20% - Accent2 3 22 8" xfId="1771" xr:uid="{00000000-0005-0000-0000-000089060000}"/>
    <cellStyle name="20% - Accent2 3 22 9" xfId="1772" xr:uid="{00000000-0005-0000-0000-00008A060000}"/>
    <cellStyle name="20% - Accent2 3 23" xfId="1773" xr:uid="{00000000-0005-0000-0000-00008B060000}"/>
    <cellStyle name="20% - Accent2 3 23 10" xfId="1774" xr:uid="{00000000-0005-0000-0000-00008C060000}"/>
    <cellStyle name="20% - Accent2 3 23 11" xfId="1775" xr:uid="{00000000-0005-0000-0000-00008D060000}"/>
    <cellStyle name="20% - Accent2 3 23 12" xfId="1776" xr:uid="{00000000-0005-0000-0000-00008E060000}"/>
    <cellStyle name="20% - Accent2 3 23 13" xfId="1777" xr:uid="{00000000-0005-0000-0000-00008F060000}"/>
    <cellStyle name="20% - Accent2 3 23 14" xfId="1778" xr:uid="{00000000-0005-0000-0000-000090060000}"/>
    <cellStyle name="20% - Accent2 3 23 15" xfId="1779" xr:uid="{00000000-0005-0000-0000-000091060000}"/>
    <cellStyle name="20% - Accent2 3 23 2" xfId="1780" xr:uid="{00000000-0005-0000-0000-000092060000}"/>
    <cellStyle name="20% - Accent2 3 23 3" xfId="1781" xr:uid="{00000000-0005-0000-0000-000093060000}"/>
    <cellStyle name="20% - Accent2 3 23 4" xfId="1782" xr:uid="{00000000-0005-0000-0000-000094060000}"/>
    <cellStyle name="20% - Accent2 3 23 5" xfId="1783" xr:uid="{00000000-0005-0000-0000-000095060000}"/>
    <cellStyle name="20% - Accent2 3 23 6" xfId="1784" xr:uid="{00000000-0005-0000-0000-000096060000}"/>
    <cellStyle name="20% - Accent2 3 23 7" xfId="1785" xr:uid="{00000000-0005-0000-0000-000097060000}"/>
    <cellStyle name="20% - Accent2 3 23 8" xfId="1786" xr:uid="{00000000-0005-0000-0000-000098060000}"/>
    <cellStyle name="20% - Accent2 3 23 9" xfId="1787" xr:uid="{00000000-0005-0000-0000-000099060000}"/>
    <cellStyle name="20% - Accent2 3 24" xfId="1788" xr:uid="{00000000-0005-0000-0000-00009A060000}"/>
    <cellStyle name="20% - Accent2 3 24 10" xfId="1789" xr:uid="{00000000-0005-0000-0000-00009B060000}"/>
    <cellStyle name="20% - Accent2 3 24 11" xfId="1790" xr:uid="{00000000-0005-0000-0000-00009C060000}"/>
    <cellStyle name="20% - Accent2 3 24 12" xfId="1791" xr:uid="{00000000-0005-0000-0000-00009D060000}"/>
    <cellStyle name="20% - Accent2 3 24 13" xfId="1792" xr:uid="{00000000-0005-0000-0000-00009E060000}"/>
    <cellStyle name="20% - Accent2 3 24 14" xfId="1793" xr:uid="{00000000-0005-0000-0000-00009F060000}"/>
    <cellStyle name="20% - Accent2 3 24 15" xfId="1794" xr:uid="{00000000-0005-0000-0000-0000A0060000}"/>
    <cellStyle name="20% - Accent2 3 24 2" xfId="1795" xr:uid="{00000000-0005-0000-0000-0000A1060000}"/>
    <cellStyle name="20% - Accent2 3 24 3" xfId="1796" xr:uid="{00000000-0005-0000-0000-0000A2060000}"/>
    <cellStyle name="20% - Accent2 3 24 4" xfId="1797" xr:uid="{00000000-0005-0000-0000-0000A3060000}"/>
    <cellStyle name="20% - Accent2 3 24 5" xfId="1798" xr:uid="{00000000-0005-0000-0000-0000A4060000}"/>
    <cellStyle name="20% - Accent2 3 24 6" xfId="1799" xr:uid="{00000000-0005-0000-0000-0000A5060000}"/>
    <cellStyle name="20% - Accent2 3 24 7" xfId="1800" xr:uid="{00000000-0005-0000-0000-0000A6060000}"/>
    <cellStyle name="20% - Accent2 3 24 8" xfId="1801" xr:uid="{00000000-0005-0000-0000-0000A7060000}"/>
    <cellStyle name="20% - Accent2 3 24 9" xfId="1802" xr:uid="{00000000-0005-0000-0000-0000A8060000}"/>
    <cellStyle name="20% - Accent2 3 25" xfId="1803" xr:uid="{00000000-0005-0000-0000-0000A9060000}"/>
    <cellStyle name="20% - Accent2 3 25 10" xfId="1804" xr:uid="{00000000-0005-0000-0000-0000AA060000}"/>
    <cellStyle name="20% - Accent2 3 25 11" xfId="1805" xr:uid="{00000000-0005-0000-0000-0000AB060000}"/>
    <cellStyle name="20% - Accent2 3 25 12" xfId="1806" xr:uid="{00000000-0005-0000-0000-0000AC060000}"/>
    <cellStyle name="20% - Accent2 3 25 13" xfId="1807" xr:uid="{00000000-0005-0000-0000-0000AD060000}"/>
    <cellStyle name="20% - Accent2 3 25 14" xfId="1808" xr:uid="{00000000-0005-0000-0000-0000AE060000}"/>
    <cellStyle name="20% - Accent2 3 25 15" xfId="1809" xr:uid="{00000000-0005-0000-0000-0000AF060000}"/>
    <cellStyle name="20% - Accent2 3 25 2" xfId="1810" xr:uid="{00000000-0005-0000-0000-0000B0060000}"/>
    <cellStyle name="20% - Accent2 3 25 3" xfId="1811" xr:uid="{00000000-0005-0000-0000-0000B1060000}"/>
    <cellStyle name="20% - Accent2 3 25 4" xfId="1812" xr:uid="{00000000-0005-0000-0000-0000B2060000}"/>
    <cellStyle name="20% - Accent2 3 25 5" xfId="1813" xr:uid="{00000000-0005-0000-0000-0000B3060000}"/>
    <cellStyle name="20% - Accent2 3 25 6" xfId="1814" xr:uid="{00000000-0005-0000-0000-0000B4060000}"/>
    <cellStyle name="20% - Accent2 3 25 7" xfId="1815" xr:uid="{00000000-0005-0000-0000-0000B5060000}"/>
    <cellStyle name="20% - Accent2 3 25 8" xfId="1816" xr:uid="{00000000-0005-0000-0000-0000B6060000}"/>
    <cellStyle name="20% - Accent2 3 25 9" xfId="1817" xr:uid="{00000000-0005-0000-0000-0000B7060000}"/>
    <cellStyle name="20% - Accent2 3 26" xfId="1818" xr:uid="{00000000-0005-0000-0000-0000B8060000}"/>
    <cellStyle name="20% - Accent2 3 26 10" xfId="1819" xr:uid="{00000000-0005-0000-0000-0000B9060000}"/>
    <cellStyle name="20% - Accent2 3 26 11" xfId="1820" xr:uid="{00000000-0005-0000-0000-0000BA060000}"/>
    <cellStyle name="20% - Accent2 3 26 12" xfId="1821" xr:uid="{00000000-0005-0000-0000-0000BB060000}"/>
    <cellStyle name="20% - Accent2 3 26 13" xfId="1822" xr:uid="{00000000-0005-0000-0000-0000BC060000}"/>
    <cellStyle name="20% - Accent2 3 26 14" xfId="1823" xr:uid="{00000000-0005-0000-0000-0000BD060000}"/>
    <cellStyle name="20% - Accent2 3 26 15" xfId="1824" xr:uid="{00000000-0005-0000-0000-0000BE060000}"/>
    <cellStyle name="20% - Accent2 3 26 2" xfId="1825" xr:uid="{00000000-0005-0000-0000-0000BF060000}"/>
    <cellStyle name="20% - Accent2 3 26 3" xfId="1826" xr:uid="{00000000-0005-0000-0000-0000C0060000}"/>
    <cellStyle name="20% - Accent2 3 26 4" xfId="1827" xr:uid="{00000000-0005-0000-0000-0000C1060000}"/>
    <cellStyle name="20% - Accent2 3 26 5" xfId="1828" xr:uid="{00000000-0005-0000-0000-0000C2060000}"/>
    <cellStyle name="20% - Accent2 3 26 6" xfId="1829" xr:uid="{00000000-0005-0000-0000-0000C3060000}"/>
    <cellStyle name="20% - Accent2 3 26 7" xfId="1830" xr:uid="{00000000-0005-0000-0000-0000C4060000}"/>
    <cellStyle name="20% - Accent2 3 26 8" xfId="1831" xr:uid="{00000000-0005-0000-0000-0000C5060000}"/>
    <cellStyle name="20% - Accent2 3 26 9" xfId="1832" xr:uid="{00000000-0005-0000-0000-0000C6060000}"/>
    <cellStyle name="20% - Accent2 3 27" xfId="1833" xr:uid="{00000000-0005-0000-0000-0000C7060000}"/>
    <cellStyle name="20% - Accent2 3 27 10" xfId="1834" xr:uid="{00000000-0005-0000-0000-0000C8060000}"/>
    <cellStyle name="20% - Accent2 3 27 11" xfId="1835" xr:uid="{00000000-0005-0000-0000-0000C9060000}"/>
    <cellStyle name="20% - Accent2 3 27 12" xfId="1836" xr:uid="{00000000-0005-0000-0000-0000CA060000}"/>
    <cellStyle name="20% - Accent2 3 27 13" xfId="1837" xr:uid="{00000000-0005-0000-0000-0000CB060000}"/>
    <cellStyle name="20% - Accent2 3 27 14" xfId="1838" xr:uid="{00000000-0005-0000-0000-0000CC060000}"/>
    <cellStyle name="20% - Accent2 3 27 15" xfId="1839" xr:uid="{00000000-0005-0000-0000-0000CD060000}"/>
    <cellStyle name="20% - Accent2 3 27 2" xfId="1840" xr:uid="{00000000-0005-0000-0000-0000CE060000}"/>
    <cellStyle name="20% - Accent2 3 27 3" xfId="1841" xr:uid="{00000000-0005-0000-0000-0000CF060000}"/>
    <cellStyle name="20% - Accent2 3 27 4" xfId="1842" xr:uid="{00000000-0005-0000-0000-0000D0060000}"/>
    <cellStyle name="20% - Accent2 3 27 5" xfId="1843" xr:uid="{00000000-0005-0000-0000-0000D1060000}"/>
    <cellStyle name="20% - Accent2 3 27 6" xfId="1844" xr:uid="{00000000-0005-0000-0000-0000D2060000}"/>
    <cellStyle name="20% - Accent2 3 27 7" xfId="1845" xr:uid="{00000000-0005-0000-0000-0000D3060000}"/>
    <cellStyle name="20% - Accent2 3 27 8" xfId="1846" xr:uid="{00000000-0005-0000-0000-0000D4060000}"/>
    <cellStyle name="20% - Accent2 3 27 9" xfId="1847" xr:uid="{00000000-0005-0000-0000-0000D5060000}"/>
    <cellStyle name="20% - Accent2 3 28" xfId="1848" xr:uid="{00000000-0005-0000-0000-0000D6060000}"/>
    <cellStyle name="20% - Accent2 3 28 10" xfId="1849" xr:uid="{00000000-0005-0000-0000-0000D7060000}"/>
    <cellStyle name="20% - Accent2 3 28 11" xfId="1850" xr:uid="{00000000-0005-0000-0000-0000D8060000}"/>
    <cellStyle name="20% - Accent2 3 28 12" xfId="1851" xr:uid="{00000000-0005-0000-0000-0000D9060000}"/>
    <cellStyle name="20% - Accent2 3 28 13" xfId="1852" xr:uid="{00000000-0005-0000-0000-0000DA060000}"/>
    <cellStyle name="20% - Accent2 3 28 14" xfId="1853" xr:uid="{00000000-0005-0000-0000-0000DB060000}"/>
    <cellStyle name="20% - Accent2 3 28 15" xfId="1854" xr:uid="{00000000-0005-0000-0000-0000DC060000}"/>
    <cellStyle name="20% - Accent2 3 28 2" xfId="1855" xr:uid="{00000000-0005-0000-0000-0000DD060000}"/>
    <cellStyle name="20% - Accent2 3 28 3" xfId="1856" xr:uid="{00000000-0005-0000-0000-0000DE060000}"/>
    <cellStyle name="20% - Accent2 3 28 4" xfId="1857" xr:uid="{00000000-0005-0000-0000-0000DF060000}"/>
    <cellStyle name="20% - Accent2 3 28 5" xfId="1858" xr:uid="{00000000-0005-0000-0000-0000E0060000}"/>
    <cellStyle name="20% - Accent2 3 28 6" xfId="1859" xr:uid="{00000000-0005-0000-0000-0000E1060000}"/>
    <cellStyle name="20% - Accent2 3 28 7" xfId="1860" xr:uid="{00000000-0005-0000-0000-0000E2060000}"/>
    <cellStyle name="20% - Accent2 3 28 8" xfId="1861" xr:uid="{00000000-0005-0000-0000-0000E3060000}"/>
    <cellStyle name="20% - Accent2 3 28 9" xfId="1862" xr:uid="{00000000-0005-0000-0000-0000E4060000}"/>
    <cellStyle name="20% - Accent2 3 29" xfId="1863" xr:uid="{00000000-0005-0000-0000-0000E5060000}"/>
    <cellStyle name="20% - Accent2 3 29 10" xfId="1864" xr:uid="{00000000-0005-0000-0000-0000E6060000}"/>
    <cellStyle name="20% - Accent2 3 29 11" xfId="1865" xr:uid="{00000000-0005-0000-0000-0000E7060000}"/>
    <cellStyle name="20% - Accent2 3 29 12" xfId="1866" xr:uid="{00000000-0005-0000-0000-0000E8060000}"/>
    <cellStyle name="20% - Accent2 3 29 13" xfId="1867" xr:uid="{00000000-0005-0000-0000-0000E9060000}"/>
    <cellStyle name="20% - Accent2 3 29 14" xfId="1868" xr:uid="{00000000-0005-0000-0000-0000EA060000}"/>
    <cellStyle name="20% - Accent2 3 29 15" xfId="1869" xr:uid="{00000000-0005-0000-0000-0000EB060000}"/>
    <cellStyle name="20% - Accent2 3 29 2" xfId="1870" xr:uid="{00000000-0005-0000-0000-0000EC060000}"/>
    <cellStyle name="20% - Accent2 3 29 3" xfId="1871" xr:uid="{00000000-0005-0000-0000-0000ED060000}"/>
    <cellStyle name="20% - Accent2 3 29 4" xfId="1872" xr:uid="{00000000-0005-0000-0000-0000EE060000}"/>
    <cellStyle name="20% - Accent2 3 29 5" xfId="1873" xr:uid="{00000000-0005-0000-0000-0000EF060000}"/>
    <cellStyle name="20% - Accent2 3 29 6" xfId="1874" xr:uid="{00000000-0005-0000-0000-0000F0060000}"/>
    <cellStyle name="20% - Accent2 3 29 7" xfId="1875" xr:uid="{00000000-0005-0000-0000-0000F1060000}"/>
    <cellStyle name="20% - Accent2 3 29 8" xfId="1876" xr:uid="{00000000-0005-0000-0000-0000F2060000}"/>
    <cellStyle name="20% - Accent2 3 29 9" xfId="1877" xr:uid="{00000000-0005-0000-0000-0000F3060000}"/>
    <cellStyle name="20% - Accent2 3 3" xfId="1878" xr:uid="{00000000-0005-0000-0000-0000F4060000}"/>
    <cellStyle name="20% - Accent2 3 3 10" xfId="1879" xr:uid="{00000000-0005-0000-0000-0000F5060000}"/>
    <cellStyle name="20% - Accent2 3 3 11" xfId="1880" xr:uid="{00000000-0005-0000-0000-0000F6060000}"/>
    <cellStyle name="20% - Accent2 3 3 12" xfId="1881" xr:uid="{00000000-0005-0000-0000-0000F7060000}"/>
    <cellStyle name="20% - Accent2 3 3 13" xfId="1882" xr:uid="{00000000-0005-0000-0000-0000F8060000}"/>
    <cellStyle name="20% - Accent2 3 3 14" xfId="1883" xr:uid="{00000000-0005-0000-0000-0000F9060000}"/>
    <cellStyle name="20% - Accent2 3 3 15" xfId="1884" xr:uid="{00000000-0005-0000-0000-0000FA060000}"/>
    <cellStyle name="20% - Accent2 3 3 16" xfId="1885" xr:uid="{00000000-0005-0000-0000-0000FB060000}"/>
    <cellStyle name="20% - Accent2 3 3 2" xfId="1886" xr:uid="{00000000-0005-0000-0000-0000FC060000}"/>
    <cellStyle name="20% - Accent2 3 3 3" xfId="1887" xr:uid="{00000000-0005-0000-0000-0000FD060000}"/>
    <cellStyle name="20% - Accent2 3 3 4" xfId="1888" xr:uid="{00000000-0005-0000-0000-0000FE060000}"/>
    <cellStyle name="20% - Accent2 3 3 5" xfId="1889" xr:uid="{00000000-0005-0000-0000-0000FF060000}"/>
    <cellStyle name="20% - Accent2 3 3 6" xfId="1890" xr:uid="{00000000-0005-0000-0000-000000070000}"/>
    <cellStyle name="20% - Accent2 3 3 7" xfId="1891" xr:uid="{00000000-0005-0000-0000-000001070000}"/>
    <cellStyle name="20% - Accent2 3 3 8" xfId="1892" xr:uid="{00000000-0005-0000-0000-000002070000}"/>
    <cellStyle name="20% - Accent2 3 3 9" xfId="1893" xr:uid="{00000000-0005-0000-0000-000003070000}"/>
    <cellStyle name="20% - Accent2 3 30" xfId="1894" xr:uid="{00000000-0005-0000-0000-000004070000}"/>
    <cellStyle name="20% - Accent2 3 30 10" xfId="1895" xr:uid="{00000000-0005-0000-0000-000005070000}"/>
    <cellStyle name="20% - Accent2 3 30 11" xfId="1896" xr:uid="{00000000-0005-0000-0000-000006070000}"/>
    <cellStyle name="20% - Accent2 3 30 12" xfId="1897" xr:uid="{00000000-0005-0000-0000-000007070000}"/>
    <cellStyle name="20% - Accent2 3 30 13" xfId="1898" xr:uid="{00000000-0005-0000-0000-000008070000}"/>
    <cellStyle name="20% - Accent2 3 30 14" xfId="1899" xr:uid="{00000000-0005-0000-0000-000009070000}"/>
    <cellStyle name="20% - Accent2 3 30 15" xfId="1900" xr:uid="{00000000-0005-0000-0000-00000A070000}"/>
    <cellStyle name="20% - Accent2 3 30 2" xfId="1901" xr:uid="{00000000-0005-0000-0000-00000B070000}"/>
    <cellStyle name="20% - Accent2 3 30 3" xfId="1902" xr:uid="{00000000-0005-0000-0000-00000C070000}"/>
    <cellStyle name="20% - Accent2 3 30 4" xfId="1903" xr:uid="{00000000-0005-0000-0000-00000D070000}"/>
    <cellStyle name="20% - Accent2 3 30 5" xfId="1904" xr:uid="{00000000-0005-0000-0000-00000E070000}"/>
    <cellStyle name="20% - Accent2 3 30 6" xfId="1905" xr:uid="{00000000-0005-0000-0000-00000F070000}"/>
    <cellStyle name="20% - Accent2 3 30 7" xfId="1906" xr:uid="{00000000-0005-0000-0000-000010070000}"/>
    <cellStyle name="20% - Accent2 3 30 8" xfId="1907" xr:uid="{00000000-0005-0000-0000-000011070000}"/>
    <cellStyle name="20% - Accent2 3 30 9" xfId="1908" xr:uid="{00000000-0005-0000-0000-000012070000}"/>
    <cellStyle name="20% - Accent2 3 31" xfId="1909" xr:uid="{00000000-0005-0000-0000-000013070000}"/>
    <cellStyle name="20% - Accent2 3 31 10" xfId="1910" xr:uid="{00000000-0005-0000-0000-000014070000}"/>
    <cellStyle name="20% - Accent2 3 31 11" xfId="1911" xr:uid="{00000000-0005-0000-0000-000015070000}"/>
    <cellStyle name="20% - Accent2 3 31 12" xfId="1912" xr:uid="{00000000-0005-0000-0000-000016070000}"/>
    <cellStyle name="20% - Accent2 3 31 13" xfId="1913" xr:uid="{00000000-0005-0000-0000-000017070000}"/>
    <cellStyle name="20% - Accent2 3 31 14" xfId="1914" xr:uid="{00000000-0005-0000-0000-000018070000}"/>
    <cellStyle name="20% - Accent2 3 31 15" xfId="1915" xr:uid="{00000000-0005-0000-0000-000019070000}"/>
    <cellStyle name="20% - Accent2 3 31 2" xfId="1916" xr:uid="{00000000-0005-0000-0000-00001A070000}"/>
    <cellStyle name="20% - Accent2 3 31 3" xfId="1917" xr:uid="{00000000-0005-0000-0000-00001B070000}"/>
    <cellStyle name="20% - Accent2 3 31 4" xfId="1918" xr:uid="{00000000-0005-0000-0000-00001C070000}"/>
    <cellStyle name="20% - Accent2 3 31 5" xfId="1919" xr:uid="{00000000-0005-0000-0000-00001D070000}"/>
    <cellStyle name="20% - Accent2 3 31 6" xfId="1920" xr:uid="{00000000-0005-0000-0000-00001E070000}"/>
    <cellStyle name="20% - Accent2 3 31 7" xfId="1921" xr:uid="{00000000-0005-0000-0000-00001F070000}"/>
    <cellStyle name="20% - Accent2 3 31 8" xfId="1922" xr:uid="{00000000-0005-0000-0000-000020070000}"/>
    <cellStyle name="20% - Accent2 3 31 9" xfId="1923" xr:uid="{00000000-0005-0000-0000-000021070000}"/>
    <cellStyle name="20% - Accent2 3 32" xfId="1924" xr:uid="{00000000-0005-0000-0000-000022070000}"/>
    <cellStyle name="20% - Accent2 3 32 10" xfId="1925" xr:uid="{00000000-0005-0000-0000-000023070000}"/>
    <cellStyle name="20% - Accent2 3 32 11" xfId="1926" xr:uid="{00000000-0005-0000-0000-000024070000}"/>
    <cellStyle name="20% - Accent2 3 32 12" xfId="1927" xr:uid="{00000000-0005-0000-0000-000025070000}"/>
    <cellStyle name="20% - Accent2 3 32 13" xfId="1928" xr:uid="{00000000-0005-0000-0000-000026070000}"/>
    <cellStyle name="20% - Accent2 3 32 14" xfId="1929" xr:uid="{00000000-0005-0000-0000-000027070000}"/>
    <cellStyle name="20% - Accent2 3 32 15" xfId="1930" xr:uid="{00000000-0005-0000-0000-000028070000}"/>
    <cellStyle name="20% - Accent2 3 32 2" xfId="1931" xr:uid="{00000000-0005-0000-0000-000029070000}"/>
    <cellStyle name="20% - Accent2 3 32 3" xfId="1932" xr:uid="{00000000-0005-0000-0000-00002A070000}"/>
    <cellStyle name="20% - Accent2 3 32 4" xfId="1933" xr:uid="{00000000-0005-0000-0000-00002B070000}"/>
    <cellStyle name="20% - Accent2 3 32 5" xfId="1934" xr:uid="{00000000-0005-0000-0000-00002C070000}"/>
    <cellStyle name="20% - Accent2 3 32 6" xfId="1935" xr:uid="{00000000-0005-0000-0000-00002D070000}"/>
    <cellStyle name="20% - Accent2 3 32 7" xfId="1936" xr:uid="{00000000-0005-0000-0000-00002E070000}"/>
    <cellStyle name="20% - Accent2 3 32 8" xfId="1937" xr:uid="{00000000-0005-0000-0000-00002F070000}"/>
    <cellStyle name="20% - Accent2 3 32 9" xfId="1938" xr:uid="{00000000-0005-0000-0000-000030070000}"/>
    <cellStyle name="20% - Accent2 3 33" xfId="1939" xr:uid="{00000000-0005-0000-0000-000031070000}"/>
    <cellStyle name="20% - Accent2 3 34" xfId="1940" xr:uid="{00000000-0005-0000-0000-000032070000}"/>
    <cellStyle name="20% - Accent2 3 35" xfId="1941" xr:uid="{00000000-0005-0000-0000-000033070000}"/>
    <cellStyle name="20% - Accent2 3 36" xfId="1942" xr:uid="{00000000-0005-0000-0000-000034070000}"/>
    <cellStyle name="20% - Accent2 3 37" xfId="1943" xr:uid="{00000000-0005-0000-0000-000035070000}"/>
    <cellStyle name="20% - Accent2 3 38" xfId="1944" xr:uid="{00000000-0005-0000-0000-000036070000}"/>
    <cellStyle name="20% - Accent2 3 39" xfId="1945" xr:uid="{00000000-0005-0000-0000-000037070000}"/>
    <cellStyle name="20% - Accent2 3 4" xfId="1946" xr:uid="{00000000-0005-0000-0000-000038070000}"/>
    <cellStyle name="20% - Accent2 3 4 10" xfId="1947" xr:uid="{00000000-0005-0000-0000-000039070000}"/>
    <cellStyle name="20% - Accent2 3 4 11" xfId="1948" xr:uid="{00000000-0005-0000-0000-00003A070000}"/>
    <cellStyle name="20% - Accent2 3 4 12" xfId="1949" xr:uid="{00000000-0005-0000-0000-00003B070000}"/>
    <cellStyle name="20% - Accent2 3 4 13" xfId="1950" xr:uid="{00000000-0005-0000-0000-00003C070000}"/>
    <cellStyle name="20% - Accent2 3 4 14" xfId="1951" xr:uid="{00000000-0005-0000-0000-00003D070000}"/>
    <cellStyle name="20% - Accent2 3 4 15" xfId="1952" xr:uid="{00000000-0005-0000-0000-00003E070000}"/>
    <cellStyle name="20% - Accent2 3 4 16" xfId="1953" xr:uid="{00000000-0005-0000-0000-00003F070000}"/>
    <cellStyle name="20% - Accent2 3 4 2" xfId="1954" xr:uid="{00000000-0005-0000-0000-000040070000}"/>
    <cellStyle name="20% - Accent2 3 4 3" xfId="1955" xr:uid="{00000000-0005-0000-0000-000041070000}"/>
    <cellStyle name="20% - Accent2 3 4 4" xfId="1956" xr:uid="{00000000-0005-0000-0000-000042070000}"/>
    <cellStyle name="20% - Accent2 3 4 5" xfId="1957" xr:uid="{00000000-0005-0000-0000-000043070000}"/>
    <cellStyle name="20% - Accent2 3 4 6" xfId="1958" xr:uid="{00000000-0005-0000-0000-000044070000}"/>
    <cellStyle name="20% - Accent2 3 4 7" xfId="1959" xr:uid="{00000000-0005-0000-0000-000045070000}"/>
    <cellStyle name="20% - Accent2 3 4 8" xfId="1960" xr:uid="{00000000-0005-0000-0000-000046070000}"/>
    <cellStyle name="20% - Accent2 3 4 9" xfId="1961" xr:uid="{00000000-0005-0000-0000-000047070000}"/>
    <cellStyle name="20% - Accent2 3 40" xfId="1962" xr:uid="{00000000-0005-0000-0000-000048070000}"/>
    <cellStyle name="20% - Accent2 3 41" xfId="1963" xr:uid="{00000000-0005-0000-0000-000049070000}"/>
    <cellStyle name="20% - Accent2 3 42" xfId="1964" xr:uid="{00000000-0005-0000-0000-00004A070000}"/>
    <cellStyle name="20% - Accent2 3 43" xfId="1965" xr:uid="{00000000-0005-0000-0000-00004B070000}"/>
    <cellStyle name="20% - Accent2 3 44" xfId="1966" xr:uid="{00000000-0005-0000-0000-00004C070000}"/>
    <cellStyle name="20% - Accent2 3 45" xfId="1967" xr:uid="{00000000-0005-0000-0000-00004D070000}"/>
    <cellStyle name="20% - Accent2 3 46" xfId="1968" xr:uid="{00000000-0005-0000-0000-00004E070000}"/>
    <cellStyle name="20% - Accent2 3 47" xfId="1969" xr:uid="{00000000-0005-0000-0000-00004F070000}"/>
    <cellStyle name="20% - Accent2 3 48" xfId="1970" xr:uid="{00000000-0005-0000-0000-000050070000}"/>
    <cellStyle name="20% - Accent2 3 49" xfId="1971" xr:uid="{00000000-0005-0000-0000-000051070000}"/>
    <cellStyle name="20% - Accent2 3 5" xfId="1972" xr:uid="{00000000-0005-0000-0000-000052070000}"/>
    <cellStyle name="20% - Accent2 3 5 10" xfId="1973" xr:uid="{00000000-0005-0000-0000-000053070000}"/>
    <cellStyle name="20% - Accent2 3 5 11" xfId="1974" xr:uid="{00000000-0005-0000-0000-000054070000}"/>
    <cellStyle name="20% - Accent2 3 5 12" xfId="1975" xr:uid="{00000000-0005-0000-0000-000055070000}"/>
    <cellStyle name="20% - Accent2 3 5 13" xfId="1976" xr:uid="{00000000-0005-0000-0000-000056070000}"/>
    <cellStyle name="20% - Accent2 3 5 14" xfId="1977" xr:uid="{00000000-0005-0000-0000-000057070000}"/>
    <cellStyle name="20% - Accent2 3 5 15" xfId="1978" xr:uid="{00000000-0005-0000-0000-000058070000}"/>
    <cellStyle name="20% - Accent2 3 5 2" xfId="1979" xr:uid="{00000000-0005-0000-0000-000059070000}"/>
    <cellStyle name="20% - Accent2 3 5 3" xfId="1980" xr:uid="{00000000-0005-0000-0000-00005A070000}"/>
    <cellStyle name="20% - Accent2 3 5 4" xfId="1981" xr:uid="{00000000-0005-0000-0000-00005B070000}"/>
    <cellStyle name="20% - Accent2 3 5 5" xfId="1982" xr:uid="{00000000-0005-0000-0000-00005C070000}"/>
    <cellStyle name="20% - Accent2 3 5 6" xfId="1983" xr:uid="{00000000-0005-0000-0000-00005D070000}"/>
    <cellStyle name="20% - Accent2 3 5 7" xfId="1984" xr:uid="{00000000-0005-0000-0000-00005E070000}"/>
    <cellStyle name="20% - Accent2 3 5 8" xfId="1985" xr:uid="{00000000-0005-0000-0000-00005F070000}"/>
    <cellStyle name="20% - Accent2 3 5 9" xfId="1986" xr:uid="{00000000-0005-0000-0000-000060070000}"/>
    <cellStyle name="20% - Accent2 3 50" xfId="1987" xr:uid="{00000000-0005-0000-0000-000061070000}"/>
    <cellStyle name="20% - Accent2 3 51" xfId="1988" xr:uid="{00000000-0005-0000-0000-000062070000}"/>
    <cellStyle name="20% - Accent2 3 52" xfId="1989" xr:uid="{00000000-0005-0000-0000-000063070000}"/>
    <cellStyle name="20% - Accent2 3 53" xfId="1990" xr:uid="{00000000-0005-0000-0000-000064070000}"/>
    <cellStyle name="20% - Accent2 3 54" xfId="1991" xr:uid="{00000000-0005-0000-0000-000065070000}"/>
    <cellStyle name="20% - Accent2 3 55" xfId="1992" xr:uid="{00000000-0005-0000-0000-000066070000}"/>
    <cellStyle name="20% - Accent2 3 6" xfId="1993" xr:uid="{00000000-0005-0000-0000-000067070000}"/>
    <cellStyle name="20% - Accent2 3 6 10" xfId="1994" xr:uid="{00000000-0005-0000-0000-000068070000}"/>
    <cellStyle name="20% - Accent2 3 6 11" xfId="1995" xr:uid="{00000000-0005-0000-0000-000069070000}"/>
    <cellStyle name="20% - Accent2 3 6 12" xfId="1996" xr:uid="{00000000-0005-0000-0000-00006A070000}"/>
    <cellStyle name="20% - Accent2 3 6 13" xfId="1997" xr:uid="{00000000-0005-0000-0000-00006B070000}"/>
    <cellStyle name="20% - Accent2 3 6 14" xfId="1998" xr:uid="{00000000-0005-0000-0000-00006C070000}"/>
    <cellStyle name="20% - Accent2 3 6 15" xfId="1999" xr:uid="{00000000-0005-0000-0000-00006D070000}"/>
    <cellStyle name="20% - Accent2 3 6 2" xfId="2000" xr:uid="{00000000-0005-0000-0000-00006E070000}"/>
    <cellStyle name="20% - Accent2 3 6 3" xfId="2001" xr:uid="{00000000-0005-0000-0000-00006F070000}"/>
    <cellStyle name="20% - Accent2 3 6 4" xfId="2002" xr:uid="{00000000-0005-0000-0000-000070070000}"/>
    <cellStyle name="20% - Accent2 3 6 5" xfId="2003" xr:uid="{00000000-0005-0000-0000-000071070000}"/>
    <cellStyle name="20% - Accent2 3 6 6" xfId="2004" xr:uid="{00000000-0005-0000-0000-000072070000}"/>
    <cellStyle name="20% - Accent2 3 6 7" xfId="2005" xr:uid="{00000000-0005-0000-0000-000073070000}"/>
    <cellStyle name="20% - Accent2 3 6 8" xfId="2006" xr:uid="{00000000-0005-0000-0000-000074070000}"/>
    <cellStyle name="20% - Accent2 3 6 9" xfId="2007" xr:uid="{00000000-0005-0000-0000-000075070000}"/>
    <cellStyle name="20% - Accent2 3 7" xfId="2008" xr:uid="{00000000-0005-0000-0000-000076070000}"/>
    <cellStyle name="20% - Accent2 3 7 10" xfId="2009" xr:uid="{00000000-0005-0000-0000-000077070000}"/>
    <cellStyle name="20% - Accent2 3 7 11" xfId="2010" xr:uid="{00000000-0005-0000-0000-000078070000}"/>
    <cellStyle name="20% - Accent2 3 7 12" xfId="2011" xr:uid="{00000000-0005-0000-0000-000079070000}"/>
    <cellStyle name="20% - Accent2 3 7 13" xfId="2012" xr:uid="{00000000-0005-0000-0000-00007A070000}"/>
    <cellStyle name="20% - Accent2 3 7 14" xfId="2013" xr:uid="{00000000-0005-0000-0000-00007B070000}"/>
    <cellStyle name="20% - Accent2 3 7 15" xfId="2014" xr:uid="{00000000-0005-0000-0000-00007C070000}"/>
    <cellStyle name="20% - Accent2 3 7 2" xfId="2015" xr:uid="{00000000-0005-0000-0000-00007D070000}"/>
    <cellStyle name="20% - Accent2 3 7 3" xfId="2016" xr:uid="{00000000-0005-0000-0000-00007E070000}"/>
    <cellStyle name="20% - Accent2 3 7 4" xfId="2017" xr:uid="{00000000-0005-0000-0000-00007F070000}"/>
    <cellStyle name="20% - Accent2 3 7 5" xfId="2018" xr:uid="{00000000-0005-0000-0000-000080070000}"/>
    <cellStyle name="20% - Accent2 3 7 6" xfId="2019" xr:uid="{00000000-0005-0000-0000-000081070000}"/>
    <cellStyle name="20% - Accent2 3 7 7" xfId="2020" xr:uid="{00000000-0005-0000-0000-000082070000}"/>
    <cellStyle name="20% - Accent2 3 7 8" xfId="2021" xr:uid="{00000000-0005-0000-0000-000083070000}"/>
    <cellStyle name="20% - Accent2 3 7 9" xfId="2022" xr:uid="{00000000-0005-0000-0000-000084070000}"/>
    <cellStyle name="20% - Accent2 3 8" xfId="2023" xr:uid="{00000000-0005-0000-0000-000085070000}"/>
    <cellStyle name="20% - Accent2 3 8 10" xfId="2024" xr:uid="{00000000-0005-0000-0000-000086070000}"/>
    <cellStyle name="20% - Accent2 3 8 11" xfId="2025" xr:uid="{00000000-0005-0000-0000-000087070000}"/>
    <cellStyle name="20% - Accent2 3 8 12" xfId="2026" xr:uid="{00000000-0005-0000-0000-000088070000}"/>
    <cellStyle name="20% - Accent2 3 8 13" xfId="2027" xr:uid="{00000000-0005-0000-0000-000089070000}"/>
    <cellStyle name="20% - Accent2 3 8 14" xfId="2028" xr:uid="{00000000-0005-0000-0000-00008A070000}"/>
    <cellStyle name="20% - Accent2 3 8 15" xfId="2029" xr:uid="{00000000-0005-0000-0000-00008B070000}"/>
    <cellStyle name="20% - Accent2 3 8 2" xfId="2030" xr:uid="{00000000-0005-0000-0000-00008C070000}"/>
    <cellStyle name="20% - Accent2 3 8 3" xfId="2031" xr:uid="{00000000-0005-0000-0000-00008D070000}"/>
    <cellStyle name="20% - Accent2 3 8 4" xfId="2032" xr:uid="{00000000-0005-0000-0000-00008E070000}"/>
    <cellStyle name="20% - Accent2 3 8 5" xfId="2033" xr:uid="{00000000-0005-0000-0000-00008F070000}"/>
    <cellStyle name="20% - Accent2 3 8 6" xfId="2034" xr:uid="{00000000-0005-0000-0000-000090070000}"/>
    <cellStyle name="20% - Accent2 3 8 7" xfId="2035" xr:uid="{00000000-0005-0000-0000-000091070000}"/>
    <cellStyle name="20% - Accent2 3 8 8" xfId="2036" xr:uid="{00000000-0005-0000-0000-000092070000}"/>
    <cellStyle name="20% - Accent2 3 8 9" xfId="2037" xr:uid="{00000000-0005-0000-0000-000093070000}"/>
    <cellStyle name="20% - Accent2 3 9" xfId="2038" xr:uid="{00000000-0005-0000-0000-000094070000}"/>
    <cellStyle name="20% - Accent2 3 9 10" xfId="2039" xr:uid="{00000000-0005-0000-0000-000095070000}"/>
    <cellStyle name="20% - Accent2 3 9 11" xfId="2040" xr:uid="{00000000-0005-0000-0000-000096070000}"/>
    <cellStyle name="20% - Accent2 3 9 12" xfId="2041" xr:uid="{00000000-0005-0000-0000-000097070000}"/>
    <cellStyle name="20% - Accent2 3 9 13" xfId="2042" xr:uid="{00000000-0005-0000-0000-000098070000}"/>
    <cellStyle name="20% - Accent2 3 9 14" xfId="2043" xr:uid="{00000000-0005-0000-0000-000099070000}"/>
    <cellStyle name="20% - Accent2 3 9 15" xfId="2044" xr:uid="{00000000-0005-0000-0000-00009A070000}"/>
    <cellStyle name="20% - Accent2 3 9 2" xfId="2045" xr:uid="{00000000-0005-0000-0000-00009B070000}"/>
    <cellStyle name="20% - Accent2 3 9 3" xfId="2046" xr:uid="{00000000-0005-0000-0000-00009C070000}"/>
    <cellStyle name="20% - Accent2 3 9 4" xfId="2047" xr:uid="{00000000-0005-0000-0000-00009D070000}"/>
    <cellStyle name="20% - Accent2 3 9 5" xfId="2048" xr:uid="{00000000-0005-0000-0000-00009E070000}"/>
    <cellStyle name="20% - Accent2 3 9 6" xfId="2049" xr:uid="{00000000-0005-0000-0000-00009F070000}"/>
    <cellStyle name="20% - Accent2 3 9 7" xfId="2050" xr:uid="{00000000-0005-0000-0000-0000A0070000}"/>
    <cellStyle name="20% - Accent2 3 9 8" xfId="2051" xr:uid="{00000000-0005-0000-0000-0000A1070000}"/>
    <cellStyle name="20% - Accent2 3 9 9" xfId="2052" xr:uid="{00000000-0005-0000-0000-0000A2070000}"/>
    <cellStyle name="20% - Accent2 30" xfId="2053" xr:uid="{00000000-0005-0000-0000-0000A3070000}"/>
    <cellStyle name="20% - Accent2 30 10" xfId="2054" xr:uid="{00000000-0005-0000-0000-0000A4070000}"/>
    <cellStyle name="20% - Accent2 30 11" xfId="2055" xr:uid="{00000000-0005-0000-0000-0000A5070000}"/>
    <cellStyle name="20% - Accent2 30 12" xfId="2056" xr:uid="{00000000-0005-0000-0000-0000A6070000}"/>
    <cellStyle name="20% - Accent2 30 13" xfId="2057" xr:uid="{00000000-0005-0000-0000-0000A7070000}"/>
    <cellStyle name="20% - Accent2 30 14" xfId="2058" xr:uid="{00000000-0005-0000-0000-0000A8070000}"/>
    <cellStyle name="20% - Accent2 30 15" xfId="2059" xr:uid="{00000000-0005-0000-0000-0000A9070000}"/>
    <cellStyle name="20% - Accent2 30 16" xfId="2060" xr:uid="{00000000-0005-0000-0000-0000AA070000}"/>
    <cellStyle name="20% - Accent2 30 2" xfId="2061" xr:uid="{00000000-0005-0000-0000-0000AB070000}"/>
    <cellStyle name="20% - Accent2 30 3" xfId="2062" xr:uid="{00000000-0005-0000-0000-0000AC070000}"/>
    <cellStyle name="20% - Accent2 30 4" xfId="2063" xr:uid="{00000000-0005-0000-0000-0000AD070000}"/>
    <cellStyle name="20% - Accent2 30 5" xfId="2064" xr:uid="{00000000-0005-0000-0000-0000AE070000}"/>
    <cellStyle name="20% - Accent2 30 6" xfId="2065" xr:uid="{00000000-0005-0000-0000-0000AF070000}"/>
    <cellStyle name="20% - Accent2 30 7" xfId="2066" xr:uid="{00000000-0005-0000-0000-0000B0070000}"/>
    <cellStyle name="20% - Accent2 30 8" xfId="2067" xr:uid="{00000000-0005-0000-0000-0000B1070000}"/>
    <cellStyle name="20% - Accent2 30 9" xfId="2068" xr:uid="{00000000-0005-0000-0000-0000B2070000}"/>
    <cellStyle name="20% - Accent2 31" xfId="2069" xr:uid="{00000000-0005-0000-0000-0000B3070000}"/>
    <cellStyle name="20% - Accent2 31 10" xfId="2070" xr:uid="{00000000-0005-0000-0000-0000B4070000}"/>
    <cellStyle name="20% - Accent2 31 11" xfId="2071" xr:uid="{00000000-0005-0000-0000-0000B5070000}"/>
    <cellStyle name="20% - Accent2 31 12" xfId="2072" xr:uid="{00000000-0005-0000-0000-0000B6070000}"/>
    <cellStyle name="20% - Accent2 31 13" xfId="2073" xr:uid="{00000000-0005-0000-0000-0000B7070000}"/>
    <cellStyle name="20% - Accent2 31 14" xfId="2074" xr:uid="{00000000-0005-0000-0000-0000B8070000}"/>
    <cellStyle name="20% - Accent2 31 15" xfId="2075" xr:uid="{00000000-0005-0000-0000-0000B9070000}"/>
    <cellStyle name="20% - Accent2 31 16" xfId="2076" xr:uid="{00000000-0005-0000-0000-0000BA070000}"/>
    <cellStyle name="20% - Accent2 31 2" xfId="2077" xr:uid="{00000000-0005-0000-0000-0000BB070000}"/>
    <cellStyle name="20% - Accent2 31 3" xfId="2078" xr:uid="{00000000-0005-0000-0000-0000BC070000}"/>
    <cellStyle name="20% - Accent2 31 4" xfId="2079" xr:uid="{00000000-0005-0000-0000-0000BD070000}"/>
    <cellStyle name="20% - Accent2 31 5" xfId="2080" xr:uid="{00000000-0005-0000-0000-0000BE070000}"/>
    <cellStyle name="20% - Accent2 31 6" xfId="2081" xr:uid="{00000000-0005-0000-0000-0000BF070000}"/>
    <cellStyle name="20% - Accent2 31 7" xfId="2082" xr:uid="{00000000-0005-0000-0000-0000C0070000}"/>
    <cellStyle name="20% - Accent2 31 8" xfId="2083" xr:uid="{00000000-0005-0000-0000-0000C1070000}"/>
    <cellStyle name="20% - Accent2 31 9" xfId="2084" xr:uid="{00000000-0005-0000-0000-0000C2070000}"/>
    <cellStyle name="20% - Accent2 32" xfId="2085" xr:uid="{00000000-0005-0000-0000-0000C3070000}"/>
    <cellStyle name="20% - Accent2 32 10" xfId="2086" xr:uid="{00000000-0005-0000-0000-0000C4070000}"/>
    <cellStyle name="20% - Accent2 32 11" xfId="2087" xr:uid="{00000000-0005-0000-0000-0000C5070000}"/>
    <cellStyle name="20% - Accent2 32 12" xfId="2088" xr:uid="{00000000-0005-0000-0000-0000C6070000}"/>
    <cellStyle name="20% - Accent2 32 13" xfId="2089" xr:uid="{00000000-0005-0000-0000-0000C7070000}"/>
    <cellStyle name="20% - Accent2 32 14" xfId="2090" xr:uid="{00000000-0005-0000-0000-0000C8070000}"/>
    <cellStyle name="20% - Accent2 32 15" xfId="2091" xr:uid="{00000000-0005-0000-0000-0000C9070000}"/>
    <cellStyle name="20% - Accent2 32 2" xfId="2092" xr:uid="{00000000-0005-0000-0000-0000CA070000}"/>
    <cellStyle name="20% - Accent2 32 3" xfId="2093" xr:uid="{00000000-0005-0000-0000-0000CB070000}"/>
    <cellStyle name="20% - Accent2 32 4" xfId="2094" xr:uid="{00000000-0005-0000-0000-0000CC070000}"/>
    <cellStyle name="20% - Accent2 32 5" xfId="2095" xr:uid="{00000000-0005-0000-0000-0000CD070000}"/>
    <cellStyle name="20% - Accent2 32 6" xfId="2096" xr:uid="{00000000-0005-0000-0000-0000CE070000}"/>
    <cellStyle name="20% - Accent2 32 7" xfId="2097" xr:uid="{00000000-0005-0000-0000-0000CF070000}"/>
    <cellStyle name="20% - Accent2 32 8" xfId="2098" xr:uid="{00000000-0005-0000-0000-0000D0070000}"/>
    <cellStyle name="20% - Accent2 32 9" xfId="2099" xr:uid="{00000000-0005-0000-0000-0000D1070000}"/>
    <cellStyle name="20% - Accent2 33" xfId="2100" xr:uid="{00000000-0005-0000-0000-0000D2070000}"/>
    <cellStyle name="20% - Accent2 33 10" xfId="2101" xr:uid="{00000000-0005-0000-0000-0000D3070000}"/>
    <cellStyle name="20% - Accent2 33 11" xfId="2102" xr:uid="{00000000-0005-0000-0000-0000D4070000}"/>
    <cellStyle name="20% - Accent2 33 12" xfId="2103" xr:uid="{00000000-0005-0000-0000-0000D5070000}"/>
    <cellStyle name="20% - Accent2 33 13" xfId="2104" xr:uid="{00000000-0005-0000-0000-0000D6070000}"/>
    <cellStyle name="20% - Accent2 33 14" xfId="2105" xr:uid="{00000000-0005-0000-0000-0000D7070000}"/>
    <cellStyle name="20% - Accent2 33 15" xfId="2106" xr:uid="{00000000-0005-0000-0000-0000D8070000}"/>
    <cellStyle name="20% - Accent2 33 16" xfId="2107" xr:uid="{00000000-0005-0000-0000-0000D9070000}"/>
    <cellStyle name="20% - Accent2 33 2" xfId="2108" xr:uid="{00000000-0005-0000-0000-0000DA070000}"/>
    <cellStyle name="20% - Accent2 33 3" xfId="2109" xr:uid="{00000000-0005-0000-0000-0000DB070000}"/>
    <cellStyle name="20% - Accent2 33 4" xfId="2110" xr:uid="{00000000-0005-0000-0000-0000DC070000}"/>
    <cellStyle name="20% - Accent2 33 5" xfId="2111" xr:uid="{00000000-0005-0000-0000-0000DD070000}"/>
    <cellStyle name="20% - Accent2 33 6" xfId="2112" xr:uid="{00000000-0005-0000-0000-0000DE070000}"/>
    <cellStyle name="20% - Accent2 33 7" xfId="2113" xr:uid="{00000000-0005-0000-0000-0000DF070000}"/>
    <cellStyle name="20% - Accent2 33 8" xfId="2114" xr:uid="{00000000-0005-0000-0000-0000E0070000}"/>
    <cellStyle name="20% - Accent2 33 9" xfId="2115" xr:uid="{00000000-0005-0000-0000-0000E1070000}"/>
    <cellStyle name="20% - Accent2 34" xfId="2116" xr:uid="{00000000-0005-0000-0000-0000E2070000}"/>
    <cellStyle name="20% - Accent2 34 10" xfId="2117" xr:uid="{00000000-0005-0000-0000-0000E3070000}"/>
    <cellStyle name="20% - Accent2 34 11" xfId="2118" xr:uid="{00000000-0005-0000-0000-0000E4070000}"/>
    <cellStyle name="20% - Accent2 34 12" xfId="2119" xr:uid="{00000000-0005-0000-0000-0000E5070000}"/>
    <cellStyle name="20% - Accent2 34 13" xfId="2120" xr:uid="{00000000-0005-0000-0000-0000E6070000}"/>
    <cellStyle name="20% - Accent2 34 14" xfId="2121" xr:uid="{00000000-0005-0000-0000-0000E7070000}"/>
    <cellStyle name="20% - Accent2 34 15" xfId="2122" xr:uid="{00000000-0005-0000-0000-0000E8070000}"/>
    <cellStyle name="20% - Accent2 34 16" xfId="2123" xr:uid="{00000000-0005-0000-0000-0000E9070000}"/>
    <cellStyle name="20% - Accent2 34 2" xfId="2124" xr:uid="{00000000-0005-0000-0000-0000EA070000}"/>
    <cellStyle name="20% - Accent2 34 3" xfId="2125" xr:uid="{00000000-0005-0000-0000-0000EB070000}"/>
    <cellStyle name="20% - Accent2 34 4" xfId="2126" xr:uid="{00000000-0005-0000-0000-0000EC070000}"/>
    <cellStyle name="20% - Accent2 34 5" xfId="2127" xr:uid="{00000000-0005-0000-0000-0000ED070000}"/>
    <cellStyle name="20% - Accent2 34 6" xfId="2128" xr:uid="{00000000-0005-0000-0000-0000EE070000}"/>
    <cellStyle name="20% - Accent2 34 7" xfId="2129" xr:uid="{00000000-0005-0000-0000-0000EF070000}"/>
    <cellStyle name="20% - Accent2 34 8" xfId="2130" xr:uid="{00000000-0005-0000-0000-0000F0070000}"/>
    <cellStyle name="20% - Accent2 34 9" xfId="2131" xr:uid="{00000000-0005-0000-0000-0000F1070000}"/>
    <cellStyle name="20% - Accent2 35" xfId="2132" xr:uid="{00000000-0005-0000-0000-0000F2070000}"/>
    <cellStyle name="20% - Accent2 35 10" xfId="2133" xr:uid="{00000000-0005-0000-0000-0000F3070000}"/>
    <cellStyle name="20% - Accent2 35 11" xfId="2134" xr:uid="{00000000-0005-0000-0000-0000F4070000}"/>
    <cellStyle name="20% - Accent2 35 12" xfId="2135" xr:uid="{00000000-0005-0000-0000-0000F5070000}"/>
    <cellStyle name="20% - Accent2 35 13" xfId="2136" xr:uid="{00000000-0005-0000-0000-0000F6070000}"/>
    <cellStyle name="20% - Accent2 35 14" xfId="2137" xr:uid="{00000000-0005-0000-0000-0000F7070000}"/>
    <cellStyle name="20% - Accent2 35 15" xfId="2138" xr:uid="{00000000-0005-0000-0000-0000F8070000}"/>
    <cellStyle name="20% - Accent2 35 16" xfId="2139" xr:uid="{00000000-0005-0000-0000-0000F9070000}"/>
    <cellStyle name="20% - Accent2 35 2" xfId="2140" xr:uid="{00000000-0005-0000-0000-0000FA070000}"/>
    <cellStyle name="20% - Accent2 35 3" xfId="2141" xr:uid="{00000000-0005-0000-0000-0000FB070000}"/>
    <cellStyle name="20% - Accent2 35 4" xfId="2142" xr:uid="{00000000-0005-0000-0000-0000FC070000}"/>
    <cellStyle name="20% - Accent2 35 5" xfId="2143" xr:uid="{00000000-0005-0000-0000-0000FD070000}"/>
    <cellStyle name="20% - Accent2 35 6" xfId="2144" xr:uid="{00000000-0005-0000-0000-0000FE070000}"/>
    <cellStyle name="20% - Accent2 35 7" xfId="2145" xr:uid="{00000000-0005-0000-0000-0000FF070000}"/>
    <cellStyle name="20% - Accent2 35 8" xfId="2146" xr:uid="{00000000-0005-0000-0000-000000080000}"/>
    <cellStyle name="20% - Accent2 35 9" xfId="2147" xr:uid="{00000000-0005-0000-0000-000001080000}"/>
    <cellStyle name="20% - Accent2 36" xfId="2148" xr:uid="{00000000-0005-0000-0000-000002080000}"/>
    <cellStyle name="20% - Accent2 36 10" xfId="2149" xr:uid="{00000000-0005-0000-0000-000003080000}"/>
    <cellStyle name="20% - Accent2 36 11" xfId="2150" xr:uid="{00000000-0005-0000-0000-000004080000}"/>
    <cellStyle name="20% - Accent2 36 12" xfId="2151" xr:uid="{00000000-0005-0000-0000-000005080000}"/>
    <cellStyle name="20% - Accent2 36 13" xfId="2152" xr:uid="{00000000-0005-0000-0000-000006080000}"/>
    <cellStyle name="20% - Accent2 36 14" xfId="2153" xr:uid="{00000000-0005-0000-0000-000007080000}"/>
    <cellStyle name="20% - Accent2 36 15" xfId="2154" xr:uid="{00000000-0005-0000-0000-000008080000}"/>
    <cellStyle name="20% - Accent2 36 16" xfId="2155" xr:uid="{00000000-0005-0000-0000-000009080000}"/>
    <cellStyle name="20% - Accent2 36 2" xfId="2156" xr:uid="{00000000-0005-0000-0000-00000A080000}"/>
    <cellStyle name="20% - Accent2 36 3" xfId="2157" xr:uid="{00000000-0005-0000-0000-00000B080000}"/>
    <cellStyle name="20% - Accent2 36 4" xfId="2158" xr:uid="{00000000-0005-0000-0000-00000C080000}"/>
    <cellStyle name="20% - Accent2 36 5" xfId="2159" xr:uid="{00000000-0005-0000-0000-00000D080000}"/>
    <cellStyle name="20% - Accent2 36 6" xfId="2160" xr:uid="{00000000-0005-0000-0000-00000E080000}"/>
    <cellStyle name="20% - Accent2 36 7" xfId="2161" xr:uid="{00000000-0005-0000-0000-00000F080000}"/>
    <cellStyle name="20% - Accent2 36 8" xfId="2162" xr:uid="{00000000-0005-0000-0000-000010080000}"/>
    <cellStyle name="20% - Accent2 36 9" xfId="2163" xr:uid="{00000000-0005-0000-0000-000011080000}"/>
    <cellStyle name="20% - Accent2 37" xfId="2164" xr:uid="{00000000-0005-0000-0000-000012080000}"/>
    <cellStyle name="20% - Accent2 37 10" xfId="2165" xr:uid="{00000000-0005-0000-0000-000013080000}"/>
    <cellStyle name="20% - Accent2 37 11" xfId="2166" xr:uid="{00000000-0005-0000-0000-000014080000}"/>
    <cellStyle name="20% - Accent2 37 12" xfId="2167" xr:uid="{00000000-0005-0000-0000-000015080000}"/>
    <cellStyle name="20% - Accent2 37 13" xfId="2168" xr:uid="{00000000-0005-0000-0000-000016080000}"/>
    <cellStyle name="20% - Accent2 37 14" xfId="2169" xr:uid="{00000000-0005-0000-0000-000017080000}"/>
    <cellStyle name="20% - Accent2 37 15" xfId="2170" xr:uid="{00000000-0005-0000-0000-000018080000}"/>
    <cellStyle name="20% - Accent2 37 2" xfId="2171" xr:uid="{00000000-0005-0000-0000-000019080000}"/>
    <cellStyle name="20% - Accent2 37 3" xfId="2172" xr:uid="{00000000-0005-0000-0000-00001A080000}"/>
    <cellStyle name="20% - Accent2 37 4" xfId="2173" xr:uid="{00000000-0005-0000-0000-00001B080000}"/>
    <cellStyle name="20% - Accent2 37 5" xfId="2174" xr:uid="{00000000-0005-0000-0000-00001C080000}"/>
    <cellStyle name="20% - Accent2 37 6" xfId="2175" xr:uid="{00000000-0005-0000-0000-00001D080000}"/>
    <cellStyle name="20% - Accent2 37 7" xfId="2176" xr:uid="{00000000-0005-0000-0000-00001E080000}"/>
    <cellStyle name="20% - Accent2 37 8" xfId="2177" xr:uid="{00000000-0005-0000-0000-00001F080000}"/>
    <cellStyle name="20% - Accent2 37 9" xfId="2178" xr:uid="{00000000-0005-0000-0000-000020080000}"/>
    <cellStyle name="20% - Accent2 38" xfId="2179" xr:uid="{00000000-0005-0000-0000-000021080000}"/>
    <cellStyle name="20% - Accent2 38 10" xfId="2180" xr:uid="{00000000-0005-0000-0000-000022080000}"/>
    <cellStyle name="20% - Accent2 38 11" xfId="2181" xr:uid="{00000000-0005-0000-0000-000023080000}"/>
    <cellStyle name="20% - Accent2 38 12" xfId="2182" xr:uid="{00000000-0005-0000-0000-000024080000}"/>
    <cellStyle name="20% - Accent2 38 13" xfId="2183" xr:uid="{00000000-0005-0000-0000-000025080000}"/>
    <cellStyle name="20% - Accent2 38 14" xfId="2184" xr:uid="{00000000-0005-0000-0000-000026080000}"/>
    <cellStyle name="20% - Accent2 38 15" xfId="2185" xr:uid="{00000000-0005-0000-0000-000027080000}"/>
    <cellStyle name="20% - Accent2 38 2" xfId="2186" xr:uid="{00000000-0005-0000-0000-000028080000}"/>
    <cellStyle name="20% - Accent2 38 3" xfId="2187" xr:uid="{00000000-0005-0000-0000-000029080000}"/>
    <cellStyle name="20% - Accent2 38 4" xfId="2188" xr:uid="{00000000-0005-0000-0000-00002A080000}"/>
    <cellStyle name="20% - Accent2 38 5" xfId="2189" xr:uid="{00000000-0005-0000-0000-00002B080000}"/>
    <cellStyle name="20% - Accent2 38 6" xfId="2190" xr:uid="{00000000-0005-0000-0000-00002C080000}"/>
    <cellStyle name="20% - Accent2 38 7" xfId="2191" xr:uid="{00000000-0005-0000-0000-00002D080000}"/>
    <cellStyle name="20% - Accent2 38 8" xfId="2192" xr:uid="{00000000-0005-0000-0000-00002E080000}"/>
    <cellStyle name="20% - Accent2 38 9" xfId="2193" xr:uid="{00000000-0005-0000-0000-00002F080000}"/>
    <cellStyle name="20% - Accent2 39" xfId="2194" xr:uid="{00000000-0005-0000-0000-000030080000}"/>
    <cellStyle name="20% - Accent2 39 10" xfId="2195" xr:uid="{00000000-0005-0000-0000-000031080000}"/>
    <cellStyle name="20% - Accent2 39 11" xfId="2196" xr:uid="{00000000-0005-0000-0000-000032080000}"/>
    <cellStyle name="20% - Accent2 39 12" xfId="2197" xr:uid="{00000000-0005-0000-0000-000033080000}"/>
    <cellStyle name="20% - Accent2 39 13" xfId="2198" xr:uid="{00000000-0005-0000-0000-000034080000}"/>
    <cellStyle name="20% - Accent2 39 14" xfId="2199" xr:uid="{00000000-0005-0000-0000-000035080000}"/>
    <cellStyle name="20% - Accent2 39 15" xfId="2200" xr:uid="{00000000-0005-0000-0000-000036080000}"/>
    <cellStyle name="20% - Accent2 39 2" xfId="2201" xr:uid="{00000000-0005-0000-0000-000037080000}"/>
    <cellStyle name="20% - Accent2 39 3" xfId="2202" xr:uid="{00000000-0005-0000-0000-000038080000}"/>
    <cellStyle name="20% - Accent2 39 4" xfId="2203" xr:uid="{00000000-0005-0000-0000-000039080000}"/>
    <cellStyle name="20% - Accent2 39 5" xfId="2204" xr:uid="{00000000-0005-0000-0000-00003A080000}"/>
    <cellStyle name="20% - Accent2 39 6" xfId="2205" xr:uid="{00000000-0005-0000-0000-00003B080000}"/>
    <cellStyle name="20% - Accent2 39 7" xfId="2206" xr:uid="{00000000-0005-0000-0000-00003C080000}"/>
    <cellStyle name="20% - Accent2 39 8" xfId="2207" xr:uid="{00000000-0005-0000-0000-00003D080000}"/>
    <cellStyle name="20% - Accent2 39 9" xfId="2208" xr:uid="{00000000-0005-0000-0000-00003E080000}"/>
    <cellStyle name="20% - Accent2 4" xfId="2209" xr:uid="{00000000-0005-0000-0000-00003F080000}"/>
    <cellStyle name="20% - Accent2 4 2" xfId="2210" xr:uid="{00000000-0005-0000-0000-000040080000}"/>
    <cellStyle name="20% - Accent2 4 2 2" xfId="2211" xr:uid="{00000000-0005-0000-0000-000041080000}"/>
    <cellStyle name="20% - Accent2 4 2 3" xfId="2212" xr:uid="{00000000-0005-0000-0000-000042080000}"/>
    <cellStyle name="20% - Accent2 4 2 4" xfId="2213" xr:uid="{00000000-0005-0000-0000-000043080000}"/>
    <cellStyle name="20% - Accent2 4 2 5" xfId="2214" xr:uid="{00000000-0005-0000-0000-000044080000}"/>
    <cellStyle name="20% - Accent2 4 3" xfId="2215" xr:uid="{00000000-0005-0000-0000-000045080000}"/>
    <cellStyle name="20% - Accent2 4 3 2" xfId="2216" xr:uid="{00000000-0005-0000-0000-000046080000}"/>
    <cellStyle name="20% - Accent2 4 4" xfId="2217" xr:uid="{00000000-0005-0000-0000-000047080000}"/>
    <cellStyle name="20% - Accent2 4 4 2" xfId="2218" xr:uid="{00000000-0005-0000-0000-000048080000}"/>
    <cellStyle name="20% - Accent2 4 5" xfId="2219" xr:uid="{00000000-0005-0000-0000-000049080000}"/>
    <cellStyle name="20% - Accent2 4 5 2" xfId="2220" xr:uid="{00000000-0005-0000-0000-00004A080000}"/>
    <cellStyle name="20% - Accent2 4 6" xfId="2221" xr:uid="{00000000-0005-0000-0000-00004B080000}"/>
    <cellStyle name="20% - Accent2 4 6 2" xfId="2222" xr:uid="{00000000-0005-0000-0000-00004C080000}"/>
    <cellStyle name="20% - Accent2 4 7" xfId="2223" xr:uid="{00000000-0005-0000-0000-00004D080000}"/>
    <cellStyle name="20% - Accent2 40" xfId="2224" xr:uid="{00000000-0005-0000-0000-00004E080000}"/>
    <cellStyle name="20% - Accent2 41" xfId="2225" xr:uid="{00000000-0005-0000-0000-00004F080000}"/>
    <cellStyle name="20% - Accent2 42" xfId="2226" xr:uid="{00000000-0005-0000-0000-000050080000}"/>
    <cellStyle name="20% - Accent2 43" xfId="2227" xr:uid="{00000000-0005-0000-0000-000051080000}"/>
    <cellStyle name="20% - Accent2 44" xfId="2228" xr:uid="{00000000-0005-0000-0000-000052080000}"/>
    <cellStyle name="20% - Accent2 45" xfId="2229" xr:uid="{00000000-0005-0000-0000-000053080000}"/>
    <cellStyle name="20% - Accent2 46" xfId="2230" xr:uid="{00000000-0005-0000-0000-000054080000}"/>
    <cellStyle name="20% - Accent2 47" xfId="2231" xr:uid="{00000000-0005-0000-0000-000055080000}"/>
    <cellStyle name="20% - Accent2 48" xfId="2232" xr:uid="{00000000-0005-0000-0000-000056080000}"/>
    <cellStyle name="20% - Accent2 49" xfId="2233" xr:uid="{00000000-0005-0000-0000-000057080000}"/>
    <cellStyle name="20% - Accent2 5" xfId="2234" xr:uid="{00000000-0005-0000-0000-000058080000}"/>
    <cellStyle name="20% - Accent2 5 2" xfId="2235" xr:uid="{00000000-0005-0000-0000-000059080000}"/>
    <cellStyle name="20% - Accent2 5 2 2" xfId="2236" xr:uid="{00000000-0005-0000-0000-00005A080000}"/>
    <cellStyle name="20% - Accent2 5 2 3" xfId="2237" xr:uid="{00000000-0005-0000-0000-00005B080000}"/>
    <cellStyle name="20% - Accent2 5 2 4" xfId="2238" xr:uid="{00000000-0005-0000-0000-00005C080000}"/>
    <cellStyle name="20% - Accent2 5 2 5" xfId="2239" xr:uid="{00000000-0005-0000-0000-00005D080000}"/>
    <cellStyle name="20% - Accent2 5 3" xfId="2240" xr:uid="{00000000-0005-0000-0000-00005E080000}"/>
    <cellStyle name="20% - Accent2 5 3 2" xfId="2241" xr:uid="{00000000-0005-0000-0000-00005F080000}"/>
    <cellStyle name="20% - Accent2 5 3 3" xfId="2242" xr:uid="{00000000-0005-0000-0000-000060080000}"/>
    <cellStyle name="20% - Accent2 5 4" xfId="2243" xr:uid="{00000000-0005-0000-0000-000061080000}"/>
    <cellStyle name="20% - Accent2 5 4 2" xfId="2244" xr:uid="{00000000-0005-0000-0000-000062080000}"/>
    <cellStyle name="20% - Accent2 5 5" xfId="2245" xr:uid="{00000000-0005-0000-0000-000063080000}"/>
    <cellStyle name="20% - Accent2 5 6" xfId="2246" xr:uid="{00000000-0005-0000-0000-000064080000}"/>
    <cellStyle name="20% - Accent2 50" xfId="2247" xr:uid="{00000000-0005-0000-0000-000065080000}"/>
    <cellStyle name="20% - Accent2 51" xfId="2248" xr:uid="{00000000-0005-0000-0000-000066080000}"/>
    <cellStyle name="20% - Accent2 52" xfId="2249" xr:uid="{00000000-0005-0000-0000-000067080000}"/>
    <cellStyle name="20% - Accent2 53" xfId="2250" xr:uid="{00000000-0005-0000-0000-000068080000}"/>
    <cellStyle name="20% - Accent2 54" xfId="2251" xr:uid="{00000000-0005-0000-0000-000069080000}"/>
    <cellStyle name="20% - Accent2 55" xfId="2252" xr:uid="{00000000-0005-0000-0000-00006A080000}"/>
    <cellStyle name="20% - Accent2 56" xfId="2253" xr:uid="{00000000-0005-0000-0000-00006B080000}"/>
    <cellStyle name="20% - Accent2 57" xfId="2254" xr:uid="{00000000-0005-0000-0000-00006C080000}"/>
    <cellStyle name="20% - Accent2 58" xfId="2255" xr:uid="{00000000-0005-0000-0000-00006D080000}"/>
    <cellStyle name="20% - Accent2 59" xfId="2256" xr:uid="{00000000-0005-0000-0000-00006E080000}"/>
    <cellStyle name="20% - Accent2 6" xfId="2257" xr:uid="{00000000-0005-0000-0000-00006F080000}"/>
    <cellStyle name="20% - Accent2 6 2" xfId="2258" xr:uid="{00000000-0005-0000-0000-000070080000}"/>
    <cellStyle name="20% - Accent2 6 2 2" xfId="2259" xr:uid="{00000000-0005-0000-0000-000071080000}"/>
    <cellStyle name="20% - Accent2 6 2 3" xfId="2260" xr:uid="{00000000-0005-0000-0000-000072080000}"/>
    <cellStyle name="20% - Accent2 6 2 4" xfId="2261" xr:uid="{00000000-0005-0000-0000-000073080000}"/>
    <cellStyle name="20% - Accent2 6 3" xfId="2262" xr:uid="{00000000-0005-0000-0000-000074080000}"/>
    <cellStyle name="20% - Accent2 6 4" xfId="2263" xr:uid="{00000000-0005-0000-0000-000075080000}"/>
    <cellStyle name="20% - Accent2 6 5" xfId="2264" xr:uid="{00000000-0005-0000-0000-000076080000}"/>
    <cellStyle name="20% - Accent2 60" xfId="2265" xr:uid="{00000000-0005-0000-0000-000077080000}"/>
    <cellStyle name="20% - Accent2 61" xfId="2266" xr:uid="{00000000-0005-0000-0000-000078080000}"/>
    <cellStyle name="20% - Accent2 62" xfId="2267" xr:uid="{00000000-0005-0000-0000-000079080000}"/>
    <cellStyle name="20% - Accent2 63" xfId="2268" xr:uid="{00000000-0005-0000-0000-00007A080000}"/>
    <cellStyle name="20% - Accent2 64" xfId="2269" xr:uid="{00000000-0005-0000-0000-00007B080000}"/>
    <cellStyle name="20% - Accent2 65" xfId="2270" xr:uid="{00000000-0005-0000-0000-00007C080000}"/>
    <cellStyle name="20% - Accent2 66" xfId="2271" xr:uid="{00000000-0005-0000-0000-00007D080000}"/>
    <cellStyle name="20% - Accent2 67" xfId="2272" xr:uid="{00000000-0005-0000-0000-00007E080000}"/>
    <cellStyle name="20% - Accent2 68" xfId="2273" xr:uid="{00000000-0005-0000-0000-00007F080000}"/>
    <cellStyle name="20% - Accent2 69" xfId="2274" xr:uid="{00000000-0005-0000-0000-000080080000}"/>
    <cellStyle name="20% - Accent2 7" xfId="2275" xr:uid="{00000000-0005-0000-0000-000081080000}"/>
    <cellStyle name="20% - Accent2 7 2" xfId="2276" xr:uid="{00000000-0005-0000-0000-000082080000}"/>
    <cellStyle name="20% - Accent2 7 2 2" xfId="2277" xr:uid="{00000000-0005-0000-0000-000083080000}"/>
    <cellStyle name="20% - Accent2 7 2 3" xfId="2278" xr:uid="{00000000-0005-0000-0000-000084080000}"/>
    <cellStyle name="20% - Accent2 7 2 4" xfId="2279" xr:uid="{00000000-0005-0000-0000-000085080000}"/>
    <cellStyle name="20% - Accent2 7 3" xfId="2280" xr:uid="{00000000-0005-0000-0000-000086080000}"/>
    <cellStyle name="20% - Accent2 7 4" xfId="2281" xr:uid="{00000000-0005-0000-0000-000087080000}"/>
    <cellStyle name="20% - Accent2 7 5" xfId="2282" xr:uid="{00000000-0005-0000-0000-000088080000}"/>
    <cellStyle name="20% - Accent2 70" xfId="2283" xr:uid="{00000000-0005-0000-0000-000089080000}"/>
    <cellStyle name="20% - Accent2 71" xfId="2284" xr:uid="{00000000-0005-0000-0000-00008A080000}"/>
    <cellStyle name="20% - Accent2 72" xfId="2285" xr:uid="{00000000-0005-0000-0000-00008B080000}"/>
    <cellStyle name="20% - Accent2 73" xfId="2286" xr:uid="{00000000-0005-0000-0000-00008C080000}"/>
    <cellStyle name="20% - Accent2 74" xfId="2287" xr:uid="{00000000-0005-0000-0000-00008D080000}"/>
    <cellStyle name="20% - Accent2 75" xfId="2288" xr:uid="{00000000-0005-0000-0000-00008E080000}"/>
    <cellStyle name="20% - Accent2 76" xfId="2289" xr:uid="{00000000-0005-0000-0000-00008F080000}"/>
    <cellStyle name="20% - Accent2 77" xfId="2290" xr:uid="{00000000-0005-0000-0000-000090080000}"/>
    <cellStyle name="20% - Accent2 78" xfId="2291" xr:uid="{00000000-0005-0000-0000-000091080000}"/>
    <cellStyle name="20% - Accent2 79" xfId="2292" xr:uid="{00000000-0005-0000-0000-000092080000}"/>
    <cellStyle name="20% - Accent2 79 2" xfId="2293" xr:uid="{00000000-0005-0000-0000-000093080000}"/>
    <cellStyle name="20% - Accent2 8" xfId="2294" xr:uid="{00000000-0005-0000-0000-000094080000}"/>
    <cellStyle name="20% - Accent2 8 2" xfId="2295" xr:uid="{00000000-0005-0000-0000-000095080000}"/>
    <cellStyle name="20% - Accent2 8 2 2" xfId="2296" xr:uid="{00000000-0005-0000-0000-000096080000}"/>
    <cellStyle name="20% - Accent2 8 2 3" xfId="2297" xr:uid="{00000000-0005-0000-0000-000097080000}"/>
    <cellStyle name="20% - Accent2 8 2 4" xfId="2298" xr:uid="{00000000-0005-0000-0000-000098080000}"/>
    <cellStyle name="20% - Accent2 8 3" xfId="2299" xr:uid="{00000000-0005-0000-0000-000099080000}"/>
    <cellStyle name="20% - Accent2 8 4" xfId="2300" xr:uid="{00000000-0005-0000-0000-00009A080000}"/>
    <cellStyle name="20% - Accent2 8 5" xfId="2301" xr:uid="{00000000-0005-0000-0000-00009B080000}"/>
    <cellStyle name="20% - Accent2 80" xfId="2302" xr:uid="{00000000-0005-0000-0000-00009C080000}"/>
    <cellStyle name="20% - Accent2 80 2" xfId="2303" xr:uid="{00000000-0005-0000-0000-00009D080000}"/>
    <cellStyle name="20% - Accent2 81" xfId="2304" xr:uid="{00000000-0005-0000-0000-00009E080000}"/>
    <cellStyle name="20% - Accent2 81 2" xfId="2305" xr:uid="{00000000-0005-0000-0000-00009F080000}"/>
    <cellStyle name="20% - Accent2 82" xfId="2306" xr:uid="{00000000-0005-0000-0000-0000A0080000}"/>
    <cellStyle name="20% - Accent2 82 2" xfId="2307" xr:uid="{00000000-0005-0000-0000-0000A1080000}"/>
    <cellStyle name="20% - Accent2 83" xfId="2308" xr:uid="{00000000-0005-0000-0000-0000A2080000}"/>
    <cellStyle name="20% - Accent2 83 2" xfId="2309" xr:uid="{00000000-0005-0000-0000-0000A3080000}"/>
    <cellStyle name="20% - Accent2 84" xfId="2310" xr:uid="{00000000-0005-0000-0000-0000A4080000}"/>
    <cellStyle name="20% - Accent2 84 2" xfId="2311" xr:uid="{00000000-0005-0000-0000-0000A5080000}"/>
    <cellStyle name="20% - Accent2 85" xfId="2312" xr:uid="{00000000-0005-0000-0000-0000A6080000}"/>
    <cellStyle name="20% - Accent2 85 2" xfId="2313" xr:uid="{00000000-0005-0000-0000-0000A7080000}"/>
    <cellStyle name="20% - Accent2 86" xfId="2314" xr:uid="{00000000-0005-0000-0000-0000A8080000}"/>
    <cellStyle name="20% - Accent2 86 2" xfId="2315" xr:uid="{00000000-0005-0000-0000-0000A9080000}"/>
    <cellStyle name="20% - Accent2 87" xfId="2316" xr:uid="{00000000-0005-0000-0000-0000AA080000}"/>
    <cellStyle name="20% - Accent2 87 2" xfId="2317" xr:uid="{00000000-0005-0000-0000-0000AB080000}"/>
    <cellStyle name="20% - Accent2 88" xfId="2318" xr:uid="{00000000-0005-0000-0000-0000AC080000}"/>
    <cellStyle name="20% - Accent2 88 2" xfId="2319" xr:uid="{00000000-0005-0000-0000-0000AD080000}"/>
    <cellStyle name="20% - Accent2 89" xfId="2320" xr:uid="{00000000-0005-0000-0000-0000AE080000}"/>
    <cellStyle name="20% - Accent2 89 2" xfId="2321" xr:uid="{00000000-0005-0000-0000-0000AF080000}"/>
    <cellStyle name="20% - Accent2 9" xfId="2322" xr:uid="{00000000-0005-0000-0000-0000B0080000}"/>
    <cellStyle name="20% - Accent2 9 2" xfId="2323" xr:uid="{00000000-0005-0000-0000-0000B1080000}"/>
    <cellStyle name="20% - Accent2 9 2 2" xfId="2324" xr:uid="{00000000-0005-0000-0000-0000B2080000}"/>
    <cellStyle name="20% - Accent2 9 2 3" xfId="2325" xr:uid="{00000000-0005-0000-0000-0000B3080000}"/>
    <cellStyle name="20% - Accent2 9 2 4" xfId="2326" xr:uid="{00000000-0005-0000-0000-0000B4080000}"/>
    <cellStyle name="20% - Accent2 9 3" xfId="2327" xr:uid="{00000000-0005-0000-0000-0000B5080000}"/>
    <cellStyle name="20% - Accent2 9 4" xfId="2328" xr:uid="{00000000-0005-0000-0000-0000B6080000}"/>
    <cellStyle name="20% - Accent2 9 5" xfId="2329" xr:uid="{00000000-0005-0000-0000-0000B7080000}"/>
    <cellStyle name="20% - Accent2 90" xfId="2330" xr:uid="{00000000-0005-0000-0000-0000B8080000}"/>
    <cellStyle name="20% - Accent2 91" xfId="2331" xr:uid="{00000000-0005-0000-0000-0000B9080000}"/>
    <cellStyle name="20% - Accent2 92" xfId="2332" xr:uid="{00000000-0005-0000-0000-0000BA080000}"/>
    <cellStyle name="20% - Accent2 93" xfId="2333" xr:uid="{00000000-0005-0000-0000-0000BB080000}"/>
    <cellStyle name="20% - Accent2 94" xfId="2334" xr:uid="{00000000-0005-0000-0000-0000BC080000}"/>
    <cellStyle name="20% - Accent2 95" xfId="2335" xr:uid="{00000000-0005-0000-0000-0000BD080000}"/>
    <cellStyle name="20% - Accent2 96" xfId="2336" xr:uid="{00000000-0005-0000-0000-0000BE080000}"/>
    <cellStyle name="20% - Accent2 97" xfId="2337" xr:uid="{00000000-0005-0000-0000-0000BF080000}"/>
    <cellStyle name="20% - Accent2 98" xfId="2338" xr:uid="{00000000-0005-0000-0000-0000C0080000}"/>
    <cellStyle name="20% - Accent2 99" xfId="2339" xr:uid="{00000000-0005-0000-0000-0000C1080000}"/>
    <cellStyle name="20% - Accent3" xfId="27" builtinId="38" customBuiltin="1"/>
    <cellStyle name="20% - Accent3 10" xfId="2340" xr:uid="{00000000-0005-0000-0000-0000C3080000}"/>
    <cellStyle name="20% - Accent3 10 2" xfId="2341" xr:uid="{00000000-0005-0000-0000-0000C4080000}"/>
    <cellStyle name="20% - Accent3 10 2 2" xfId="2342" xr:uid="{00000000-0005-0000-0000-0000C5080000}"/>
    <cellStyle name="20% - Accent3 10 2 3" xfId="2343" xr:uid="{00000000-0005-0000-0000-0000C6080000}"/>
    <cellStyle name="20% - Accent3 10 2 4" xfId="2344" xr:uid="{00000000-0005-0000-0000-0000C7080000}"/>
    <cellStyle name="20% - Accent3 10 3" xfId="2345" xr:uid="{00000000-0005-0000-0000-0000C8080000}"/>
    <cellStyle name="20% - Accent3 10 4" xfId="2346" xr:uid="{00000000-0005-0000-0000-0000C9080000}"/>
    <cellStyle name="20% - Accent3 10 5" xfId="2347" xr:uid="{00000000-0005-0000-0000-0000CA080000}"/>
    <cellStyle name="20% - Accent3 100" xfId="2348" xr:uid="{00000000-0005-0000-0000-0000CB080000}"/>
    <cellStyle name="20% - Accent3 101" xfId="2349" xr:uid="{00000000-0005-0000-0000-0000CC080000}"/>
    <cellStyle name="20% - Accent3 102" xfId="2350" xr:uid="{00000000-0005-0000-0000-0000CD080000}"/>
    <cellStyle name="20% - Accent3 103" xfId="2351" xr:uid="{00000000-0005-0000-0000-0000CE080000}"/>
    <cellStyle name="20% - Accent3 104" xfId="2352" xr:uid="{00000000-0005-0000-0000-0000CF080000}"/>
    <cellStyle name="20% - Accent3 105" xfId="2353" xr:uid="{00000000-0005-0000-0000-0000D0080000}"/>
    <cellStyle name="20% - Accent3 106" xfId="2354" xr:uid="{00000000-0005-0000-0000-0000D1080000}"/>
    <cellStyle name="20% - Accent3 107" xfId="2355" xr:uid="{00000000-0005-0000-0000-0000D2080000}"/>
    <cellStyle name="20% - Accent3 108" xfId="2356" xr:uid="{00000000-0005-0000-0000-0000D3080000}"/>
    <cellStyle name="20% - Accent3 109" xfId="2357" xr:uid="{00000000-0005-0000-0000-0000D4080000}"/>
    <cellStyle name="20% - Accent3 11" xfId="2358" xr:uid="{00000000-0005-0000-0000-0000D5080000}"/>
    <cellStyle name="20% - Accent3 11 2" xfId="2359" xr:uid="{00000000-0005-0000-0000-0000D6080000}"/>
    <cellStyle name="20% - Accent3 11 2 2" xfId="2360" xr:uid="{00000000-0005-0000-0000-0000D7080000}"/>
    <cellStyle name="20% - Accent3 11 2 3" xfId="2361" xr:uid="{00000000-0005-0000-0000-0000D8080000}"/>
    <cellStyle name="20% - Accent3 11 2 4" xfId="2362" xr:uid="{00000000-0005-0000-0000-0000D9080000}"/>
    <cellStyle name="20% - Accent3 11 3" xfId="2363" xr:uid="{00000000-0005-0000-0000-0000DA080000}"/>
    <cellStyle name="20% - Accent3 11 4" xfId="2364" xr:uid="{00000000-0005-0000-0000-0000DB080000}"/>
    <cellStyle name="20% - Accent3 11 5" xfId="2365" xr:uid="{00000000-0005-0000-0000-0000DC080000}"/>
    <cellStyle name="20% - Accent3 110" xfId="2366" xr:uid="{00000000-0005-0000-0000-0000DD080000}"/>
    <cellStyle name="20% - Accent3 111" xfId="2367" xr:uid="{00000000-0005-0000-0000-0000DE080000}"/>
    <cellStyle name="20% - Accent3 112" xfId="2368" xr:uid="{00000000-0005-0000-0000-0000DF080000}"/>
    <cellStyle name="20% - Accent3 113" xfId="2369" xr:uid="{00000000-0005-0000-0000-0000E0080000}"/>
    <cellStyle name="20% - Accent3 114" xfId="2370" xr:uid="{00000000-0005-0000-0000-0000E1080000}"/>
    <cellStyle name="20% - Accent3 115" xfId="2371" xr:uid="{00000000-0005-0000-0000-0000E2080000}"/>
    <cellStyle name="20% - Accent3 116" xfId="2372" xr:uid="{00000000-0005-0000-0000-0000E3080000}"/>
    <cellStyle name="20% - Accent3 117" xfId="2373" xr:uid="{00000000-0005-0000-0000-0000E4080000}"/>
    <cellStyle name="20% - Accent3 118" xfId="2374" xr:uid="{00000000-0005-0000-0000-0000E5080000}"/>
    <cellStyle name="20% - Accent3 119" xfId="2375" xr:uid="{00000000-0005-0000-0000-0000E6080000}"/>
    <cellStyle name="20% - Accent3 12" xfId="2376" xr:uid="{00000000-0005-0000-0000-0000E7080000}"/>
    <cellStyle name="20% - Accent3 12 2" xfId="2377" xr:uid="{00000000-0005-0000-0000-0000E8080000}"/>
    <cellStyle name="20% - Accent3 12 2 2" xfId="2378" xr:uid="{00000000-0005-0000-0000-0000E9080000}"/>
    <cellStyle name="20% - Accent3 12 2 3" xfId="2379" xr:uid="{00000000-0005-0000-0000-0000EA080000}"/>
    <cellStyle name="20% - Accent3 12 2 4" xfId="2380" xr:uid="{00000000-0005-0000-0000-0000EB080000}"/>
    <cellStyle name="20% - Accent3 12 3" xfId="2381" xr:uid="{00000000-0005-0000-0000-0000EC080000}"/>
    <cellStyle name="20% - Accent3 12 4" xfId="2382" xr:uid="{00000000-0005-0000-0000-0000ED080000}"/>
    <cellStyle name="20% - Accent3 12 5" xfId="2383" xr:uid="{00000000-0005-0000-0000-0000EE080000}"/>
    <cellStyle name="20% - Accent3 120" xfId="2384" xr:uid="{00000000-0005-0000-0000-0000EF080000}"/>
    <cellStyle name="20% - Accent3 121" xfId="2385" xr:uid="{00000000-0005-0000-0000-0000F0080000}"/>
    <cellStyle name="20% - Accent3 122" xfId="2386" xr:uid="{00000000-0005-0000-0000-0000F1080000}"/>
    <cellStyle name="20% - Accent3 123" xfId="2387" xr:uid="{00000000-0005-0000-0000-0000F2080000}"/>
    <cellStyle name="20% - Accent3 124" xfId="2388" xr:uid="{00000000-0005-0000-0000-0000F3080000}"/>
    <cellStyle name="20% - Accent3 125" xfId="2389" xr:uid="{00000000-0005-0000-0000-0000F4080000}"/>
    <cellStyle name="20% - Accent3 126" xfId="2390" xr:uid="{00000000-0005-0000-0000-0000F5080000}"/>
    <cellStyle name="20% - Accent3 127" xfId="2391" xr:uid="{00000000-0005-0000-0000-0000F6080000}"/>
    <cellStyle name="20% - Accent3 128" xfId="2392" xr:uid="{00000000-0005-0000-0000-0000F7080000}"/>
    <cellStyle name="20% - Accent3 129" xfId="2393" xr:uid="{00000000-0005-0000-0000-0000F8080000}"/>
    <cellStyle name="20% - Accent3 13" xfId="2394" xr:uid="{00000000-0005-0000-0000-0000F9080000}"/>
    <cellStyle name="20% - Accent3 13 2" xfId="2395" xr:uid="{00000000-0005-0000-0000-0000FA080000}"/>
    <cellStyle name="20% - Accent3 13 2 2" xfId="2396" xr:uid="{00000000-0005-0000-0000-0000FB080000}"/>
    <cellStyle name="20% - Accent3 13 2 3" xfId="2397" xr:uid="{00000000-0005-0000-0000-0000FC080000}"/>
    <cellStyle name="20% - Accent3 13 2 4" xfId="2398" xr:uid="{00000000-0005-0000-0000-0000FD080000}"/>
    <cellStyle name="20% - Accent3 13 3" xfId="2399" xr:uid="{00000000-0005-0000-0000-0000FE080000}"/>
    <cellStyle name="20% - Accent3 13 4" xfId="2400" xr:uid="{00000000-0005-0000-0000-0000FF080000}"/>
    <cellStyle name="20% - Accent3 13 5" xfId="2401" xr:uid="{00000000-0005-0000-0000-000000090000}"/>
    <cellStyle name="20% - Accent3 130" xfId="2402" xr:uid="{00000000-0005-0000-0000-000001090000}"/>
    <cellStyle name="20% - Accent3 131" xfId="2403" xr:uid="{00000000-0005-0000-0000-000002090000}"/>
    <cellStyle name="20% - Accent3 132" xfId="2404" xr:uid="{00000000-0005-0000-0000-000003090000}"/>
    <cellStyle name="20% - Accent3 133" xfId="2405" xr:uid="{00000000-0005-0000-0000-000004090000}"/>
    <cellStyle name="20% - Accent3 134" xfId="2406" xr:uid="{00000000-0005-0000-0000-000005090000}"/>
    <cellStyle name="20% - Accent3 135" xfId="2407" xr:uid="{00000000-0005-0000-0000-000006090000}"/>
    <cellStyle name="20% - Accent3 136" xfId="2408" xr:uid="{00000000-0005-0000-0000-000007090000}"/>
    <cellStyle name="20% - Accent3 137" xfId="2409" xr:uid="{00000000-0005-0000-0000-000008090000}"/>
    <cellStyle name="20% - Accent3 138" xfId="2410" xr:uid="{00000000-0005-0000-0000-000009090000}"/>
    <cellStyle name="20% - Accent3 139" xfId="2411" xr:uid="{00000000-0005-0000-0000-00000A090000}"/>
    <cellStyle name="20% - Accent3 14" xfId="2412" xr:uid="{00000000-0005-0000-0000-00000B090000}"/>
    <cellStyle name="20% - Accent3 14 2" xfId="2413" xr:uid="{00000000-0005-0000-0000-00000C090000}"/>
    <cellStyle name="20% - Accent3 14 2 2" xfId="2414" xr:uid="{00000000-0005-0000-0000-00000D090000}"/>
    <cellStyle name="20% - Accent3 14 2 3" xfId="2415" xr:uid="{00000000-0005-0000-0000-00000E090000}"/>
    <cellStyle name="20% - Accent3 14 2 4" xfId="2416" xr:uid="{00000000-0005-0000-0000-00000F090000}"/>
    <cellStyle name="20% - Accent3 14 3" xfId="2417" xr:uid="{00000000-0005-0000-0000-000010090000}"/>
    <cellStyle name="20% - Accent3 14 4" xfId="2418" xr:uid="{00000000-0005-0000-0000-000011090000}"/>
    <cellStyle name="20% - Accent3 14 5" xfId="2419" xr:uid="{00000000-0005-0000-0000-000012090000}"/>
    <cellStyle name="20% - Accent3 140" xfId="2420" xr:uid="{00000000-0005-0000-0000-000013090000}"/>
    <cellStyle name="20% - Accent3 141" xfId="2421" xr:uid="{00000000-0005-0000-0000-000014090000}"/>
    <cellStyle name="20% - Accent3 142" xfId="2422" xr:uid="{00000000-0005-0000-0000-000015090000}"/>
    <cellStyle name="20% - Accent3 143" xfId="2423" xr:uid="{00000000-0005-0000-0000-000016090000}"/>
    <cellStyle name="20% - Accent3 144" xfId="2424" xr:uid="{00000000-0005-0000-0000-000017090000}"/>
    <cellStyle name="20% - Accent3 145" xfId="2425" xr:uid="{00000000-0005-0000-0000-000018090000}"/>
    <cellStyle name="20% - Accent3 146" xfId="2426" xr:uid="{00000000-0005-0000-0000-000019090000}"/>
    <cellStyle name="20% - Accent3 147" xfId="2427" xr:uid="{00000000-0005-0000-0000-00001A090000}"/>
    <cellStyle name="20% - Accent3 148" xfId="2428" xr:uid="{00000000-0005-0000-0000-00001B090000}"/>
    <cellStyle name="20% - Accent3 149" xfId="2429" xr:uid="{00000000-0005-0000-0000-00001C090000}"/>
    <cellStyle name="20% - Accent3 15" xfId="2430" xr:uid="{00000000-0005-0000-0000-00001D090000}"/>
    <cellStyle name="20% - Accent3 15 2" xfId="2431" xr:uid="{00000000-0005-0000-0000-00001E090000}"/>
    <cellStyle name="20% - Accent3 15 2 2" xfId="2432" xr:uid="{00000000-0005-0000-0000-00001F090000}"/>
    <cellStyle name="20% - Accent3 15 2 3" xfId="2433" xr:uid="{00000000-0005-0000-0000-000020090000}"/>
    <cellStyle name="20% - Accent3 15 2 4" xfId="2434" xr:uid="{00000000-0005-0000-0000-000021090000}"/>
    <cellStyle name="20% - Accent3 15 3" xfId="2435" xr:uid="{00000000-0005-0000-0000-000022090000}"/>
    <cellStyle name="20% - Accent3 15 4" xfId="2436" xr:uid="{00000000-0005-0000-0000-000023090000}"/>
    <cellStyle name="20% - Accent3 15 5" xfId="2437" xr:uid="{00000000-0005-0000-0000-000024090000}"/>
    <cellStyle name="20% - Accent3 150" xfId="2438" xr:uid="{00000000-0005-0000-0000-000025090000}"/>
    <cellStyle name="20% - Accent3 151" xfId="2439" xr:uid="{00000000-0005-0000-0000-000026090000}"/>
    <cellStyle name="20% - Accent3 152" xfId="2440" xr:uid="{00000000-0005-0000-0000-000027090000}"/>
    <cellStyle name="20% - Accent3 153" xfId="2441" xr:uid="{00000000-0005-0000-0000-000028090000}"/>
    <cellStyle name="20% - Accent3 154" xfId="2442" xr:uid="{00000000-0005-0000-0000-000029090000}"/>
    <cellStyle name="20% - Accent3 155" xfId="2443" xr:uid="{00000000-0005-0000-0000-00002A090000}"/>
    <cellStyle name="20% - Accent3 156" xfId="2444" xr:uid="{00000000-0005-0000-0000-00002B090000}"/>
    <cellStyle name="20% - Accent3 157" xfId="2445" xr:uid="{00000000-0005-0000-0000-00002C090000}"/>
    <cellStyle name="20% - Accent3 158" xfId="2446" xr:uid="{00000000-0005-0000-0000-00002D090000}"/>
    <cellStyle name="20% - Accent3 159" xfId="2447" xr:uid="{00000000-0005-0000-0000-00002E090000}"/>
    <cellStyle name="20% - Accent3 16" xfId="2448" xr:uid="{00000000-0005-0000-0000-00002F090000}"/>
    <cellStyle name="20% - Accent3 16 2" xfId="2449" xr:uid="{00000000-0005-0000-0000-000030090000}"/>
    <cellStyle name="20% - Accent3 16 2 2" xfId="2450" xr:uid="{00000000-0005-0000-0000-000031090000}"/>
    <cellStyle name="20% - Accent3 16 3" xfId="2451" xr:uid="{00000000-0005-0000-0000-000032090000}"/>
    <cellStyle name="20% - Accent3 16 4" xfId="2452" xr:uid="{00000000-0005-0000-0000-000033090000}"/>
    <cellStyle name="20% - Accent3 16 5" xfId="2453" xr:uid="{00000000-0005-0000-0000-000034090000}"/>
    <cellStyle name="20% - Accent3 160" xfId="2454" xr:uid="{00000000-0005-0000-0000-000035090000}"/>
    <cellStyle name="20% - Accent3 161" xfId="2455" xr:uid="{00000000-0005-0000-0000-000036090000}"/>
    <cellStyle name="20% - Accent3 162" xfId="2456" xr:uid="{00000000-0005-0000-0000-000037090000}"/>
    <cellStyle name="20% - Accent3 163" xfId="2457" xr:uid="{00000000-0005-0000-0000-000038090000}"/>
    <cellStyle name="20% - Accent3 164" xfId="2458" xr:uid="{00000000-0005-0000-0000-000039090000}"/>
    <cellStyle name="20% - Accent3 165" xfId="2459" xr:uid="{00000000-0005-0000-0000-00003A090000}"/>
    <cellStyle name="20% - Accent3 166" xfId="2460" xr:uid="{00000000-0005-0000-0000-00003B090000}"/>
    <cellStyle name="20% - Accent3 167" xfId="2461" xr:uid="{00000000-0005-0000-0000-00003C090000}"/>
    <cellStyle name="20% - Accent3 168" xfId="2462" xr:uid="{00000000-0005-0000-0000-00003D090000}"/>
    <cellStyle name="20% - Accent3 169" xfId="2463" xr:uid="{00000000-0005-0000-0000-00003E090000}"/>
    <cellStyle name="20% - Accent3 17" xfId="2464" xr:uid="{00000000-0005-0000-0000-00003F090000}"/>
    <cellStyle name="20% - Accent3 17 2" xfId="2465" xr:uid="{00000000-0005-0000-0000-000040090000}"/>
    <cellStyle name="20% - Accent3 17 2 2" xfId="2466" xr:uid="{00000000-0005-0000-0000-000041090000}"/>
    <cellStyle name="20% - Accent3 17 3" xfId="2467" xr:uid="{00000000-0005-0000-0000-000042090000}"/>
    <cellStyle name="20% - Accent3 17 4" xfId="2468" xr:uid="{00000000-0005-0000-0000-000043090000}"/>
    <cellStyle name="20% - Accent3 17 5" xfId="2469" xr:uid="{00000000-0005-0000-0000-000044090000}"/>
    <cellStyle name="20% - Accent3 18" xfId="2470" xr:uid="{00000000-0005-0000-0000-000045090000}"/>
    <cellStyle name="20% - Accent3 18 2" xfId="2471" xr:uid="{00000000-0005-0000-0000-000046090000}"/>
    <cellStyle name="20% - Accent3 18 2 2" xfId="2472" xr:uid="{00000000-0005-0000-0000-000047090000}"/>
    <cellStyle name="20% - Accent3 18 3" xfId="2473" xr:uid="{00000000-0005-0000-0000-000048090000}"/>
    <cellStyle name="20% - Accent3 18 4" xfId="2474" xr:uid="{00000000-0005-0000-0000-000049090000}"/>
    <cellStyle name="20% - Accent3 18 5" xfId="2475" xr:uid="{00000000-0005-0000-0000-00004A090000}"/>
    <cellStyle name="20% - Accent3 19" xfId="2476" xr:uid="{00000000-0005-0000-0000-00004B090000}"/>
    <cellStyle name="20% - Accent3 19 2" xfId="2477" xr:uid="{00000000-0005-0000-0000-00004C090000}"/>
    <cellStyle name="20% - Accent3 19 2 2" xfId="2478" xr:uid="{00000000-0005-0000-0000-00004D090000}"/>
    <cellStyle name="20% - Accent3 19 3" xfId="2479" xr:uid="{00000000-0005-0000-0000-00004E090000}"/>
    <cellStyle name="20% - Accent3 19 4" xfId="2480" xr:uid="{00000000-0005-0000-0000-00004F090000}"/>
    <cellStyle name="20% - Accent3 19 5" xfId="2481" xr:uid="{00000000-0005-0000-0000-000050090000}"/>
    <cellStyle name="20% - Accent3 2" xfId="2482" xr:uid="{00000000-0005-0000-0000-000051090000}"/>
    <cellStyle name="20% - Accent3 2 10" xfId="2483" xr:uid="{00000000-0005-0000-0000-000052090000}"/>
    <cellStyle name="20% - Accent3 2 11" xfId="2484" xr:uid="{00000000-0005-0000-0000-000053090000}"/>
    <cellStyle name="20% - Accent3 2 12" xfId="2485" xr:uid="{00000000-0005-0000-0000-000054090000}"/>
    <cellStyle name="20% - Accent3 2 13" xfId="2486" xr:uid="{00000000-0005-0000-0000-000055090000}"/>
    <cellStyle name="20% - Accent3 2 14" xfId="2487" xr:uid="{00000000-0005-0000-0000-000056090000}"/>
    <cellStyle name="20% - Accent3 2 15" xfId="2488" xr:uid="{00000000-0005-0000-0000-000057090000}"/>
    <cellStyle name="20% - Accent3 2 16" xfId="2489" xr:uid="{00000000-0005-0000-0000-000058090000}"/>
    <cellStyle name="20% - Accent3 2 17" xfId="2490" xr:uid="{00000000-0005-0000-0000-000059090000}"/>
    <cellStyle name="20% - Accent3 2 18" xfId="2491" xr:uid="{00000000-0005-0000-0000-00005A090000}"/>
    <cellStyle name="20% - Accent3 2 19" xfId="2492" xr:uid="{00000000-0005-0000-0000-00005B090000}"/>
    <cellStyle name="20% - Accent3 2 2" xfId="2493" xr:uid="{00000000-0005-0000-0000-00005C090000}"/>
    <cellStyle name="20% - Accent3 2 2 2" xfId="2494" xr:uid="{00000000-0005-0000-0000-00005D090000}"/>
    <cellStyle name="20% - Accent3 2 20" xfId="2495" xr:uid="{00000000-0005-0000-0000-00005E090000}"/>
    <cellStyle name="20% - Accent3 2 21" xfId="2496" xr:uid="{00000000-0005-0000-0000-00005F090000}"/>
    <cellStyle name="20% - Accent3 2 22" xfId="2497" xr:uid="{00000000-0005-0000-0000-000060090000}"/>
    <cellStyle name="20% - Accent3 2 23" xfId="2498" xr:uid="{00000000-0005-0000-0000-000061090000}"/>
    <cellStyle name="20% - Accent3 2 24" xfId="2499" xr:uid="{00000000-0005-0000-0000-000062090000}"/>
    <cellStyle name="20% - Accent3 2 25" xfId="2500" xr:uid="{00000000-0005-0000-0000-000063090000}"/>
    <cellStyle name="20% - Accent3 2 26" xfId="2501" xr:uid="{00000000-0005-0000-0000-000064090000}"/>
    <cellStyle name="20% - Accent3 2 27" xfId="2502" xr:uid="{00000000-0005-0000-0000-000065090000}"/>
    <cellStyle name="20% - Accent3 2 28" xfId="2503" xr:uid="{00000000-0005-0000-0000-000066090000}"/>
    <cellStyle name="20% - Accent3 2 29" xfId="2504" xr:uid="{00000000-0005-0000-0000-000067090000}"/>
    <cellStyle name="20% - Accent3 2 3" xfId="2505" xr:uid="{00000000-0005-0000-0000-000068090000}"/>
    <cellStyle name="20% - Accent3 2 30" xfId="2506" xr:uid="{00000000-0005-0000-0000-000069090000}"/>
    <cellStyle name="20% - Accent3 2 31" xfId="2507" xr:uid="{00000000-0005-0000-0000-00006A090000}"/>
    <cellStyle name="20% - Accent3 2 32" xfId="2508" xr:uid="{00000000-0005-0000-0000-00006B090000}"/>
    <cellStyle name="20% - Accent3 2 33" xfId="2509" xr:uid="{00000000-0005-0000-0000-00006C090000}"/>
    <cellStyle name="20% - Accent3 2 34" xfId="2510" xr:uid="{00000000-0005-0000-0000-00006D090000}"/>
    <cellStyle name="20% - Accent3 2 35" xfId="2511" xr:uid="{00000000-0005-0000-0000-00006E090000}"/>
    <cellStyle name="20% - Accent3 2 36" xfId="2512" xr:uid="{00000000-0005-0000-0000-00006F090000}"/>
    <cellStyle name="20% - Accent3 2 37" xfId="2513" xr:uid="{00000000-0005-0000-0000-000070090000}"/>
    <cellStyle name="20% - Accent3 2 4" xfId="2514" xr:uid="{00000000-0005-0000-0000-000071090000}"/>
    <cellStyle name="20% - Accent3 2 4 2" xfId="2515" xr:uid="{00000000-0005-0000-0000-000072090000}"/>
    <cellStyle name="20% - Accent3 2 4 2 2" xfId="2516" xr:uid="{00000000-0005-0000-0000-000073090000}"/>
    <cellStyle name="20% - Accent3 2 4 3" xfId="2517" xr:uid="{00000000-0005-0000-0000-000074090000}"/>
    <cellStyle name="20% - Accent3 2 4 3 2" xfId="2518" xr:uid="{00000000-0005-0000-0000-000075090000}"/>
    <cellStyle name="20% - Accent3 2 4 4" xfId="2519" xr:uid="{00000000-0005-0000-0000-000076090000}"/>
    <cellStyle name="20% - Accent3 2 5" xfId="2520" xr:uid="{00000000-0005-0000-0000-000077090000}"/>
    <cellStyle name="20% - Accent3 2 6" xfId="2521" xr:uid="{00000000-0005-0000-0000-000078090000}"/>
    <cellStyle name="20% - Accent3 2 7" xfId="2522" xr:uid="{00000000-0005-0000-0000-000079090000}"/>
    <cellStyle name="20% - Accent3 2 8" xfId="2523" xr:uid="{00000000-0005-0000-0000-00007A090000}"/>
    <cellStyle name="20% - Accent3 2 9" xfId="2524" xr:uid="{00000000-0005-0000-0000-00007B090000}"/>
    <cellStyle name="20% - Accent3 2_ERDF Losses" xfId="2525" xr:uid="{00000000-0005-0000-0000-00007C090000}"/>
    <cellStyle name="20% - Accent3 20" xfId="2526" xr:uid="{00000000-0005-0000-0000-00007D090000}"/>
    <cellStyle name="20% - Accent3 20 10" xfId="2527" xr:uid="{00000000-0005-0000-0000-00007E090000}"/>
    <cellStyle name="20% - Accent3 20 11" xfId="2528" xr:uid="{00000000-0005-0000-0000-00007F090000}"/>
    <cellStyle name="20% - Accent3 20 12" xfId="2529" xr:uid="{00000000-0005-0000-0000-000080090000}"/>
    <cellStyle name="20% - Accent3 20 13" xfId="2530" xr:uid="{00000000-0005-0000-0000-000081090000}"/>
    <cellStyle name="20% - Accent3 20 14" xfId="2531" xr:uid="{00000000-0005-0000-0000-000082090000}"/>
    <cellStyle name="20% - Accent3 20 15" xfId="2532" xr:uid="{00000000-0005-0000-0000-000083090000}"/>
    <cellStyle name="20% - Accent3 20 16" xfId="2533" xr:uid="{00000000-0005-0000-0000-000084090000}"/>
    <cellStyle name="20% - Accent3 20 17" xfId="2534" xr:uid="{00000000-0005-0000-0000-000085090000}"/>
    <cellStyle name="20% - Accent3 20 18" xfId="2535" xr:uid="{00000000-0005-0000-0000-000086090000}"/>
    <cellStyle name="20% - Accent3 20 2" xfId="2536" xr:uid="{00000000-0005-0000-0000-000087090000}"/>
    <cellStyle name="20% - Accent3 20 2 2" xfId="2537" xr:uid="{00000000-0005-0000-0000-000088090000}"/>
    <cellStyle name="20% - Accent3 20 2 3" xfId="2538" xr:uid="{00000000-0005-0000-0000-000089090000}"/>
    <cellStyle name="20% - Accent3 20 2 4" xfId="2539" xr:uid="{00000000-0005-0000-0000-00008A090000}"/>
    <cellStyle name="20% - Accent3 20 3" xfId="2540" xr:uid="{00000000-0005-0000-0000-00008B090000}"/>
    <cellStyle name="20% - Accent3 20 4" xfId="2541" xr:uid="{00000000-0005-0000-0000-00008C090000}"/>
    <cellStyle name="20% - Accent3 20 5" xfId="2542" xr:uid="{00000000-0005-0000-0000-00008D090000}"/>
    <cellStyle name="20% - Accent3 20 6" xfId="2543" xr:uid="{00000000-0005-0000-0000-00008E090000}"/>
    <cellStyle name="20% - Accent3 20 7" xfId="2544" xr:uid="{00000000-0005-0000-0000-00008F090000}"/>
    <cellStyle name="20% - Accent3 20 8" xfId="2545" xr:uid="{00000000-0005-0000-0000-000090090000}"/>
    <cellStyle name="20% - Accent3 20 9" xfId="2546" xr:uid="{00000000-0005-0000-0000-000091090000}"/>
    <cellStyle name="20% - Accent3 21" xfId="2547" xr:uid="{00000000-0005-0000-0000-000092090000}"/>
    <cellStyle name="20% - Accent3 21 2" xfId="2548" xr:uid="{00000000-0005-0000-0000-000093090000}"/>
    <cellStyle name="20% - Accent3 21 2 2" xfId="2549" xr:uid="{00000000-0005-0000-0000-000094090000}"/>
    <cellStyle name="20% - Accent3 21 2 3" xfId="2550" xr:uid="{00000000-0005-0000-0000-000095090000}"/>
    <cellStyle name="20% - Accent3 21 3" xfId="2551" xr:uid="{00000000-0005-0000-0000-000096090000}"/>
    <cellStyle name="20% - Accent3 21 4" xfId="2552" xr:uid="{00000000-0005-0000-0000-000097090000}"/>
    <cellStyle name="20% - Accent3 21 5" xfId="2553" xr:uid="{00000000-0005-0000-0000-000098090000}"/>
    <cellStyle name="20% - Accent3 21 6" xfId="2554" xr:uid="{00000000-0005-0000-0000-000099090000}"/>
    <cellStyle name="20% - Accent3 22" xfId="2555" xr:uid="{00000000-0005-0000-0000-00009A090000}"/>
    <cellStyle name="20% - Accent3 22 2" xfId="2556" xr:uid="{00000000-0005-0000-0000-00009B090000}"/>
    <cellStyle name="20% - Accent3 22 3" xfId="2557" xr:uid="{00000000-0005-0000-0000-00009C090000}"/>
    <cellStyle name="20% - Accent3 23" xfId="2558" xr:uid="{00000000-0005-0000-0000-00009D090000}"/>
    <cellStyle name="20% - Accent3 23 2" xfId="2559" xr:uid="{00000000-0005-0000-0000-00009E090000}"/>
    <cellStyle name="20% - Accent3 23 3" xfId="2560" xr:uid="{00000000-0005-0000-0000-00009F090000}"/>
    <cellStyle name="20% - Accent3 24" xfId="2561" xr:uid="{00000000-0005-0000-0000-0000A0090000}"/>
    <cellStyle name="20% - Accent3 24 2" xfId="2562" xr:uid="{00000000-0005-0000-0000-0000A1090000}"/>
    <cellStyle name="20% - Accent3 24 3" xfId="2563" xr:uid="{00000000-0005-0000-0000-0000A2090000}"/>
    <cellStyle name="20% - Accent3 25" xfId="2564" xr:uid="{00000000-0005-0000-0000-0000A3090000}"/>
    <cellStyle name="20% - Accent3 25 2" xfId="2565" xr:uid="{00000000-0005-0000-0000-0000A4090000}"/>
    <cellStyle name="20% - Accent3 25 3" xfId="2566" xr:uid="{00000000-0005-0000-0000-0000A5090000}"/>
    <cellStyle name="20% - Accent3 26" xfId="2567" xr:uid="{00000000-0005-0000-0000-0000A6090000}"/>
    <cellStyle name="20% - Accent3 26 2" xfId="2568" xr:uid="{00000000-0005-0000-0000-0000A7090000}"/>
    <cellStyle name="20% - Accent3 26 3" xfId="2569" xr:uid="{00000000-0005-0000-0000-0000A8090000}"/>
    <cellStyle name="20% - Accent3 27" xfId="2570" xr:uid="{00000000-0005-0000-0000-0000A9090000}"/>
    <cellStyle name="20% - Accent3 27 2" xfId="2571" xr:uid="{00000000-0005-0000-0000-0000AA090000}"/>
    <cellStyle name="20% - Accent3 27 3" xfId="2572" xr:uid="{00000000-0005-0000-0000-0000AB090000}"/>
    <cellStyle name="20% - Accent3 28" xfId="2573" xr:uid="{00000000-0005-0000-0000-0000AC090000}"/>
    <cellStyle name="20% - Accent3 28 2" xfId="2574" xr:uid="{00000000-0005-0000-0000-0000AD090000}"/>
    <cellStyle name="20% - Accent3 28 3" xfId="2575" xr:uid="{00000000-0005-0000-0000-0000AE090000}"/>
    <cellStyle name="20% - Accent3 29" xfId="2576" xr:uid="{00000000-0005-0000-0000-0000AF090000}"/>
    <cellStyle name="20% - Accent3 29 2" xfId="2577" xr:uid="{00000000-0005-0000-0000-0000B0090000}"/>
    <cellStyle name="20% - Accent3 29 3" xfId="2578" xr:uid="{00000000-0005-0000-0000-0000B1090000}"/>
    <cellStyle name="20% - Accent3 3" xfId="2579" xr:uid="{00000000-0005-0000-0000-0000B2090000}"/>
    <cellStyle name="20% - Accent3 3 10" xfId="2580" xr:uid="{00000000-0005-0000-0000-0000B3090000}"/>
    <cellStyle name="20% - Accent3 3 10 10" xfId="2581" xr:uid="{00000000-0005-0000-0000-0000B4090000}"/>
    <cellStyle name="20% - Accent3 3 10 11" xfId="2582" xr:uid="{00000000-0005-0000-0000-0000B5090000}"/>
    <cellStyle name="20% - Accent3 3 10 12" xfId="2583" xr:uid="{00000000-0005-0000-0000-0000B6090000}"/>
    <cellStyle name="20% - Accent3 3 10 13" xfId="2584" xr:uid="{00000000-0005-0000-0000-0000B7090000}"/>
    <cellStyle name="20% - Accent3 3 10 14" xfId="2585" xr:uid="{00000000-0005-0000-0000-0000B8090000}"/>
    <cellStyle name="20% - Accent3 3 10 15" xfId="2586" xr:uid="{00000000-0005-0000-0000-0000B9090000}"/>
    <cellStyle name="20% - Accent3 3 10 2" xfId="2587" xr:uid="{00000000-0005-0000-0000-0000BA090000}"/>
    <cellStyle name="20% - Accent3 3 10 3" xfId="2588" xr:uid="{00000000-0005-0000-0000-0000BB090000}"/>
    <cellStyle name="20% - Accent3 3 10 4" xfId="2589" xr:uid="{00000000-0005-0000-0000-0000BC090000}"/>
    <cellStyle name="20% - Accent3 3 10 5" xfId="2590" xr:uid="{00000000-0005-0000-0000-0000BD090000}"/>
    <cellStyle name="20% - Accent3 3 10 6" xfId="2591" xr:uid="{00000000-0005-0000-0000-0000BE090000}"/>
    <cellStyle name="20% - Accent3 3 10 7" xfId="2592" xr:uid="{00000000-0005-0000-0000-0000BF090000}"/>
    <cellStyle name="20% - Accent3 3 10 8" xfId="2593" xr:uid="{00000000-0005-0000-0000-0000C0090000}"/>
    <cellStyle name="20% - Accent3 3 10 9" xfId="2594" xr:uid="{00000000-0005-0000-0000-0000C1090000}"/>
    <cellStyle name="20% - Accent3 3 11" xfId="2595" xr:uid="{00000000-0005-0000-0000-0000C2090000}"/>
    <cellStyle name="20% - Accent3 3 11 10" xfId="2596" xr:uid="{00000000-0005-0000-0000-0000C3090000}"/>
    <cellStyle name="20% - Accent3 3 11 11" xfId="2597" xr:uid="{00000000-0005-0000-0000-0000C4090000}"/>
    <cellStyle name="20% - Accent3 3 11 12" xfId="2598" xr:uid="{00000000-0005-0000-0000-0000C5090000}"/>
    <cellStyle name="20% - Accent3 3 11 13" xfId="2599" xr:uid="{00000000-0005-0000-0000-0000C6090000}"/>
    <cellStyle name="20% - Accent3 3 11 14" xfId="2600" xr:uid="{00000000-0005-0000-0000-0000C7090000}"/>
    <cellStyle name="20% - Accent3 3 11 15" xfId="2601" xr:uid="{00000000-0005-0000-0000-0000C8090000}"/>
    <cellStyle name="20% - Accent3 3 11 2" xfId="2602" xr:uid="{00000000-0005-0000-0000-0000C9090000}"/>
    <cellStyle name="20% - Accent3 3 11 3" xfId="2603" xr:uid="{00000000-0005-0000-0000-0000CA090000}"/>
    <cellStyle name="20% - Accent3 3 11 4" xfId="2604" xr:uid="{00000000-0005-0000-0000-0000CB090000}"/>
    <cellStyle name="20% - Accent3 3 11 5" xfId="2605" xr:uid="{00000000-0005-0000-0000-0000CC090000}"/>
    <cellStyle name="20% - Accent3 3 11 6" xfId="2606" xr:uid="{00000000-0005-0000-0000-0000CD090000}"/>
    <cellStyle name="20% - Accent3 3 11 7" xfId="2607" xr:uid="{00000000-0005-0000-0000-0000CE090000}"/>
    <cellStyle name="20% - Accent3 3 11 8" xfId="2608" xr:uid="{00000000-0005-0000-0000-0000CF090000}"/>
    <cellStyle name="20% - Accent3 3 11 9" xfId="2609" xr:uid="{00000000-0005-0000-0000-0000D0090000}"/>
    <cellStyle name="20% - Accent3 3 12" xfId="2610" xr:uid="{00000000-0005-0000-0000-0000D1090000}"/>
    <cellStyle name="20% - Accent3 3 12 10" xfId="2611" xr:uid="{00000000-0005-0000-0000-0000D2090000}"/>
    <cellStyle name="20% - Accent3 3 12 11" xfId="2612" xr:uid="{00000000-0005-0000-0000-0000D3090000}"/>
    <cellStyle name="20% - Accent3 3 12 12" xfId="2613" xr:uid="{00000000-0005-0000-0000-0000D4090000}"/>
    <cellStyle name="20% - Accent3 3 12 13" xfId="2614" xr:uid="{00000000-0005-0000-0000-0000D5090000}"/>
    <cellStyle name="20% - Accent3 3 12 14" xfId="2615" xr:uid="{00000000-0005-0000-0000-0000D6090000}"/>
    <cellStyle name="20% - Accent3 3 12 15" xfId="2616" xr:uid="{00000000-0005-0000-0000-0000D7090000}"/>
    <cellStyle name="20% - Accent3 3 12 2" xfId="2617" xr:uid="{00000000-0005-0000-0000-0000D8090000}"/>
    <cellStyle name="20% - Accent3 3 12 3" xfId="2618" xr:uid="{00000000-0005-0000-0000-0000D9090000}"/>
    <cellStyle name="20% - Accent3 3 12 4" xfId="2619" xr:uid="{00000000-0005-0000-0000-0000DA090000}"/>
    <cellStyle name="20% - Accent3 3 12 5" xfId="2620" xr:uid="{00000000-0005-0000-0000-0000DB090000}"/>
    <cellStyle name="20% - Accent3 3 12 6" xfId="2621" xr:uid="{00000000-0005-0000-0000-0000DC090000}"/>
    <cellStyle name="20% - Accent3 3 12 7" xfId="2622" xr:uid="{00000000-0005-0000-0000-0000DD090000}"/>
    <cellStyle name="20% - Accent3 3 12 8" xfId="2623" xr:uid="{00000000-0005-0000-0000-0000DE090000}"/>
    <cellStyle name="20% - Accent3 3 12 9" xfId="2624" xr:uid="{00000000-0005-0000-0000-0000DF090000}"/>
    <cellStyle name="20% - Accent3 3 13" xfId="2625" xr:uid="{00000000-0005-0000-0000-0000E0090000}"/>
    <cellStyle name="20% - Accent3 3 13 10" xfId="2626" xr:uid="{00000000-0005-0000-0000-0000E1090000}"/>
    <cellStyle name="20% - Accent3 3 13 11" xfId="2627" xr:uid="{00000000-0005-0000-0000-0000E2090000}"/>
    <cellStyle name="20% - Accent3 3 13 12" xfId="2628" xr:uid="{00000000-0005-0000-0000-0000E3090000}"/>
    <cellStyle name="20% - Accent3 3 13 13" xfId="2629" xr:uid="{00000000-0005-0000-0000-0000E4090000}"/>
    <cellStyle name="20% - Accent3 3 13 14" xfId="2630" xr:uid="{00000000-0005-0000-0000-0000E5090000}"/>
    <cellStyle name="20% - Accent3 3 13 15" xfId="2631" xr:uid="{00000000-0005-0000-0000-0000E6090000}"/>
    <cellStyle name="20% - Accent3 3 13 2" xfId="2632" xr:uid="{00000000-0005-0000-0000-0000E7090000}"/>
    <cellStyle name="20% - Accent3 3 13 3" xfId="2633" xr:uid="{00000000-0005-0000-0000-0000E8090000}"/>
    <cellStyle name="20% - Accent3 3 13 4" xfId="2634" xr:uid="{00000000-0005-0000-0000-0000E9090000}"/>
    <cellStyle name="20% - Accent3 3 13 5" xfId="2635" xr:uid="{00000000-0005-0000-0000-0000EA090000}"/>
    <cellStyle name="20% - Accent3 3 13 6" xfId="2636" xr:uid="{00000000-0005-0000-0000-0000EB090000}"/>
    <cellStyle name="20% - Accent3 3 13 7" xfId="2637" xr:uid="{00000000-0005-0000-0000-0000EC090000}"/>
    <cellStyle name="20% - Accent3 3 13 8" xfId="2638" xr:uid="{00000000-0005-0000-0000-0000ED090000}"/>
    <cellStyle name="20% - Accent3 3 13 9" xfId="2639" xr:uid="{00000000-0005-0000-0000-0000EE090000}"/>
    <cellStyle name="20% - Accent3 3 14" xfId="2640" xr:uid="{00000000-0005-0000-0000-0000EF090000}"/>
    <cellStyle name="20% - Accent3 3 14 10" xfId="2641" xr:uid="{00000000-0005-0000-0000-0000F0090000}"/>
    <cellStyle name="20% - Accent3 3 14 11" xfId="2642" xr:uid="{00000000-0005-0000-0000-0000F1090000}"/>
    <cellStyle name="20% - Accent3 3 14 12" xfId="2643" xr:uid="{00000000-0005-0000-0000-0000F2090000}"/>
    <cellStyle name="20% - Accent3 3 14 13" xfId="2644" xr:uid="{00000000-0005-0000-0000-0000F3090000}"/>
    <cellStyle name="20% - Accent3 3 14 14" xfId="2645" xr:uid="{00000000-0005-0000-0000-0000F4090000}"/>
    <cellStyle name="20% - Accent3 3 14 15" xfId="2646" xr:uid="{00000000-0005-0000-0000-0000F5090000}"/>
    <cellStyle name="20% - Accent3 3 14 2" xfId="2647" xr:uid="{00000000-0005-0000-0000-0000F6090000}"/>
    <cellStyle name="20% - Accent3 3 14 3" xfId="2648" xr:uid="{00000000-0005-0000-0000-0000F7090000}"/>
    <cellStyle name="20% - Accent3 3 14 4" xfId="2649" xr:uid="{00000000-0005-0000-0000-0000F8090000}"/>
    <cellStyle name="20% - Accent3 3 14 5" xfId="2650" xr:uid="{00000000-0005-0000-0000-0000F9090000}"/>
    <cellStyle name="20% - Accent3 3 14 6" xfId="2651" xr:uid="{00000000-0005-0000-0000-0000FA090000}"/>
    <cellStyle name="20% - Accent3 3 14 7" xfId="2652" xr:uid="{00000000-0005-0000-0000-0000FB090000}"/>
    <cellStyle name="20% - Accent3 3 14 8" xfId="2653" xr:uid="{00000000-0005-0000-0000-0000FC090000}"/>
    <cellStyle name="20% - Accent3 3 14 9" xfId="2654" xr:uid="{00000000-0005-0000-0000-0000FD090000}"/>
    <cellStyle name="20% - Accent3 3 15" xfId="2655" xr:uid="{00000000-0005-0000-0000-0000FE090000}"/>
    <cellStyle name="20% - Accent3 3 15 10" xfId="2656" xr:uid="{00000000-0005-0000-0000-0000FF090000}"/>
    <cellStyle name="20% - Accent3 3 15 11" xfId="2657" xr:uid="{00000000-0005-0000-0000-0000000A0000}"/>
    <cellStyle name="20% - Accent3 3 15 12" xfId="2658" xr:uid="{00000000-0005-0000-0000-0000010A0000}"/>
    <cellStyle name="20% - Accent3 3 15 13" xfId="2659" xr:uid="{00000000-0005-0000-0000-0000020A0000}"/>
    <cellStyle name="20% - Accent3 3 15 14" xfId="2660" xr:uid="{00000000-0005-0000-0000-0000030A0000}"/>
    <cellStyle name="20% - Accent3 3 15 15" xfId="2661" xr:uid="{00000000-0005-0000-0000-0000040A0000}"/>
    <cellStyle name="20% - Accent3 3 15 2" xfId="2662" xr:uid="{00000000-0005-0000-0000-0000050A0000}"/>
    <cellStyle name="20% - Accent3 3 15 3" xfId="2663" xr:uid="{00000000-0005-0000-0000-0000060A0000}"/>
    <cellStyle name="20% - Accent3 3 15 4" xfId="2664" xr:uid="{00000000-0005-0000-0000-0000070A0000}"/>
    <cellStyle name="20% - Accent3 3 15 5" xfId="2665" xr:uid="{00000000-0005-0000-0000-0000080A0000}"/>
    <cellStyle name="20% - Accent3 3 15 6" xfId="2666" xr:uid="{00000000-0005-0000-0000-0000090A0000}"/>
    <cellStyle name="20% - Accent3 3 15 7" xfId="2667" xr:uid="{00000000-0005-0000-0000-00000A0A0000}"/>
    <cellStyle name="20% - Accent3 3 15 8" xfId="2668" xr:uid="{00000000-0005-0000-0000-00000B0A0000}"/>
    <cellStyle name="20% - Accent3 3 15 9" xfId="2669" xr:uid="{00000000-0005-0000-0000-00000C0A0000}"/>
    <cellStyle name="20% - Accent3 3 16" xfId="2670" xr:uid="{00000000-0005-0000-0000-00000D0A0000}"/>
    <cellStyle name="20% - Accent3 3 16 10" xfId="2671" xr:uid="{00000000-0005-0000-0000-00000E0A0000}"/>
    <cellStyle name="20% - Accent3 3 16 11" xfId="2672" xr:uid="{00000000-0005-0000-0000-00000F0A0000}"/>
    <cellStyle name="20% - Accent3 3 16 12" xfId="2673" xr:uid="{00000000-0005-0000-0000-0000100A0000}"/>
    <cellStyle name="20% - Accent3 3 16 13" xfId="2674" xr:uid="{00000000-0005-0000-0000-0000110A0000}"/>
    <cellStyle name="20% - Accent3 3 16 14" xfId="2675" xr:uid="{00000000-0005-0000-0000-0000120A0000}"/>
    <cellStyle name="20% - Accent3 3 16 15" xfId="2676" xr:uid="{00000000-0005-0000-0000-0000130A0000}"/>
    <cellStyle name="20% - Accent3 3 16 2" xfId="2677" xr:uid="{00000000-0005-0000-0000-0000140A0000}"/>
    <cellStyle name="20% - Accent3 3 16 3" xfId="2678" xr:uid="{00000000-0005-0000-0000-0000150A0000}"/>
    <cellStyle name="20% - Accent3 3 16 4" xfId="2679" xr:uid="{00000000-0005-0000-0000-0000160A0000}"/>
    <cellStyle name="20% - Accent3 3 16 5" xfId="2680" xr:uid="{00000000-0005-0000-0000-0000170A0000}"/>
    <cellStyle name="20% - Accent3 3 16 6" xfId="2681" xr:uid="{00000000-0005-0000-0000-0000180A0000}"/>
    <cellStyle name="20% - Accent3 3 16 7" xfId="2682" xr:uid="{00000000-0005-0000-0000-0000190A0000}"/>
    <cellStyle name="20% - Accent3 3 16 8" xfId="2683" xr:uid="{00000000-0005-0000-0000-00001A0A0000}"/>
    <cellStyle name="20% - Accent3 3 16 9" xfId="2684" xr:uid="{00000000-0005-0000-0000-00001B0A0000}"/>
    <cellStyle name="20% - Accent3 3 17" xfId="2685" xr:uid="{00000000-0005-0000-0000-00001C0A0000}"/>
    <cellStyle name="20% - Accent3 3 17 10" xfId="2686" xr:uid="{00000000-0005-0000-0000-00001D0A0000}"/>
    <cellStyle name="20% - Accent3 3 17 11" xfId="2687" xr:uid="{00000000-0005-0000-0000-00001E0A0000}"/>
    <cellStyle name="20% - Accent3 3 17 12" xfId="2688" xr:uid="{00000000-0005-0000-0000-00001F0A0000}"/>
    <cellStyle name="20% - Accent3 3 17 13" xfId="2689" xr:uid="{00000000-0005-0000-0000-0000200A0000}"/>
    <cellStyle name="20% - Accent3 3 17 14" xfId="2690" xr:uid="{00000000-0005-0000-0000-0000210A0000}"/>
    <cellStyle name="20% - Accent3 3 17 15" xfId="2691" xr:uid="{00000000-0005-0000-0000-0000220A0000}"/>
    <cellStyle name="20% - Accent3 3 17 2" xfId="2692" xr:uid="{00000000-0005-0000-0000-0000230A0000}"/>
    <cellStyle name="20% - Accent3 3 17 3" xfId="2693" xr:uid="{00000000-0005-0000-0000-0000240A0000}"/>
    <cellStyle name="20% - Accent3 3 17 4" xfId="2694" xr:uid="{00000000-0005-0000-0000-0000250A0000}"/>
    <cellStyle name="20% - Accent3 3 17 5" xfId="2695" xr:uid="{00000000-0005-0000-0000-0000260A0000}"/>
    <cellStyle name="20% - Accent3 3 17 6" xfId="2696" xr:uid="{00000000-0005-0000-0000-0000270A0000}"/>
    <cellStyle name="20% - Accent3 3 17 7" xfId="2697" xr:uid="{00000000-0005-0000-0000-0000280A0000}"/>
    <cellStyle name="20% - Accent3 3 17 8" xfId="2698" xr:uid="{00000000-0005-0000-0000-0000290A0000}"/>
    <cellStyle name="20% - Accent3 3 17 9" xfId="2699" xr:uid="{00000000-0005-0000-0000-00002A0A0000}"/>
    <cellStyle name="20% - Accent3 3 18" xfId="2700" xr:uid="{00000000-0005-0000-0000-00002B0A0000}"/>
    <cellStyle name="20% - Accent3 3 18 10" xfId="2701" xr:uid="{00000000-0005-0000-0000-00002C0A0000}"/>
    <cellStyle name="20% - Accent3 3 18 11" xfId="2702" xr:uid="{00000000-0005-0000-0000-00002D0A0000}"/>
    <cellStyle name="20% - Accent3 3 18 12" xfId="2703" xr:uid="{00000000-0005-0000-0000-00002E0A0000}"/>
    <cellStyle name="20% - Accent3 3 18 13" xfId="2704" xr:uid="{00000000-0005-0000-0000-00002F0A0000}"/>
    <cellStyle name="20% - Accent3 3 18 14" xfId="2705" xr:uid="{00000000-0005-0000-0000-0000300A0000}"/>
    <cellStyle name="20% - Accent3 3 18 15" xfId="2706" xr:uid="{00000000-0005-0000-0000-0000310A0000}"/>
    <cellStyle name="20% - Accent3 3 18 2" xfId="2707" xr:uid="{00000000-0005-0000-0000-0000320A0000}"/>
    <cellStyle name="20% - Accent3 3 18 3" xfId="2708" xr:uid="{00000000-0005-0000-0000-0000330A0000}"/>
    <cellStyle name="20% - Accent3 3 18 4" xfId="2709" xr:uid="{00000000-0005-0000-0000-0000340A0000}"/>
    <cellStyle name="20% - Accent3 3 18 5" xfId="2710" xr:uid="{00000000-0005-0000-0000-0000350A0000}"/>
    <cellStyle name="20% - Accent3 3 18 6" xfId="2711" xr:uid="{00000000-0005-0000-0000-0000360A0000}"/>
    <cellStyle name="20% - Accent3 3 18 7" xfId="2712" xr:uid="{00000000-0005-0000-0000-0000370A0000}"/>
    <cellStyle name="20% - Accent3 3 18 8" xfId="2713" xr:uid="{00000000-0005-0000-0000-0000380A0000}"/>
    <cellStyle name="20% - Accent3 3 18 9" xfId="2714" xr:uid="{00000000-0005-0000-0000-0000390A0000}"/>
    <cellStyle name="20% - Accent3 3 19" xfId="2715" xr:uid="{00000000-0005-0000-0000-00003A0A0000}"/>
    <cellStyle name="20% - Accent3 3 19 10" xfId="2716" xr:uid="{00000000-0005-0000-0000-00003B0A0000}"/>
    <cellStyle name="20% - Accent3 3 19 11" xfId="2717" xr:uid="{00000000-0005-0000-0000-00003C0A0000}"/>
    <cellStyle name="20% - Accent3 3 19 12" xfId="2718" xr:uid="{00000000-0005-0000-0000-00003D0A0000}"/>
    <cellStyle name="20% - Accent3 3 19 13" xfId="2719" xr:uid="{00000000-0005-0000-0000-00003E0A0000}"/>
    <cellStyle name="20% - Accent3 3 19 14" xfId="2720" xr:uid="{00000000-0005-0000-0000-00003F0A0000}"/>
    <cellStyle name="20% - Accent3 3 19 15" xfId="2721" xr:uid="{00000000-0005-0000-0000-0000400A0000}"/>
    <cellStyle name="20% - Accent3 3 19 2" xfId="2722" xr:uid="{00000000-0005-0000-0000-0000410A0000}"/>
    <cellStyle name="20% - Accent3 3 19 3" xfId="2723" xr:uid="{00000000-0005-0000-0000-0000420A0000}"/>
    <cellStyle name="20% - Accent3 3 19 4" xfId="2724" xr:uid="{00000000-0005-0000-0000-0000430A0000}"/>
    <cellStyle name="20% - Accent3 3 19 5" xfId="2725" xr:uid="{00000000-0005-0000-0000-0000440A0000}"/>
    <cellStyle name="20% - Accent3 3 19 6" xfId="2726" xr:uid="{00000000-0005-0000-0000-0000450A0000}"/>
    <cellStyle name="20% - Accent3 3 19 7" xfId="2727" xr:uid="{00000000-0005-0000-0000-0000460A0000}"/>
    <cellStyle name="20% - Accent3 3 19 8" xfId="2728" xr:uid="{00000000-0005-0000-0000-0000470A0000}"/>
    <cellStyle name="20% - Accent3 3 19 9" xfId="2729" xr:uid="{00000000-0005-0000-0000-0000480A0000}"/>
    <cellStyle name="20% - Accent3 3 2" xfId="2730" xr:uid="{00000000-0005-0000-0000-0000490A0000}"/>
    <cellStyle name="20% - Accent3 3 2 10" xfId="2731" xr:uid="{00000000-0005-0000-0000-00004A0A0000}"/>
    <cellStyle name="20% - Accent3 3 2 11" xfId="2732" xr:uid="{00000000-0005-0000-0000-00004B0A0000}"/>
    <cellStyle name="20% - Accent3 3 2 12" xfId="2733" xr:uid="{00000000-0005-0000-0000-00004C0A0000}"/>
    <cellStyle name="20% - Accent3 3 2 13" xfId="2734" xr:uid="{00000000-0005-0000-0000-00004D0A0000}"/>
    <cellStyle name="20% - Accent3 3 2 14" xfId="2735" xr:uid="{00000000-0005-0000-0000-00004E0A0000}"/>
    <cellStyle name="20% - Accent3 3 2 15" xfId="2736" xr:uid="{00000000-0005-0000-0000-00004F0A0000}"/>
    <cellStyle name="20% - Accent3 3 2 16" xfId="2737" xr:uid="{00000000-0005-0000-0000-0000500A0000}"/>
    <cellStyle name="20% - Accent3 3 2 17" xfId="2738" xr:uid="{00000000-0005-0000-0000-0000510A0000}"/>
    <cellStyle name="20% - Accent3 3 2 18" xfId="2739" xr:uid="{00000000-0005-0000-0000-0000520A0000}"/>
    <cellStyle name="20% - Accent3 3 2 19" xfId="2740" xr:uid="{00000000-0005-0000-0000-0000530A0000}"/>
    <cellStyle name="20% - Accent3 3 2 2" xfId="2741" xr:uid="{00000000-0005-0000-0000-0000540A0000}"/>
    <cellStyle name="20% - Accent3 3 2 20" xfId="2742" xr:uid="{00000000-0005-0000-0000-0000550A0000}"/>
    <cellStyle name="20% - Accent3 3 2 21" xfId="2743" xr:uid="{00000000-0005-0000-0000-0000560A0000}"/>
    <cellStyle name="20% - Accent3 3 2 22" xfId="2744" xr:uid="{00000000-0005-0000-0000-0000570A0000}"/>
    <cellStyle name="20% - Accent3 3 2 23" xfId="2745" xr:uid="{00000000-0005-0000-0000-0000580A0000}"/>
    <cellStyle name="20% - Accent3 3 2 24" xfId="2746" xr:uid="{00000000-0005-0000-0000-0000590A0000}"/>
    <cellStyle name="20% - Accent3 3 2 25" xfId="2747" xr:uid="{00000000-0005-0000-0000-00005A0A0000}"/>
    <cellStyle name="20% - Accent3 3 2 26" xfId="2748" xr:uid="{00000000-0005-0000-0000-00005B0A0000}"/>
    <cellStyle name="20% - Accent3 3 2 27" xfId="2749" xr:uid="{00000000-0005-0000-0000-00005C0A0000}"/>
    <cellStyle name="20% - Accent3 3 2 28" xfId="2750" xr:uid="{00000000-0005-0000-0000-00005D0A0000}"/>
    <cellStyle name="20% - Accent3 3 2 29" xfId="2751" xr:uid="{00000000-0005-0000-0000-00005E0A0000}"/>
    <cellStyle name="20% - Accent3 3 2 3" xfId="2752" xr:uid="{00000000-0005-0000-0000-00005F0A0000}"/>
    <cellStyle name="20% - Accent3 3 2 30" xfId="2753" xr:uid="{00000000-0005-0000-0000-0000600A0000}"/>
    <cellStyle name="20% - Accent3 3 2 31" xfId="2754" xr:uid="{00000000-0005-0000-0000-0000610A0000}"/>
    <cellStyle name="20% - Accent3 3 2 32" xfId="2755" xr:uid="{00000000-0005-0000-0000-0000620A0000}"/>
    <cellStyle name="20% - Accent3 3 2 33" xfId="2756" xr:uid="{00000000-0005-0000-0000-0000630A0000}"/>
    <cellStyle name="20% - Accent3 3 2 34" xfId="2757" xr:uid="{00000000-0005-0000-0000-0000640A0000}"/>
    <cellStyle name="20% - Accent3 3 2 35" xfId="2758" xr:uid="{00000000-0005-0000-0000-0000650A0000}"/>
    <cellStyle name="20% - Accent3 3 2 36" xfId="2759" xr:uid="{00000000-0005-0000-0000-0000660A0000}"/>
    <cellStyle name="20% - Accent3 3 2 37" xfId="2760" xr:uid="{00000000-0005-0000-0000-0000670A0000}"/>
    <cellStyle name="20% - Accent3 3 2 38" xfId="2761" xr:uid="{00000000-0005-0000-0000-0000680A0000}"/>
    <cellStyle name="20% - Accent3 3 2 39" xfId="2762" xr:uid="{00000000-0005-0000-0000-0000690A0000}"/>
    <cellStyle name="20% - Accent3 3 2 4" xfId="2763" xr:uid="{00000000-0005-0000-0000-00006A0A0000}"/>
    <cellStyle name="20% - Accent3 3 2 40" xfId="2764" xr:uid="{00000000-0005-0000-0000-00006B0A0000}"/>
    <cellStyle name="20% - Accent3 3 2 41" xfId="2765" xr:uid="{00000000-0005-0000-0000-00006C0A0000}"/>
    <cellStyle name="20% - Accent3 3 2 42" xfId="2766" xr:uid="{00000000-0005-0000-0000-00006D0A0000}"/>
    <cellStyle name="20% - Accent3 3 2 43" xfId="2767" xr:uid="{00000000-0005-0000-0000-00006E0A0000}"/>
    <cellStyle name="20% - Accent3 3 2 44" xfId="2768" xr:uid="{00000000-0005-0000-0000-00006F0A0000}"/>
    <cellStyle name="20% - Accent3 3 2 45" xfId="2769" xr:uid="{00000000-0005-0000-0000-0000700A0000}"/>
    <cellStyle name="20% - Accent3 3 2 46" xfId="2770" xr:uid="{00000000-0005-0000-0000-0000710A0000}"/>
    <cellStyle name="20% - Accent3 3 2 47" xfId="2771" xr:uid="{00000000-0005-0000-0000-0000720A0000}"/>
    <cellStyle name="20% - Accent3 3 2 48" xfId="2772" xr:uid="{00000000-0005-0000-0000-0000730A0000}"/>
    <cellStyle name="20% - Accent3 3 2 49" xfId="2773" xr:uid="{00000000-0005-0000-0000-0000740A0000}"/>
    <cellStyle name="20% - Accent3 3 2 5" xfId="2774" xr:uid="{00000000-0005-0000-0000-0000750A0000}"/>
    <cellStyle name="20% - Accent3 3 2 50" xfId="2775" xr:uid="{00000000-0005-0000-0000-0000760A0000}"/>
    <cellStyle name="20% - Accent3 3 2 51" xfId="2776" xr:uid="{00000000-0005-0000-0000-0000770A0000}"/>
    <cellStyle name="20% - Accent3 3 2 52" xfId="2777" xr:uid="{00000000-0005-0000-0000-0000780A0000}"/>
    <cellStyle name="20% - Accent3 3 2 53" xfId="2778" xr:uid="{00000000-0005-0000-0000-0000790A0000}"/>
    <cellStyle name="20% - Accent3 3 2 54" xfId="2779" xr:uid="{00000000-0005-0000-0000-00007A0A0000}"/>
    <cellStyle name="20% - Accent3 3 2 6" xfId="2780" xr:uid="{00000000-0005-0000-0000-00007B0A0000}"/>
    <cellStyle name="20% - Accent3 3 2 7" xfId="2781" xr:uid="{00000000-0005-0000-0000-00007C0A0000}"/>
    <cellStyle name="20% - Accent3 3 2 8" xfId="2782" xr:uid="{00000000-0005-0000-0000-00007D0A0000}"/>
    <cellStyle name="20% - Accent3 3 2 9" xfId="2783" xr:uid="{00000000-0005-0000-0000-00007E0A0000}"/>
    <cellStyle name="20% - Accent3 3 20" xfId="2784" xr:uid="{00000000-0005-0000-0000-00007F0A0000}"/>
    <cellStyle name="20% - Accent3 3 20 10" xfId="2785" xr:uid="{00000000-0005-0000-0000-0000800A0000}"/>
    <cellStyle name="20% - Accent3 3 20 11" xfId="2786" xr:uid="{00000000-0005-0000-0000-0000810A0000}"/>
    <cellStyle name="20% - Accent3 3 20 12" xfId="2787" xr:uid="{00000000-0005-0000-0000-0000820A0000}"/>
    <cellStyle name="20% - Accent3 3 20 13" xfId="2788" xr:uid="{00000000-0005-0000-0000-0000830A0000}"/>
    <cellStyle name="20% - Accent3 3 20 14" xfId="2789" xr:uid="{00000000-0005-0000-0000-0000840A0000}"/>
    <cellStyle name="20% - Accent3 3 20 15" xfId="2790" xr:uid="{00000000-0005-0000-0000-0000850A0000}"/>
    <cellStyle name="20% - Accent3 3 20 2" xfId="2791" xr:uid="{00000000-0005-0000-0000-0000860A0000}"/>
    <cellStyle name="20% - Accent3 3 20 3" xfId="2792" xr:uid="{00000000-0005-0000-0000-0000870A0000}"/>
    <cellStyle name="20% - Accent3 3 20 4" xfId="2793" xr:uid="{00000000-0005-0000-0000-0000880A0000}"/>
    <cellStyle name="20% - Accent3 3 20 5" xfId="2794" xr:uid="{00000000-0005-0000-0000-0000890A0000}"/>
    <cellStyle name="20% - Accent3 3 20 6" xfId="2795" xr:uid="{00000000-0005-0000-0000-00008A0A0000}"/>
    <cellStyle name="20% - Accent3 3 20 7" xfId="2796" xr:uid="{00000000-0005-0000-0000-00008B0A0000}"/>
    <cellStyle name="20% - Accent3 3 20 8" xfId="2797" xr:uid="{00000000-0005-0000-0000-00008C0A0000}"/>
    <cellStyle name="20% - Accent3 3 20 9" xfId="2798" xr:uid="{00000000-0005-0000-0000-00008D0A0000}"/>
    <cellStyle name="20% - Accent3 3 21" xfId="2799" xr:uid="{00000000-0005-0000-0000-00008E0A0000}"/>
    <cellStyle name="20% - Accent3 3 21 10" xfId="2800" xr:uid="{00000000-0005-0000-0000-00008F0A0000}"/>
    <cellStyle name="20% - Accent3 3 21 11" xfId="2801" xr:uid="{00000000-0005-0000-0000-0000900A0000}"/>
    <cellStyle name="20% - Accent3 3 21 12" xfId="2802" xr:uid="{00000000-0005-0000-0000-0000910A0000}"/>
    <cellStyle name="20% - Accent3 3 21 13" xfId="2803" xr:uid="{00000000-0005-0000-0000-0000920A0000}"/>
    <cellStyle name="20% - Accent3 3 21 14" xfId="2804" xr:uid="{00000000-0005-0000-0000-0000930A0000}"/>
    <cellStyle name="20% - Accent3 3 21 15" xfId="2805" xr:uid="{00000000-0005-0000-0000-0000940A0000}"/>
    <cellStyle name="20% - Accent3 3 21 2" xfId="2806" xr:uid="{00000000-0005-0000-0000-0000950A0000}"/>
    <cellStyle name="20% - Accent3 3 21 3" xfId="2807" xr:uid="{00000000-0005-0000-0000-0000960A0000}"/>
    <cellStyle name="20% - Accent3 3 21 4" xfId="2808" xr:uid="{00000000-0005-0000-0000-0000970A0000}"/>
    <cellStyle name="20% - Accent3 3 21 5" xfId="2809" xr:uid="{00000000-0005-0000-0000-0000980A0000}"/>
    <cellStyle name="20% - Accent3 3 21 6" xfId="2810" xr:uid="{00000000-0005-0000-0000-0000990A0000}"/>
    <cellStyle name="20% - Accent3 3 21 7" xfId="2811" xr:uid="{00000000-0005-0000-0000-00009A0A0000}"/>
    <cellStyle name="20% - Accent3 3 21 8" xfId="2812" xr:uid="{00000000-0005-0000-0000-00009B0A0000}"/>
    <cellStyle name="20% - Accent3 3 21 9" xfId="2813" xr:uid="{00000000-0005-0000-0000-00009C0A0000}"/>
    <cellStyle name="20% - Accent3 3 22" xfId="2814" xr:uid="{00000000-0005-0000-0000-00009D0A0000}"/>
    <cellStyle name="20% - Accent3 3 22 10" xfId="2815" xr:uid="{00000000-0005-0000-0000-00009E0A0000}"/>
    <cellStyle name="20% - Accent3 3 22 11" xfId="2816" xr:uid="{00000000-0005-0000-0000-00009F0A0000}"/>
    <cellStyle name="20% - Accent3 3 22 12" xfId="2817" xr:uid="{00000000-0005-0000-0000-0000A00A0000}"/>
    <cellStyle name="20% - Accent3 3 22 13" xfId="2818" xr:uid="{00000000-0005-0000-0000-0000A10A0000}"/>
    <cellStyle name="20% - Accent3 3 22 14" xfId="2819" xr:uid="{00000000-0005-0000-0000-0000A20A0000}"/>
    <cellStyle name="20% - Accent3 3 22 15" xfId="2820" xr:uid="{00000000-0005-0000-0000-0000A30A0000}"/>
    <cellStyle name="20% - Accent3 3 22 2" xfId="2821" xr:uid="{00000000-0005-0000-0000-0000A40A0000}"/>
    <cellStyle name="20% - Accent3 3 22 3" xfId="2822" xr:uid="{00000000-0005-0000-0000-0000A50A0000}"/>
    <cellStyle name="20% - Accent3 3 22 4" xfId="2823" xr:uid="{00000000-0005-0000-0000-0000A60A0000}"/>
    <cellStyle name="20% - Accent3 3 22 5" xfId="2824" xr:uid="{00000000-0005-0000-0000-0000A70A0000}"/>
    <cellStyle name="20% - Accent3 3 22 6" xfId="2825" xr:uid="{00000000-0005-0000-0000-0000A80A0000}"/>
    <cellStyle name="20% - Accent3 3 22 7" xfId="2826" xr:uid="{00000000-0005-0000-0000-0000A90A0000}"/>
    <cellStyle name="20% - Accent3 3 22 8" xfId="2827" xr:uid="{00000000-0005-0000-0000-0000AA0A0000}"/>
    <cellStyle name="20% - Accent3 3 22 9" xfId="2828" xr:uid="{00000000-0005-0000-0000-0000AB0A0000}"/>
    <cellStyle name="20% - Accent3 3 23" xfId="2829" xr:uid="{00000000-0005-0000-0000-0000AC0A0000}"/>
    <cellStyle name="20% - Accent3 3 23 10" xfId="2830" xr:uid="{00000000-0005-0000-0000-0000AD0A0000}"/>
    <cellStyle name="20% - Accent3 3 23 11" xfId="2831" xr:uid="{00000000-0005-0000-0000-0000AE0A0000}"/>
    <cellStyle name="20% - Accent3 3 23 12" xfId="2832" xr:uid="{00000000-0005-0000-0000-0000AF0A0000}"/>
    <cellStyle name="20% - Accent3 3 23 13" xfId="2833" xr:uid="{00000000-0005-0000-0000-0000B00A0000}"/>
    <cellStyle name="20% - Accent3 3 23 14" xfId="2834" xr:uid="{00000000-0005-0000-0000-0000B10A0000}"/>
    <cellStyle name="20% - Accent3 3 23 15" xfId="2835" xr:uid="{00000000-0005-0000-0000-0000B20A0000}"/>
    <cellStyle name="20% - Accent3 3 23 2" xfId="2836" xr:uid="{00000000-0005-0000-0000-0000B30A0000}"/>
    <cellStyle name="20% - Accent3 3 23 3" xfId="2837" xr:uid="{00000000-0005-0000-0000-0000B40A0000}"/>
    <cellStyle name="20% - Accent3 3 23 4" xfId="2838" xr:uid="{00000000-0005-0000-0000-0000B50A0000}"/>
    <cellStyle name="20% - Accent3 3 23 5" xfId="2839" xr:uid="{00000000-0005-0000-0000-0000B60A0000}"/>
    <cellStyle name="20% - Accent3 3 23 6" xfId="2840" xr:uid="{00000000-0005-0000-0000-0000B70A0000}"/>
    <cellStyle name="20% - Accent3 3 23 7" xfId="2841" xr:uid="{00000000-0005-0000-0000-0000B80A0000}"/>
    <cellStyle name="20% - Accent3 3 23 8" xfId="2842" xr:uid="{00000000-0005-0000-0000-0000B90A0000}"/>
    <cellStyle name="20% - Accent3 3 23 9" xfId="2843" xr:uid="{00000000-0005-0000-0000-0000BA0A0000}"/>
    <cellStyle name="20% - Accent3 3 24" xfId="2844" xr:uid="{00000000-0005-0000-0000-0000BB0A0000}"/>
    <cellStyle name="20% - Accent3 3 24 10" xfId="2845" xr:uid="{00000000-0005-0000-0000-0000BC0A0000}"/>
    <cellStyle name="20% - Accent3 3 24 11" xfId="2846" xr:uid="{00000000-0005-0000-0000-0000BD0A0000}"/>
    <cellStyle name="20% - Accent3 3 24 12" xfId="2847" xr:uid="{00000000-0005-0000-0000-0000BE0A0000}"/>
    <cellStyle name="20% - Accent3 3 24 13" xfId="2848" xr:uid="{00000000-0005-0000-0000-0000BF0A0000}"/>
    <cellStyle name="20% - Accent3 3 24 14" xfId="2849" xr:uid="{00000000-0005-0000-0000-0000C00A0000}"/>
    <cellStyle name="20% - Accent3 3 24 15" xfId="2850" xr:uid="{00000000-0005-0000-0000-0000C10A0000}"/>
    <cellStyle name="20% - Accent3 3 24 2" xfId="2851" xr:uid="{00000000-0005-0000-0000-0000C20A0000}"/>
    <cellStyle name="20% - Accent3 3 24 3" xfId="2852" xr:uid="{00000000-0005-0000-0000-0000C30A0000}"/>
    <cellStyle name="20% - Accent3 3 24 4" xfId="2853" xr:uid="{00000000-0005-0000-0000-0000C40A0000}"/>
    <cellStyle name="20% - Accent3 3 24 5" xfId="2854" xr:uid="{00000000-0005-0000-0000-0000C50A0000}"/>
    <cellStyle name="20% - Accent3 3 24 6" xfId="2855" xr:uid="{00000000-0005-0000-0000-0000C60A0000}"/>
    <cellStyle name="20% - Accent3 3 24 7" xfId="2856" xr:uid="{00000000-0005-0000-0000-0000C70A0000}"/>
    <cellStyle name="20% - Accent3 3 24 8" xfId="2857" xr:uid="{00000000-0005-0000-0000-0000C80A0000}"/>
    <cellStyle name="20% - Accent3 3 24 9" xfId="2858" xr:uid="{00000000-0005-0000-0000-0000C90A0000}"/>
    <cellStyle name="20% - Accent3 3 25" xfId="2859" xr:uid="{00000000-0005-0000-0000-0000CA0A0000}"/>
    <cellStyle name="20% - Accent3 3 25 10" xfId="2860" xr:uid="{00000000-0005-0000-0000-0000CB0A0000}"/>
    <cellStyle name="20% - Accent3 3 25 11" xfId="2861" xr:uid="{00000000-0005-0000-0000-0000CC0A0000}"/>
    <cellStyle name="20% - Accent3 3 25 12" xfId="2862" xr:uid="{00000000-0005-0000-0000-0000CD0A0000}"/>
    <cellStyle name="20% - Accent3 3 25 13" xfId="2863" xr:uid="{00000000-0005-0000-0000-0000CE0A0000}"/>
    <cellStyle name="20% - Accent3 3 25 14" xfId="2864" xr:uid="{00000000-0005-0000-0000-0000CF0A0000}"/>
    <cellStyle name="20% - Accent3 3 25 15" xfId="2865" xr:uid="{00000000-0005-0000-0000-0000D00A0000}"/>
    <cellStyle name="20% - Accent3 3 25 2" xfId="2866" xr:uid="{00000000-0005-0000-0000-0000D10A0000}"/>
    <cellStyle name="20% - Accent3 3 25 3" xfId="2867" xr:uid="{00000000-0005-0000-0000-0000D20A0000}"/>
    <cellStyle name="20% - Accent3 3 25 4" xfId="2868" xr:uid="{00000000-0005-0000-0000-0000D30A0000}"/>
    <cellStyle name="20% - Accent3 3 25 5" xfId="2869" xr:uid="{00000000-0005-0000-0000-0000D40A0000}"/>
    <cellStyle name="20% - Accent3 3 25 6" xfId="2870" xr:uid="{00000000-0005-0000-0000-0000D50A0000}"/>
    <cellStyle name="20% - Accent3 3 25 7" xfId="2871" xr:uid="{00000000-0005-0000-0000-0000D60A0000}"/>
    <cellStyle name="20% - Accent3 3 25 8" xfId="2872" xr:uid="{00000000-0005-0000-0000-0000D70A0000}"/>
    <cellStyle name="20% - Accent3 3 25 9" xfId="2873" xr:uid="{00000000-0005-0000-0000-0000D80A0000}"/>
    <cellStyle name="20% - Accent3 3 26" xfId="2874" xr:uid="{00000000-0005-0000-0000-0000D90A0000}"/>
    <cellStyle name="20% - Accent3 3 26 10" xfId="2875" xr:uid="{00000000-0005-0000-0000-0000DA0A0000}"/>
    <cellStyle name="20% - Accent3 3 26 11" xfId="2876" xr:uid="{00000000-0005-0000-0000-0000DB0A0000}"/>
    <cellStyle name="20% - Accent3 3 26 12" xfId="2877" xr:uid="{00000000-0005-0000-0000-0000DC0A0000}"/>
    <cellStyle name="20% - Accent3 3 26 13" xfId="2878" xr:uid="{00000000-0005-0000-0000-0000DD0A0000}"/>
    <cellStyle name="20% - Accent3 3 26 14" xfId="2879" xr:uid="{00000000-0005-0000-0000-0000DE0A0000}"/>
    <cellStyle name="20% - Accent3 3 26 15" xfId="2880" xr:uid="{00000000-0005-0000-0000-0000DF0A0000}"/>
    <cellStyle name="20% - Accent3 3 26 2" xfId="2881" xr:uid="{00000000-0005-0000-0000-0000E00A0000}"/>
    <cellStyle name="20% - Accent3 3 26 3" xfId="2882" xr:uid="{00000000-0005-0000-0000-0000E10A0000}"/>
    <cellStyle name="20% - Accent3 3 26 4" xfId="2883" xr:uid="{00000000-0005-0000-0000-0000E20A0000}"/>
    <cellStyle name="20% - Accent3 3 26 5" xfId="2884" xr:uid="{00000000-0005-0000-0000-0000E30A0000}"/>
    <cellStyle name="20% - Accent3 3 26 6" xfId="2885" xr:uid="{00000000-0005-0000-0000-0000E40A0000}"/>
    <cellStyle name="20% - Accent3 3 26 7" xfId="2886" xr:uid="{00000000-0005-0000-0000-0000E50A0000}"/>
    <cellStyle name="20% - Accent3 3 26 8" xfId="2887" xr:uid="{00000000-0005-0000-0000-0000E60A0000}"/>
    <cellStyle name="20% - Accent3 3 26 9" xfId="2888" xr:uid="{00000000-0005-0000-0000-0000E70A0000}"/>
    <cellStyle name="20% - Accent3 3 27" xfId="2889" xr:uid="{00000000-0005-0000-0000-0000E80A0000}"/>
    <cellStyle name="20% - Accent3 3 27 10" xfId="2890" xr:uid="{00000000-0005-0000-0000-0000E90A0000}"/>
    <cellStyle name="20% - Accent3 3 27 11" xfId="2891" xr:uid="{00000000-0005-0000-0000-0000EA0A0000}"/>
    <cellStyle name="20% - Accent3 3 27 12" xfId="2892" xr:uid="{00000000-0005-0000-0000-0000EB0A0000}"/>
    <cellStyle name="20% - Accent3 3 27 13" xfId="2893" xr:uid="{00000000-0005-0000-0000-0000EC0A0000}"/>
    <cellStyle name="20% - Accent3 3 27 14" xfId="2894" xr:uid="{00000000-0005-0000-0000-0000ED0A0000}"/>
    <cellStyle name="20% - Accent3 3 27 15" xfId="2895" xr:uid="{00000000-0005-0000-0000-0000EE0A0000}"/>
    <cellStyle name="20% - Accent3 3 27 2" xfId="2896" xr:uid="{00000000-0005-0000-0000-0000EF0A0000}"/>
    <cellStyle name="20% - Accent3 3 27 3" xfId="2897" xr:uid="{00000000-0005-0000-0000-0000F00A0000}"/>
    <cellStyle name="20% - Accent3 3 27 4" xfId="2898" xr:uid="{00000000-0005-0000-0000-0000F10A0000}"/>
    <cellStyle name="20% - Accent3 3 27 5" xfId="2899" xr:uid="{00000000-0005-0000-0000-0000F20A0000}"/>
    <cellStyle name="20% - Accent3 3 27 6" xfId="2900" xr:uid="{00000000-0005-0000-0000-0000F30A0000}"/>
    <cellStyle name="20% - Accent3 3 27 7" xfId="2901" xr:uid="{00000000-0005-0000-0000-0000F40A0000}"/>
    <cellStyle name="20% - Accent3 3 27 8" xfId="2902" xr:uid="{00000000-0005-0000-0000-0000F50A0000}"/>
    <cellStyle name="20% - Accent3 3 27 9" xfId="2903" xr:uid="{00000000-0005-0000-0000-0000F60A0000}"/>
    <cellStyle name="20% - Accent3 3 28" xfId="2904" xr:uid="{00000000-0005-0000-0000-0000F70A0000}"/>
    <cellStyle name="20% - Accent3 3 28 10" xfId="2905" xr:uid="{00000000-0005-0000-0000-0000F80A0000}"/>
    <cellStyle name="20% - Accent3 3 28 11" xfId="2906" xr:uid="{00000000-0005-0000-0000-0000F90A0000}"/>
    <cellStyle name="20% - Accent3 3 28 12" xfId="2907" xr:uid="{00000000-0005-0000-0000-0000FA0A0000}"/>
    <cellStyle name="20% - Accent3 3 28 13" xfId="2908" xr:uid="{00000000-0005-0000-0000-0000FB0A0000}"/>
    <cellStyle name="20% - Accent3 3 28 14" xfId="2909" xr:uid="{00000000-0005-0000-0000-0000FC0A0000}"/>
    <cellStyle name="20% - Accent3 3 28 15" xfId="2910" xr:uid="{00000000-0005-0000-0000-0000FD0A0000}"/>
    <cellStyle name="20% - Accent3 3 28 2" xfId="2911" xr:uid="{00000000-0005-0000-0000-0000FE0A0000}"/>
    <cellStyle name="20% - Accent3 3 28 3" xfId="2912" xr:uid="{00000000-0005-0000-0000-0000FF0A0000}"/>
    <cellStyle name="20% - Accent3 3 28 4" xfId="2913" xr:uid="{00000000-0005-0000-0000-0000000B0000}"/>
    <cellStyle name="20% - Accent3 3 28 5" xfId="2914" xr:uid="{00000000-0005-0000-0000-0000010B0000}"/>
    <cellStyle name="20% - Accent3 3 28 6" xfId="2915" xr:uid="{00000000-0005-0000-0000-0000020B0000}"/>
    <cellStyle name="20% - Accent3 3 28 7" xfId="2916" xr:uid="{00000000-0005-0000-0000-0000030B0000}"/>
    <cellStyle name="20% - Accent3 3 28 8" xfId="2917" xr:uid="{00000000-0005-0000-0000-0000040B0000}"/>
    <cellStyle name="20% - Accent3 3 28 9" xfId="2918" xr:uid="{00000000-0005-0000-0000-0000050B0000}"/>
    <cellStyle name="20% - Accent3 3 29" xfId="2919" xr:uid="{00000000-0005-0000-0000-0000060B0000}"/>
    <cellStyle name="20% - Accent3 3 29 10" xfId="2920" xr:uid="{00000000-0005-0000-0000-0000070B0000}"/>
    <cellStyle name="20% - Accent3 3 29 11" xfId="2921" xr:uid="{00000000-0005-0000-0000-0000080B0000}"/>
    <cellStyle name="20% - Accent3 3 29 12" xfId="2922" xr:uid="{00000000-0005-0000-0000-0000090B0000}"/>
    <cellStyle name="20% - Accent3 3 29 13" xfId="2923" xr:uid="{00000000-0005-0000-0000-00000A0B0000}"/>
    <cellStyle name="20% - Accent3 3 29 14" xfId="2924" xr:uid="{00000000-0005-0000-0000-00000B0B0000}"/>
    <cellStyle name="20% - Accent3 3 29 15" xfId="2925" xr:uid="{00000000-0005-0000-0000-00000C0B0000}"/>
    <cellStyle name="20% - Accent3 3 29 2" xfId="2926" xr:uid="{00000000-0005-0000-0000-00000D0B0000}"/>
    <cellStyle name="20% - Accent3 3 29 3" xfId="2927" xr:uid="{00000000-0005-0000-0000-00000E0B0000}"/>
    <cellStyle name="20% - Accent3 3 29 4" xfId="2928" xr:uid="{00000000-0005-0000-0000-00000F0B0000}"/>
    <cellStyle name="20% - Accent3 3 29 5" xfId="2929" xr:uid="{00000000-0005-0000-0000-0000100B0000}"/>
    <cellStyle name="20% - Accent3 3 29 6" xfId="2930" xr:uid="{00000000-0005-0000-0000-0000110B0000}"/>
    <cellStyle name="20% - Accent3 3 29 7" xfId="2931" xr:uid="{00000000-0005-0000-0000-0000120B0000}"/>
    <cellStyle name="20% - Accent3 3 29 8" xfId="2932" xr:uid="{00000000-0005-0000-0000-0000130B0000}"/>
    <cellStyle name="20% - Accent3 3 29 9" xfId="2933" xr:uid="{00000000-0005-0000-0000-0000140B0000}"/>
    <cellStyle name="20% - Accent3 3 3" xfId="2934" xr:uid="{00000000-0005-0000-0000-0000150B0000}"/>
    <cellStyle name="20% - Accent3 3 3 10" xfId="2935" xr:uid="{00000000-0005-0000-0000-0000160B0000}"/>
    <cellStyle name="20% - Accent3 3 3 11" xfId="2936" xr:uid="{00000000-0005-0000-0000-0000170B0000}"/>
    <cellStyle name="20% - Accent3 3 3 12" xfId="2937" xr:uid="{00000000-0005-0000-0000-0000180B0000}"/>
    <cellStyle name="20% - Accent3 3 3 13" xfId="2938" xr:uid="{00000000-0005-0000-0000-0000190B0000}"/>
    <cellStyle name="20% - Accent3 3 3 14" xfId="2939" xr:uid="{00000000-0005-0000-0000-00001A0B0000}"/>
    <cellStyle name="20% - Accent3 3 3 15" xfId="2940" xr:uid="{00000000-0005-0000-0000-00001B0B0000}"/>
    <cellStyle name="20% - Accent3 3 3 16" xfId="2941" xr:uid="{00000000-0005-0000-0000-00001C0B0000}"/>
    <cellStyle name="20% - Accent3 3 3 2" xfId="2942" xr:uid="{00000000-0005-0000-0000-00001D0B0000}"/>
    <cellStyle name="20% - Accent3 3 3 3" xfId="2943" xr:uid="{00000000-0005-0000-0000-00001E0B0000}"/>
    <cellStyle name="20% - Accent3 3 3 4" xfId="2944" xr:uid="{00000000-0005-0000-0000-00001F0B0000}"/>
    <cellStyle name="20% - Accent3 3 3 5" xfId="2945" xr:uid="{00000000-0005-0000-0000-0000200B0000}"/>
    <cellStyle name="20% - Accent3 3 3 6" xfId="2946" xr:uid="{00000000-0005-0000-0000-0000210B0000}"/>
    <cellStyle name="20% - Accent3 3 3 7" xfId="2947" xr:uid="{00000000-0005-0000-0000-0000220B0000}"/>
    <cellStyle name="20% - Accent3 3 3 8" xfId="2948" xr:uid="{00000000-0005-0000-0000-0000230B0000}"/>
    <cellStyle name="20% - Accent3 3 3 9" xfId="2949" xr:uid="{00000000-0005-0000-0000-0000240B0000}"/>
    <cellStyle name="20% - Accent3 3 30" xfId="2950" xr:uid="{00000000-0005-0000-0000-0000250B0000}"/>
    <cellStyle name="20% - Accent3 3 30 10" xfId="2951" xr:uid="{00000000-0005-0000-0000-0000260B0000}"/>
    <cellStyle name="20% - Accent3 3 30 11" xfId="2952" xr:uid="{00000000-0005-0000-0000-0000270B0000}"/>
    <cellStyle name="20% - Accent3 3 30 12" xfId="2953" xr:uid="{00000000-0005-0000-0000-0000280B0000}"/>
    <cellStyle name="20% - Accent3 3 30 13" xfId="2954" xr:uid="{00000000-0005-0000-0000-0000290B0000}"/>
    <cellStyle name="20% - Accent3 3 30 14" xfId="2955" xr:uid="{00000000-0005-0000-0000-00002A0B0000}"/>
    <cellStyle name="20% - Accent3 3 30 15" xfId="2956" xr:uid="{00000000-0005-0000-0000-00002B0B0000}"/>
    <cellStyle name="20% - Accent3 3 30 2" xfId="2957" xr:uid="{00000000-0005-0000-0000-00002C0B0000}"/>
    <cellStyle name="20% - Accent3 3 30 3" xfId="2958" xr:uid="{00000000-0005-0000-0000-00002D0B0000}"/>
    <cellStyle name="20% - Accent3 3 30 4" xfId="2959" xr:uid="{00000000-0005-0000-0000-00002E0B0000}"/>
    <cellStyle name="20% - Accent3 3 30 5" xfId="2960" xr:uid="{00000000-0005-0000-0000-00002F0B0000}"/>
    <cellStyle name="20% - Accent3 3 30 6" xfId="2961" xr:uid="{00000000-0005-0000-0000-0000300B0000}"/>
    <cellStyle name="20% - Accent3 3 30 7" xfId="2962" xr:uid="{00000000-0005-0000-0000-0000310B0000}"/>
    <cellStyle name="20% - Accent3 3 30 8" xfId="2963" xr:uid="{00000000-0005-0000-0000-0000320B0000}"/>
    <cellStyle name="20% - Accent3 3 30 9" xfId="2964" xr:uid="{00000000-0005-0000-0000-0000330B0000}"/>
    <cellStyle name="20% - Accent3 3 31" xfId="2965" xr:uid="{00000000-0005-0000-0000-0000340B0000}"/>
    <cellStyle name="20% - Accent3 3 31 10" xfId="2966" xr:uid="{00000000-0005-0000-0000-0000350B0000}"/>
    <cellStyle name="20% - Accent3 3 31 11" xfId="2967" xr:uid="{00000000-0005-0000-0000-0000360B0000}"/>
    <cellStyle name="20% - Accent3 3 31 12" xfId="2968" xr:uid="{00000000-0005-0000-0000-0000370B0000}"/>
    <cellStyle name="20% - Accent3 3 31 13" xfId="2969" xr:uid="{00000000-0005-0000-0000-0000380B0000}"/>
    <cellStyle name="20% - Accent3 3 31 14" xfId="2970" xr:uid="{00000000-0005-0000-0000-0000390B0000}"/>
    <cellStyle name="20% - Accent3 3 31 15" xfId="2971" xr:uid="{00000000-0005-0000-0000-00003A0B0000}"/>
    <cellStyle name="20% - Accent3 3 31 2" xfId="2972" xr:uid="{00000000-0005-0000-0000-00003B0B0000}"/>
    <cellStyle name="20% - Accent3 3 31 3" xfId="2973" xr:uid="{00000000-0005-0000-0000-00003C0B0000}"/>
    <cellStyle name="20% - Accent3 3 31 4" xfId="2974" xr:uid="{00000000-0005-0000-0000-00003D0B0000}"/>
    <cellStyle name="20% - Accent3 3 31 5" xfId="2975" xr:uid="{00000000-0005-0000-0000-00003E0B0000}"/>
    <cellStyle name="20% - Accent3 3 31 6" xfId="2976" xr:uid="{00000000-0005-0000-0000-00003F0B0000}"/>
    <cellStyle name="20% - Accent3 3 31 7" xfId="2977" xr:uid="{00000000-0005-0000-0000-0000400B0000}"/>
    <cellStyle name="20% - Accent3 3 31 8" xfId="2978" xr:uid="{00000000-0005-0000-0000-0000410B0000}"/>
    <cellStyle name="20% - Accent3 3 31 9" xfId="2979" xr:uid="{00000000-0005-0000-0000-0000420B0000}"/>
    <cellStyle name="20% - Accent3 3 32" xfId="2980" xr:uid="{00000000-0005-0000-0000-0000430B0000}"/>
    <cellStyle name="20% - Accent3 3 32 10" xfId="2981" xr:uid="{00000000-0005-0000-0000-0000440B0000}"/>
    <cellStyle name="20% - Accent3 3 32 11" xfId="2982" xr:uid="{00000000-0005-0000-0000-0000450B0000}"/>
    <cellStyle name="20% - Accent3 3 32 12" xfId="2983" xr:uid="{00000000-0005-0000-0000-0000460B0000}"/>
    <cellStyle name="20% - Accent3 3 32 13" xfId="2984" xr:uid="{00000000-0005-0000-0000-0000470B0000}"/>
    <cellStyle name="20% - Accent3 3 32 14" xfId="2985" xr:uid="{00000000-0005-0000-0000-0000480B0000}"/>
    <cellStyle name="20% - Accent3 3 32 15" xfId="2986" xr:uid="{00000000-0005-0000-0000-0000490B0000}"/>
    <cellStyle name="20% - Accent3 3 32 2" xfId="2987" xr:uid="{00000000-0005-0000-0000-00004A0B0000}"/>
    <cellStyle name="20% - Accent3 3 32 3" xfId="2988" xr:uid="{00000000-0005-0000-0000-00004B0B0000}"/>
    <cellStyle name="20% - Accent3 3 32 4" xfId="2989" xr:uid="{00000000-0005-0000-0000-00004C0B0000}"/>
    <cellStyle name="20% - Accent3 3 32 5" xfId="2990" xr:uid="{00000000-0005-0000-0000-00004D0B0000}"/>
    <cellStyle name="20% - Accent3 3 32 6" xfId="2991" xr:uid="{00000000-0005-0000-0000-00004E0B0000}"/>
    <cellStyle name="20% - Accent3 3 32 7" xfId="2992" xr:uid="{00000000-0005-0000-0000-00004F0B0000}"/>
    <cellStyle name="20% - Accent3 3 32 8" xfId="2993" xr:uid="{00000000-0005-0000-0000-0000500B0000}"/>
    <cellStyle name="20% - Accent3 3 32 9" xfId="2994" xr:uid="{00000000-0005-0000-0000-0000510B0000}"/>
    <cellStyle name="20% - Accent3 3 33" xfId="2995" xr:uid="{00000000-0005-0000-0000-0000520B0000}"/>
    <cellStyle name="20% - Accent3 3 34" xfId="2996" xr:uid="{00000000-0005-0000-0000-0000530B0000}"/>
    <cellStyle name="20% - Accent3 3 35" xfId="2997" xr:uid="{00000000-0005-0000-0000-0000540B0000}"/>
    <cellStyle name="20% - Accent3 3 36" xfId="2998" xr:uid="{00000000-0005-0000-0000-0000550B0000}"/>
    <cellStyle name="20% - Accent3 3 37" xfId="2999" xr:uid="{00000000-0005-0000-0000-0000560B0000}"/>
    <cellStyle name="20% - Accent3 3 38" xfId="3000" xr:uid="{00000000-0005-0000-0000-0000570B0000}"/>
    <cellStyle name="20% - Accent3 3 39" xfId="3001" xr:uid="{00000000-0005-0000-0000-0000580B0000}"/>
    <cellStyle name="20% - Accent3 3 4" xfId="3002" xr:uid="{00000000-0005-0000-0000-0000590B0000}"/>
    <cellStyle name="20% - Accent3 3 4 10" xfId="3003" xr:uid="{00000000-0005-0000-0000-00005A0B0000}"/>
    <cellStyle name="20% - Accent3 3 4 11" xfId="3004" xr:uid="{00000000-0005-0000-0000-00005B0B0000}"/>
    <cellStyle name="20% - Accent3 3 4 12" xfId="3005" xr:uid="{00000000-0005-0000-0000-00005C0B0000}"/>
    <cellStyle name="20% - Accent3 3 4 13" xfId="3006" xr:uid="{00000000-0005-0000-0000-00005D0B0000}"/>
    <cellStyle name="20% - Accent3 3 4 14" xfId="3007" xr:uid="{00000000-0005-0000-0000-00005E0B0000}"/>
    <cellStyle name="20% - Accent3 3 4 15" xfId="3008" xr:uid="{00000000-0005-0000-0000-00005F0B0000}"/>
    <cellStyle name="20% - Accent3 3 4 16" xfId="3009" xr:uid="{00000000-0005-0000-0000-0000600B0000}"/>
    <cellStyle name="20% - Accent3 3 4 2" xfId="3010" xr:uid="{00000000-0005-0000-0000-0000610B0000}"/>
    <cellStyle name="20% - Accent3 3 4 3" xfId="3011" xr:uid="{00000000-0005-0000-0000-0000620B0000}"/>
    <cellStyle name="20% - Accent3 3 4 4" xfId="3012" xr:uid="{00000000-0005-0000-0000-0000630B0000}"/>
    <cellStyle name="20% - Accent3 3 4 5" xfId="3013" xr:uid="{00000000-0005-0000-0000-0000640B0000}"/>
    <cellStyle name="20% - Accent3 3 4 6" xfId="3014" xr:uid="{00000000-0005-0000-0000-0000650B0000}"/>
    <cellStyle name="20% - Accent3 3 4 7" xfId="3015" xr:uid="{00000000-0005-0000-0000-0000660B0000}"/>
    <cellStyle name="20% - Accent3 3 4 8" xfId="3016" xr:uid="{00000000-0005-0000-0000-0000670B0000}"/>
    <cellStyle name="20% - Accent3 3 4 9" xfId="3017" xr:uid="{00000000-0005-0000-0000-0000680B0000}"/>
    <cellStyle name="20% - Accent3 3 40" xfId="3018" xr:uid="{00000000-0005-0000-0000-0000690B0000}"/>
    <cellStyle name="20% - Accent3 3 41" xfId="3019" xr:uid="{00000000-0005-0000-0000-00006A0B0000}"/>
    <cellStyle name="20% - Accent3 3 42" xfId="3020" xr:uid="{00000000-0005-0000-0000-00006B0B0000}"/>
    <cellStyle name="20% - Accent3 3 43" xfId="3021" xr:uid="{00000000-0005-0000-0000-00006C0B0000}"/>
    <cellStyle name="20% - Accent3 3 44" xfId="3022" xr:uid="{00000000-0005-0000-0000-00006D0B0000}"/>
    <cellStyle name="20% - Accent3 3 45" xfId="3023" xr:uid="{00000000-0005-0000-0000-00006E0B0000}"/>
    <cellStyle name="20% - Accent3 3 46" xfId="3024" xr:uid="{00000000-0005-0000-0000-00006F0B0000}"/>
    <cellStyle name="20% - Accent3 3 47" xfId="3025" xr:uid="{00000000-0005-0000-0000-0000700B0000}"/>
    <cellStyle name="20% - Accent3 3 48" xfId="3026" xr:uid="{00000000-0005-0000-0000-0000710B0000}"/>
    <cellStyle name="20% - Accent3 3 49" xfId="3027" xr:uid="{00000000-0005-0000-0000-0000720B0000}"/>
    <cellStyle name="20% - Accent3 3 5" xfId="3028" xr:uid="{00000000-0005-0000-0000-0000730B0000}"/>
    <cellStyle name="20% - Accent3 3 5 10" xfId="3029" xr:uid="{00000000-0005-0000-0000-0000740B0000}"/>
    <cellStyle name="20% - Accent3 3 5 11" xfId="3030" xr:uid="{00000000-0005-0000-0000-0000750B0000}"/>
    <cellStyle name="20% - Accent3 3 5 12" xfId="3031" xr:uid="{00000000-0005-0000-0000-0000760B0000}"/>
    <cellStyle name="20% - Accent3 3 5 13" xfId="3032" xr:uid="{00000000-0005-0000-0000-0000770B0000}"/>
    <cellStyle name="20% - Accent3 3 5 14" xfId="3033" xr:uid="{00000000-0005-0000-0000-0000780B0000}"/>
    <cellStyle name="20% - Accent3 3 5 15" xfId="3034" xr:uid="{00000000-0005-0000-0000-0000790B0000}"/>
    <cellStyle name="20% - Accent3 3 5 2" xfId="3035" xr:uid="{00000000-0005-0000-0000-00007A0B0000}"/>
    <cellStyle name="20% - Accent3 3 5 3" xfId="3036" xr:uid="{00000000-0005-0000-0000-00007B0B0000}"/>
    <cellStyle name="20% - Accent3 3 5 4" xfId="3037" xr:uid="{00000000-0005-0000-0000-00007C0B0000}"/>
    <cellStyle name="20% - Accent3 3 5 5" xfId="3038" xr:uid="{00000000-0005-0000-0000-00007D0B0000}"/>
    <cellStyle name="20% - Accent3 3 5 6" xfId="3039" xr:uid="{00000000-0005-0000-0000-00007E0B0000}"/>
    <cellStyle name="20% - Accent3 3 5 7" xfId="3040" xr:uid="{00000000-0005-0000-0000-00007F0B0000}"/>
    <cellStyle name="20% - Accent3 3 5 8" xfId="3041" xr:uid="{00000000-0005-0000-0000-0000800B0000}"/>
    <cellStyle name="20% - Accent3 3 5 9" xfId="3042" xr:uid="{00000000-0005-0000-0000-0000810B0000}"/>
    <cellStyle name="20% - Accent3 3 50" xfId="3043" xr:uid="{00000000-0005-0000-0000-0000820B0000}"/>
    <cellStyle name="20% - Accent3 3 51" xfId="3044" xr:uid="{00000000-0005-0000-0000-0000830B0000}"/>
    <cellStyle name="20% - Accent3 3 52" xfId="3045" xr:uid="{00000000-0005-0000-0000-0000840B0000}"/>
    <cellStyle name="20% - Accent3 3 53" xfId="3046" xr:uid="{00000000-0005-0000-0000-0000850B0000}"/>
    <cellStyle name="20% - Accent3 3 54" xfId="3047" xr:uid="{00000000-0005-0000-0000-0000860B0000}"/>
    <cellStyle name="20% - Accent3 3 55" xfId="3048" xr:uid="{00000000-0005-0000-0000-0000870B0000}"/>
    <cellStyle name="20% - Accent3 3 6" xfId="3049" xr:uid="{00000000-0005-0000-0000-0000880B0000}"/>
    <cellStyle name="20% - Accent3 3 6 10" xfId="3050" xr:uid="{00000000-0005-0000-0000-0000890B0000}"/>
    <cellStyle name="20% - Accent3 3 6 11" xfId="3051" xr:uid="{00000000-0005-0000-0000-00008A0B0000}"/>
    <cellStyle name="20% - Accent3 3 6 12" xfId="3052" xr:uid="{00000000-0005-0000-0000-00008B0B0000}"/>
    <cellStyle name="20% - Accent3 3 6 13" xfId="3053" xr:uid="{00000000-0005-0000-0000-00008C0B0000}"/>
    <cellStyle name="20% - Accent3 3 6 14" xfId="3054" xr:uid="{00000000-0005-0000-0000-00008D0B0000}"/>
    <cellStyle name="20% - Accent3 3 6 15" xfId="3055" xr:uid="{00000000-0005-0000-0000-00008E0B0000}"/>
    <cellStyle name="20% - Accent3 3 6 2" xfId="3056" xr:uid="{00000000-0005-0000-0000-00008F0B0000}"/>
    <cellStyle name="20% - Accent3 3 6 3" xfId="3057" xr:uid="{00000000-0005-0000-0000-0000900B0000}"/>
    <cellStyle name="20% - Accent3 3 6 4" xfId="3058" xr:uid="{00000000-0005-0000-0000-0000910B0000}"/>
    <cellStyle name="20% - Accent3 3 6 5" xfId="3059" xr:uid="{00000000-0005-0000-0000-0000920B0000}"/>
    <cellStyle name="20% - Accent3 3 6 6" xfId="3060" xr:uid="{00000000-0005-0000-0000-0000930B0000}"/>
    <cellStyle name="20% - Accent3 3 6 7" xfId="3061" xr:uid="{00000000-0005-0000-0000-0000940B0000}"/>
    <cellStyle name="20% - Accent3 3 6 8" xfId="3062" xr:uid="{00000000-0005-0000-0000-0000950B0000}"/>
    <cellStyle name="20% - Accent3 3 6 9" xfId="3063" xr:uid="{00000000-0005-0000-0000-0000960B0000}"/>
    <cellStyle name="20% - Accent3 3 7" xfId="3064" xr:uid="{00000000-0005-0000-0000-0000970B0000}"/>
    <cellStyle name="20% - Accent3 3 7 10" xfId="3065" xr:uid="{00000000-0005-0000-0000-0000980B0000}"/>
    <cellStyle name="20% - Accent3 3 7 11" xfId="3066" xr:uid="{00000000-0005-0000-0000-0000990B0000}"/>
    <cellStyle name="20% - Accent3 3 7 12" xfId="3067" xr:uid="{00000000-0005-0000-0000-00009A0B0000}"/>
    <cellStyle name="20% - Accent3 3 7 13" xfId="3068" xr:uid="{00000000-0005-0000-0000-00009B0B0000}"/>
    <cellStyle name="20% - Accent3 3 7 14" xfId="3069" xr:uid="{00000000-0005-0000-0000-00009C0B0000}"/>
    <cellStyle name="20% - Accent3 3 7 15" xfId="3070" xr:uid="{00000000-0005-0000-0000-00009D0B0000}"/>
    <cellStyle name="20% - Accent3 3 7 2" xfId="3071" xr:uid="{00000000-0005-0000-0000-00009E0B0000}"/>
    <cellStyle name="20% - Accent3 3 7 3" xfId="3072" xr:uid="{00000000-0005-0000-0000-00009F0B0000}"/>
    <cellStyle name="20% - Accent3 3 7 4" xfId="3073" xr:uid="{00000000-0005-0000-0000-0000A00B0000}"/>
    <cellStyle name="20% - Accent3 3 7 5" xfId="3074" xr:uid="{00000000-0005-0000-0000-0000A10B0000}"/>
    <cellStyle name="20% - Accent3 3 7 6" xfId="3075" xr:uid="{00000000-0005-0000-0000-0000A20B0000}"/>
    <cellStyle name="20% - Accent3 3 7 7" xfId="3076" xr:uid="{00000000-0005-0000-0000-0000A30B0000}"/>
    <cellStyle name="20% - Accent3 3 7 8" xfId="3077" xr:uid="{00000000-0005-0000-0000-0000A40B0000}"/>
    <cellStyle name="20% - Accent3 3 7 9" xfId="3078" xr:uid="{00000000-0005-0000-0000-0000A50B0000}"/>
    <cellStyle name="20% - Accent3 3 8" xfId="3079" xr:uid="{00000000-0005-0000-0000-0000A60B0000}"/>
    <cellStyle name="20% - Accent3 3 8 10" xfId="3080" xr:uid="{00000000-0005-0000-0000-0000A70B0000}"/>
    <cellStyle name="20% - Accent3 3 8 11" xfId="3081" xr:uid="{00000000-0005-0000-0000-0000A80B0000}"/>
    <cellStyle name="20% - Accent3 3 8 12" xfId="3082" xr:uid="{00000000-0005-0000-0000-0000A90B0000}"/>
    <cellStyle name="20% - Accent3 3 8 13" xfId="3083" xr:uid="{00000000-0005-0000-0000-0000AA0B0000}"/>
    <cellStyle name="20% - Accent3 3 8 14" xfId="3084" xr:uid="{00000000-0005-0000-0000-0000AB0B0000}"/>
    <cellStyle name="20% - Accent3 3 8 15" xfId="3085" xr:uid="{00000000-0005-0000-0000-0000AC0B0000}"/>
    <cellStyle name="20% - Accent3 3 8 2" xfId="3086" xr:uid="{00000000-0005-0000-0000-0000AD0B0000}"/>
    <cellStyle name="20% - Accent3 3 8 3" xfId="3087" xr:uid="{00000000-0005-0000-0000-0000AE0B0000}"/>
    <cellStyle name="20% - Accent3 3 8 4" xfId="3088" xr:uid="{00000000-0005-0000-0000-0000AF0B0000}"/>
    <cellStyle name="20% - Accent3 3 8 5" xfId="3089" xr:uid="{00000000-0005-0000-0000-0000B00B0000}"/>
    <cellStyle name="20% - Accent3 3 8 6" xfId="3090" xr:uid="{00000000-0005-0000-0000-0000B10B0000}"/>
    <cellStyle name="20% - Accent3 3 8 7" xfId="3091" xr:uid="{00000000-0005-0000-0000-0000B20B0000}"/>
    <cellStyle name="20% - Accent3 3 8 8" xfId="3092" xr:uid="{00000000-0005-0000-0000-0000B30B0000}"/>
    <cellStyle name="20% - Accent3 3 8 9" xfId="3093" xr:uid="{00000000-0005-0000-0000-0000B40B0000}"/>
    <cellStyle name="20% - Accent3 3 9" xfId="3094" xr:uid="{00000000-0005-0000-0000-0000B50B0000}"/>
    <cellStyle name="20% - Accent3 3 9 10" xfId="3095" xr:uid="{00000000-0005-0000-0000-0000B60B0000}"/>
    <cellStyle name="20% - Accent3 3 9 11" xfId="3096" xr:uid="{00000000-0005-0000-0000-0000B70B0000}"/>
    <cellStyle name="20% - Accent3 3 9 12" xfId="3097" xr:uid="{00000000-0005-0000-0000-0000B80B0000}"/>
    <cellStyle name="20% - Accent3 3 9 13" xfId="3098" xr:uid="{00000000-0005-0000-0000-0000B90B0000}"/>
    <cellStyle name="20% - Accent3 3 9 14" xfId="3099" xr:uid="{00000000-0005-0000-0000-0000BA0B0000}"/>
    <cellStyle name="20% - Accent3 3 9 15" xfId="3100" xr:uid="{00000000-0005-0000-0000-0000BB0B0000}"/>
    <cellStyle name="20% - Accent3 3 9 2" xfId="3101" xr:uid="{00000000-0005-0000-0000-0000BC0B0000}"/>
    <cellStyle name="20% - Accent3 3 9 3" xfId="3102" xr:uid="{00000000-0005-0000-0000-0000BD0B0000}"/>
    <cellStyle name="20% - Accent3 3 9 4" xfId="3103" xr:uid="{00000000-0005-0000-0000-0000BE0B0000}"/>
    <cellStyle name="20% - Accent3 3 9 5" xfId="3104" xr:uid="{00000000-0005-0000-0000-0000BF0B0000}"/>
    <cellStyle name="20% - Accent3 3 9 6" xfId="3105" xr:uid="{00000000-0005-0000-0000-0000C00B0000}"/>
    <cellStyle name="20% - Accent3 3 9 7" xfId="3106" xr:uid="{00000000-0005-0000-0000-0000C10B0000}"/>
    <cellStyle name="20% - Accent3 3 9 8" xfId="3107" xr:uid="{00000000-0005-0000-0000-0000C20B0000}"/>
    <cellStyle name="20% - Accent3 3 9 9" xfId="3108" xr:uid="{00000000-0005-0000-0000-0000C30B0000}"/>
    <cellStyle name="20% - Accent3 30" xfId="3109" xr:uid="{00000000-0005-0000-0000-0000C40B0000}"/>
    <cellStyle name="20% - Accent3 30 10" xfId="3110" xr:uid="{00000000-0005-0000-0000-0000C50B0000}"/>
    <cellStyle name="20% - Accent3 30 11" xfId="3111" xr:uid="{00000000-0005-0000-0000-0000C60B0000}"/>
    <cellStyle name="20% - Accent3 30 12" xfId="3112" xr:uid="{00000000-0005-0000-0000-0000C70B0000}"/>
    <cellStyle name="20% - Accent3 30 13" xfId="3113" xr:uid="{00000000-0005-0000-0000-0000C80B0000}"/>
    <cellStyle name="20% - Accent3 30 14" xfId="3114" xr:uid="{00000000-0005-0000-0000-0000C90B0000}"/>
    <cellStyle name="20% - Accent3 30 15" xfId="3115" xr:uid="{00000000-0005-0000-0000-0000CA0B0000}"/>
    <cellStyle name="20% - Accent3 30 16" xfId="3116" xr:uid="{00000000-0005-0000-0000-0000CB0B0000}"/>
    <cellStyle name="20% - Accent3 30 2" xfId="3117" xr:uid="{00000000-0005-0000-0000-0000CC0B0000}"/>
    <cellStyle name="20% - Accent3 30 3" xfId="3118" xr:uid="{00000000-0005-0000-0000-0000CD0B0000}"/>
    <cellStyle name="20% - Accent3 30 4" xfId="3119" xr:uid="{00000000-0005-0000-0000-0000CE0B0000}"/>
    <cellStyle name="20% - Accent3 30 5" xfId="3120" xr:uid="{00000000-0005-0000-0000-0000CF0B0000}"/>
    <cellStyle name="20% - Accent3 30 6" xfId="3121" xr:uid="{00000000-0005-0000-0000-0000D00B0000}"/>
    <cellStyle name="20% - Accent3 30 7" xfId="3122" xr:uid="{00000000-0005-0000-0000-0000D10B0000}"/>
    <cellStyle name="20% - Accent3 30 8" xfId="3123" xr:uid="{00000000-0005-0000-0000-0000D20B0000}"/>
    <cellStyle name="20% - Accent3 30 9" xfId="3124" xr:uid="{00000000-0005-0000-0000-0000D30B0000}"/>
    <cellStyle name="20% - Accent3 31" xfId="3125" xr:uid="{00000000-0005-0000-0000-0000D40B0000}"/>
    <cellStyle name="20% - Accent3 31 10" xfId="3126" xr:uid="{00000000-0005-0000-0000-0000D50B0000}"/>
    <cellStyle name="20% - Accent3 31 11" xfId="3127" xr:uid="{00000000-0005-0000-0000-0000D60B0000}"/>
    <cellStyle name="20% - Accent3 31 12" xfId="3128" xr:uid="{00000000-0005-0000-0000-0000D70B0000}"/>
    <cellStyle name="20% - Accent3 31 13" xfId="3129" xr:uid="{00000000-0005-0000-0000-0000D80B0000}"/>
    <cellStyle name="20% - Accent3 31 14" xfId="3130" xr:uid="{00000000-0005-0000-0000-0000D90B0000}"/>
    <cellStyle name="20% - Accent3 31 15" xfId="3131" xr:uid="{00000000-0005-0000-0000-0000DA0B0000}"/>
    <cellStyle name="20% - Accent3 31 16" xfId="3132" xr:uid="{00000000-0005-0000-0000-0000DB0B0000}"/>
    <cellStyle name="20% - Accent3 31 2" xfId="3133" xr:uid="{00000000-0005-0000-0000-0000DC0B0000}"/>
    <cellStyle name="20% - Accent3 31 3" xfId="3134" xr:uid="{00000000-0005-0000-0000-0000DD0B0000}"/>
    <cellStyle name="20% - Accent3 31 4" xfId="3135" xr:uid="{00000000-0005-0000-0000-0000DE0B0000}"/>
    <cellStyle name="20% - Accent3 31 5" xfId="3136" xr:uid="{00000000-0005-0000-0000-0000DF0B0000}"/>
    <cellStyle name="20% - Accent3 31 6" xfId="3137" xr:uid="{00000000-0005-0000-0000-0000E00B0000}"/>
    <cellStyle name="20% - Accent3 31 7" xfId="3138" xr:uid="{00000000-0005-0000-0000-0000E10B0000}"/>
    <cellStyle name="20% - Accent3 31 8" xfId="3139" xr:uid="{00000000-0005-0000-0000-0000E20B0000}"/>
    <cellStyle name="20% - Accent3 31 9" xfId="3140" xr:uid="{00000000-0005-0000-0000-0000E30B0000}"/>
    <cellStyle name="20% - Accent3 32" xfId="3141" xr:uid="{00000000-0005-0000-0000-0000E40B0000}"/>
    <cellStyle name="20% - Accent3 32 10" xfId="3142" xr:uid="{00000000-0005-0000-0000-0000E50B0000}"/>
    <cellStyle name="20% - Accent3 32 11" xfId="3143" xr:uid="{00000000-0005-0000-0000-0000E60B0000}"/>
    <cellStyle name="20% - Accent3 32 12" xfId="3144" xr:uid="{00000000-0005-0000-0000-0000E70B0000}"/>
    <cellStyle name="20% - Accent3 32 13" xfId="3145" xr:uid="{00000000-0005-0000-0000-0000E80B0000}"/>
    <cellStyle name="20% - Accent3 32 14" xfId="3146" xr:uid="{00000000-0005-0000-0000-0000E90B0000}"/>
    <cellStyle name="20% - Accent3 32 15" xfId="3147" xr:uid="{00000000-0005-0000-0000-0000EA0B0000}"/>
    <cellStyle name="20% - Accent3 32 2" xfId="3148" xr:uid="{00000000-0005-0000-0000-0000EB0B0000}"/>
    <cellStyle name="20% - Accent3 32 3" xfId="3149" xr:uid="{00000000-0005-0000-0000-0000EC0B0000}"/>
    <cellStyle name="20% - Accent3 32 4" xfId="3150" xr:uid="{00000000-0005-0000-0000-0000ED0B0000}"/>
    <cellStyle name="20% - Accent3 32 5" xfId="3151" xr:uid="{00000000-0005-0000-0000-0000EE0B0000}"/>
    <cellStyle name="20% - Accent3 32 6" xfId="3152" xr:uid="{00000000-0005-0000-0000-0000EF0B0000}"/>
    <cellStyle name="20% - Accent3 32 7" xfId="3153" xr:uid="{00000000-0005-0000-0000-0000F00B0000}"/>
    <cellStyle name="20% - Accent3 32 8" xfId="3154" xr:uid="{00000000-0005-0000-0000-0000F10B0000}"/>
    <cellStyle name="20% - Accent3 32 9" xfId="3155" xr:uid="{00000000-0005-0000-0000-0000F20B0000}"/>
    <cellStyle name="20% - Accent3 33" xfId="3156" xr:uid="{00000000-0005-0000-0000-0000F30B0000}"/>
    <cellStyle name="20% - Accent3 33 10" xfId="3157" xr:uid="{00000000-0005-0000-0000-0000F40B0000}"/>
    <cellStyle name="20% - Accent3 33 11" xfId="3158" xr:uid="{00000000-0005-0000-0000-0000F50B0000}"/>
    <cellStyle name="20% - Accent3 33 12" xfId="3159" xr:uid="{00000000-0005-0000-0000-0000F60B0000}"/>
    <cellStyle name="20% - Accent3 33 13" xfId="3160" xr:uid="{00000000-0005-0000-0000-0000F70B0000}"/>
    <cellStyle name="20% - Accent3 33 14" xfId="3161" xr:uid="{00000000-0005-0000-0000-0000F80B0000}"/>
    <cellStyle name="20% - Accent3 33 15" xfId="3162" xr:uid="{00000000-0005-0000-0000-0000F90B0000}"/>
    <cellStyle name="20% - Accent3 33 16" xfId="3163" xr:uid="{00000000-0005-0000-0000-0000FA0B0000}"/>
    <cellStyle name="20% - Accent3 33 2" xfId="3164" xr:uid="{00000000-0005-0000-0000-0000FB0B0000}"/>
    <cellStyle name="20% - Accent3 33 3" xfId="3165" xr:uid="{00000000-0005-0000-0000-0000FC0B0000}"/>
    <cellStyle name="20% - Accent3 33 4" xfId="3166" xr:uid="{00000000-0005-0000-0000-0000FD0B0000}"/>
    <cellStyle name="20% - Accent3 33 5" xfId="3167" xr:uid="{00000000-0005-0000-0000-0000FE0B0000}"/>
    <cellStyle name="20% - Accent3 33 6" xfId="3168" xr:uid="{00000000-0005-0000-0000-0000FF0B0000}"/>
    <cellStyle name="20% - Accent3 33 7" xfId="3169" xr:uid="{00000000-0005-0000-0000-0000000C0000}"/>
    <cellStyle name="20% - Accent3 33 8" xfId="3170" xr:uid="{00000000-0005-0000-0000-0000010C0000}"/>
    <cellStyle name="20% - Accent3 33 9" xfId="3171" xr:uid="{00000000-0005-0000-0000-0000020C0000}"/>
    <cellStyle name="20% - Accent3 34" xfId="3172" xr:uid="{00000000-0005-0000-0000-0000030C0000}"/>
    <cellStyle name="20% - Accent3 34 10" xfId="3173" xr:uid="{00000000-0005-0000-0000-0000040C0000}"/>
    <cellStyle name="20% - Accent3 34 11" xfId="3174" xr:uid="{00000000-0005-0000-0000-0000050C0000}"/>
    <cellStyle name="20% - Accent3 34 12" xfId="3175" xr:uid="{00000000-0005-0000-0000-0000060C0000}"/>
    <cellStyle name="20% - Accent3 34 13" xfId="3176" xr:uid="{00000000-0005-0000-0000-0000070C0000}"/>
    <cellStyle name="20% - Accent3 34 14" xfId="3177" xr:uid="{00000000-0005-0000-0000-0000080C0000}"/>
    <cellStyle name="20% - Accent3 34 15" xfId="3178" xr:uid="{00000000-0005-0000-0000-0000090C0000}"/>
    <cellStyle name="20% - Accent3 34 16" xfId="3179" xr:uid="{00000000-0005-0000-0000-00000A0C0000}"/>
    <cellStyle name="20% - Accent3 34 2" xfId="3180" xr:uid="{00000000-0005-0000-0000-00000B0C0000}"/>
    <cellStyle name="20% - Accent3 34 3" xfId="3181" xr:uid="{00000000-0005-0000-0000-00000C0C0000}"/>
    <cellStyle name="20% - Accent3 34 4" xfId="3182" xr:uid="{00000000-0005-0000-0000-00000D0C0000}"/>
    <cellStyle name="20% - Accent3 34 5" xfId="3183" xr:uid="{00000000-0005-0000-0000-00000E0C0000}"/>
    <cellStyle name="20% - Accent3 34 6" xfId="3184" xr:uid="{00000000-0005-0000-0000-00000F0C0000}"/>
    <cellStyle name="20% - Accent3 34 7" xfId="3185" xr:uid="{00000000-0005-0000-0000-0000100C0000}"/>
    <cellStyle name="20% - Accent3 34 8" xfId="3186" xr:uid="{00000000-0005-0000-0000-0000110C0000}"/>
    <cellStyle name="20% - Accent3 34 9" xfId="3187" xr:uid="{00000000-0005-0000-0000-0000120C0000}"/>
    <cellStyle name="20% - Accent3 35" xfId="3188" xr:uid="{00000000-0005-0000-0000-0000130C0000}"/>
    <cellStyle name="20% - Accent3 35 10" xfId="3189" xr:uid="{00000000-0005-0000-0000-0000140C0000}"/>
    <cellStyle name="20% - Accent3 35 11" xfId="3190" xr:uid="{00000000-0005-0000-0000-0000150C0000}"/>
    <cellStyle name="20% - Accent3 35 12" xfId="3191" xr:uid="{00000000-0005-0000-0000-0000160C0000}"/>
    <cellStyle name="20% - Accent3 35 13" xfId="3192" xr:uid="{00000000-0005-0000-0000-0000170C0000}"/>
    <cellStyle name="20% - Accent3 35 14" xfId="3193" xr:uid="{00000000-0005-0000-0000-0000180C0000}"/>
    <cellStyle name="20% - Accent3 35 15" xfId="3194" xr:uid="{00000000-0005-0000-0000-0000190C0000}"/>
    <cellStyle name="20% - Accent3 35 16" xfId="3195" xr:uid="{00000000-0005-0000-0000-00001A0C0000}"/>
    <cellStyle name="20% - Accent3 35 2" xfId="3196" xr:uid="{00000000-0005-0000-0000-00001B0C0000}"/>
    <cellStyle name="20% - Accent3 35 3" xfId="3197" xr:uid="{00000000-0005-0000-0000-00001C0C0000}"/>
    <cellStyle name="20% - Accent3 35 4" xfId="3198" xr:uid="{00000000-0005-0000-0000-00001D0C0000}"/>
    <cellStyle name="20% - Accent3 35 5" xfId="3199" xr:uid="{00000000-0005-0000-0000-00001E0C0000}"/>
    <cellStyle name="20% - Accent3 35 6" xfId="3200" xr:uid="{00000000-0005-0000-0000-00001F0C0000}"/>
    <cellStyle name="20% - Accent3 35 7" xfId="3201" xr:uid="{00000000-0005-0000-0000-0000200C0000}"/>
    <cellStyle name="20% - Accent3 35 8" xfId="3202" xr:uid="{00000000-0005-0000-0000-0000210C0000}"/>
    <cellStyle name="20% - Accent3 35 9" xfId="3203" xr:uid="{00000000-0005-0000-0000-0000220C0000}"/>
    <cellStyle name="20% - Accent3 36" xfId="3204" xr:uid="{00000000-0005-0000-0000-0000230C0000}"/>
    <cellStyle name="20% - Accent3 36 10" xfId="3205" xr:uid="{00000000-0005-0000-0000-0000240C0000}"/>
    <cellStyle name="20% - Accent3 36 11" xfId="3206" xr:uid="{00000000-0005-0000-0000-0000250C0000}"/>
    <cellStyle name="20% - Accent3 36 12" xfId="3207" xr:uid="{00000000-0005-0000-0000-0000260C0000}"/>
    <cellStyle name="20% - Accent3 36 13" xfId="3208" xr:uid="{00000000-0005-0000-0000-0000270C0000}"/>
    <cellStyle name="20% - Accent3 36 14" xfId="3209" xr:uid="{00000000-0005-0000-0000-0000280C0000}"/>
    <cellStyle name="20% - Accent3 36 15" xfId="3210" xr:uid="{00000000-0005-0000-0000-0000290C0000}"/>
    <cellStyle name="20% - Accent3 36 16" xfId="3211" xr:uid="{00000000-0005-0000-0000-00002A0C0000}"/>
    <cellStyle name="20% - Accent3 36 2" xfId="3212" xr:uid="{00000000-0005-0000-0000-00002B0C0000}"/>
    <cellStyle name="20% - Accent3 36 3" xfId="3213" xr:uid="{00000000-0005-0000-0000-00002C0C0000}"/>
    <cellStyle name="20% - Accent3 36 4" xfId="3214" xr:uid="{00000000-0005-0000-0000-00002D0C0000}"/>
    <cellStyle name="20% - Accent3 36 5" xfId="3215" xr:uid="{00000000-0005-0000-0000-00002E0C0000}"/>
    <cellStyle name="20% - Accent3 36 6" xfId="3216" xr:uid="{00000000-0005-0000-0000-00002F0C0000}"/>
    <cellStyle name="20% - Accent3 36 7" xfId="3217" xr:uid="{00000000-0005-0000-0000-0000300C0000}"/>
    <cellStyle name="20% - Accent3 36 8" xfId="3218" xr:uid="{00000000-0005-0000-0000-0000310C0000}"/>
    <cellStyle name="20% - Accent3 36 9" xfId="3219" xr:uid="{00000000-0005-0000-0000-0000320C0000}"/>
    <cellStyle name="20% - Accent3 37" xfId="3220" xr:uid="{00000000-0005-0000-0000-0000330C0000}"/>
    <cellStyle name="20% - Accent3 37 10" xfId="3221" xr:uid="{00000000-0005-0000-0000-0000340C0000}"/>
    <cellStyle name="20% - Accent3 37 11" xfId="3222" xr:uid="{00000000-0005-0000-0000-0000350C0000}"/>
    <cellStyle name="20% - Accent3 37 12" xfId="3223" xr:uid="{00000000-0005-0000-0000-0000360C0000}"/>
    <cellStyle name="20% - Accent3 37 13" xfId="3224" xr:uid="{00000000-0005-0000-0000-0000370C0000}"/>
    <cellStyle name="20% - Accent3 37 14" xfId="3225" xr:uid="{00000000-0005-0000-0000-0000380C0000}"/>
    <cellStyle name="20% - Accent3 37 15" xfId="3226" xr:uid="{00000000-0005-0000-0000-0000390C0000}"/>
    <cellStyle name="20% - Accent3 37 2" xfId="3227" xr:uid="{00000000-0005-0000-0000-00003A0C0000}"/>
    <cellStyle name="20% - Accent3 37 3" xfId="3228" xr:uid="{00000000-0005-0000-0000-00003B0C0000}"/>
    <cellStyle name="20% - Accent3 37 4" xfId="3229" xr:uid="{00000000-0005-0000-0000-00003C0C0000}"/>
    <cellStyle name="20% - Accent3 37 5" xfId="3230" xr:uid="{00000000-0005-0000-0000-00003D0C0000}"/>
    <cellStyle name="20% - Accent3 37 6" xfId="3231" xr:uid="{00000000-0005-0000-0000-00003E0C0000}"/>
    <cellStyle name="20% - Accent3 37 7" xfId="3232" xr:uid="{00000000-0005-0000-0000-00003F0C0000}"/>
    <cellStyle name="20% - Accent3 37 8" xfId="3233" xr:uid="{00000000-0005-0000-0000-0000400C0000}"/>
    <cellStyle name="20% - Accent3 37 9" xfId="3234" xr:uid="{00000000-0005-0000-0000-0000410C0000}"/>
    <cellStyle name="20% - Accent3 38" xfId="3235" xr:uid="{00000000-0005-0000-0000-0000420C0000}"/>
    <cellStyle name="20% - Accent3 38 10" xfId="3236" xr:uid="{00000000-0005-0000-0000-0000430C0000}"/>
    <cellStyle name="20% - Accent3 38 11" xfId="3237" xr:uid="{00000000-0005-0000-0000-0000440C0000}"/>
    <cellStyle name="20% - Accent3 38 12" xfId="3238" xr:uid="{00000000-0005-0000-0000-0000450C0000}"/>
    <cellStyle name="20% - Accent3 38 13" xfId="3239" xr:uid="{00000000-0005-0000-0000-0000460C0000}"/>
    <cellStyle name="20% - Accent3 38 14" xfId="3240" xr:uid="{00000000-0005-0000-0000-0000470C0000}"/>
    <cellStyle name="20% - Accent3 38 15" xfId="3241" xr:uid="{00000000-0005-0000-0000-0000480C0000}"/>
    <cellStyle name="20% - Accent3 38 2" xfId="3242" xr:uid="{00000000-0005-0000-0000-0000490C0000}"/>
    <cellStyle name="20% - Accent3 38 3" xfId="3243" xr:uid="{00000000-0005-0000-0000-00004A0C0000}"/>
    <cellStyle name="20% - Accent3 38 4" xfId="3244" xr:uid="{00000000-0005-0000-0000-00004B0C0000}"/>
    <cellStyle name="20% - Accent3 38 5" xfId="3245" xr:uid="{00000000-0005-0000-0000-00004C0C0000}"/>
    <cellStyle name="20% - Accent3 38 6" xfId="3246" xr:uid="{00000000-0005-0000-0000-00004D0C0000}"/>
    <cellStyle name="20% - Accent3 38 7" xfId="3247" xr:uid="{00000000-0005-0000-0000-00004E0C0000}"/>
    <cellStyle name="20% - Accent3 38 8" xfId="3248" xr:uid="{00000000-0005-0000-0000-00004F0C0000}"/>
    <cellStyle name="20% - Accent3 38 9" xfId="3249" xr:uid="{00000000-0005-0000-0000-0000500C0000}"/>
    <cellStyle name="20% - Accent3 39" xfId="3250" xr:uid="{00000000-0005-0000-0000-0000510C0000}"/>
    <cellStyle name="20% - Accent3 39 10" xfId="3251" xr:uid="{00000000-0005-0000-0000-0000520C0000}"/>
    <cellStyle name="20% - Accent3 39 11" xfId="3252" xr:uid="{00000000-0005-0000-0000-0000530C0000}"/>
    <cellStyle name="20% - Accent3 39 12" xfId="3253" xr:uid="{00000000-0005-0000-0000-0000540C0000}"/>
    <cellStyle name="20% - Accent3 39 13" xfId="3254" xr:uid="{00000000-0005-0000-0000-0000550C0000}"/>
    <cellStyle name="20% - Accent3 39 14" xfId="3255" xr:uid="{00000000-0005-0000-0000-0000560C0000}"/>
    <cellStyle name="20% - Accent3 39 15" xfId="3256" xr:uid="{00000000-0005-0000-0000-0000570C0000}"/>
    <cellStyle name="20% - Accent3 39 2" xfId="3257" xr:uid="{00000000-0005-0000-0000-0000580C0000}"/>
    <cellStyle name="20% - Accent3 39 3" xfId="3258" xr:uid="{00000000-0005-0000-0000-0000590C0000}"/>
    <cellStyle name="20% - Accent3 39 4" xfId="3259" xr:uid="{00000000-0005-0000-0000-00005A0C0000}"/>
    <cellStyle name="20% - Accent3 39 5" xfId="3260" xr:uid="{00000000-0005-0000-0000-00005B0C0000}"/>
    <cellStyle name="20% - Accent3 39 6" xfId="3261" xr:uid="{00000000-0005-0000-0000-00005C0C0000}"/>
    <cellStyle name="20% - Accent3 39 7" xfId="3262" xr:uid="{00000000-0005-0000-0000-00005D0C0000}"/>
    <cellStyle name="20% - Accent3 39 8" xfId="3263" xr:uid="{00000000-0005-0000-0000-00005E0C0000}"/>
    <cellStyle name="20% - Accent3 39 9" xfId="3264" xr:uid="{00000000-0005-0000-0000-00005F0C0000}"/>
    <cellStyle name="20% - Accent3 4" xfId="3265" xr:uid="{00000000-0005-0000-0000-0000600C0000}"/>
    <cellStyle name="20% - Accent3 4 2" xfId="3266" xr:uid="{00000000-0005-0000-0000-0000610C0000}"/>
    <cellStyle name="20% - Accent3 4 2 2" xfId="3267" xr:uid="{00000000-0005-0000-0000-0000620C0000}"/>
    <cellStyle name="20% - Accent3 4 2 3" xfId="3268" xr:uid="{00000000-0005-0000-0000-0000630C0000}"/>
    <cellStyle name="20% - Accent3 4 2 4" xfId="3269" xr:uid="{00000000-0005-0000-0000-0000640C0000}"/>
    <cellStyle name="20% - Accent3 4 2 5" xfId="3270" xr:uid="{00000000-0005-0000-0000-0000650C0000}"/>
    <cellStyle name="20% - Accent3 4 3" xfId="3271" xr:uid="{00000000-0005-0000-0000-0000660C0000}"/>
    <cellStyle name="20% - Accent3 4 3 2" xfId="3272" xr:uid="{00000000-0005-0000-0000-0000670C0000}"/>
    <cellStyle name="20% - Accent3 4 4" xfId="3273" xr:uid="{00000000-0005-0000-0000-0000680C0000}"/>
    <cellStyle name="20% - Accent3 4 4 2" xfId="3274" xr:uid="{00000000-0005-0000-0000-0000690C0000}"/>
    <cellStyle name="20% - Accent3 4 5" xfId="3275" xr:uid="{00000000-0005-0000-0000-00006A0C0000}"/>
    <cellStyle name="20% - Accent3 4 5 2" xfId="3276" xr:uid="{00000000-0005-0000-0000-00006B0C0000}"/>
    <cellStyle name="20% - Accent3 4 6" xfId="3277" xr:uid="{00000000-0005-0000-0000-00006C0C0000}"/>
    <cellStyle name="20% - Accent3 4 6 2" xfId="3278" xr:uid="{00000000-0005-0000-0000-00006D0C0000}"/>
    <cellStyle name="20% - Accent3 4 7" xfId="3279" xr:uid="{00000000-0005-0000-0000-00006E0C0000}"/>
    <cellStyle name="20% - Accent3 40" xfId="3280" xr:uid="{00000000-0005-0000-0000-00006F0C0000}"/>
    <cellStyle name="20% - Accent3 41" xfId="3281" xr:uid="{00000000-0005-0000-0000-0000700C0000}"/>
    <cellStyle name="20% - Accent3 42" xfId="3282" xr:uid="{00000000-0005-0000-0000-0000710C0000}"/>
    <cellStyle name="20% - Accent3 43" xfId="3283" xr:uid="{00000000-0005-0000-0000-0000720C0000}"/>
    <cellStyle name="20% - Accent3 44" xfId="3284" xr:uid="{00000000-0005-0000-0000-0000730C0000}"/>
    <cellStyle name="20% - Accent3 45" xfId="3285" xr:uid="{00000000-0005-0000-0000-0000740C0000}"/>
    <cellStyle name="20% - Accent3 46" xfId="3286" xr:uid="{00000000-0005-0000-0000-0000750C0000}"/>
    <cellStyle name="20% - Accent3 47" xfId="3287" xr:uid="{00000000-0005-0000-0000-0000760C0000}"/>
    <cellStyle name="20% - Accent3 48" xfId="3288" xr:uid="{00000000-0005-0000-0000-0000770C0000}"/>
    <cellStyle name="20% - Accent3 49" xfId="3289" xr:uid="{00000000-0005-0000-0000-0000780C0000}"/>
    <cellStyle name="20% - Accent3 5" xfId="3290" xr:uid="{00000000-0005-0000-0000-0000790C0000}"/>
    <cellStyle name="20% - Accent3 5 2" xfId="3291" xr:uid="{00000000-0005-0000-0000-00007A0C0000}"/>
    <cellStyle name="20% - Accent3 5 2 2" xfId="3292" xr:uid="{00000000-0005-0000-0000-00007B0C0000}"/>
    <cellStyle name="20% - Accent3 5 2 3" xfId="3293" xr:uid="{00000000-0005-0000-0000-00007C0C0000}"/>
    <cellStyle name="20% - Accent3 5 2 4" xfId="3294" xr:uid="{00000000-0005-0000-0000-00007D0C0000}"/>
    <cellStyle name="20% - Accent3 5 2 5" xfId="3295" xr:uid="{00000000-0005-0000-0000-00007E0C0000}"/>
    <cellStyle name="20% - Accent3 5 3" xfId="3296" xr:uid="{00000000-0005-0000-0000-00007F0C0000}"/>
    <cellStyle name="20% - Accent3 5 3 2" xfId="3297" xr:uid="{00000000-0005-0000-0000-0000800C0000}"/>
    <cellStyle name="20% - Accent3 5 3 3" xfId="3298" xr:uid="{00000000-0005-0000-0000-0000810C0000}"/>
    <cellStyle name="20% - Accent3 5 4" xfId="3299" xr:uid="{00000000-0005-0000-0000-0000820C0000}"/>
    <cellStyle name="20% - Accent3 5 4 2" xfId="3300" xr:uid="{00000000-0005-0000-0000-0000830C0000}"/>
    <cellStyle name="20% - Accent3 5 5" xfId="3301" xr:uid="{00000000-0005-0000-0000-0000840C0000}"/>
    <cellStyle name="20% - Accent3 5 6" xfId="3302" xr:uid="{00000000-0005-0000-0000-0000850C0000}"/>
    <cellStyle name="20% - Accent3 50" xfId="3303" xr:uid="{00000000-0005-0000-0000-0000860C0000}"/>
    <cellStyle name="20% - Accent3 51" xfId="3304" xr:uid="{00000000-0005-0000-0000-0000870C0000}"/>
    <cellStyle name="20% - Accent3 52" xfId="3305" xr:uid="{00000000-0005-0000-0000-0000880C0000}"/>
    <cellStyle name="20% - Accent3 53" xfId="3306" xr:uid="{00000000-0005-0000-0000-0000890C0000}"/>
    <cellStyle name="20% - Accent3 54" xfId="3307" xr:uid="{00000000-0005-0000-0000-00008A0C0000}"/>
    <cellStyle name="20% - Accent3 55" xfId="3308" xr:uid="{00000000-0005-0000-0000-00008B0C0000}"/>
    <cellStyle name="20% - Accent3 56" xfId="3309" xr:uid="{00000000-0005-0000-0000-00008C0C0000}"/>
    <cellStyle name="20% - Accent3 57" xfId="3310" xr:uid="{00000000-0005-0000-0000-00008D0C0000}"/>
    <cellStyle name="20% - Accent3 58" xfId="3311" xr:uid="{00000000-0005-0000-0000-00008E0C0000}"/>
    <cellStyle name="20% - Accent3 59" xfId="3312" xr:uid="{00000000-0005-0000-0000-00008F0C0000}"/>
    <cellStyle name="20% - Accent3 6" xfId="3313" xr:uid="{00000000-0005-0000-0000-0000900C0000}"/>
    <cellStyle name="20% - Accent3 6 2" xfId="3314" xr:uid="{00000000-0005-0000-0000-0000910C0000}"/>
    <cellStyle name="20% - Accent3 6 2 2" xfId="3315" xr:uid="{00000000-0005-0000-0000-0000920C0000}"/>
    <cellStyle name="20% - Accent3 6 2 3" xfId="3316" xr:uid="{00000000-0005-0000-0000-0000930C0000}"/>
    <cellStyle name="20% - Accent3 6 2 4" xfId="3317" xr:uid="{00000000-0005-0000-0000-0000940C0000}"/>
    <cellStyle name="20% - Accent3 6 3" xfId="3318" xr:uid="{00000000-0005-0000-0000-0000950C0000}"/>
    <cellStyle name="20% - Accent3 6 4" xfId="3319" xr:uid="{00000000-0005-0000-0000-0000960C0000}"/>
    <cellStyle name="20% - Accent3 6 5" xfId="3320" xr:uid="{00000000-0005-0000-0000-0000970C0000}"/>
    <cellStyle name="20% - Accent3 60" xfId="3321" xr:uid="{00000000-0005-0000-0000-0000980C0000}"/>
    <cellStyle name="20% - Accent3 61" xfId="3322" xr:uid="{00000000-0005-0000-0000-0000990C0000}"/>
    <cellStyle name="20% - Accent3 62" xfId="3323" xr:uid="{00000000-0005-0000-0000-00009A0C0000}"/>
    <cellStyle name="20% - Accent3 63" xfId="3324" xr:uid="{00000000-0005-0000-0000-00009B0C0000}"/>
    <cellStyle name="20% - Accent3 64" xfId="3325" xr:uid="{00000000-0005-0000-0000-00009C0C0000}"/>
    <cellStyle name="20% - Accent3 65" xfId="3326" xr:uid="{00000000-0005-0000-0000-00009D0C0000}"/>
    <cellStyle name="20% - Accent3 66" xfId="3327" xr:uid="{00000000-0005-0000-0000-00009E0C0000}"/>
    <cellStyle name="20% - Accent3 67" xfId="3328" xr:uid="{00000000-0005-0000-0000-00009F0C0000}"/>
    <cellStyle name="20% - Accent3 68" xfId="3329" xr:uid="{00000000-0005-0000-0000-0000A00C0000}"/>
    <cellStyle name="20% - Accent3 69" xfId="3330" xr:uid="{00000000-0005-0000-0000-0000A10C0000}"/>
    <cellStyle name="20% - Accent3 7" xfId="3331" xr:uid="{00000000-0005-0000-0000-0000A20C0000}"/>
    <cellStyle name="20% - Accent3 7 2" xfId="3332" xr:uid="{00000000-0005-0000-0000-0000A30C0000}"/>
    <cellStyle name="20% - Accent3 7 2 2" xfId="3333" xr:uid="{00000000-0005-0000-0000-0000A40C0000}"/>
    <cellStyle name="20% - Accent3 7 2 3" xfId="3334" xr:uid="{00000000-0005-0000-0000-0000A50C0000}"/>
    <cellStyle name="20% - Accent3 7 2 4" xfId="3335" xr:uid="{00000000-0005-0000-0000-0000A60C0000}"/>
    <cellStyle name="20% - Accent3 7 3" xfId="3336" xr:uid="{00000000-0005-0000-0000-0000A70C0000}"/>
    <cellStyle name="20% - Accent3 7 4" xfId="3337" xr:uid="{00000000-0005-0000-0000-0000A80C0000}"/>
    <cellStyle name="20% - Accent3 7 5" xfId="3338" xr:uid="{00000000-0005-0000-0000-0000A90C0000}"/>
    <cellStyle name="20% - Accent3 70" xfId="3339" xr:uid="{00000000-0005-0000-0000-0000AA0C0000}"/>
    <cellStyle name="20% - Accent3 71" xfId="3340" xr:uid="{00000000-0005-0000-0000-0000AB0C0000}"/>
    <cellStyle name="20% - Accent3 72" xfId="3341" xr:uid="{00000000-0005-0000-0000-0000AC0C0000}"/>
    <cellStyle name="20% - Accent3 73" xfId="3342" xr:uid="{00000000-0005-0000-0000-0000AD0C0000}"/>
    <cellStyle name="20% - Accent3 74" xfId="3343" xr:uid="{00000000-0005-0000-0000-0000AE0C0000}"/>
    <cellStyle name="20% - Accent3 75" xfId="3344" xr:uid="{00000000-0005-0000-0000-0000AF0C0000}"/>
    <cellStyle name="20% - Accent3 76" xfId="3345" xr:uid="{00000000-0005-0000-0000-0000B00C0000}"/>
    <cellStyle name="20% - Accent3 77" xfId="3346" xr:uid="{00000000-0005-0000-0000-0000B10C0000}"/>
    <cellStyle name="20% - Accent3 78" xfId="3347" xr:uid="{00000000-0005-0000-0000-0000B20C0000}"/>
    <cellStyle name="20% - Accent3 79" xfId="3348" xr:uid="{00000000-0005-0000-0000-0000B30C0000}"/>
    <cellStyle name="20% - Accent3 79 2" xfId="3349" xr:uid="{00000000-0005-0000-0000-0000B40C0000}"/>
    <cellStyle name="20% - Accent3 8" xfId="3350" xr:uid="{00000000-0005-0000-0000-0000B50C0000}"/>
    <cellStyle name="20% - Accent3 8 2" xfId="3351" xr:uid="{00000000-0005-0000-0000-0000B60C0000}"/>
    <cellStyle name="20% - Accent3 8 2 2" xfId="3352" xr:uid="{00000000-0005-0000-0000-0000B70C0000}"/>
    <cellStyle name="20% - Accent3 8 2 3" xfId="3353" xr:uid="{00000000-0005-0000-0000-0000B80C0000}"/>
    <cellStyle name="20% - Accent3 8 2 4" xfId="3354" xr:uid="{00000000-0005-0000-0000-0000B90C0000}"/>
    <cellStyle name="20% - Accent3 8 3" xfId="3355" xr:uid="{00000000-0005-0000-0000-0000BA0C0000}"/>
    <cellStyle name="20% - Accent3 8 4" xfId="3356" xr:uid="{00000000-0005-0000-0000-0000BB0C0000}"/>
    <cellStyle name="20% - Accent3 8 5" xfId="3357" xr:uid="{00000000-0005-0000-0000-0000BC0C0000}"/>
    <cellStyle name="20% - Accent3 80" xfId="3358" xr:uid="{00000000-0005-0000-0000-0000BD0C0000}"/>
    <cellStyle name="20% - Accent3 80 2" xfId="3359" xr:uid="{00000000-0005-0000-0000-0000BE0C0000}"/>
    <cellStyle name="20% - Accent3 81" xfId="3360" xr:uid="{00000000-0005-0000-0000-0000BF0C0000}"/>
    <cellStyle name="20% - Accent3 81 2" xfId="3361" xr:uid="{00000000-0005-0000-0000-0000C00C0000}"/>
    <cellStyle name="20% - Accent3 82" xfId="3362" xr:uid="{00000000-0005-0000-0000-0000C10C0000}"/>
    <cellStyle name="20% - Accent3 82 2" xfId="3363" xr:uid="{00000000-0005-0000-0000-0000C20C0000}"/>
    <cellStyle name="20% - Accent3 83" xfId="3364" xr:uid="{00000000-0005-0000-0000-0000C30C0000}"/>
    <cellStyle name="20% - Accent3 83 2" xfId="3365" xr:uid="{00000000-0005-0000-0000-0000C40C0000}"/>
    <cellStyle name="20% - Accent3 84" xfId="3366" xr:uid="{00000000-0005-0000-0000-0000C50C0000}"/>
    <cellStyle name="20% - Accent3 84 2" xfId="3367" xr:uid="{00000000-0005-0000-0000-0000C60C0000}"/>
    <cellStyle name="20% - Accent3 85" xfId="3368" xr:uid="{00000000-0005-0000-0000-0000C70C0000}"/>
    <cellStyle name="20% - Accent3 85 2" xfId="3369" xr:uid="{00000000-0005-0000-0000-0000C80C0000}"/>
    <cellStyle name="20% - Accent3 86" xfId="3370" xr:uid="{00000000-0005-0000-0000-0000C90C0000}"/>
    <cellStyle name="20% - Accent3 86 2" xfId="3371" xr:uid="{00000000-0005-0000-0000-0000CA0C0000}"/>
    <cellStyle name="20% - Accent3 87" xfId="3372" xr:uid="{00000000-0005-0000-0000-0000CB0C0000}"/>
    <cellStyle name="20% - Accent3 87 2" xfId="3373" xr:uid="{00000000-0005-0000-0000-0000CC0C0000}"/>
    <cellStyle name="20% - Accent3 88" xfId="3374" xr:uid="{00000000-0005-0000-0000-0000CD0C0000}"/>
    <cellStyle name="20% - Accent3 88 2" xfId="3375" xr:uid="{00000000-0005-0000-0000-0000CE0C0000}"/>
    <cellStyle name="20% - Accent3 89" xfId="3376" xr:uid="{00000000-0005-0000-0000-0000CF0C0000}"/>
    <cellStyle name="20% - Accent3 89 2" xfId="3377" xr:uid="{00000000-0005-0000-0000-0000D00C0000}"/>
    <cellStyle name="20% - Accent3 9" xfId="3378" xr:uid="{00000000-0005-0000-0000-0000D10C0000}"/>
    <cellStyle name="20% - Accent3 9 2" xfId="3379" xr:uid="{00000000-0005-0000-0000-0000D20C0000}"/>
    <cellStyle name="20% - Accent3 9 2 2" xfId="3380" xr:uid="{00000000-0005-0000-0000-0000D30C0000}"/>
    <cellStyle name="20% - Accent3 9 2 3" xfId="3381" xr:uid="{00000000-0005-0000-0000-0000D40C0000}"/>
    <cellStyle name="20% - Accent3 9 2 4" xfId="3382" xr:uid="{00000000-0005-0000-0000-0000D50C0000}"/>
    <cellStyle name="20% - Accent3 9 3" xfId="3383" xr:uid="{00000000-0005-0000-0000-0000D60C0000}"/>
    <cellStyle name="20% - Accent3 9 4" xfId="3384" xr:uid="{00000000-0005-0000-0000-0000D70C0000}"/>
    <cellStyle name="20% - Accent3 9 5" xfId="3385" xr:uid="{00000000-0005-0000-0000-0000D80C0000}"/>
    <cellStyle name="20% - Accent3 90" xfId="3386" xr:uid="{00000000-0005-0000-0000-0000D90C0000}"/>
    <cellStyle name="20% - Accent3 91" xfId="3387" xr:uid="{00000000-0005-0000-0000-0000DA0C0000}"/>
    <cellStyle name="20% - Accent3 92" xfId="3388" xr:uid="{00000000-0005-0000-0000-0000DB0C0000}"/>
    <cellStyle name="20% - Accent3 93" xfId="3389" xr:uid="{00000000-0005-0000-0000-0000DC0C0000}"/>
    <cellStyle name="20% - Accent3 94" xfId="3390" xr:uid="{00000000-0005-0000-0000-0000DD0C0000}"/>
    <cellStyle name="20% - Accent3 95" xfId="3391" xr:uid="{00000000-0005-0000-0000-0000DE0C0000}"/>
    <cellStyle name="20% - Accent3 96" xfId="3392" xr:uid="{00000000-0005-0000-0000-0000DF0C0000}"/>
    <cellStyle name="20% - Accent3 97" xfId="3393" xr:uid="{00000000-0005-0000-0000-0000E00C0000}"/>
    <cellStyle name="20% - Accent3 98" xfId="3394" xr:uid="{00000000-0005-0000-0000-0000E10C0000}"/>
    <cellStyle name="20% - Accent3 99" xfId="3395" xr:uid="{00000000-0005-0000-0000-0000E20C0000}"/>
    <cellStyle name="20% - Accent4" xfId="31" builtinId="42" customBuiltin="1"/>
    <cellStyle name="20% - Accent4 10" xfId="3396" xr:uid="{00000000-0005-0000-0000-0000E40C0000}"/>
    <cellStyle name="20% - Accent4 10 2" xfId="3397" xr:uid="{00000000-0005-0000-0000-0000E50C0000}"/>
    <cellStyle name="20% - Accent4 10 2 2" xfId="3398" xr:uid="{00000000-0005-0000-0000-0000E60C0000}"/>
    <cellStyle name="20% - Accent4 10 2 3" xfId="3399" xr:uid="{00000000-0005-0000-0000-0000E70C0000}"/>
    <cellStyle name="20% - Accent4 10 2 4" xfId="3400" xr:uid="{00000000-0005-0000-0000-0000E80C0000}"/>
    <cellStyle name="20% - Accent4 10 3" xfId="3401" xr:uid="{00000000-0005-0000-0000-0000E90C0000}"/>
    <cellStyle name="20% - Accent4 10 4" xfId="3402" xr:uid="{00000000-0005-0000-0000-0000EA0C0000}"/>
    <cellStyle name="20% - Accent4 10 5" xfId="3403" xr:uid="{00000000-0005-0000-0000-0000EB0C0000}"/>
    <cellStyle name="20% - Accent4 100" xfId="3404" xr:uid="{00000000-0005-0000-0000-0000EC0C0000}"/>
    <cellStyle name="20% - Accent4 101" xfId="3405" xr:uid="{00000000-0005-0000-0000-0000ED0C0000}"/>
    <cellStyle name="20% - Accent4 102" xfId="3406" xr:uid="{00000000-0005-0000-0000-0000EE0C0000}"/>
    <cellStyle name="20% - Accent4 103" xfId="3407" xr:uid="{00000000-0005-0000-0000-0000EF0C0000}"/>
    <cellStyle name="20% - Accent4 104" xfId="3408" xr:uid="{00000000-0005-0000-0000-0000F00C0000}"/>
    <cellStyle name="20% - Accent4 105" xfId="3409" xr:uid="{00000000-0005-0000-0000-0000F10C0000}"/>
    <cellStyle name="20% - Accent4 106" xfId="3410" xr:uid="{00000000-0005-0000-0000-0000F20C0000}"/>
    <cellStyle name="20% - Accent4 107" xfId="3411" xr:uid="{00000000-0005-0000-0000-0000F30C0000}"/>
    <cellStyle name="20% - Accent4 108" xfId="3412" xr:uid="{00000000-0005-0000-0000-0000F40C0000}"/>
    <cellStyle name="20% - Accent4 109" xfId="3413" xr:uid="{00000000-0005-0000-0000-0000F50C0000}"/>
    <cellStyle name="20% - Accent4 11" xfId="3414" xr:uid="{00000000-0005-0000-0000-0000F60C0000}"/>
    <cellStyle name="20% - Accent4 11 2" xfId="3415" xr:uid="{00000000-0005-0000-0000-0000F70C0000}"/>
    <cellStyle name="20% - Accent4 11 2 2" xfId="3416" xr:uid="{00000000-0005-0000-0000-0000F80C0000}"/>
    <cellStyle name="20% - Accent4 11 2 3" xfId="3417" xr:uid="{00000000-0005-0000-0000-0000F90C0000}"/>
    <cellStyle name="20% - Accent4 11 2 4" xfId="3418" xr:uid="{00000000-0005-0000-0000-0000FA0C0000}"/>
    <cellStyle name="20% - Accent4 11 3" xfId="3419" xr:uid="{00000000-0005-0000-0000-0000FB0C0000}"/>
    <cellStyle name="20% - Accent4 11 4" xfId="3420" xr:uid="{00000000-0005-0000-0000-0000FC0C0000}"/>
    <cellStyle name="20% - Accent4 11 5" xfId="3421" xr:uid="{00000000-0005-0000-0000-0000FD0C0000}"/>
    <cellStyle name="20% - Accent4 110" xfId="3422" xr:uid="{00000000-0005-0000-0000-0000FE0C0000}"/>
    <cellStyle name="20% - Accent4 111" xfId="3423" xr:uid="{00000000-0005-0000-0000-0000FF0C0000}"/>
    <cellStyle name="20% - Accent4 112" xfId="3424" xr:uid="{00000000-0005-0000-0000-0000000D0000}"/>
    <cellStyle name="20% - Accent4 113" xfId="3425" xr:uid="{00000000-0005-0000-0000-0000010D0000}"/>
    <cellStyle name="20% - Accent4 114" xfId="3426" xr:uid="{00000000-0005-0000-0000-0000020D0000}"/>
    <cellStyle name="20% - Accent4 115" xfId="3427" xr:uid="{00000000-0005-0000-0000-0000030D0000}"/>
    <cellStyle name="20% - Accent4 116" xfId="3428" xr:uid="{00000000-0005-0000-0000-0000040D0000}"/>
    <cellStyle name="20% - Accent4 117" xfId="3429" xr:uid="{00000000-0005-0000-0000-0000050D0000}"/>
    <cellStyle name="20% - Accent4 118" xfId="3430" xr:uid="{00000000-0005-0000-0000-0000060D0000}"/>
    <cellStyle name="20% - Accent4 119" xfId="3431" xr:uid="{00000000-0005-0000-0000-0000070D0000}"/>
    <cellStyle name="20% - Accent4 12" xfId="3432" xr:uid="{00000000-0005-0000-0000-0000080D0000}"/>
    <cellStyle name="20% - Accent4 12 2" xfId="3433" xr:uid="{00000000-0005-0000-0000-0000090D0000}"/>
    <cellStyle name="20% - Accent4 12 2 2" xfId="3434" xr:uid="{00000000-0005-0000-0000-00000A0D0000}"/>
    <cellStyle name="20% - Accent4 12 2 3" xfId="3435" xr:uid="{00000000-0005-0000-0000-00000B0D0000}"/>
    <cellStyle name="20% - Accent4 12 2 4" xfId="3436" xr:uid="{00000000-0005-0000-0000-00000C0D0000}"/>
    <cellStyle name="20% - Accent4 12 3" xfId="3437" xr:uid="{00000000-0005-0000-0000-00000D0D0000}"/>
    <cellStyle name="20% - Accent4 12 4" xfId="3438" xr:uid="{00000000-0005-0000-0000-00000E0D0000}"/>
    <cellStyle name="20% - Accent4 12 5" xfId="3439" xr:uid="{00000000-0005-0000-0000-00000F0D0000}"/>
    <cellStyle name="20% - Accent4 120" xfId="3440" xr:uid="{00000000-0005-0000-0000-0000100D0000}"/>
    <cellStyle name="20% - Accent4 121" xfId="3441" xr:uid="{00000000-0005-0000-0000-0000110D0000}"/>
    <cellStyle name="20% - Accent4 122" xfId="3442" xr:uid="{00000000-0005-0000-0000-0000120D0000}"/>
    <cellStyle name="20% - Accent4 123" xfId="3443" xr:uid="{00000000-0005-0000-0000-0000130D0000}"/>
    <cellStyle name="20% - Accent4 124" xfId="3444" xr:uid="{00000000-0005-0000-0000-0000140D0000}"/>
    <cellStyle name="20% - Accent4 125" xfId="3445" xr:uid="{00000000-0005-0000-0000-0000150D0000}"/>
    <cellStyle name="20% - Accent4 126" xfId="3446" xr:uid="{00000000-0005-0000-0000-0000160D0000}"/>
    <cellStyle name="20% - Accent4 127" xfId="3447" xr:uid="{00000000-0005-0000-0000-0000170D0000}"/>
    <cellStyle name="20% - Accent4 128" xfId="3448" xr:uid="{00000000-0005-0000-0000-0000180D0000}"/>
    <cellStyle name="20% - Accent4 129" xfId="3449" xr:uid="{00000000-0005-0000-0000-0000190D0000}"/>
    <cellStyle name="20% - Accent4 13" xfId="3450" xr:uid="{00000000-0005-0000-0000-00001A0D0000}"/>
    <cellStyle name="20% - Accent4 13 2" xfId="3451" xr:uid="{00000000-0005-0000-0000-00001B0D0000}"/>
    <cellStyle name="20% - Accent4 13 2 2" xfId="3452" xr:uid="{00000000-0005-0000-0000-00001C0D0000}"/>
    <cellStyle name="20% - Accent4 13 2 3" xfId="3453" xr:uid="{00000000-0005-0000-0000-00001D0D0000}"/>
    <cellStyle name="20% - Accent4 13 2 4" xfId="3454" xr:uid="{00000000-0005-0000-0000-00001E0D0000}"/>
    <cellStyle name="20% - Accent4 13 3" xfId="3455" xr:uid="{00000000-0005-0000-0000-00001F0D0000}"/>
    <cellStyle name="20% - Accent4 13 4" xfId="3456" xr:uid="{00000000-0005-0000-0000-0000200D0000}"/>
    <cellStyle name="20% - Accent4 13 5" xfId="3457" xr:uid="{00000000-0005-0000-0000-0000210D0000}"/>
    <cellStyle name="20% - Accent4 130" xfId="3458" xr:uid="{00000000-0005-0000-0000-0000220D0000}"/>
    <cellStyle name="20% - Accent4 131" xfId="3459" xr:uid="{00000000-0005-0000-0000-0000230D0000}"/>
    <cellStyle name="20% - Accent4 132" xfId="3460" xr:uid="{00000000-0005-0000-0000-0000240D0000}"/>
    <cellStyle name="20% - Accent4 133" xfId="3461" xr:uid="{00000000-0005-0000-0000-0000250D0000}"/>
    <cellStyle name="20% - Accent4 134" xfId="3462" xr:uid="{00000000-0005-0000-0000-0000260D0000}"/>
    <cellStyle name="20% - Accent4 135" xfId="3463" xr:uid="{00000000-0005-0000-0000-0000270D0000}"/>
    <cellStyle name="20% - Accent4 136" xfId="3464" xr:uid="{00000000-0005-0000-0000-0000280D0000}"/>
    <cellStyle name="20% - Accent4 137" xfId="3465" xr:uid="{00000000-0005-0000-0000-0000290D0000}"/>
    <cellStyle name="20% - Accent4 138" xfId="3466" xr:uid="{00000000-0005-0000-0000-00002A0D0000}"/>
    <cellStyle name="20% - Accent4 139" xfId="3467" xr:uid="{00000000-0005-0000-0000-00002B0D0000}"/>
    <cellStyle name="20% - Accent4 14" xfId="3468" xr:uid="{00000000-0005-0000-0000-00002C0D0000}"/>
    <cellStyle name="20% - Accent4 14 2" xfId="3469" xr:uid="{00000000-0005-0000-0000-00002D0D0000}"/>
    <cellStyle name="20% - Accent4 14 2 2" xfId="3470" xr:uid="{00000000-0005-0000-0000-00002E0D0000}"/>
    <cellStyle name="20% - Accent4 14 2 3" xfId="3471" xr:uid="{00000000-0005-0000-0000-00002F0D0000}"/>
    <cellStyle name="20% - Accent4 14 2 4" xfId="3472" xr:uid="{00000000-0005-0000-0000-0000300D0000}"/>
    <cellStyle name="20% - Accent4 14 3" xfId="3473" xr:uid="{00000000-0005-0000-0000-0000310D0000}"/>
    <cellStyle name="20% - Accent4 14 4" xfId="3474" xr:uid="{00000000-0005-0000-0000-0000320D0000}"/>
    <cellStyle name="20% - Accent4 14 5" xfId="3475" xr:uid="{00000000-0005-0000-0000-0000330D0000}"/>
    <cellStyle name="20% - Accent4 140" xfId="3476" xr:uid="{00000000-0005-0000-0000-0000340D0000}"/>
    <cellStyle name="20% - Accent4 141" xfId="3477" xr:uid="{00000000-0005-0000-0000-0000350D0000}"/>
    <cellStyle name="20% - Accent4 142" xfId="3478" xr:uid="{00000000-0005-0000-0000-0000360D0000}"/>
    <cellStyle name="20% - Accent4 143" xfId="3479" xr:uid="{00000000-0005-0000-0000-0000370D0000}"/>
    <cellStyle name="20% - Accent4 144" xfId="3480" xr:uid="{00000000-0005-0000-0000-0000380D0000}"/>
    <cellStyle name="20% - Accent4 145" xfId="3481" xr:uid="{00000000-0005-0000-0000-0000390D0000}"/>
    <cellStyle name="20% - Accent4 146" xfId="3482" xr:uid="{00000000-0005-0000-0000-00003A0D0000}"/>
    <cellStyle name="20% - Accent4 147" xfId="3483" xr:uid="{00000000-0005-0000-0000-00003B0D0000}"/>
    <cellStyle name="20% - Accent4 148" xfId="3484" xr:uid="{00000000-0005-0000-0000-00003C0D0000}"/>
    <cellStyle name="20% - Accent4 149" xfId="3485" xr:uid="{00000000-0005-0000-0000-00003D0D0000}"/>
    <cellStyle name="20% - Accent4 15" xfId="3486" xr:uid="{00000000-0005-0000-0000-00003E0D0000}"/>
    <cellStyle name="20% - Accent4 15 2" xfId="3487" xr:uid="{00000000-0005-0000-0000-00003F0D0000}"/>
    <cellStyle name="20% - Accent4 15 2 2" xfId="3488" xr:uid="{00000000-0005-0000-0000-0000400D0000}"/>
    <cellStyle name="20% - Accent4 15 2 3" xfId="3489" xr:uid="{00000000-0005-0000-0000-0000410D0000}"/>
    <cellStyle name="20% - Accent4 15 2 4" xfId="3490" xr:uid="{00000000-0005-0000-0000-0000420D0000}"/>
    <cellStyle name="20% - Accent4 15 3" xfId="3491" xr:uid="{00000000-0005-0000-0000-0000430D0000}"/>
    <cellStyle name="20% - Accent4 15 4" xfId="3492" xr:uid="{00000000-0005-0000-0000-0000440D0000}"/>
    <cellStyle name="20% - Accent4 15 5" xfId="3493" xr:uid="{00000000-0005-0000-0000-0000450D0000}"/>
    <cellStyle name="20% - Accent4 150" xfId="3494" xr:uid="{00000000-0005-0000-0000-0000460D0000}"/>
    <cellStyle name="20% - Accent4 151" xfId="3495" xr:uid="{00000000-0005-0000-0000-0000470D0000}"/>
    <cellStyle name="20% - Accent4 152" xfId="3496" xr:uid="{00000000-0005-0000-0000-0000480D0000}"/>
    <cellStyle name="20% - Accent4 153" xfId="3497" xr:uid="{00000000-0005-0000-0000-0000490D0000}"/>
    <cellStyle name="20% - Accent4 154" xfId="3498" xr:uid="{00000000-0005-0000-0000-00004A0D0000}"/>
    <cellStyle name="20% - Accent4 155" xfId="3499" xr:uid="{00000000-0005-0000-0000-00004B0D0000}"/>
    <cellStyle name="20% - Accent4 156" xfId="3500" xr:uid="{00000000-0005-0000-0000-00004C0D0000}"/>
    <cellStyle name="20% - Accent4 157" xfId="3501" xr:uid="{00000000-0005-0000-0000-00004D0D0000}"/>
    <cellStyle name="20% - Accent4 158" xfId="3502" xr:uid="{00000000-0005-0000-0000-00004E0D0000}"/>
    <cellStyle name="20% - Accent4 159" xfId="3503" xr:uid="{00000000-0005-0000-0000-00004F0D0000}"/>
    <cellStyle name="20% - Accent4 16" xfId="3504" xr:uid="{00000000-0005-0000-0000-0000500D0000}"/>
    <cellStyle name="20% - Accent4 16 2" xfId="3505" xr:uid="{00000000-0005-0000-0000-0000510D0000}"/>
    <cellStyle name="20% - Accent4 16 2 2" xfId="3506" xr:uid="{00000000-0005-0000-0000-0000520D0000}"/>
    <cellStyle name="20% - Accent4 16 3" xfId="3507" xr:uid="{00000000-0005-0000-0000-0000530D0000}"/>
    <cellStyle name="20% - Accent4 16 4" xfId="3508" xr:uid="{00000000-0005-0000-0000-0000540D0000}"/>
    <cellStyle name="20% - Accent4 16 5" xfId="3509" xr:uid="{00000000-0005-0000-0000-0000550D0000}"/>
    <cellStyle name="20% - Accent4 160" xfId="3510" xr:uid="{00000000-0005-0000-0000-0000560D0000}"/>
    <cellStyle name="20% - Accent4 161" xfId="3511" xr:uid="{00000000-0005-0000-0000-0000570D0000}"/>
    <cellStyle name="20% - Accent4 162" xfId="3512" xr:uid="{00000000-0005-0000-0000-0000580D0000}"/>
    <cellStyle name="20% - Accent4 163" xfId="3513" xr:uid="{00000000-0005-0000-0000-0000590D0000}"/>
    <cellStyle name="20% - Accent4 164" xfId="3514" xr:uid="{00000000-0005-0000-0000-00005A0D0000}"/>
    <cellStyle name="20% - Accent4 165" xfId="3515" xr:uid="{00000000-0005-0000-0000-00005B0D0000}"/>
    <cellStyle name="20% - Accent4 166" xfId="3516" xr:uid="{00000000-0005-0000-0000-00005C0D0000}"/>
    <cellStyle name="20% - Accent4 167" xfId="3517" xr:uid="{00000000-0005-0000-0000-00005D0D0000}"/>
    <cellStyle name="20% - Accent4 168" xfId="3518" xr:uid="{00000000-0005-0000-0000-00005E0D0000}"/>
    <cellStyle name="20% - Accent4 169" xfId="3519" xr:uid="{00000000-0005-0000-0000-00005F0D0000}"/>
    <cellStyle name="20% - Accent4 17" xfId="3520" xr:uid="{00000000-0005-0000-0000-0000600D0000}"/>
    <cellStyle name="20% - Accent4 17 2" xfId="3521" xr:uid="{00000000-0005-0000-0000-0000610D0000}"/>
    <cellStyle name="20% - Accent4 17 2 2" xfId="3522" xr:uid="{00000000-0005-0000-0000-0000620D0000}"/>
    <cellStyle name="20% - Accent4 17 3" xfId="3523" xr:uid="{00000000-0005-0000-0000-0000630D0000}"/>
    <cellStyle name="20% - Accent4 17 4" xfId="3524" xr:uid="{00000000-0005-0000-0000-0000640D0000}"/>
    <cellStyle name="20% - Accent4 17 5" xfId="3525" xr:uid="{00000000-0005-0000-0000-0000650D0000}"/>
    <cellStyle name="20% - Accent4 18" xfId="3526" xr:uid="{00000000-0005-0000-0000-0000660D0000}"/>
    <cellStyle name="20% - Accent4 18 2" xfId="3527" xr:uid="{00000000-0005-0000-0000-0000670D0000}"/>
    <cellStyle name="20% - Accent4 18 2 2" xfId="3528" xr:uid="{00000000-0005-0000-0000-0000680D0000}"/>
    <cellStyle name="20% - Accent4 18 3" xfId="3529" xr:uid="{00000000-0005-0000-0000-0000690D0000}"/>
    <cellStyle name="20% - Accent4 18 4" xfId="3530" xr:uid="{00000000-0005-0000-0000-00006A0D0000}"/>
    <cellStyle name="20% - Accent4 18 5" xfId="3531" xr:uid="{00000000-0005-0000-0000-00006B0D0000}"/>
    <cellStyle name="20% - Accent4 19" xfId="3532" xr:uid="{00000000-0005-0000-0000-00006C0D0000}"/>
    <cellStyle name="20% - Accent4 19 2" xfId="3533" xr:uid="{00000000-0005-0000-0000-00006D0D0000}"/>
    <cellStyle name="20% - Accent4 19 2 2" xfId="3534" xr:uid="{00000000-0005-0000-0000-00006E0D0000}"/>
    <cellStyle name="20% - Accent4 19 3" xfId="3535" xr:uid="{00000000-0005-0000-0000-00006F0D0000}"/>
    <cellStyle name="20% - Accent4 19 4" xfId="3536" xr:uid="{00000000-0005-0000-0000-0000700D0000}"/>
    <cellStyle name="20% - Accent4 19 5" xfId="3537" xr:uid="{00000000-0005-0000-0000-0000710D0000}"/>
    <cellStyle name="20% - Accent4 2" xfId="3538" xr:uid="{00000000-0005-0000-0000-0000720D0000}"/>
    <cellStyle name="20% - Accent4 2 10" xfId="3539" xr:uid="{00000000-0005-0000-0000-0000730D0000}"/>
    <cellStyle name="20% - Accent4 2 11" xfId="3540" xr:uid="{00000000-0005-0000-0000-0000740D0000}"/>
    <cellStyle name="20% - Accent4 2 12" xfId="3541" xr:uid="{00000000-0005-0000-0000-0000750D0000}"/>
    <cellStyle name="20% - Accent4 2 13" xfId="3542" xr:uid="{00000000-0005-0000-0000-0000760D0000}"/>
    <cellStyle name="20% - Accent4 2 14" xfId="3543" xr:uid="{00000000-0005-0000-0000-0000770D0000}"/>
    <cellStyle name="20% - Accent4 2 15" xfId="3544" xr:uid="{00000000-0005-0000-0000-0000780D0000}"/>
    <cellStyle name="20% - Accent4 2 16" xfId="3545" xr:uid="{00000000-0005-0000-0000-0000790D0000}"/>
    <cellStyle name="20% - Accent4 2 17" xfId="3546" xr:uid="{00000000-0005-0000-0000-00007A0D0000}"/>
    <cellStyle name="20% - Accent4 2 18" xfId="3547" xr:uid="{00000000-0005-0000-0000-00007B0D0000}"/>
    <cellStyle name="20% - Accent4 2 19" xfId="3548" xr:uid="{00000000-0005-0000-0000-00007C0D0000}"/>
    <cellStyle name="20% - Accent4 2 2" xfId="3549" xr:uid="{00000000-0005-0000-0000-00007D0D0000}"/>
    <cellStyle name="20% - Accent4 2 2 2" xfId="3550" xr:uid="{00000000-0005-0000-0000-00007E0D0000}"/>
    <cellStyle name="20% - Accent4 2 20" xfId="3551" xr:uid="{00000000-0005-0000-0000-00007F0D0000}"/>
    <cellStyle name="20% - Accent4 2 21" xfId="3552" xr:uid="{00000000-0005-0000-0000-0000800D0000}"/>
    <cellStyle name="20% - Accent4 2 22" xfId="3553" xr:uid="{00000000-0005-0000-0000-0000810D0000}"/>
    <cellStyle name="20% - Accent4 2 23" xfId="3554" xr:uid="{00000000-0005-0000-0000-0000820D0000}"/>
    <cellStyle name="20% - Accent4 2 24" xfId="3555" xr:uid="{00000000-0005-0000-0000-0000830D0000}"/>
    <cellStyle name="20% - Accent4 2 25" xfId="3556" xr:uid="{00000000-0005-0000-0000-0000840D0000}"/>
    <cellStyle name="20% - Accent4 2 26" xfId="3557" xr:uid="{00000000-0005-0000-0000-0000850D0000}"/>
    <cellStyle name="20% - Accent4 2 27" xfId="3558" xr:uid="{00000000-0005-0000-0000-0000860D0000}"/>
    <cellStyle name="20% - Accent4 2 28" xfId="3559" xr:uid="{00000000-0005-0000-0000-0000870D0000}"/>
    <cellStyle name="20% - Accent4 2 29" xfId="3560" xr:uid="{00000000-0005-0000-0000-0000880D0000}"/>
    <cellStyle name="20% - Accent4 2 3" xfId="3561" xr:uid="{00000000-0005-0000-0000-0000890D0000}"/>
    <cellStyle name="20% - Accent4 2 30" xfId="3562" xr:uid="{00000000-0005-0000-0000-00008A0D0000}"/>
    <cellStyle name="20% - Accent4 2 31" xfId="3563" xr:uid="{00000000-0005-0000-0000-00008B0D0000}"/>
    <cellStyle name="20% - Accent4 2 32" xfId="3564" xr:uid="{00000000-0005-0000-0000-00008C0D0000}"/>
    <cellStyle name="20% - Accent4 2 33" xfId="3565" xr:uid="{00000000-0005-0000-0000-00008D0D0000}"/>
    <cellStyle name="20% - Accent4 2 34" xfId="3566" xr:uid="{00000000-0005-0000-0000-00008E0D0000}"/>
    <cellStyle name="20% - Accent4 2 35" xfId="3567" xr:uid="{00000000-0005-0000-0000-00008F0D0000}"/>
    <cellStyle name="20% - Accent4 2 36" xfId="3568" xr:uid="{00000000-0005-0000-0000-0000900D0000}"/>
    <cellStyle name="20% - Accent4 2 37" xfId="3569" xr:uid="{00000000-0005-0000-0000-0000910D0000}"/>
    <cellStyle name="20% - Accent4 2 4" xfId="3570" xr:uid="{00000000-0005-0000-0000-0000920D0000}"/>
    <cellStyle name="20% - Accent4 2 4 2" xfId="3571" xr:uid="{00000000-0005-0000-0000-0000930D0000}"/>
    <cellStyle name="20% - Accent4 2 4 2 2" xfId="3572" xr:uid="{00000000-0005-0000-0000-0000940D0000}"/>
    <cellStyle name="20% - Accent4 2 4 3" xfId="3573" xr:uid="{00000000-0005-0000-0000-0000950D0000}"/>
    <cellStyle name="20% - Accent4 2 4 3 2" xfId="3574" xr:uid="{00000000-0005-0000-0000-0000960D0000}"/>
    <cellStyle name="20% - Accent4 2 4 4" xfId="3575" xr:uid="{00000000-0005-0000-0000-0000970D0000}"/>
    <cellStyle name="20% - Accent4 2 5" xfId="3576" xr:uid="{00000000-0005-0000-0000-0000980D0000}"/>
    <cellStyle name="20% - Accent4 2 6" xfId="3577" xr:uid="{00000000-0005-0000-0000-0000990D0000}"/>
    <cellStyle name="20% - Accent4 2 7" xfId="3578" xr:uid="{00000000-0005-0000-0000-00009A0D0000}"/>
    <cellStyle name="20% - Accent4 2 8" xfId="3579" xr:uid="{00000000-0005-0000-0000-00009B0D0000}"/>
    <cellStyle name="20% - Accent4 2 9" xfId="3580" xr:uid="{00000000-0005-0000-0000-00009C0D0000}"/>
    <cellStyle name="20% - Accent4 2_ERDF Losses" xfId="3581" xr:uid="{00000000-0005-0000-0000-00009D0D0000}"/>
    <cellStyle name="20% - Accent4 20" xfId="3582" xr:uid="{00000000-0005-0000-0000-00009E0D0000}"/>
    <cellStyle name="20% - Accent4 20 10" xfId="3583" xr:uid="{00000000-0005-0000-0000-00009F0D0000}"/>
    <cellStyle name="20% - Accent4 20 11" xfId="3584" xr:uid="{00000000-0005-0000-0000-0000A00D0000}"/>
    <cellStyle name="20% - Accent4 20 12" xfId="3585" xr:uid="{00000000-0005-0000-0000-0000A10D0000}"/>
    <cellStyle name="20% - Accent4 20 13" xfId="3586" xr:uid="{00000000-0005-0000-0000-0000A20D0000}"/>
    <cellStyle name="20% - Accent4 20 14" xfId="3587" xr:uid="{00000000-0005-0000-0000-0000A30D0000}"/>
    <cellStyle name="20% - Accent4 20 15" xfId="3588" xr:uid="{00000000-0005-0000-0000-0000A40D0000}"/>
    <cellStyle name="20% - Accent4 20 16" xfId="3589" xr:uid="{00000000-0005-0000-0000-0000A50D0000}"/>
    <cellStyle name="20% - Accent4 20 17" xfId="3590" xr:uid="{00000000-0005-0000-0000-0000A60D0000}"/>
    <cellStyle name="20% - Accent4 20 18" xfId="3591" xr:uid="{00000000-0005-0000-0000-0000A70D0000}"/>
    <cellStyle name="20% - Accent4 20 2" xfId="3592" xr:uid="{00000000-0005-0000-0000-0000A80D0000}"/>
    <cellStyle name="20% - Accent4 20 2 2" xfId="3593" xr:uid="{00000000-0005-0000-0000-0000A90D0000}"/>
    <cellStyle name="20% - Accent4 20 2 3" xfId="3594" xr:uid="{00000000-0005-0000-0000-0000AA0D0000}"/>
    <cellStyle name="20% - Accent4 20 2 4" xfId="3595" xr:uid="{00000000-0005-0000-0000-0000AB0D0000}"/>
    <cellStyle name="20% - Accent4 20 3" xfId="3596" xr:uid="{00000000-0005-0000-0000-0000AC0D0000}"/>
    <cellStyle name="20% - Accent4 20 4" xfId="3597" xr:uid="{00000000-0005-0000-0000-0000AD0D0000}"/>
    <cellStyle name="20% - Accent4 20 5" xfId="3598" xr:uid="{00000000-0005-0000-0000-0000AE0D0000}"/>
    <cellStyle name="20% - Accent4 20 6" xfId="3599" xr:uid="{00000000-0005-0000-0000-0000AF0D0000}"/>
    <cellStyle name="20% - Accent4 20 7" xfId="3600" xr:uid="{00000000-0005-0000-0000-0000B00D0000}"/>
    <cellStyle name="20% - Accent4 20 8" xfId="3601" xr:uid="{00000000-0005-0000-0000-0000B10D0000}"/>
    <cellStyle name="20% - Accent4 20 9" xfId="3602" xr:uid="{00000000-0005-0000-0000-0000B20D0000}"/>
    <cellStyle name="20% - Accent4 21" xfId="3603" xr:uid="{00000000-0005-0000-0000-0000B30D0000}"/>
    <cellStyle name="20% - Accent4 21 2" xfId="3604" xr:uid="{00000000-0005-0000-0000-0000B40D0000}"/>
    <cellStyle name="20% - Accent4 21 2 2" xfId="3605" xr:uid="{00000000-0005-0000-0000-0000B50D0000}"/>
    <cellStyle name="20% - Accent4 21 2 3" xfId="3606" xr:uid="{00000000-0005-0000-0000-0000B60D0000}"/>
    <cellStyle name="20% - Accent4 21 3" xfId="3607" xr:uid="{00000000-0005-0000-0000-0000B70D0000}"/>
    <cellStyle name="20% - Accent4 21 4" xfId="3608" xr:uid="{00000000-0005-0000-0000-0000B80D0000}"/>
    <cellStyle name="20% - Accent4 21 5" xfId="3609" xr:uid="{00000000-0005-0000-0000-0000B90D0000}"/>
    <cellStyle name="20% - Accent4 21 6" xfId="3610" xr:uid="{00000000-0005-0000-0000-0000BA0D0000}"/>
    <cellStyle name="20% - Accent4 22" xfId="3611" xr:uid="{00000000-0005-0000-0000-0000BB0D0000}"/>
    <cellStyle name="20% - Accent4 22 2" xfId="3612" xr:uid="{00000000-0005-0000-0000-0000BC0D0000}"/>
    <cellStyle name="20% - Accent4 22 3" xfId="3613" xr:uid="{00000000-0005-0000-0000-0000BD0D0000}"/>
    <cellStyle name="20% - Accent4 23" xfId="3614" xr:uid="{00000000-0005-0000-0000-0000BE0D0000}"/>
    <cellStyle name="20% - Accent4 23 2" xfId="3615" xr:uid="{00000000-0005-0000-0000-0000BF0D0000}"/>
    <cellStyle name="20% - Accent4 23 3" xfId="3616" xr:uid="{00000000-0005-0000-0000-0000C00D0000}"/>
    <cellStyle name="20% - Accent4 24" xfId="3617" xr:uid="{00000000-0005-0000-0000-0000C10D0000}"/>
    <cellStyle name="20% - Accent4 24 2" xfId="3618" xr:uid="{00000000-0005-0000-0000-0000C20D0000}"/>
    <cellStyle name="20% - Accent4 24 3" xfId="3619" xr:uid="{00000000-0005-0000-0000-0000C30D0000}"/>
    <cellStyle name="20% - Accent4 25" xfId="3620" xr:uid="{00000000-0005-0000-0000-0000C40D0000}"/>
    <cellStyle name="20% - Accent4 25 2" xfId="3621" xr:uid="{00000000-0005-0000-0000-0000C50D0000}"/>
    <cellStyle name="20% - Accent4 25 3" xfId="3622" xr:uid="{00000000-0005-0000-0000-0000C60D0000}"/>
    <cellStyle name="20% - Accent4 26" xfId="3623" xr:uid="{00000000-0005-0000-0000-0000C70D0000}"/>
    <cellStyle name="20% - Accent4 26 2" xfId="3624" xr:uid="{00000000-0005-0000-0000-0000C80D0000}"/>
    <cellStyle name="20% - Accent4 26 3" xfId="3625" xr:uid="{00000000-0005-0000-0000-0000C90D0000}"/>
    <cellStyle name="20% - Accent4 27" xfId="3626" xr:uid="{00000000-0005-0000-0000-0000CA0D0000}"/>
    <cellStyle name="20% - Accent4 27 2" xfId="3627" xr:uid="{00000000-0005-0000-0000-0000CB0D0000}"/>
    <cellStyle name="20% - Accent4 27 3" xfId="3628" xr:uid="{00000000-0005-0000-0000-0000CC0D0000}"/>
    <cellStyle name="20% - Accent4 28" xfId="3629" xr:uid="{00000000-0005-0000-0000-0000CD0D0000}"/>
    <cellStyle name="20% - Accent4 28 2" xfId="3630" xr:uid="{00000000-0005-0000-0000-0000CE0D0000}"/>
    <cellStyle name="20% - Accent4 28 3" xfId="3631" xr:uid="{00000000-0005-0000-0000-0000CF0D0000}"/>
    <cellStyle name="20% - Accent4 29" xfId="3632" xr:uid="{00000000-0005-0000-0000-0000D00D0000}"/>
    <cellStyle name="20% - Accent4 29 2" xfId="3633" xr:uid="{00000000-0005-0000-0000-0000D10D0000}"/>
    <cellStyle name="20% - Accent4 29 3" xfId="3634" xr:uid="{00000000-0005-0000-0000-0000D20D0000}"/>
    <cellStyle name="20% - Accent4 3" xfId="3635" xr:uid="{00000000-0005-0000-0000-0000D30D0000}"/>
    <cellStyle name="20% - Accent4 3 10" xfId="3636" xr:uid="{00000000-0005-0000-0000-0000D40D0000}"/>
    <cellStyle name="20% - Accent4 3 10 10" xfId="3637" xr:uid="{00000000-0005-0000-0000-0000D50D0000}"/>
    <cellStyle name="20% - Accent4 3 10 11" xfId="3638" xr:uid="{00000000-0005-0000-0000-0000D60D0000}"/>
    <cellStyle name="20% - Accent4 3 10 12" xfId="3639" xr:uid="{00000000-0005-0000-0000-0000D70D0000}"/>
    <cellStyle name="20% - Accent4 3 10 13" xfId="3640" xr:uid="{00000000-0005-0000-0000-0000D80D0000}"/>
    <cellStyle name="20% - Accent4 3 10 14" xfId="3641" xr:uid="{00000000-0005-0000-0000-0000D90D0000}"/>
    <cellStyle name="20% - Accent4 3 10 15" xfId="3642" xr:uid="{00000000-0005-0000-0000-0000DA0D0000}"/>
    <cellStyle name="20% - Accent4 3 10 2" xfId="3643" xr:uid="{00000000-0005-0000-0000-0000DB0D0000}"/>
    <cellStyle name="20% - Accent4 3 10 3" xfId="3644" xr:uid="{00000000-0005-0000-0000-0000DC0D0000}"/>
    <cellStyle name="20% - Accent4 3 10 4" xfId="3645" xr:uid="{00000000-0005-0000-0000-0000DD0D0000}"/>
    <cellStyle name="20% - Accent4 3 10 5" xfId="3646" xr:uid="{00000000-0005-0000-0000-0000DE0D0000}"/>
    <cellStyle name="20% - Accent4 3 10 6" xfId="3647" xr:uid="{00000000-0005-0000-0000-0000DF0D0000}"/>
    <cellStyle name="20% - Accent4 3 10 7" xfId="3648" xr:uid="{00000000-0005-0000-0000-0000E00D0000}"/>
    <cellStyle name="20% - Accent4 3 10 8" xfId="3649" xr:uid="{00000000-0005-0000-0000-0000E10D0000}"/>
    <cellStyle name="20% - Accent4 3 10 9" xfId="3650" xr:uid="{00000000-0005-0000-0000-0000E20D0000}"/>
    <cellStyle name="20% - Accent4 3 11" xfId="3651" xr:uid="{00000000-0005-0000-0000-0000E30D0000}"/>
    <cellStyle name="20% - Accent4 3 11 10" xfId="3652" xr:uid="{00000000-0005-0000-0000-0000E40D0000}"/>
    <cellStyle name="20% - Accent4 3 11 11" xfId="3653" xr:uid="{00000000-0005-0000-0000-0000E50D0000}"/>
    <cellStyle name="20% - Accent4 3 11 12" xfId="3654" xr:uid="{00000000-0005-0000-0000-0000E60D0000}"/>
    <cellStyle name="20% - Accent4 3 11 13" xfId="3655" xr:uid="{00000000-0005-0000-0000-0000E70D0000}"/>
    <cellStyle name="20% - Accent4 3 11 14" xfId="3656" xr:uid="{00000000-0005-0000-0000-0000E80D0000}"/>
    <cellStyle name="20% - Accent4 3 11 15" xfId="3657" xr:uid="{00000000-0005-0000-0000-0000E90D0000}"/>
    <cellStyle name="20% - Accent4 3 11 2" xfId="3658" xr:uid="{00000000-0005-0000-0000-0000EA0D0000}"/>
    <cellStyle name="20% - Accent4 3 11 3" xfId="3659" xr:uid="{00000000-0005-0000-0000-0000EB0D0000}"/>
    <cellStyle name="20% - Accent4 3 11 4" xfId="3660" xr:uid="{00000000-0005-0000-0000-0000EC0D0000}"/>
    <cellStyle name="20% - Accent4 3 11 5" xfId="3661" xr:uid="{00000000-0005-0000-0000-0000ED0D0000}"/>
    <cellStyle name="20% - Accent4 3 11 6" xfId="3662" xr:uid="{00000000-0005-0000-0000-0000EE0D0000}"/>
    <cellStyle name="20% - Accent4 3 11 7" xfId="3663" xr:uid="{00000000-0005-0000-0000-0000EF0D0000}"/>
    <cellStyle name="20% - Accent4 3 11 8" xfId="3664" xr:uid="{00000000-0005-0000-0000-0000F00D0000}"/>
    <cellStyle name="20% - Accent4 3 11 9" xfId="3665" xr:uid="{00000000-0005-0000-0000-0000F10D0000}"/>
    <cellStyle name="20% - Accent4 3 12" xfId="3666" xr:uid="{00000000-0005-0000-0000-0000F20D0000}"/>
    <cellStyle name="20% - Accent4 3 12 10" xfId="3667" xr:uid="{00000000-0005-0000-0000-0000F30D0000}"/>
    <cellStyle name="20% - Accent4 3 12 11" xfId="3668" xr:uid="{00000000-0005-0000-0000-0000F40D0000}"/>
    <cellStyle name="20% - Accent4 3 12 12" xfId="3669" xr:uid="{00000000-0005-0000-0000-0000F50D0000}"/>
    <cellStyle name="20% - Accent4 3 12 13" xfId="3670" xr:uid="{00000000-0005-0000-0000-0000F60D0000}"/>
    <cellStyle name="20% - Accent4 3 12 14" xfId="3671" xr:uid="{00000000-0005-0000-0000-0000F70D0000}"/>
    <cellStyle name="20% - Accent4 3 12 15" xfId="3672" xr:uid="{00000000-0005-0000-0000-0000F80D0000}"/>
    <cellStyle name="20% - Accent4 3 12 2" xfId="3673" xr:uid="{00000000-0005-0000-0000-0000F90D0000}"/>
    <cellStyle name="20% - Accent4 3 12 3" xfId="3674" xr:uid="{00000000-0005-0000-0000-0000FA0D0000}"/>
    <cellStyle name="20% - Accent4 3 12 4" xfId="3675" xr:uid="{00000000-0005-0000-0000-0000FB0D0000}"/>
    <cellStyle name="20% - Accent4 3 12 5" xfId="3676" xr:uid="{00000000-0005-0000-0000-0000FC0D0000}"/>
    <cellStyle name="20% - Accent4 3 12 6" xfId="3677" xr:uid="{00000000-0005-0000-0000-0000FD0D0000}"/>
    <cellStyle name="20% - Accent4 3 12 7" xfId="3678" xr:uid="{00000000-0005-0000-0000-0000FE0D0000}"/>
    <cellStyle name="20% - Accent4 3 12 8" xfId="3679" xr:uid="{00000000-0005-0000-0000-0000FF0D0000}"/>
    <cellStyle name="20% - Accent4 3 12 9" xfId="3680" xr:uid="{00000000-0005-0000-0000-0000000E0000}"/>
    <cellStyle name="20% - Accent4 3 13" xfId="3681" xr:uid="{00000000-0005-0000-0000-0000010E0000}"/>
    <cellStyle name="20% - Accent4 3 13 10" xfId="3682" xr:uid="{00000000-0005-0000-0000-0000020E0000}"/>
    <cellStyle name="20% - Accent4 3 13 11" xfId="3683" xr:uid="{00000000-0005-0000-0000-0000030E0000}"/>
    <cellStyle name="20% - Accent4 3 13 12" xfId="3684" xr:uid="{00000000-0005-0000-0000-0000040E0000}"/>
    <cellStyle name="20% - Accent4 3 13 13" xfId="3685" xr:uid="{00000000-0005-0000-0000-0000050E0000}"/>
    <cellStyle name="20% - Accent4 3 13 14" xfId="3686" xr:uid="{00000000-0005-0000-0000-0000060E0000}"/>
    <cellStyle name="20% - Accent4 3 13 15" xfId="3687" xr:uid="{00000000-0005-0000-0000-0000070E0000}"/>
    <cellStyle name="20% - Accent4 3 13 2" xfId="3688" xr:uid="{00000000-0005-0000-0000-0000080E0000}"/>
    <cellStyle name="20% - Accent4 3 13 3" xfId="3689" xr:uid="{00000000-0005-0000-0000-0000090E0000}"/>
    <cellStyle name="20% - Accent4 3 13 4" xfId="3690" xr:uid="{00000000-0005-0000-0000-00000A0E0000}"/>
    <cellStyle name="20% - Accent4 3 13 5" xfId="3691" xr:uid="{00000000-0005-0000-0000-00000B0E0000}"/>
    <cellStyle name="20% - Accent4 3 13 6" xfId="3692" xr:uid="{00000000-0005-0000-0000-00000C0E0000}"/>
    <cellStyle name="20% - Accent4 3 13 7" xfId="3693" xr:uid="{00000000-0005-0000-0000-00000D0E0000}"/>
    <cellStyle name="20% - Accent4 3 13 8" xfId="3694" xr:uid="{00000000-0005-0000-0000-00000E0E0000}"/>
    <cellStyle name="20% - Accent4 3 13 9" xfId="3695" xr:uid="{00000000-0005-0000-0000-00000F0E0000}"/>
    <cellStyle name="20% - Accent4 3 14" xfId="3696" xr:uid="{00000000-0005-0000-0000-0000100E0000}"/>
    <cellStyle name="20% - Accent4 3 14 10" xfId="3697" xr:uid="{00000000-0005-0000-0000-0000110E0000}"/>
    <cellStyle name="20% - Accent4 3 14 11" xfId="3698" xr:uid="{00000000-0005-0000-0000-0000120E0000}"/>
    <cellStyle name="20% - Accent4 3 14 12" xfId="3699" xr:uid="{00000000-0005-0000-0000-0000130E0000}"/>
    <cellStyle name="20% - Accent4 3 14 13" xfId="3700" xr:uid="{00000000-0005-0000-0000-0000140E0000}"/>
    <cellStyle name="20% - Accent4 3 14 14" xfId="3701" xr:uid="{00000000-0005-0000-0000-0000150E0000}"/>
    <cellStyle name="20% - Accent4 3 14 15" xfId="3702" xr:uid="{00000000-0005-0000-0000-0000160E0000}"/>
    <cellStyle name="20% - Accent4 3 14 2" xfId="3703" xr:uid="{00000000-0005-0000-0000-0000170E0000}"/>
    <cellStyle name="20% - Accent4 3 14 3" xfId="3704" xr:uid="{00000000-0005-0000-0000-0000180E0000}"/>
    <cellStyle name="20% - Accent4 3 14 4" xfId="3705" xr:uid="{00000000-0005-0000-0000-0000190E0000}"/>
    <cellStyle name="20% - Accent4 3 14 5" xfId="3706" xr:uid="{00000000-0005-0000-0000-00001A0E0000}"/>
    <cellStyle name="20% - Accent4 3 14 6" xfId="3707" xr:uid="{00000000-0005-0000-0000-00001B0E0000}"/>
    <cellStyle name="20% - Accent4 3 14 7" xfId="3708" xr:uid="{00000000-0005-0000-0000-00001C0E0000}"/>
    <cellStyle name="20% - Accent4 3 14 8" xfId="3709" xr:uid="{00000000-0005-0000-0000-00001D0E0000}"/>
    <cellStyle name="20% - Accent4 3 14 9" xfId="3710" xr:uid="{00000000-0005-0000-0000-00001E0E0000}"/>
    <cellStyle name="20% - Accent4 3 15" xfId="3711" xr:uid="{00000000-0005-0000-0000-00001F0E0000}"/>
    <cellStyle name="20% - Accent4 3 15 10" xfId="3712" xr:uid="{00000000-0005-0000-0000-0000200E0000}"/>
    <cellStyle name="20% - Accent4 3 15 11" xfId="3713" xr:uid="{00000000-0005-0000-0000-0000210E0000}"/>
    <cellStyle name="20% - Accent4 3 15 12" xfId="3714" xr:uid="{00000000-0005-0000-0000-0000220E0000}"/>
    <cellStyle name="20% - Accent4 3 15 13" xfId="3715" xr:uid="{00000000-0005-0000-0000-0000230E0000}"/>
    <cellStyle name="20% - Accent4 3 15 14" xfId="3716" xr:uid="{00000000-0005-0000-0000-0000240E0000}"/>
    <cellStyle name="20% - Accent4 3 15 15" xfId="3717" xr:uid="{00000000-0005-0000-0000-0000250E0000}"/>
    <cellStyle name="20% - Accent4 3 15 2" xfId="3718" xr:uid="{00000000-0005-0000-0000-0000260E0000}"/>
    <cellStyle name="20% - Accent4 3 15 3" xfId="3719" xr:uid="{00000000-0005-0000-0000-0000270E0000}"/>
    <cellStyle name="20% - Accent4 3 15 4" xfId="3720" xr:uid="{00000000-0005-0000-0000-0000280E0000}"/>
    <cellStyle name="20% - Accent4 3 15 5" xfId="3721" xr:uid="{00000000-0005-0000-0000-0000290E0000}"/>
    <cellStyle name="20% - Accent4 3 15 6" xfId="3722" xr:uid="{00000000-0005-0000-0000-00002A0E0000}"/>
    <cellStyle name="20% - Accent4 3 15 7" xfId="3723" xr:uid="{00000000-0005-0000-0000-00002B0E0000}"/>
    <cellStyle name="20% - Accent4 3 15 8" xfId="3724" xr:uid="{00000000-0005-0000-0000-00002C0E0000}"/>
    <cellStyle name="20% - Accent4 3 15 9" xfId="3725" xr:uid="{00000000-0005-0000-0000-00002D0E0000}"/>
    <cellStyle name="20% - Accent4 3 16" xfId="3726" xr:uid="{00000000-0005-0000-0000-00002E0E0000}"/>
    <cellStyle name="20% - Accent4 3 16 10" xfId="3727" xr:uid="{00000000-0005-0000-0000-00002F0E0000}"/>
    <cellStyle name="20% - Accent4 3 16 11" xfId="3728" xr:uid="{00000000-0005-0000-0000-0000300E0000}"/>
    <cellStyle name="20% - Accent4 3 16 12" xfId="3729" xr:uid="{00000000-0005-0000-0000-0000310E0000}"/>
    <cellStyle name="20% - Accent4 3 16 13" xfId="3730" xr:uid="{00000000-0005-0000-0000-0000320E0000}"/>
    <cellStyle name="20% - Accent4 3 16 14" xfId="3731" xr:uid="{00000000-0005-0000-0000-0000330E0000}"/>
    <cellStyle name="20% - Accent4 3 16 15" xfId="3732" xr:uid="{00000000-0005-0000-0000-0000340E0000}"/>
    <cellStyle name="20% - Accent4 3 16 2" xfId="3733" xr:uid="{00000000-0005-0000-0000-0000350E0000}"/>
    <cellStyle name="20% - Accent4 3 16 3" xfId="3734" xr:uid="{00000000-0005-0000-0000-0000360E0000}"/>
    <cellStyle name="20% - Accent4 3 16 4" xfId="3735" xr:uid="{00000000-0005-0000-0000-0000370E0000}"/>
    <cellStyle name="20% - Accent4 3 16 5" xfId="3736" xr:uid="{00000000-0005-0000-0000-0000380E0000}"/>
    <cellStyle name="20% - Accent4 3 16 6" xfId="3737" xr:uid="{00000000-0005-0000-0000-0000390E0000}"/>
    <cellStyle name="20% - Accent4 3 16 7" xfId="3738" xr:uid="{00000000-0005-0000-0000-00003A0E0000}"/>
    <cellStyle name="20% - Accent4 3 16 8" xfId="3739" xr:uid="{00000000-0005-0000-0000-00003B0E0000}"/>
    <cellStyle name="20% - Accent4 3 16 9" xfId="3740" xr:uid="{00000000-0005-0000-0000-00003C0E0000}"/>
    <cellStyle name="20% - Accent4 3 17" xfId="3741" xr:uid="{00000000-0005-0000-0000-00003D0E0000}"/>
    <cellStyle name="20% - Accent4 3 17 10" xfId="3742" xr:uid="{00000000-0005-0000-0000-00003E0E0000}"/>
    <cellStyle name="20% - Accent4 3 17 11" xfId="3743" xr:uid="{00000000-0005-0000-0000-00003F0E0000}"/>
    <cellStyle name="20% - Accent4 3 17 12" xfId="3744" xr:uid="{00000000-0005-0000-0000-0000400E0000}"/>
    <cellStyle name="20% - Accent4 3 17 13" xfId="3745" xr:uid="{00000000-0005-0000-0000-0000410E0000}"/>
    <cellStyle name="20% - Accent4 3 17 14" xfId="3746" xr:uid="{00000000-0005-0000-0000-0000420E0000}"/>
    <cellStyle name="20% - Accent4 3 17 15" xfId="3747" xr:uid="{00000000-0005-0000-0000-0000430E0000}"/>
    <cellStyle name="20% - Accent4 3 17 2" xfId="3748" xr:uid="{00000000-0005-0000-0000-0000440E0000}"/>
    <cellStyle name="20% - Accent4 3 17 3" xfId="3749" xr:uid="{00000000-0005-0000-0000-0000450E0000}"/>
    <cellStyle name="20% - Accent4 3 17 4" xfId="3750" xr:uid="{00000000-0005-0000-0000-0000460E0000}"/>
    <cellStyle name="20% - Accent4 3 17 5" xfId="3751" xr:uid="{00000000-0005-0000-0000-0000470E0000}"/>
    <cellStyle name="20% - Accent4 3 17 6" xfId="3752" xr:uid="{00000000-0005-0000-0000-0000480E0000}"/>
    <cellStyle name="20% - Accent4 3 17 7" xfId="3753" xr:uid="{00000000-0005-0000-0000-0000490E0000}"/>
    <cellStyle name="20% - Accent4 3 17 8" xfId="3754" xr:uid="{00000000-0005-0000-0000-00004A0E0000}"/>
    <cellStyle name="20% - Accent4 3 17 9" xfId="3755" xr:uid="{00000000-0005-0000-0000-00004B0E0000}"/>
    <cellStyle name="20% - Accent4 3 18" xfId="3756" xr:uid="{00000000-0005-0000-0000-00004C0E0000}"/>
    <cellStyle name="20% - Accent4 3 18 10" xfId="3757" xr:uid="{00000000-0005-0000-0000-00004D0E0000}"/>
    <cellStyle name="20% - Accent4 3 18 11" xfId="3758" xr:uid="{00000000-0005-0000-0000-00004E0E0000}"/>
    <cellStyle name="20% - Accent4 3 18 12" xfId="3759" xr:uid="{00000000-0005-0000-0000-00004F0E0000}"/>
    <cellStyle name="20% - Accent4 3 18 13" xfId="3760" xr:uid="{00000000-0005-0000-0000-0000500E0000}"/>
    <cellStyle name="20% - Accent4 3 18 14" xfId="3761" xr:uid="{00000000-0005-0000-0000-0000510E0000}"/>
    <cellStyle name="20% - Accent4 3 18 15" xfId="3762" xr:uid="{00000000-0005-0000-0000-0000520E0000}"/>
    <cellStyle name="20% - Accent4 3 18 2" xfId="3763" xr:uid="{00000000-0005-0000-0000-0000530E0000}"/>
    <cellStyle name="20% - Accent4 3 18 3" xfId="3764" xr:uid="{00000000-0005-0000-0000-0000540E0000}"/>
    <cellStyle name="20% - Accent4 3 18 4" xfId="3765" xr:uid="{00000000-0005-0000-0000-0000550E0000}"/>
    <cellStyle name="20% - Accent4 3 18 5" xfId="3766" xr:uid="{00000000-0005-0000-0000-0000560E0000}"/>
    <cellStyle name="20% - Accent4 3 18 6" xfId="3767" xr:uid="{00000000-0005-0000-0000-0000570E0000}"/>
    <cellStyle name="20% - Accent4 3 18 7" xfId="3768" xr:uid="{00000000-0005-0000-0000-0000580E0000}"/>
    <cellStyle name="20% - Accent4 3 18 8" xfId="3769" xr:uid="{00000000-0005-0000-0000-0000590E0000}"/>
    <cellStyle name="20% - Accent4 3 18 9" xfId="3770" xr:uid="{00000000-0005-0000-0000-00005A0E0000}"/>
    <cellStyle name="20% - Accent4 3 19" xfId="3771" xr:uid="{00000000-0005-0000-0000-00005B0E0000}"/>
    <cellStyle name="20% - Accent4 3 19 10" xfId="3772" xr:uid="{00000000-0005-0000-0000-00005C0E0000}"/>
    <cellStyle name="20% - Accent4 3 19 11" xfId="3773" xr:uid="{00000000-0005-0000-0000-00005D0E0000}"/>
    <cellStyle name="20% - Accent4 3 19 12" xfId="3774" xr:uid="{00000000-0005-0000-0000-00005E0E0000}"/>
    <cellStyle name="20% - Accent4 3 19 13" xfId="3775" xr:uid="{00000000-0005-0000-0000-00005F0E0000}"/>
    <cellStyle name="20% - Accent4 3 19 14" xfId="3776" xr:uid="{00000000-0005-0000-0000-0000600E0000}"/>
    <cellStyle name="20% - Accent4 3 19 15" xfId="3777" xr:uid="{00000000-0005-0000-0000-0000610E0000}"/>
    <cellStyle name="20% - Accent4 3 19 2" xfId="3778" xr:uid="{00000000-0005-0000-0000-0000620E0000}"/>
    <cellStyle name="20% - Accent4 3 19 3" xfId="3779" xr:uid="{00000000-0005-0000-0000-0000630E0000}"/>
    <cellStyle name="20% - Accent4 3 19 4" xfId="3780" xr:uid="{00000000-0005-0000-0000-0000640E0000}"/>
    <cellStyle name="20% - Accent4 3 19 5" xfId="3781" xr:uid="{00000000-0005-0000-0000-0000650E0000}"/>
    <cellStyle name="20% - Accent4 3 19 6" xfId="3782" xr:uid="{00000000-0005-0000-0000-0000660E0000}"/>
    <cellStyle name="20% - Accent4 3 19 7" xfId="3783" xr:uid="{00000000-0005-0000-0000-0000670E0000}"/>
    <cellStyle name="20% - Accent4 3 19 8" xfId="3784" xr:uid="{00000000-0005-0000-0000-0000680E0000}"/>
    <cellStyle name="20% - Accent4 3 19 9" xfId="3785" xr:uid="{00000000-0005-0000-0000-0000690E0000}"/>
    <cellStyle name="20% - Accent4 3 2" xfId="3786" xr:uid="{00000000-0005-0000-0000-00006A0E0000}"/>
    <cellStyle name="20% - Accent4 3 2 10" xfId="3787" xr:uid="{00000000-0005-0000-0000-00006B0E0000}"/>
    <cellStyle name="20% - Accent4 3 2 11" xfId="3788" xr:uid="{00000000-0005-0000-0000-00006C0E0000}"/>
    <cellStyle name="20% - Accent4 3 2 12" xfId="3789" xr:uid="{00000000-0005-0000-0000-00006D0E0000}"/>
    <cellStyle name="20% - Accent4 3 2 13" xfId="3790" xr:uid="{00000000-0005-0000-0000-00006E0E0000}"/>
    <cellStyle name="20% - Accent4 3 2 14" xfId="3791" xr:uid="{00000000-0005-0000-0000-00006F0E0000}"/>
    <cellStyle name="20% - Accent4 3 2 15" xfId="3792" xr:uid="{00000000-0005-0000-0000-0000700E0000}"/>
    <cellStyle name="20% - Accent4 3 2 16" xfId="3793" xr:uid="{00000000-0005-0000-0000-0000710E0000}"/>
    <cellStyle name="20% - Accent4 3 2 17" xfId="3794" xr:uid="{00000000-0005-0000-0000-0000720E0000}"/>
    <cellStyle name="20% - Accent4 3 2 18" xfId="3795" xr:uid="{00000000-0005-0000-0000-0000730E0000}"/>
    <cellStyle name="20% - Accent4 3 2 19" xfId="3796" xr:uid="{00000000-0005-0000-0000-0000740E0000}"/>
    <cellStyle name="20% - Accent4 3 2 2" xfId="3797" xr:uid="{00000000-0005-0000-0000-0000750E0000}"/>
    <cellStyle name="20% - Accent4 3 2 20" xfId="3798" xr:uid="{00000000-0005-0000-0000-0000760E0000}"/>
    <cellStyle name="20% - Accent4 3 2 21" xfId="3799" xr:uid="{00000000-0005-0000-0000-0000770E0000}"/>
    <cellStyle name="20% - Accent4 3 2 22" xfId="3800" xr:uid="{00000000-0005-0000-0000-0000780E0000}"/>
    <cellStyle name="20% - Accent4 3 2 23" xfId="3801" xr:uid="{00000000-0005-0000-0000-0000790E0000}"/>
    <cellStyle name="20% - Accent4 3 2 24" xfId="3802" xr:uid="{00000000-0005-0000-0000-00007A0E0000}"/>
    <cellStyle name="20% - Accent4 3 2 25" xfId="3803" xr:uid="{00000000-0005-0000-0000-00007B0E0000}"/>
    <cellStyle name="20% - Accent4 3 2 26" xfId="3804" xr:uid="{00000000-0005-0000-0000-00007C0E0000}"/>
    <cellStyle name="20% - Accent4 3 2 27" xfId="3805" xr:uid="{00000000-0005-0000-0000-00007D0E0000}"/>
    <cellStyle name="20% - Accent4 3 2 28" xfId="3806" xr:uid="{00000000-0005-0000-0000-00007E0E0000}"/>
    <cellStyle name="20% - Accent4 3 2 29" xfId="3807" xr:uid="{00000000-0005-0000-0000-00007F0E0000}"/>
    <cellStyle name="20% - Accent4 3 2 3" xfId="3808" xr:uid="{00000000-0005-0000-0000-0000800E0000}"/>
    <cellStyle name="20% - Accent4 3 2 30" xfId="3809" xr:uid="{00000000-0005-0000-0000-0000810E0000}"/>
    <cellStyle name="20% - Accent4 3 2 31" xfId="3810" xr:uid="{00000000-0005-0000-0000-0000820E0000}"/>
    <cellStyle name="20% - Accent4 3 2 32" xfId="3811" xr:uid="{00000000-0005-0000-0000-0000830E0000}"/>
    <cellStyle name="20% - Accent4 3 2 33" xfId="3812" xr:uid="{00000000-0005-0000-0000-0000840E0000}"/>
    <cellStyle name="20% - Accent4 3 2 34" xfId="3813" xr:uid="{00000000-0005-0000-0000-0000850E0000}"/>
    <cellStyle name="20% - Accent4 3 2 35" xfId="3814" xr:uid="{00000000-0005-0000-0000-0000860E0000}"/>
    <cellStyle name="20% - Accent4 3 2 36" xfId="3815" xr:uid="{00000000-0005-0000-0000-0000870E0000}"/>
    <cellStyle name="20% - Accent4 3 2 37" xfId="3816" xr:uid="{00000000-0005-0000-0000-0000880E0000}"/>
    <cellStyle name="20% - Accent4 3 2 38" xfId="3817" xr:uid="{00000000-0005-0000-0000-0000890E0000}"/>
    <cellStyle name="20% - Accent4 3 2 39" xfId="3818" xr:uid="{00000000-0005-0000-0000-00008A0E0000}"/>
    <cellStyle name="20% - Accent4 3 2 4" xfId="3819" xr:uid="{00000000-0005-0000-0000-00008B0E0000}"/>
    <cellStyle name="20% - Accent4 3 2 40" xfId="3820" xr:uid="{00000000-0005-0000-0000-00008C0E0000}"/>
    <cellStyle name="20% - Accent4 3 2 41" xfId="3821" xr:uid="{00000000-0005-0000-0000-00008D0E0000}"/>
    <cellStyle name="20% - Accent4 3 2 42" xfId="3822" xr:uid="{00000000-0005-0000-0000-00008E0E0000}"/>
    <cellStyle name="20% - Accent4 3 2 43" xfId="3823" xr:uid="{00000000-0005-0000-0000-00008F0E0000}"/>
    <cellStyle name="20% - Accent4 3 2 44" xfId="3824" xr:uid="{00000000-0005-0000-0000-0000900E0000}"/>
    <cellStyle name="20% - Accent4 3 2 45" xfId="3825" xr:uid="{00000000-0005-0000-0000-0000910E0000}"/>
    <cellStyle name="20% - Accent4 3 2 46" xfId="3826" xr:uid="{00000000-0005-0000-0000-0000920E0000}"/>
    <cellStyle name="20% - Accent4 3 2 47" xfId="3827" xr:uid="{00000000-0005-0000-0000-0000930E0000}"/>
    <cellStyle name="20% - Accent4 3 2 48" xfId="3828" xr:uid="{00000000-0005-0000-0000-0000940E0000}"/>
    <cellStyle name="20% - Accent4 3 2 49" xfId="3829" xr:uid="{00000000-0005-0000-0000-0000950E0000}"/>
    <cellStyle name="20% - Accent4 3 2 5" xfId="3830" xr:uid="{00000000-0005-0000-0000-0000960E0000}"/>
    <cellStyle name="20% - Accent4 3 2 50" xfId="3831" xr:uid="{00000000-0005-0000-0000-0000970E0000}"/>
    <cellStyle name="20% - Accent4 3 2 51" xfId="3832" xr:uid="{00000000-0005-0000-0000-0000980E0000}"/>
    <cellStyle name="20% - Accent4 3 2 52" xfId="3833" xr:uid="{00000000-0005-0000-0000-0000990E0000}"/>
    <cellStyle name="20% - Accent4 3 2 53" xfId="3834" xr:uid="{00000000-0005-0000-0000-00009A0E0000}"/>
    <cellStyle name="20% - Accent4 3 2 54" xfId="3835" xr:uid="{00000000-0005-0000-0000-00009B0E0000}"/>
    <cellStyle name="20% - Accent4 3 2 6" xfId="3836" xr:uid="{00000000-0005-0000-0000-00009C0E0000}"/>
    <cellStyle name="20% - Accent4 3 2 7" xfId="3837" xr:uid="{00000000-0005-0000-0000-00009D0E0000}"/>
    <cellStyle name="20% - Accent4 3 2 8" xfId="3838" xr:uid="{00000000-0005-0000-0000-00009E0E0000}"/>
    <cellStyle name="20% - Accent4 3 2 9" xfId="3839" xr:uid="{00000000-0005-0000-0000-00009F0E0000}"/>
    <cellStyle name="20% - Accent4 3 20" xfId="3840" xr:uid="{00000000-0005-0000-0000-0000A00E0000}"/>
    <cellStyle name="20% - Accent4 3 20 10" xfId="3841" xr:uid="{00000000-0005-0000-0000-0000A10E0000}"/>
    <cellStyle name="20% - Accent4 3 20 11" xfId="3842" xr:uid="{00000000-0005-0000-0000-0000A20E0000}"/>
    <cellStyle name="20% - Accent4 3 20 12" xfId="3843" xr:uid="{00000000-0005-0000-0000-0000A30E0000}"/>
    <cellStyle name="20% - Accent4 3 20 13" xfId="3844" xr:uid="{00000000-0005-0000-0000-0000A40E0000}"/>
    <cellStyle name="20% - Accent4 3 20 14" xfId="3845" xr:uid="{00000000-0005-0000-0000-0000A50E0000}"/>
    <cellStyle name="20% - Accent4 3 20 15" xfId="3846" xr:uid="{00000000-0005-0000-0000-0000A60E0000}"/>
    <cellStyle name="20% - Accent4 3 20 2" xfId="3847" xr:uid="{00000000-0005-0000-0000-0000A70E0000}"/>
    <cellStyle name="20% - Accent4 3 20 3" xfId="3848" xr:uid="{00000000-0005-0000-0000-0000A80E0000}"/>
    <cellStyle name="20% - Accent4 3 20 4" xfId="3849" xr:uid="{00000000-0005-0000-0000-0000A90E0000}"/>
    <cellStyle name="20% - Accent4 3 20 5" xfId="3850" xr:uid="{00000000-0005-0000-0000-0000AA0E0000}"/>
    <cellStyle name="20% - Accent4 3 20 6" xfId="3851" xr:uid="{00000000-0005-0000-0000-0000AB0E0000}"/>
    <cellStyle name="20% - Accent4 3 20 7" xfId="3852" xr:uid="{00000000-0005-0000-0000-0000AC0E0000}"/>
    <cellStyle name="20% - Accent4 3 20 8" xfId="3853" xr:uid="{00000000-0005-0000-0000-0000AD0E0000}"/>
    <cellStyle name="20% - Accent4 3 20 9" xfId="3854" xr:uid="{00000000-0005-0000-0000-0000AE0E0000}"/>
    <cellStyle name="20% - Accent4 3 21" xfId="3855" xr:uid="{00000000-0005-0000-0000-0000AF0E0000}"/>
    <cellStyle name="20% - Accent4 3 21 10" xfId="3856" xr:uid="{00000000-0005-0000-0000-0000B00E0000}"/>
    <cellStyle name="20% - Accent4 3 21 11" xfId="3857" xr:uid="{00000000-0005-0000-0000-0000B10E0000}"/>
    <cellStyle name="20% - Accent4 3 21 12" xfId="3858" xr:uid="{00000000-0005-0000-0000-0000B20E0000}"/>
    <cellStyle name="20% - Accent4 3 21 13" xfId="3859" xr:uid="{00000000-0005-0000-0000-0000B30E0000}"/>
    <cellStyle name="20% - Accent4 3 21 14" xfId="3860" xr:uid="{00000000-0005-0000-0000-0000B40E0000}"/>
    <cellStyle name="20% - Accent4 3 21 15" xfId="3861" xr:uid="{00000000-0005-0000-0000-0000B50E0000}"/>
    <cellStyle name="20% - Accent4 3 21 2" xfId="3862" xr:uid="{00000000-0005-0000-0000-0000B60E0000}"/>
    <cellStyle name="20% - Accent4 3 21 3" xfId="3863" xr:uid="{00000000-0005-0000-0000-0000B70E0000}"/>
    <cellStyle name="20% - Accent4 3 21 4" xfId="3864" xr:uid="{00000000-0005-0000-0000-0000B80E0000}"/>
    <cellStyle name="20% - Accent4 3 21 5" xfId="3865" xr:uid="{00000000-0005-0000-0000-0000B90E0000}"/>
    <cellStyle name="20% - Accent4 3 21 6" xfId="3866" xr:uid="{00000000-0005-0000-0000-0000BA0E0000}"/>
    <cellStyle name="20% - Accent4 3 21 7" xfId="3867" xr:uid="{00000000-0005-0000-0000-0000BB0E0000}"/>
    <cellStyle name="20% - Accent4 3 21 8" xfId="3868" xr:uid="{00000000-0005-0000-0000-0000BC0E0000}"/>
    <cellStyle name="20% - Accent4 3 21 9" xfId="3869" xr:uid="{00000000-0005-0000-0000-0000BD0E0000}"/>
    <cellStyle name="20% - Accent4 3 22" xfId="3870" xr:uid="{00000000-0005-0000-0000-0000BE0E0000}"/>
    <cellStyle name="20% - Accent4 3 22 10" xfId="3871" xr:uid="{00000000-0005-0000-0000-0000BF0E0000}"/>
    <cellStyle name="20% - Accent4 3 22 11" xfId="3872" xr:uid="{00000000-0005-0000-0000-0000C00E0000}"/>
    <cellStyle name="20% - Accent4 3 22 12" xfId="3873" xr:uid="{00000000-0005-0000-0000-0000C10E0000}"/>
    <cellStyle name="20% - Accent4 3 22 13" xfId="3874" xr:uid="{00000000-0005-0000-0000-0000C20E0000}"/>
    <cellStyle name="20% - Accent4 3 22 14" xfId="3875" xr:uid="{00000000-0005-0000-0000-0000C30E0000}"/>
    <cellStyle name="20% - Accent4 3 22 15" xfId="3876" xr:uid="{00000000-0005-0000-0000-0000C40E0000}"/>
    <cellStyle name="20% - Accent4 3 22 2" xfId="3877" xr:uid="{00000000-0005-0000-0000-0000C50E0000}"/>
    <cellStyle name="20% - Accent4 3 22 3" xfId="3878" xr:uid="{00000000-0005-0000-0000-0000C60E0000}"/>
    <cellStyle name="20% - Accent4 3 22 4" xfId="3879" xr:uid="{00000000-0005-0000-0000-0000C70E0000}"/>
    <cellStyle name="20% - Accent4 3 22 5" xfId="3880" xr:uid="{00000000-0005-0000-0000-0000C80E0000}"/>
    <cellStyle name="20% - Accent4 3 22 6" xfId="3881" xr:uid="{00000000-0005-0000-0000-0000C90E0000}"/>
    <cellStyle name="20% - Accent4 3 22 7" xfId="3882" xr:uid="{00000000-0005-0000-0000-0000CA0E0000}"/>
    <cellStyle name="20% - Accent4 3 22 8" xfId="3883" xr:uid="{00000000-0005-0000-0000-0000CB0E0000}"/>
    <cellStyle name="20% - Accent4 3 22 9" xfId="3884" xr:uid="{00000000-0005-0000-0000-0000CC0E0000}"/>
    <cellStyle name="20% - Accent4 3 23" xfId="3885" xr:uid="{00000000-0005-0000-0000-0000CD0E0000}"/>
    <cellStyle name="20% - Accent4 3 23 10" xfId="3886" xr:uid="{00000000-0005-0000-0000-0000CE0E0000}"/>
    <cellStyle name="20% - Accent4 3 23 11" xfId="3887" xr:uid="{00000000-0005-0000-0000-0000CF0E0000}"/>
    <cellStyle name="20% - Accent4 3 23 12" xfId="3888" xr:uid="{00000000-0005-0000-0000-0000D00E0000}"/>
    <cellStyle name="20% - Accent4 3 23 13" xfId="3889" xr:uid="{00000000-0005-0000-0000-0000D10E0000}"/>
    <cellStyle name="20% - Accent4 3 23 14" xfId="3890" xr:uid="{00000000-0005-0000-0000-0000D20E0000}"/>
    <cellStyle name="20% - Accent4 3 23 15" xfId="3891" xr:uid="{00000000-0005-0000-0000-0000D30E0000}"/>
    <cellStyle name="20% - Accent4 3 23 2" xfId="3892" xr:uid="{00000000-0005-0000-0000-0000D40E0000}"/>
    <cellStyle name="20% - Accent4 3 23 3" xfId="3893" xr:uid="{00000000-0005-0000-0000-0000D50E0000}"/>
    <cellStyle name="20% - Accent4 3 23 4" xfId="3894" xr:uid="{00000000-0005-0000-0000-0000D60E0000}"/>
    <cellStyle name="20% - Accent4 3 23 5" xfId="3895" xr:uid="{00000000-0005-0000-0000-0000D70E0000}"/>
    <cellStyle name="20% - Accent4 3 23 6" xfId="3896" xr:uid="{00000000-0005-0000-0000-0000D80E0000}"/>
    <cellStyle name="20% - Accent4 3 23 7" xfId="3897" xr:uid="{00000000-0005-0000-0000-0000D90E0000}"/>
    <cellStyle name="20% - Accent4 3 23 8" xfId="3898" xr:uid="{00000000-0005-0000-0000-0000DA0E0000}"/>
    <cellStyle name="20% - Accent4 3 23 9" xfId="3899" xr:uid="{00000000-0005-0000-0000-0000DB0E0000}"/>
    <cellStyle name="20% - Accent4 3 24" xfId="3900" xr:uid="{00000000-0005-0000-0000-0000DC0E0000}"/>
    <cellStyle name="20% - Accent4 3 24 10" xfId="3901" xr:uid="{00000000-0005-0000-0000-0000DD0E0000}"/>
    <cellStyle name="20% - Accent4 3 24 11" xfId="3902" xr:uid="{00000000-0005-0000-0000-0000DE0E0000}"/>
    <cellStyle name="20% - Accent4 3 24 12" xfId="3903" xr:uid="{00000000-0005-0000-0000-0000DF0E0000}"/>
    <cellStyle name="20% - Accent4 3 24 13" xfId="3904" xr:uid="{00000000-0005-0000-0000-0000E00E0000}"/>
    <cellStyle name="20% - Accent4 3 24 14" xfId="3905" xr:uid="{00000000-0005-0000-0000-0000E10E0000}"/>
    <cellStyle name="20% - Accent4 3 24 15" xfId="3906" xr:uid="{00000000-0005-0000-0000-0000E20E0000}"/>
    <cellStyle name="20% - Accent4 3 24 2" xfId="3907" xr:uid="{00000000-0005-0000-0000-0000E30E0000}"/>
    <cellStyle name="20% - Accent4 3 24 3" xfId="3908" xr:uid="{00000000-0005-0000-0000-0000E40E0000}"/>
    <cellStyle name="20% - Accent4 3 24 4" xfId="3909" xr:uid="{00000000-0005-0000-0000-0000E50E0000}"/>
    <cellStyle name="20% - Accent4 3 24 5" xfId="3910" xr:uid="{00000000-0005-0000-0000-0000E60E0000}"/>
    <cellStyle name="20% - Accent4 3 24 6" xfId="3911" xr:uid="{00000000-0005-0000-0000-0000E70E0000}"/>
    <cellStyle name="20% - Accent4 3 24 7" xfId="3912" xr:uid="{00000000-0005-0000-0000-0000E80E0000}"/>
    <cellStyle name="20% - Accent4 3 24 8" xfId="3913" xr:uid="{00000000-0005-0000-0000-0000E90E0000}"/>
    <cellStyle name="20% - Accent4 3 24 9" xfId="3914" xr:uid="{00000000-0005-0000-0000-0000EA0E0000}"/>
    <cellStyle name="20% - Accent4 3 25" xfId="3915" xr:uid="{00000000-0005-0000-0000-0000EB0E0000}"/>
    <cellStyle name="20% - Accent4 3 25 10" xfId="3916" xr:uid="{00000000-0005-0000-0000-0000EC0E0000}"/>
    <cellStyle name="20% - Accent4 3 25 11" xfId="3917" xr:uid="{00000000-0005-0000-0000-0000ED0E0000}"/>
    <cellStyle name="20% - Accent4 3 25 12" xfId="3918" xr:uid="{00000000-0005-0000-0000-0000EE0E0000}"/>
    <cellStyle name="20% - Accent4 3 25 13" xfId="3919" xr:uid="{00000000-0005-0000-0000-0000EF0E0000}"/>
    <cellStyle name="20% - Accent4 3 25 14" xfId="3920" xr:uid="{00000000-0005-0000-0000-0000F00E0000}"/>
    <cellStyle name="20% - Accent4 3 25 15" xfId="3921" xr:uid="{00000000-0005-0000-0000-0000F10E0000}"/>
    <cellStyle name="20% - Accent4 3 25 2" xfId="3922" xr:uid="{00000000-0005-0000-0000-0000F20E0000}"/>
    <cellStyle name="20% - Accent4 3 25 3" xfId="3923" xr:uid="{00000000-0005-0000-0000-0000F30E0000}"/>
    <cellStyle name="20% - Accent4 3 25 4" xfId="3924" xr:uid="{00000000-0005-0000-0000-0000F40E0000}"/>
    <cellStyle name="20% - Accent4 3 25 5" xfId="3925" xr:uid="{00000000-0005-0000-0000-0000F50E0000}"/>
    <cellStyle name="20% - Accent4 3 25 6" xfId="3926" xr:uid="{00000000-0005-0000-0000-0000F60E0000}"/>
    <cellStyle name="20% - Accent4 3 25 7" xfId="3927" xr:uid="{00000000-0005-0000-0000-0000F70E0000}"/>
    <cellStyle name="20% - Accent4 3 25 8" xfId="3928" xr:uid="{00000000-0005-0000-0000-0000F80E0000}"/>
    <cellStyle name="20% - Accent4 3 25 9" xfId="3929" xr:uid="{00000000-0005-0000-0000-0000F90E0000}"/>
    <cellStyle name="20% - Accent4 3 26" xfId="3930" xr:uid="{00000000-0005-0000-0000-0000FA0E0000}"/>
    <cellStyle name="20% - Accent4 3 26 10" xfId="3931" xr:uid="{00000000-0005-0000-0000-0000FB0E0000}"/>
    <cellStyle name="20% - Accent4 3 26 11" xfId="3932" xr:uid="{00000000-0005-0000-0000-0000FC0E0000}"/>
    <cellStyle name="20% - Accent4 3 26 12" xfId="3933" xr:uid="{00000000-0005-0000-0000-0000FD0E0000}"/>
    <cellStyle name="20% - Accent4 3 26 13" xfId="3934" xr:uid="{00000000-0005-0000-0000-0000FE0E0000}"/>
    <cellStyle name="20% - Accent4 3 26 14" xfId="3935" xr:uid="{00000000-0005-0000-0000-0000FF0E0000}"/>
    <cellStyle name="20% - Accent4 3 26 15" xfId="3936" xr:uid="{00000000-0005-0000-0000-0000000F0000}"/>
    <cellStyle name="20% - Accent4 3 26 2" xfId="3937" xr:uid="{00000000-0005-0000-0000-0000010F0000}"/>
    <cellStyle name="20% - Accent4 3 26 3" xfId="3938" xr:uid="{00000000-0005-0000-0000-0000020F0000}"/>
    <cellStyle name="20% - Accent4 3 26 4" xfId="3939" xr:uid="{00000000-0005-0000-0000-0000030F0000}"/>
    <cellStyle name="20% - Accent4 3 26 5" xfId="3940" xr:uid="{00000000-0005-0000-0000-0000040F0000}"/>
    <cellStyle name="20% - Accent4 3 26 6" xfId="3941" xr:uid="{00000000-0005-0000-0000-0000050F0000}"/>
    <cellStyle name="20% - Accent4 3 26 7" xfId="3942" xr:uid="{00000000-0005-0000-0000-0000060F0000}"/>
    <cellStyle name="20% - Accent4 3 26 8" xfId="3943" xr:uid="{00000000-0005-0000-0000-0000070F0000}"/>
    <cellStyle name="20% - Accent4 3 26 9" xfId="3944" xr:uid="{00000000-0005-0000-0000-0000080F0000}"/>
    <cellStyle name="20% - Accent4 3 27" xfId="3945" xr:uid="{00000000-0005-0000-0000-0000090F0000}"/>
    <cellStyle name="20% - Accent4 3 27 10" xfId="3946" xr:uid="{00000000-0005-0000-0000-00000A0F0000}"/>
    <cellStyle name="20% - Accent4 3 27 11" xfId="3947" xr:uid="{00000000-0005-0000-0000-00000B0F0000}"/>
    <cellStyle name="20% - Accent4 3 27 12" xfId="3948" xr:uid="{00000000-0005-0000-0000-00000C0F0000}"/>
    <cellStyle name="20% - Accent4 3 27 13" xfId="3949" xr:uid="{00000000-0005-0000-0000-00000D0F0000}"/>
    <cellStyle name="20% - Accent4 3 27 14" xfId="3950" xr:uid="{00000000-0005-0000-0000-00000E0F0000}"/>
    <cellStyle name="20% - Accent4 3 27 15" xfId="3951" xr:uid="{00000000-0005-0000-0000-00000F0F0000}"/>
    <cellStyle name="20% - Accent4 3 27 2" xfId="3952" xr:uid="{00000000-0005-0000-0000-0000100F0000}"/>
    <cellStyle name="20% - Accent4 3 27 3" xfId="3953" xr:uid="{00000000-0005-0000-0000-0000110F0000}"/>
    <cellStyle name="20% - Accent4 3 27 4" xfId="3954" xr:uid="{00000000-0005-0000-0000-0000120F0000}"/>
    <cellStyle name="20% - Accent4 3 27 5" xfId="3955" xr:uid="{00000000-0005-0000-0000-0000130F0000}"/>
    <cellStyle name="20% - Accent4 3 27 6" xfId="3956" xr:uid="{00000000-0005-0000-0000-0000140F0000}"/>
    <cellStyle name="20% - Accent4 3 27 7" xfId="3957" xr:uid="{00000000-0005-0000-0000-0000150F0000}"/>
    <cellStyle name="20% - Accent4 3 27 8" xfId="3958" xr:uid="{00000000-0005-0000-0000-0000160F0000}"/>
    <cellStyle name="20% - Accent4 3 27 9" xfId="3959" xr:uid="{00000000-0005-0000-0000-0000170F0000}"/>
    <cellStyle name="20% - Accent4 3 28" xfId="3960" xr:uid="{00000000-0005-0000-0000-0000180F0000}"/>
    <cellStyle name="20% - Accent4 3 28 10" xfId="3961" xr:uid="{00000000-0005-0000-0000-0000190F0000}"/>
    <cellStyle name="20% - Accent4 3 28 11" xfId="3962" xr:uid="{00000000-0005-0000-0000-00001A0F0000}"/>
    <cellStyle name="20% - Accent4 3 28 12" xfId="3963" xr:uid="{00000000-0005-0000-0000-00001B0F0000}"/>
    <cellStyle name="20% - Accent4 3 28 13" xfId="3964" xr:uid="{00000000-0005-0000-0000-00001C0F0000}"/>
    <cellStyle name="20% - Accent4 3 28 14" xfId="3965" xr:uid="{00000000-0005-0000-0000-00001D0F0000}"/>
    <cellStyle name="20% - Accent4 3 28 15" xfId="3966" xr:uid="{00000000-0005-0000-0000-00001E0F0000}"/>
    <cellStyle name="20% - Accent4 3 28 2" xfId="3967" xr:uid="{00000000-0005-0000-0000-00001F0F0000}"/>
    <cellStyle name="20% - Accent4 3 28 3" xfId="3968" xr:uid="{00000000-0005-0000-0000-0000200F0000}"/>
    <cellStyle name="20% - Accent4 3 28 4" xfId="3969" xr:uid="{00000000-0005-0000-0000-0000210F0000}"/>
    <cellStyle name="20% - Accent4 3 28 5" xfId="3970" xr:uid="{00000000-0005-0000-0000-0000220F0000}"/>
    <cellStyle name="20% - Accent4 3 28 6" xfId="3971" xr:uid="{00000000-0005-0000-0000-0000230F0000}"/>
    <cellStyle name="20% - Accent4 3 28 7" xfId="3972" xr:uid="{00000000-0005-0000-0000-0000240F0000}"/>
    <cellStyle name="20% - Accent4 3 28 8" xfId="3973" xr:uid="{00000000-0005-0000-0000-0000250F0000}"/>
    <cellStyle name="20% - Accent4 3 28 9" xfId="3974" xr:uid="{00000000-0005-0000-0000-0000260F0000}"/>
    <cellStyle name="20% - Accent4 3 29" xfId="3975" xr:uid="{00000000-0005-0000-0000-0000270F0000}"/>
    <cellStyle name="20% - Accent4 3 29 10" xfId="3976" xr:uid="{00000000-0005-0000-0000-0000280F0000}"/>
    <cellStyle name="20% - Accent4 3 29 11" xfId="3977" xr:uid="{00000000-0005-0000-0000-0000290F0000}"/>
    <cellStyle name="20% - Accent4 3 29 12" xfId="3978" xr:uid="{00000000-0005-0000-0000-00002A0F0000}"/>
    <cellStyle name="20% - Accent4 3 29 13" xfId="3979" xr:uid="{00000000-0005-0000-0000-00002B0F0000}"/>
    <cellStyle name="20% - Accent4 3 29 14" xfId="3980" xr:uid="{00000000-0005-0000-0000-00002C0F0000}"/>
    <cellStyle name="20% - Accent4 3 29 15" xfId="3981" xr:uid="{00000000-0005-0000-0000-00002D0F0000}"/>
    <cellStyle name="20% - Accent4 3 29 2" xfId="3982" xr:uid="{00000000-0005-0000-0000-00002E0F0000}"/>
    <cellStyle name="20% - Accent4 3 29 3" xfId="3983" xr:uid="{00000000-0005-0000-0000-00002F0F0000}"/>
    <cellStyle name="20% - Accent4 3 29 4" xfId="3984" xr:uid="{00000000-0005-0000-0000-0000300F0000}"/>
    <cellStyle name="20% - Accent4 3 29 5" xfId="3985" xr:uid="{00000000-0005-0000-0000-0000310F0000}"/>
    <cellStyle name="20% - Accent4 3 29 6" xfId="3986" xr:uid="{00000000-0005-0000-0000-0000320F0000}"/>
    <cellStyle name="20% - Accent4 3 29 7" xfId="3987" xr:uid="{00000000-0005-0000-0000-0000330F0000}"/>
    <cellStyle name="20% - Accent4 3 29 8" xfId="3988" xr:uid="{00000000-0005-0000-0000-0000340F0000}"/>
    <cellStyle name="20% - Accent4 3 29 9" xfId="3989" xr:uid="{00000000-0005-0000-0000-0000350F0000}"/>
    <cellStyle name="20% - Accent4 3 3" xfId="3990" xr:uid="{00000000-0005-0000-0000-0000360F0000}"/>
    <cellStyle name="20% - Accent4 3 3 10" xfId="3991" xr:uid="{00000000-0005-0000-0000-0000370F0000}"/>
    <cellStyle name="20% - Accent4 3 3 11" xfId="3992" xr:uid="{00000000-0005-0000-0000-0000380F0000}"/>
    <cellStyle name="20% - Accent4 3 3 12" xfId="3993" xr:uid="{00000000-0005-0000-0000-0000390F0000}"/>
    <cellStyle name="20% - Accent4 3 3 13" xfId="3994" xr:uid="{00000000-0005-0000-0000-00003A0F0000}"/>
    <cellStyle name="20% - Accent4 3 3 14" xfId="3995" xr:uid="{00000000-0005-0000-0000-00003B0F0000}"/>
    <cellStyle name="20% - Accent4 3 3 15" xfId="3996" xr:uid="{00000000-0005-0000-0000-00003C0F0000}"/>
    <cellStyle name="20% - Accent4 3 3 16" xfId="3997" xr:uid="{00000000-0005-0000-0000-00003D0F0000}"/>
    <cellStyle name="20% - Accent4 3 3 2" xfId="3998" xr:uid="{00000000-0005-0000-0000-00003E0F0000}"/>
    <cellStyle name="20% - Accent4 3 3 3" xfId="3999" xr:uid="{00000000-0005-0000-0000-00003F0F0000}"/>
    <cellStyle name="20% - Accent4 3 3 4" xfId="4000" xr:uid="{00000000-0005-0000-0000-0000400F0000}"/>
    <cellStyle name="20% - Accent4 3 3 5" xfId="4001" xr:uid="{00000000-0005-0000-0000-0000410F0000}"/>
    <cellStyle name="20% - Accent4 3 3 6" xfId="4002" xr:uid="{00000000-0005-0000-0000-0000420F0000}"/>
    <cellStyle name="20% - Accent4 3 3 7" xfId="4003" xr:uid="{00000000-0005-0000-0000-0000430F0000}"/>
    <cellStyle name="20% - Accent4 3 3 8" xfId="4004" xr:uid="{00000000-0005-0000-0000-0000440F0000}"/>
    <cellStyle name="20% - Accent4 3 3 9" xfId="4005" xr:uid="{00000000-0005-0000-0000-0000450F0000}"/>
    <cellStyle name="20% - Accent4 3 30" xfId="4006" xr:uid="{00000000-0005-0000-0000-0000460F0000}"/>
    <cellStyle name="20% - Accent4 3 30 10" xfId="4007" xr:uid="{00000000-0005-0000-0000-0000470F0000}"/>
    <cellStyle name="20% - Accent4 3 30 11" xfId="4008" xr:uid="{00000000-0005-0000-0000-0000480F0000}"/>
    <cellStyle name="20% - Accent4 3 30 12" xfId="4009" xr:uid="{00000000-0005-0000-0000-0000490F0000}"/>
    <cellStyle name="20% - Accent4 3 30 13" xfId="4010" xr:uid="{00000000-0005-0000-0000-00004A0F0000}"/>
    <cellStyle name="20% - Accent4 3 30 14" xfId="4011" xr:uid="{00000000-0005-0000-0000-00004B0F0000}"/>
    <cellStyle name="20% - Accent4 3 30 15" xfId="4012" xr:uid="{00000000-0005-0000-0000-00004C0F0000}"/>
    <cellStyle name="20% - Accent4 3 30 2" xfId="4013" xr:uid="{00000000-0005-0000-0000-00004D0F0000}"/>
    <cellStyle name="20% - Accent4 3 30 3" xfId="4014" xr:uid="{00000000-0005-0000-0000-00004E0F0000}"/>
    <cellStyle name="20% - Accent4 3 30 4" xfId="4015" xr:uid="{00000000-0005-0000-0000-00004F0F0000}"/>
    <cellStyle name="20% - Accent4 3 30 5" xfId="4016" xr:uid="{00000000-0005-0000-0000-0000500F0000}"/>
    <cellStyle name="20% - Accent4 3 30 6" xfId="4017" xr:uid="{00000000-0005-0000-0000-0000510F0000}"/>
    <cellStyle name="20% - Accent4 3 30 7" xfId="4018" xr:uid="{00000000-0005-0000-0000-0000520F0000}"/>
    <cellStyle name="20% - Accent4 3 30 8" xfId="4019" xr:uid="{00000000-0005-0000-0000-0000530F0000}"/>
    <cellStyle name="20% - Accent4 3 30 9" xfId="4020" xr:uid="{00000000-0005-0000-0000-0000540F0000}"/>
    <cellStyle name="20% - Accent4 3 31" xfId="4021" xr:uid="{00000000-0005-0000-0000-0000550F0000}"/>
    <cellStyle name="20% - Accent4 3 31 10" xfId="4022" xr:uid="{00000000-0005-0000-0000-0000560F0000}"/>
    <cellStyle name="20% - Accent4 3 31 11" xfId="4023" xr:uid="{00000000-0005-0000-0000-0000570F0000}"/>
    <cellStyle name="20% - Accent4 3 31 12" xfId="4024" xr:uid="{00000000-0005-0000-0000-0000580F0000}"/>
    <cellStyle name="20% - Accent4 3 31 13" xfId="4025" xr:uid="{00000000-0005-0000-0000-0000590F0000}"/>
    <cellStyle name="20% - Accent4 3 31 14" xfId="4026" xr:uid="{00000000-0005-0000-0000-00005A0F0000}"/>
    <cellStyle name="20% - Accent4 3 31 15" xfId="4027" xr:uid="{00000000-0005-0000-0000-00005B0F0000}"/>
    <cellStyle name="20% - Accent4 3 31 2" xfId="4028" xr:uid="{00000000-0005-0000-0000-00005C0F0000}"/>
    <cellStyle name="20% - Accent4 3 31 3" xfId="4029" xr:uid="{00000000-0005-0000-0000-00005D0F0000}"/>
    <cellStyle name="20% - Accent4 3 31 4" xfId="4030" xr:uid="{00000000-0005-0000-0000-00005E0F0000}"/>
    <cellStyle name="20% - Accent4 3 31 5" xfId="4031" xr:uid="{00000000-0005-0000-0000-00005F0F0000}"/>
    <cellStyle name="20% - Accent4 3 31 6" xfId="4032" xr:uid="{00000000-0005-0000-0000-0000600F0000}"/>
    <cellStyle name="20% - Accent4 3 31 7" xfId="4033" xr:uid="{00000000-0005-0000-0000-0000610F0000}"/>
    <cellStyle name="20% - Accent4 3 31 8" xfId="4034" xr:uid="{00000000-0005-0000-0000-0000620F0000}"/>
    <cellStyle name="20% - Accent4 3 31 9" xfId="4035" xr:uid="{00000000-0005-0000-0000-0000630F0000}"/>
    <cellStyle name="20% - Accent4 3 32" xfId="4036" xr:uid="{00000000-0005-0000-0000-0000640F0000}"/>
    <cellStyle name="20% - Accent4 3 32 10" xfId="4037" xr:uid="{00000000-0005-0000-0000-0000650F0000}"/>
    <cellStyle name="20% - Accent4 3 32 11" xfId="4038" xr:uid="{00000000-0005-0000-0000-0000660F0000}"/>
    <cellStyle name="20% - Accent4 3 32 12" xfId="4039" xr:uid="{00000000-0005-0000-0000-0000670F0000}"/>
    <cellStyle name="20% - Accent4 3 32 13" xfId="4040" xr:uid="{00000000-0005-0000-0000-0000680F0000}"/>
    <cellStyle name="20% - Accent4 3 32 14" xfId="4041" xr:uid="{00000000-0005-0000-0000-0000690F0000}"/>
    <cellStyle name="20% - Accent4 3 32 15" xfId="4042" xr:uid="{00000000-0005-0000-0000-00006A0F0000}"/>
    <cellStyle name="20% - Accent4 3 32 2" xfId="4043" xr:uid="{00000000-0005-0000-0000-00006B0F0000}"/>
    <cellStyle name="20% - Accent4 3 32 3" xfId="4044" xr:uid="{00000000-0005-0000-0000-00006C0F0000}"/>
    <cellStyle name="20% - Accent4 3 32 4" xfId="4045" xr:uid="{00000000-0005-0000-0000-00006D0F0000}"/>
    <cellStyle name="20% - Accent4 3 32 5" xfId="4046" xr:uid="{00000000-0005-0000-0000-00006E0F0000}"/>
    <cellStyle name="20% - Accent4 3 32 6" xfId="4047" xr:uid="{00000000-0005-0000-0000-00006F0F0000}"/>
    <cellStyle name="20% - Accent4 3 32 7" xfId="4048" xr:uid="{00000000-0005-0000-0000-0000700F0000}"/>
    <cellStyle name="20% - Accent4 3 32 8" xfId="4049" xr:uid="{00000000-0005-0000-0000-0000710F0000}"/>
    <cellStyle name="20% - Accent4 3 32 9" xfId="4050" xr:uid="{00000000-0005-0000-0000-0000720F0000}"/>
    <cellStyle name="20% - Accent4 3 33" xfId="4051" xr:uid="{00000000-0005-0000-0000-0000730F0000}"/>
    <cellStyle name="20% - Accent4 3 34" xfId="4052" xr:uid="{00000000-0005-0000-0000-0000740F0000}"/>
    <cellStyle name="20% - Accent4 3 35" xfId="4053" xr:uid="{00000000-0005-0000-0000-0000750F0000}"/>
    <cellStyle name="20% - Accent4 3 36" xfId="4054" xr:uid="{00000000-0005-0000-0000-0000760F0000}"/>
    <cellStyle name="20% - Accent4 3 37" xfId="4055" xr:uid="{00000000-0005-0000-0000-0000770F0000}"/>
    <cellStyle name="20% - Accent4 3 38" xfId="4056" xr:uid="{00000000-0005-0000-0000-0000780F0000}"/>
    <cellStyle name="20% - Accent4 3 39" xfId="4057" xr:uid="{00000000-0005-0000-0000-0000790F0000}"/>
    <cellStyle name="20% - Accent4 3 4" xfId="4058" xr:uid="{00000000-0005-0000-0000-00007A0F0000}"/>
    <cellStyle name="20% - Accent4 3 4 10" xfId="4059" xr:uid="{00000000-0005-0000-0000-00007B0F0000}"/>
    <cellStyle name="20% - Accent4 3 4 11" xfId="4060" xr:uid="{00000000-0005-0000-0000-00007C0F0000}"/>
    <cellStyle name="20% - Accent4 3 4 12" xfId="4061" xr:uid="{00000000-0005-0000-0000-00007D0F0000}"/>
    <cellStyle name="20% - Accent4 3 4 13" xfId="4062" xr:uid="{00000000-0005-0000-0000-00007E0F0000}"/>
    <cellStyle name="20% - Accent4 3 4 14" xfId="4063" xr:uid="{00000000-0005-0000-0000-00007F0F0000}"/>
    <cellStyle name="20% - Accent4 3 4 15" xfId="4064" xr:uid="{00000000-0005-0000-0000-0000800F0000}"/>
    <cellStyle name="20% - Accent4 3 4 16" xfId="4065" xr:uid="{00000000-0005-0000-0000-0000810F0000}"/>
    <cellStyle name="20% - Accent4 3 4 2" xfId="4066" xr:uid="{00000000-0005-0000-0000-0000820F0000}"/>
    <cellStyle name="20% - Accent4 3 4 3" xfId="4067" xr:uid="{00000000-0005-0000-0000-0000830F0000}"/>
    <cellStyle name="20% - Accent4 3 4 4" xfId="4068" xr:uid="{00000000-0005-0000-0000-0000840F0000}"/>
    <cellStyle name="20% - Accent4 3 4 5" xfId="4069" xr:uid="{00000000-0005-0000-0000-0000850F0000}"/>
    <cellStyle name="20% - Accent4 3 4 6" xfId="4070" xr:uid="{00000000-0005-0000-0000-0000860F0000}"/>
    <cellStyle name="20% - Accent4 3 4 7" xfId="4071" xr:uid="{00000000-0005-0000-0000-0000870F0000}"/>
    <cellStyle name="20% - Accent4 3 4 8" xfId="4072" xr:uid="{00000000-0005-0000-0000-0000880F0000}"/>
    <cellStyle name="20% - Accent4 3 4 9" xfId="4073" xr:uid="{00000000-0005-0000-0000-0000890F0000}"/>
    <cellStyle name="20% - Accent4 3 40" xfId="4074" xr:uid="{00000000-0005-0000-0000-00008A0F0000}"/>
    <cellStyle name="20% - Accent4 3 41" xfId="4075" xr:uid="{00000000-0005-0000-0000-00008B0F0000}"/>
    <cellStyle name="20% - Accent4 3 42" xfId="4076" xr:uid="{00000000-0005-0000-0000-00008C0F0000}"/>
    <cellStyle name="20% - Accent4 3 43" xfId="4077" xr:uid="{00000000-0005-0000-0000-00008D0F0000}"/>
    <cellStyle name="20% - Accent4 3 44" xfId="4078" xr:uid="{00000000-0005-0000-0000-00008E0F0000}"/>
    <cellStyle name="20% - Accent4 3 45" xfId="4079" xr:uid="{00000000-0005-0000-0000-00008F0F0000}"/>
    <cellStyle name="20% - Accent4 3 46" xfId="4080" xr:uid="{00000000-0005-0000-0000-0000900F0000}"/>
    <cellStyle name="20% - Accent4 3 47" xfId="4081" xr:uid="{00000000-0005-0000-0000-0000910F0000}"/>
    <cellStyle name="20% - Accent4 3 48" xfId="4082" xr:uid="{00000000-0005-0000-0000-0000920F0000}"/>
    <cellStyle name="20% - Accent4 3 49" xfId="4083" xr:uid="{00000000-0005-0000-0000-0000930F0000}"/>
    <cellStyle name="20% - Accent4 3 5" xfId="4084" xr:uid="{00000000-0005-0000-0000-0000940F0000}"/>
    <cellStyle name="20% - Accent4 3 5 10" xfId="4085" xr:uid="{00000000-0005-0000-0000-0000950F0000}"/>
    <cellStyle name="20% - Accent4 3 5 11" xfId="4086" xr:uid="{00000000-0005-0000-0000-0000960F0000}"/>
    <cellStyle name="20% - Accent4 3 5 12" xfId="4087" xr:uid="{00000000-0005-0000-0000-0000970F0000}"/>
    <cellStyle name="20% - Accent4 3 5 13" xfId="4088" xr:uid="{00000000-0005-0000-0000-0000980F0000}"/>
    <cellStyle name="20% - Accent4 3 5 14" xfId="4089" xr:uid="{00000000-0005-0000-0000-0000990F0000}"/>
    <cellStyle name="20% - Accent4 3 5 15" xfId="4090" xr:uid="{00000000-0005-0000-0000-00009A0F0000}"/>
    <cellStyle name="20% - Accent4 3 5 2" xfId="4091" xr:uid="{00000000-0005-0000-0000-00009B0F0000}"/>
    <cellStyle name="20% - Accent4 3 5 3" xfId="4092" xr:uid="{00000000-0005-0000-0000-00009C0F0000}"/>
    <cellStyle name="20% - Accent4 3 5 4" xfId="4093" xr:uid="{00000000-0005-0000-0000-00009D0F0000}"/>
    <cellStyle name="20% - Accent4 3 5 5" xfId="4094" xr:uid="{00000000-0005-0000-0000-00009E0F0000}"/>
    <cellStyle name="20% - Accent4 3 5 6" xfId="4095" xr:uid="{00000000-0005-0000-0000-00009F0F0000}"/>
    <cellStyle name="20% - Accent4 3 5 7" xfId="4096" xr:uid="{00000000-0005-0000-0000-0000A00F0000}"/>
    <cellStyle name="20% - Accent4 3 5 8" xfId="4097" xr:uid="{00000000-0005-0000-0000-0000A10F0000}"/>
    <cellStyle name="20% - Accent4 3 5 9" xfId="4098" xr:uid="{00000000-0005-0000-0000-0000A20F0000}"/>
    <cellStyle name="20% - Accent4 3 50" xfId="4099" xr:uid="{00000000-0005-0000-0000-0000A30F0000}"/>
    <cellStyle name="20% - Accent4 3 51" xfId="4100" xr:uid="{00000000-0005-0000-0000-0000A40F0000}"/>
    <cellStyle name="20% - Accent4 3 52" xfId="4101" xr:uid="{00000000-0005-0000-0000-0000A50F0000}"/>
    <cellStyle name="20% - Accent4 3 53" xfId="4102" xr:uid="{00000000-0005-0000-0000-0000A60F0000}"/>
    <cellStyle name="20% - Accent4 3 54" xfId="4103" xr:uid="{00000000-0005-0000-0000-0000A70F0000}"/>
    <cellStyle name="20% - Accent4 3 55" xfId="4104" xr:uid="{00000000-0005-0000-0000-0000A80F0000}"/>
    <cellStyle name="20% - Accent4 3 6" xfId="4105" xr:uid="{00000000-0005-0000-0000-0000A90F0000}"/>
    <cellStyle name="20% - Accent4 3 6 10" xfId="4106" xr:uid="{00000000-0005-0000-0000-0000AA0F0000}"/>
    <cellStyle name="20% - Accent4 3 6 11" xfId="4107" xr:uid="{00000000-0005-0000-0000-0000AB0F0000}"/>
    <cellStyle name="20% - Accent4 3 6 12" xfId="4108" xr:uid="{00000000-0005-0000-0000-0000AC0F0000}"/>
    <cellStyle name="20% - Accent4 3 6 13" xfId="4109" xr:uid="{00000000-0005-0000-0000-0000AD0F0000}"/>
    <cellStyle name="20% - Accent4 3 6 14" xfId="4110" xr:uid="{00000000-0005-0000-0000-0000AE0F0000}"/>
    <cellStyle name="20% - Accent4 3 6 15" xfId="4111" xr:uid="{00000000-0005-0000-0000-0000AF0F0000}"/>
    <cellStyle name="20% - Accent4 3 6 2" xfId="4112" xr:uid="{00000000-0005-0000-0000-0000B00F0000}"/>
    <cellStyle name="20% - Accent4 3 6 3" xfId="4113" xr:uid="{00000000-0005-0000-0000-0000B10F0000}"/>
    <cellStyle name="20% - Accent4 3 6 4" xfId="4114" xr:uid="{00000000-0005-0000-0000-0000B20F0000}"/>
    <cellStyle name="20% - Accent4 3 6 5" xfId="4115" xr:uid="{00000000-0005-0000-0000-0000B30F0000}"/>
    <cellStyle name="20% - Accent4 3 6 6" xfId="4116" xr:uid="{00000000-0005-0000-0000-0000B40F0000}"/>
    <cellStyle name="20% - Accent4 3 6 7" xfId="4117" xr:uid="{00000000-0005-0000-0000-0000B50F0000}"/>
    <cellStyle name="20% - Accent4 3 6 8" xfId="4118" xr:uid="{00000000-0005-0000-0000-0000B60F0000}"/>
    <cellStyle name="20% - Accent4 3 6 9" xfId="4119" xr:uid="{00000000-0005-0000-0000-0000B70F0000}"/>
    <cellStyle name="20% - Accent4 3 7" xfId="4120" xr:uid="{00000000-0005-0000-0000-0000B80F0000}"/>
    <cellStyle name="20% - Accent4 3 7 10" xfId="4121" xr:uid="{00000000-0005-0000-0000-0000B90F0000}"/>
    <cellStyle name="20% - Accent4 3 7 11" xfId="4122" xr:uid="{00000000-0005-0000-0000-0000BA0F0000}"/>
    <cellStyle name="20% - Accent4 3 7 12" xfId="4123" xr:uid="{00000000-0005-0000-0000-0000BB0F0000}"/>
    <cellStyle name="20% - Accent4 3 7 13" xfId="4124" xr:uid="{00000000-0005-0000-0000-0000BC0F0000}"/>
    <cellStyle name="20% - Accent4 3 7 14" xfId="4125" xr:uid="{00000000-0005-0000-0000-0000BD0F0000}"/>
    <cellStyle name="20% - Accent4 3 7 15" xfId="4126" xr:uid="{00000000-0005-0000-0000-0000BE0F0000}"/>
    <cellStyle name="20% - Accent4 3 7 2" xfId="4127" xr:uid="{00000000-0005-0000-0000-0000BF0F0000}"/>
    <cellStyle name="20% - Accent4 3 7 3" xfId="4128" xr:uid="{00000000-0005-0000-0000-0000C00F0000}"/>
    <cellStyle name="20% - Accent4 3 7 4" xfId="4129" xr:uid="{00000000-0005-0000-0000-0000C10F0000}"/>
    <cellStyle name="20% - Accent4 3 7 5" xfId="4130" xr:uid="{00000000-0005-0000-0000-0000C20F0000}"/>
    <cellStyle name="20% - Accent4 3 7 6" xfId="4131" xr:uid="{00000000-0005-0000-0000-0000C30F0000}"/>
    <cellStyle name="20% - Accent4 3 7 7" xfId="4132" xr:uid="{00000000-0005-0000-0000-0000C40F0000}"/>
    <cellStyle name="20% - Accent4 3 7 8" xfId="4133" xr:uid="{00000000-0005-0000-0000-0000C50F0000}"/>
    <cellStyle name="20% - Accent4 3 7 9" xfId="4134" xr:uid="{00000000-0005-0000-0000-0000C60F0000}"/>
    <cellStyle name="20% - Accent4 3 8" xfId="4135" xr:uid="{00000000-0005-0000-0000-0000C70F0000}"/>
    <cellStyle name="20% - Accent4 3 8 10" xfId="4136" xr:uid="{00000000-0005-0000-0000-0000C80F0000}"/>
    <cellStyle name="20% - Accent4 3 8 11" xfId="4137" xr:uid="{00000000-0005-0000-0000-0000C90F0000}"/>
    <cellStyle name="20% - Accent4 3 8 12" xfId="4138" xr:uid="{00000000-0005-0000-0000-0000CA0F0000}"/>
    <cellStyle name="20% - Accent4 3 8 13" xfId="4139" xr:uid="{00000000-0005-0000-0000-0000CB0F0000}"/>
    <cellStyle name="20% - Accent4 3 8 14" xfId="4140" xr:uid="{00000000-0005-0000-0000-0000CC0F0000}"/>
    <cellStyle name="20% - Accent4 3 8 15" xfId="4141" xr:uid="{00000000-0005-0000-0000-0000CD0F0000}"/>
    <cellStyle name="20% - Accent4 3 8 2" xfId="4142" xr:uid="{00000000-0005-0000-0000-0000CE0F0000}"/>
    <cellStyle name="20% - Accent4 3 8 3" xfId="4143" xr:uid="{00000000-0005-0000-0000-0000CF0F0000}"/>
    <cellStyle name="20% - Accent4 3 8 4" xfId="4144" xr:uid="{00000000-0005-0000-0000-0000D00F0000}"/>
    <cellStyle name="20% - Accent4 3 8 5" xfId="4145" xr:uid="{00000000-0005-0000-0000-0000D10F0000}"/>
    <cellStyle name="20% - Accent4 3 8 6" xfId="4146" xr:uid="{00000000-0005-0000-0000-0000D20F0000}"/>
    <cellStyle name="20% - Accent4 3 8 7" xfId="4147" xr:uid="{00000000-0005-0000-0000-0000D30F0000}"/>
    <cellStyle name="20% - Accent4 3 8 8" xfId="4148" xr:uid="{00000000-0005-0000-0000-0000D40F0000}"/>
    <cellStyle name="20% - Accent4 3 8 9" xfId="4149" xr:uid="{00000000-0005-0000-0000-0000D50F0000}"/>
    <cellStyle name="20% - Accent4 3 9" xfId="4150" xr:uid="{00000000-0005-0000-0000-0000D60F0000}"/>
    <cellStyle name="20% - Accent4 3 9 10" xfId="4151" xr:uid="{00000000-0005-0000-0000-0000D70F0000}"/>
    <cellStyle name="20% - Accent4 3 9 11" xfId="4152" xr:uid="{00000000-0005-0000-0000-0000D80F0000}"/>
    <cellStyle name="20% - Accent4 3 9 12" xfId="4153" xr:uid="{00000000-0005-0000-0000-0000D90F0000}"/>
    <cellStyle name="20% - Accent4 3 9 13" xfId="4154" xr:uid="{00000000-0005-0000-0000-0000DA0F0000}"/>
    <cellStyle name="20% - Accent4 3 9 14" xfId="4155" xr:uid="{00000000-0005-0000-0000-0000DB0F0000}"/>
    <cellStyle name="20% - Accent4 3 9 15" xfId="4156" xr:uid="{00000000-0005-0000-0000-0000DC0F0000}"/>
    <cellStyle name="20% - Accent4 3 9 2" xfId="4157" xr:uid="{00000000-0005-0000-0000-0000DD0F0000}"/>
    <cellStyle name="20% - Accent4 3 9 3" xfId="4158" xr:uid="{00000000-0005-0000-0000-0000DE0F0000}"/>
    <cellStyle name="20% - Accent4 3 9 4" xfId="4159" xr:uid="{00000000-0005-0000-0000-0000DF0F0000}"/>
    <cellStyle name="20% - Accent4 3 9 5" xfId="4160" xr:uid="{00000000-0005-0000-0000-0000E00F0000}"/>
    <cellStyle name="20% - Accent4 3 9 6" xfId="4161" xr:uid="{00000000-0005-0000-0000-0000E10F0000}"/>
    <cellStyle name="20% - Accent4 3 9 7" xfId="4162" xr:uid="{00000000-0005-0000-0000-0000E20F0000}"/>
    <cellStyle name="20% - Accent4 3 9 8" xfId="4163" xr:uid="{00000000-0005-0000-0000-0000E30F0000}"/>
    <cellStyle name="20% - Accent4 3 9 9" xfId="4164" xr:uid="{00000000-0005-0000-0000-0000E40F0000}"/>
    <cellStyle name="20% - Accent4 30" xfId="4165" xr:uid="{00000000-0005-0000-0000-0000E50F0000}"/>
    <cellStyle name="20% - Accent4 30 10" xfId="4166" xr:uid="{00000000-0005-0000-0000-0000E60F0000}"/>
    <cellStyle name="20% - Accent4 30 11" xfId="4167" xr:uid="{00000000-0005-0000-0000-0000E70F0000}"/>
    <cellStyle name="20% - Accent4 30 12" xfId="4168" xr:uid="{00000000-0005-0000-0000-0000E80F0000}"/>
    <cellStyle name="20% - Accent4 30 13" xfId="4169" xr:uid="{00000000-0005-0000-0000-0000E90F0000}"/>
    <cellStyle name="20% - Accent4 30 14" xfId="4170" xr:uid="{00000000-0005-0000-0000-0000EA0F0000}"/>
    <cellStyle name="20% - Accent4 30 15" xfId="4171" xr:uid="{00000000-0005-0000-0000-0000EB0F0000}"/>
    <cellStyle name="20% - Accent4 30 16" xfId="4172" xr:uid="{00000000-0005-0000-0000-0000EC0F0000}"/>
    <cellStyle name="20% - Accent4 30 2" xfId="4173" xr:uid="{00000000-0005-0000-0000-0000ED0F0000}"/>
    <cellStyle name="20% - Accent4 30 3" xfId="4174" xr:uid="{00000000-0005-0000-0000-0000EE0F0000}"/>
    <cellStyle name="20% - Accent4 30 4" xfId="4175" xr:uid="{00000000-0005-0000-0000-0000EF0F0000}"/>
    <cellStyle name="20% - Accent4 30 5" xfId="4176" xr:uid="{00000000-0005-0000-0000-0000F00F0000}"/>
    <cellStyle name="20% - Accent4 30 6" xfId="4177" xr:uid="{00000000-0005-0000-0000-0000F10F0000}"/>
    <cellStyle name="20% - Accent4 30 7" xfId="4178" xr:uid="{00000000-0005-0000-0000-0000F20F0000}"/>
    <cellStyle name="20% - Accent4 30 8" xfId="4179" xr:uid="{00000000-0005-0000-0000-0000F30F0000}"/>
    <cellStyle name="20% - Accent4 30 9" xfId="4180" xr:uid="{00000000-0005-0000-0000-0000F40F0000}"/>
    <cellStyle name="20% - Accent4 31" xfId="4181" xr:uid="{00000000-0005-0000-0000-0000F50F0000}"/>
    <cellStyle name="20% - Accent4 31 10" xfId="4182" xr:uid="{00000000-0005-0000-0000-0000F60F0000}"/>
    <cellStyle name="20% - Accent4 31 11" xfId="4183" xr:uid="{00000000-0005-0000-0000-0000F70F0000}"/>
    <cellStyle name="20% - Accent4 31 12" xfId="4184" xr:uid="{00000000-0005-0000-0000-0000F80F0000}"/>
    <cellStyle name="20% - Accent4 31 13" xfId="4185" xr:uid="{00000000-0005-0000-0000-0000F90F0000}"/>
    <cellStyle name="20% - Accent4 31 14" xfId="4186" xr:uid="{00000000-0005-0000-0000-0000FA0F0000}"/>
    <cellStyle name="20% - Accent4 31 15" xfId="4187" xr:uid="{00000000-0005-0000-0000-0000FB0F0000}"/>
    <cellStyle name="20% - Accent4 31 16" xfId="4188" xr:uid="{00000000-0005-0000-0000-0000FC0F0000}"/>
    <cellStyle name="20% - Accent4 31 2" xfId="4189" xr:uid="{00000000-0005-0000-0000-0000FD0F0000}"/>
    <cellStyle name="20% - Accent4 31 3" xfId="4190" xr:uid="{00000000-0005-0000-0000-0000FE0F0000}"/>
    <cellStyle name="20% - Accent4 31 4" xfId="4191" xr:uid="{00000000-0005-0000-0000-0000FF0F0000}"/>
    <cellStyle name="20% - Accent4 31 5" xfId="4192" xr:uid="{00000000-0005-0000-0000-000000100000}"/>
    <cellStyle name="20% - Accent4 31 6" xfId="4193" xr:uid="{00000000-0005-0000-0000-000001100000}"/>
    <cellStyle name="20% - Accent4 31 7" xfId="4194" xr:uid="{00000000-0005-0000-0000-000002100000}"/>
    <cellStyle name="20% - Accent4 31 8" xfId="4195" xr:uid="{00000000-0005-0000-0000-000003100000}"/>
    <cellStyle name="20% - Accent4 31 9" xfId="4196" xr:uid="{00000000-0005-0000-0000-000004100000}"/>
    <cellStyle name="20% - Accent4 32" xfId="4197" xr:uid="{00000000-0005-0000-0000-000005100000}"/>
    <cellStyle name="20% - Accent4 32 10" xfId="4198" xr:uid="{00000000-0005-0000-0000-000006100000}"/>
    <cellStyle name="20% - Accent4 32 11" xfId="4199" xr:uid="{00000000-0005-0000-0000-000007100000}"/>
    <cellStyle name="20% - Accent4 32 12" xfId="4200" xr:uid="{00000000-0005-0000-0000-000008100000}"/>
    <cellStyle name="20% - Accent4 32 13" xfId="4201" xr:uid="{00000000-0005-0000-0000-000009100000}"/>
    <cellStyle name="20% - Accent4 32 14" xfId="4202" xr:uid="{00000000-0005-0000-0000-00000A100000}"/>
    <cellStyle name="20% - Accent4 32 15" xfId="4203" xr:uid="{00000000-0005-0000-0000-00000B100000}"/>
    <cellStyle name="20% - Accent4 32 2" xfId="4204" xr:uid="{00000000-0005-0000-0000-00000C100000}"/>
    <cellStyle name="20% - Accent4 32 3" xfId="4205" xr:uid="{00000000-0005-0000-0000-00000D100000}"/>
    <cellStyle name="20% - Accent4 32 4" xfId="4206" xr:uid="{00000000-0005-0000-0000-00000E100000}"/>
    <cellStyle name="20% - Accent4 32 5" xfId="4207" xr:uid="{00000000-0005-0000-0000-00000F100000}"/>
    <cellStyle name="20% - Accent4 32 6" xfId="4208" xr:uid="{00000000-0005-0000-0000-000010100000}"/>
    <cellStyle name="20% - Accent4 32 7" xfId="4209" xr:uid="{00000000-0005-0000-0000-000011100000}"/>
    <cellStyle name="20% - Accent4 32 8" xfId="4210" xr:uid="{00000000-0005-0000-0000-000012100000}"/>
    <cellStyle name="20% - Accent4 32 9" xfId="4211" xr:uid="{00000000-0005-0000-0000-000013100000}"/>
    <cellStyle name="20% - Accent4 33" xfId="4212" xr:uid="{00000000-0005-0000-0000-000014100000}"/>
    <cellStyle name="20% - Accent4 33 10" xfId="4213" xr:uid="{00000000-0005-0000-0000-000015100000}"/>
    <cellStyle name="20% - Accent4 33 11" xfId="4214" xr:uid="{00000000-0005-0000-0000-000016100000}"/>
    <cellStyle name="20% - Accent4 33 12" xfId="4215" xr:uid="{00000000-0005-0000-0000-000017100000}"/>
    <cellStyle name="20% - Accent4 33 13" xfId="4216" xr:uid="{00000000-0005-0000-0000-000018100000}"/>
    <cellStyle name="20% - Accent4 33 14" xfId="4217" xr:uid="{00000000-0005-0000-0000-000019100000}"/>
    <cellStyle name="20% - Accent4 33 15" xfId="4218" xr:uid="{00000000-0005-0000-0000-00001A100000}"/>
    <cellStyle name="20% - Accent4 33 16" xfId="4219" xr:uid="{00000000-0005-0000-0000-00001B100000}"/>
    <cellStyle name="20% - Accent4 33 2" xfId="4220" xr:uid="{00000000-0005-0000-0000-00001C100000}"/>
    <cellStyle name="20% - Accent4 33 3" xfId="4221" xr:uid="{00000000-0005-0000-0000-00001D100000}"/>
    <cellStyle name="20% - Accent4 33 4" xfId="4222" xr:uid="{00000000-0005-0000-0000-00001E100000}"/>
    <cellStyle name="20% - Accent4 33 5" xfId="4223" xr:uid="{00000000-0005-0000-0000-00001F100000}"/>
    <cellStyle name="20% - Accent4 33 6" xfId="4224" xr:uid="{00000000-0005-0000-0000-000020100000}"/>
    <cellStyle name="20% - Accent4 33 7" xfId="4225" xr:uid="{00000000-0005-0000-0000-000021100000}"/>
    <cellStyle name="20% - Accent4 33 8" xfId="4226" xr:uid="{00000000-0005-0000-0000-000022100000}"/>
    <cellStyle name="20% - Accent4 33 9" xfId="4227" xr:uid="{00000000-0005-0000-0000-000023100000}"/>
    <cellStyle name="20% - Accent4 34" xfId="4228" xr:uid="{00000000-0005-0000-0000-000024100000}"/>
    <cellStyle name="20% - Accent4 34 10" xfId="4229" xr:uid="{00000000-0005-0000-0000-000025100000}"/>
    <cellStyle name="20% - Accent4 34 11" xfId="4230" xr:uid="{00000000-0005-0000-0000-000026100000}"/>
    <cellStyle name="20% - Accent4 34 12" xfId="4231" xr:uid="{00000000-0005-0000-0000-000027100000}"/>
    <cellStyle name="20% - Accent4 34 13" xfId="4232" xr:uid="{00000000-0005-0000-0000-000028100000}"/>
    <cellStyle name="20% - Accent4 34 14" xfId="4233" xr:uid="{00000000-0005-0000-0000-000029100000}"/>
    <cellStyle name="20% - Accent4 34 15" xfId="4234" xr:uid="{00000000-0005-0000-0000-00002A100000}"/>
    <cellStyle name="20% - Accent4 34 16" xfId="4235" xr:uid="{00000000-0005-0000-0000-00002B100000}"/>
    <cellStyle name="20% - Accent4 34 2" xfId="4236" xr:uid="{00000000-0005-0000-0000-00002C100000}"/>
    <cellStyle name="20% - Accent4 34 3" xfId="4237" xr:uid="{00000000-0005-0000-0000-00002D100000}"/>
    <cellStyle name="20% - Accent4 34 4" xfId="4238" xr:uid="{00000000-0005-0000-0000-00002E100000}"/>
    <cellStyle name="20% - Accent4 34 5" xfId="4239" xr:uid="{00000000-0005-0000-0000-00002F100000}"/>
    <cellStyle name="20% - Accent4 34 6" xfId="4240" xr:uid="{00000000-0005-0000-0000-000030100000}"/>
    <cellStyle name="20% - Accent4 34 7" xfId="4241" xr:uid="{00000000-0005-0000-0000-000031100000}"/>
    <cellStyle name="20% - Accent4 34 8" xfId="4242" xr:uid="{00000000-0005-0000-0000-000032100000}"/>
    <cellStyle name="20% - Accent4 34 9" xfId="4243" xr:uid="{00000000-0005-0000-0000-000033100000}"/>
    <cellStyle name="20% - Accent4 35" xfId="4244" xr:uid="{00000000-0005-0000-0000-000034100000}"/>
    <cellStyle name="20% - Accent4 35 10" xfId="4245" xr:uid="{00000000-0005-0000-0000-000035100000}"/>
    <cellStyle name="20% - Accent4 35 11" xfId="4246" xr:uid="{00000000-0005-0000-0000-000036100000}"/>
    <cellStyle name="20% - Accent4 35 12" xfId="4247" xr:uid="{00000000-0005-0000-0000-000037100000}"/>
    <cellStyle name="20% - Accent4 35 13" xfId="4248" xr:uid="{00000000-0005-0000-0000-000038100000}"/>
    <cellStyle name="20% - Accent4 35 14" xfId="4249" xr:uid="{00000000-0005-0000-0000-000039100000}"/>
    <cellStyle name="20% - Accent4 35 15" xfId="4250" xr:uid="{00000000-0005-0000-0000-00003A100000}"/>
    <cellStyle name="20% - Accent4 35 16" xfId="4251" xr:uid="{00000000-0005-0000-0000-00003B100000}"/>
    <cellStyle name="20% - Accent4 35 2" xfId="4252" xr:uid="{00000000-0005-0000-0000-00003C100000}"/>
    <cellStyle name="20% - Accent4 35 3" xfId="4253" xr:uid="{00000000-0005-0000-0000-00003D100000}"/>
    <cellStyle name="20% - Accent4 35 4" xfId="4254" xr:uid="{00000000-0005-0000-0000-00003E100000}"/>
    <cellStyle name="20% - Accent4 35 5" xfId="4255" xr:uid="{00000000-0005-0000-0000-00003F100000}"/>
    <cellStyle name="20% - Accent4 35 6" xfId="4256" xr:uid="{00000000-0005-0000-0000-000040100000}"/>
    <cellStyle name="20% - Accent4 35 7" xfId="4257" xr:uid="{00000000-0005-0000-0000-000041100000}"/>
    <cellStyle name="20% - Accent4 35 8" xfId="4258" xr:uid="{00000000-0005-0000-0000-000042100000}"/>
    <cellStyle name="20% - Accent4 35 9" xfId="4259" xr:uid="{00000000-0005-0000-0000-000043100000}"/>
    <cellStyle name="20% - Accent4 36" xfId="4260" xr:uid="{00000000-0005-0000-0000-000044100000}"/>
    <cellStyle name="20% - Accent4 36 10" xfId="4261" xr:uid="{00000000-0005-0000-0000-000045100000}"/>
    <cellStyle name="20% - Accent4 36 11" xfId="4262" xr:uid="{00000000-0005-0000-0000-000046100000}"/>
    <cellStyle name="20% - Accent4 36 12" xfId="4263" xr:uid="{00000000-0005-0000-0000-000047100000}"/>
    <cellStyle name="20% - Accent4 36 13" xfId="4264" xr:uid="{00000000-0005-0000-0000-000048100000}"/>
    <cellStyle name="20% - Accent4 36 14" xfId="4265" xr:uid="{00000000-0005-0000-0000-000049100000}"/>
    <cellStyle name="20% - Accent4 36 15" xfId="4266" xr:uid="{00000000-0005-0000-0000-00004A100000}"/>
    <cellStyle name="20% - Accent4 36 16" xfId="4267" xr:uid="{00000000-0005-0000-0000-00004B100000}"/>
    <cellStyle name="20% - Accent4 36 2" xfId="4268" xr:uid="{00000000-0005-0000-0000-00004C100000}"/>
    <cellStyle name="20% - Accent4 36 3" xfId="4269" xr:uid="{00000000-0005-0000-0000-00004D100000}"/>
    <cellStyle name="20% - Accent4 36 4" xfId="4270" xr:uid="{00000000-0005-0000-0000-00004E100000}"/>
    <cellStyle name="20% - Accent4 36 5" xfId="4271" xr:uid="{00000000-0005-0000-0000-00004F100000}"/>
    <cellStyle name="20% - Accent4 36 6" xfId="4272" xr:uid="{00000000-0005-0000-0000-000050100000}"/>
    <cellStyle name="20% - Accent4 36 7" xfId="4273" xr:uid="{00000000-0005-0000-0000-000051100000}"/>
    <cellStyle name="20% - Accent4 36 8" xfId="4274" xr:uid="{00000000-0005-0000-0000-000052100000}"/>
    <cellStyle name="20% - Accent4 36 9" xfId="4275" xr:uid="{00000000-0005-0000-0000-000053100000}"/>
    <cellStyle name="20% - Accent4 37" xfId="4276" xr:uid="{00000000-0005-0000-0000-000054100000}"/>
    <cellStyle name="20% - Accent4 37 10" xfId="4277" xr:uid="{00000000-0005-0000-0000-000055100000}"/>
    <cellStyle name="20% - Accent4 37 11" xfId="4278" xr:uid="{00000000-0005-0000-0000-000056100000}"/>
    <cellStyle name="20% - Accent4 37 12" xfId="4279" xr:uid="{00000000-0005-0000-0000-000057100000}"/>
    <cellStyle name="20% - Accent4 37 13" xfId="4280" xr:uid="{00000000-0005-0000-0000-000058100000}"/>
    <cellStyle name="20% - Accent4 37 14" xfId="4281" xr:uid="{00000000-0005-0000-0000-000059100000}"/>
    <cellStyle name="20% - Accent4 37 15" xfId="4282" xr:uid="{00000000-0005-0000-0000-00005A100000}"/>
    <cellStyle name="20% - Accent4 37 2" xfId="4283" xr:uid="{00000000-0005-0000-0000-00005B100000}"/>
    <cellStyle name="20% - Accent4 37 3" xfId="4284" xr:uid="{00000000-0005-0000-0000-00005C100000}"/>
    <cellStyle name="20% - Accent4 37 4" xfId="4285" xr:uid="{00000000-0005-0000-0000-00005D100000}"/>
    <cellStyle name="20% - Accent4 37 5" xfId="4286" xr:uid="{00000000-0005-0000-0000-00005E100000}"/>
    <cellStyle name="20% - Accent4 37 6" xfId="4287" xr:uid="{00000000-0005-0000-0000-00005F100000}"/>
    <cellStyle name="20% - Accent4 37 7" xfId="4288" xr:uid="{00000000-0005-0000-0000-000060100000}"/>
    <cellStyle name="20% - Accent4 37 8" xfId="4289" xr:uid="{00000000-0005-0000-0000-000061100000}"/>
    <cellStyle name="20% - Accent4 37 9" xfId="4290" xr:uid="{00000000-0005-0000-0000-000062100000}"/>
    <cellStyle name="20% - Accent4 38" xfId="4291" xr:uid="{00000000-0005-0000-0000-000063100000}"/>
    <cellStyle name="20% - Accent4 38 10" xfId="4292" xr:uid="{00000000-0005-0000-0000-000064100000}"/>
    <cellStyle name="20% - Accent4 38 11" xfId="4293" xr:uid="{00000000-0005-0000-0000-000065100000}"/>
    <cellStyle name="20% - Accent4 38 12" xfId="4294" xr:uid="{00000000-0005-0000-0000-000066100000}"/>
    <cellStyle name="20% - Accent4 38 13" xfId="4295" xr:uid="{00000000-0005-0000-0000-000067100000}"/>
    <cellStyle name="20% - Accent4 38 14" xfId="4296" xr:uid="{00000000-0005-0000-0000-000068100000}"/>
    <cellStyle name="20% - Accent4 38 15" xfId="4297" xr:uid="{00000000-0005-0000-0000-000069100000}"/>
    <cellStyle name="20% - Accent4 38 2" xfId="4298" xr:uid="{00000000-0005-0000-0000-00006A100000}"/>
    <cellStyle name="20% - Accent4 38 3" xfId="4299" xr:uid="{00000000-0005-0000-0000-00006B100000}"/>
    <cellStyle name="20% - Accent4 38 4" xfId="4300" xr:uid="{00000000-0005-0000-0000-00006C100000}"/>
    <cellStyle name="20% - Accent4 38 5" xfId="4301" xr:uid="{00000000-0005-0000-0000-00006D100000}"/>
    <cellStyle name="20% - Accent4 38 6" xfId="4302" xr:uid="{00000000-0005-0000-0000-00006E100000}"/>
    <cellStyle name="20% - Accent4 38 7" xfId="4303" xr:uid="{00000000-0005-0000-0000-00006F100000}"/>
    <cellStyle name="20% - Accent4 38 8" xfId="4304" xr:uid="{00000000-0005-0000-0000-000070100000}"/>
    <cellStyle name="20% - Accent4 38 9" xfId="4305" xr:uid="{00000000-0005-0000-0000-000071100000}"/>
    <cellStyle name="20% - Accent4 39" xfId="4306" xr:uid="{00000000-0005-0000-0000-000072100000}"/>
    <cellStyle name="20% - Accent4 39 10" xfId="4307" xr:uid="{00000000-0005-0000-0000-000073100000}"/>
    <cellStyle name="20% - Accent4 39 11" xfId="4308" xr:uid="{00000000-0005-0000-0000-000074100000}"/>
    <cellStyle name="20% - Accent4 39 12" xfId="4309" xr:uid="{00000000-0005-0000-0000-000075100000}"/>
    <cellStyle name="20% - Accent4 39 13" xfId="4310" xr:uid="{00000000-0005-0000-0000-000076100000}"/>
    <cellStyle name="20% - Accent4 39 14" xfId="4311" xr:uid="{00000000-0005-0000-0000-000077100000}"/>
    <cellStyle name="20% - Accent4 39 15" xfId="4312" xr:uid="{00000000-0005-0000-0000-000078100000}"/>
    <cellStyle name="20% - Accent4 39 2" xfId="4313" xr:uid="{00000000-0005-0000-0000-000079100000}"/>
    <cellStyle name="20% - Accent4 39 3" xfId="4314" xr:uid="{00000000-0005-0000-0000-00007A100000}"/>
    <cellStyle name="20% - Accent4 39 4" xfId="4315" xr:uid="{00000000-0005-0000-0000-00007B100000}"/>
    <cellStyle name="20% - Accent4 39 5" xfId="4316" xr:uid="{00000000-0005-0000-0000-00007C100000}"/>
    <cellStyle name="20% - Accent4 39 6" xfId="4317" xr:uid="{00000000-0005-0000-0000-00007D100000}"/>
    <cellStyle name="20% - Accent4 39 7" xfId="4318" xr:uid="{00000000-0005-0000-0000-00007E100000}"/>
    <cellStyle name="20% - Accent4 39 8" xfId="4319" xr:uid="{00000000-0005-0000-0000-00007F100000}"/>
    <cellStyle name="20% - Accent4 39 9" xfId="4320" xr:uid="{00000000-0005-0000-0000-000080100000}"/>
    <cellStyle name="20% - Accent4 4" xfId="4321" xr:uid="{00000000-0005-0000-0000-000081100000}"/>
    <cellStyle name="20% - Accent4 4 2" xfId="4322" xr:uid="{00000000-0005-0000-0000-000082100000}"/>
    <cellStyle name="20% - Accent4 4 2 2" xfId="4323" xr:uid="{00000000-0005-0000-0000-000083100000}"/>
    <cellStyle name="20% - Accent4 4 2 3" xfId="4324" xr:uid="{00000000-0005-0000-0000-000084100000}"/>
    <cellStyle name="20% - Accent4 4 2 4" xfId="4325" xr:uid="{00000000-0005-0000-0000-000085100000}"/>
    <cellStyle name="20% - Accent4 4 2 5" xfId="4326" xr:uid="{00000000-0005-0000-0000-000086100000}"/>
    <cellStyle name="20% - Accent4 4 3" xfId="4327" xr:uid="{00000000-0005-0000-0000-000087100000}"/>
    <cellStyle name="20% - Accent4 4 3 2" xfId="4328" xr:uid="{00000000-0005-0000-0000-000088100000}"/>
    <cellStyle name="20% - Accent4 4 4" xfId="4329" xr:uid="{00000000-0005-0000-0000-000089100000}"/>
    <cellStyle name="20% - Accent4 4 4 2" xfId="4330" xr:uid="{00000000-0005-0000-0000-00008A100000}"/>
    <cellStyle name="20% - Accent4 4 5" xfId="4331" xr:uid="{00000000-0005-0000-0000-00008B100000}"/>
    <cellStyle name="20% - Accent4 4 5 2" xfId="4332" xr:uid="{00000000-0005-0000-0000-00008C100000}"/>
    <cellStyle name="20% - Accent4 4 6" xfId="4333" xr:uid="{00000000-0005-0000-0000-00008D100000}"/>
    <cellStyle name="20% - Accent4 4 6 2" xfId="4334" xr:uid="{00000000-0005-0000-0000-00008E100000}"/>
    <cellStyle name="20% - Accent4 4 7" xfId="4335" xr:uid="{00000000-0005-0000-0000-00008F100000}"/>
    <cellStyle name="20% - Accent4 40" xfId="4336" xr:uid="{00000000-0005-0000-0000-000090100000}"/>
    <cellStyle name="20% - Accent4 41" xfId="4337" xr:uid="{00000000-0005-0000-0000-000091100000}"/>
    <cellStyle name="20% - Accent4 42" xfId="4338" xr:uid="{00000000-0005-0000-0000-000092100000}"/>
    <cellStyle name="20% - Accent4 43" xfId="4339" xr:uid="{00000000-0005-0000-0000-000093100000}"/>
    <cellStyle name="20% - Accent4 44" xfId="4340" xr:uid="{00000000-0005-0000-0000-000094100000}"/>
    <cellStyle name="20% - Accent4 45" xfId="4341" xr:uid="{00000000-0005-0000-0000-000095100000}"/>
    <cellStyle name="20% - Accent4 46" xfId="4342" xr:uid="{00000000-0005-0000-0000-000096100000}"/>
    <cellStyle name="20% - Accent4 47" xfId="4343" xr:uid="{00000000-0005-0000-0000-000097100000}"/>
    <cellStyle name="20% - Accent4 48" xfId="4344" xr:uid="{00000000-0005-0000-0000-000098100000}"/>
    <cellStyle name="20% - Accent4 49" xfId="4345" xr:uid="{00000000-0005-0000-0000-000099100000}"/>
    <cellStyle name="20% - Accent4 5" xfId="4346" xr:uid="{00000000-0005-0000-0000-00009A100000}"/>
    <cellStyle name="20% - Accent4 5 2" xfId="4347" xr:uid="{00000000-0005-0000-0000-00009B100000}"/>
    <cellStyle name="20% - Accent4 5 2 2" xfId="4348" xr:uid="{00000000-0005-0000-0000-00009C100000}"/>
    <cellStyle name="20% - Accent4 5 2 3" xfId="4349" xr:uid="{00000000-0005-0000-0000-00009D100000}"/>
    <cellStyle name="20% - Accent4 5 2 4" xfId="4350" xr:uid="{00000000-0005-0000-0000-00009E100000}"/>
    <cellStyle name="20% - Accent4 5 2 5" xfId="4351" xr:uid="{00000000-0005-0000-0000-00009F100000}"/>
    <cellStyle name="20% - Accent4 5 3" xfId="4352" xr:uid="{00000000-0005-0000-0000-0000A0100000}"/>
    <cellStyle name="20% - Accent4 5 3 2" xfId="4353" xr:uid="{00000000-0005-0000-0000-0000A1100000}"/>
    <cellStyle name="20% - Accent4 5 3 3" xfId="4354" xr:uid="{00000000-0005-0000-0000-0000A2100000}"/>
    <cellStyle name="20% - Accent4 5 4" xfId="4355" xr:uid="{00000000-0005-0000-0000-0000A3100000}"/>
    <cellStyle name="20% - Accent4 5 4 2" xfId="4356" xr:uid="{00000000-0005-0000-0000-0000A4100000}"/>
    <cellStyle name="20% - Accent4 5 5" xfId="4357" xr:uid="{00000000-0005-0000-0000-0000A5100000}"/>
    <cellStyle name="20% - Accent4 5 6" xfId="4358" xr:uid="{00000000-0005-0000-0000-0000A6100000}"/>
    <cellStyle name="20% - Accent4 50" xfId="4359" xr:uid="{00000000-0005-0000-0000-0000A7100000}"/>
    <cellStyle name="20% - Accent4 51" xfId="4360" xr:uid="{00000000-0005-0000-0000-0000A8100000}"/>
    <cellStyle name="20% - Accent4 52" xfId="4361" xr:uid="{00000000-0005-0000-0000-0000A9100000}"/>
    <cellStyle name="20% - Accent4 53" xfId="4362" xr:uid="{00000000-0005-0000-0000-0000AA100000}"/>
    <cellStyle name="20% - Accent4 54" xfId="4363" xr:uid="{00000000-0005-0000-0000-0000AB100000}"/>
    <cellStyle name="20% - Accent4 55" xfId="4364" xr:uid="{00000000-0005-0000-0000-0000AC100000}"/>
    <cellStyle name="20% - Accent4 56" xfId="4365" xr:uid="{00000000-0005-0000-0000-0000AD100000}"/>
    <cellStyle name="20% - Accent4 57" xfId="4366" xr:uid="{00000000-0005-0000-0000-0000AE100000}"/>
    <cellStyle name="20% - Accent4 58" xfId="4367" xr:uid="{00000000-0005-0000-0000-0000AF100000}"/>
    <cellStyle name="20% - Accent4 59" xfId="4368" xr:uid="{00000000-0005-0000-0000-0000B0100000}"/>
    <cellStyle name="20% - Accent4 6" xfId="4369" xr:uid="{00000000-0005-0000-0000-0000B1100000}"/>
    <cellStyle name="20% - Accent4 6 2" xfId="4370" xr:uid="{00000000-0005-0000-0000-0000B2100000}"/>
    <cellStyle name="20% - Accent4 6 2 2" xfId="4371" xr:uid="{00000000-0005-0000-0000-0000B3100000}"/>
    <cellStyle name="20% - Accent4 6 2 3" xfId="4372" xr:uid="{00000000-0005-0000-0000-0000B4100000}"/>
    <cellStyle name="20% - Accent4 6 2 4" xfId="4373" xr:uid="{00000000-0005-0000-0000-0000B5100000}"/>
    <cellStyle name="20% - Accent4 6 3" xfId="4374" xr:uid="{00000000-0005-0000-0000-0000B6100000}"/>
    <cellStyle name="20% - Accent4 6 4" xfId="4375" xr:uid="{00000000-0005-0000-0000-0000B7100000}"/>
    <cellStyle name="20% - Accent4 6 5" xfId="4376" xr:uid="{00000000-0005-0000-0000-0000B8100000}"/>
    <cellStyle name="20% - Accent4 60" xfId="4377" xr:uid="{00000000-0005-0000-0000-0000B9100000}"/>
    <cellStyle name="20% - Accent4 61" xfId="4378" xr:uid="{00000000-0005-0000-0000-0000BA100000}"/>
    <cellStyle name="20% - Accent4 62" xfId="4379" xr:uid="{00000000-0005-0000-0000-0000BB100000}"/>
    <cellStyle name="20% - Accent4 63" xfId="4380" xr:uid="{00000000-0005-0000-0000-0000BC100000}"/>
    <cellStyle name="20% - Accent4 64" xfId="4381" xr:uid="{00000000-0005-0000-0000-0000BD100000}"/>
    <cellStyle name="20% - Accent4 65" xfId="4382" xr:uid="{00000000-0005-0000-0000-0000BE100000}"/>
    <cellStyle name="20% - Accent4 66" xfId="4383" xr:uid="{00000000-0005-0000-0000-0000BF100000}"/>
    <cellStyle name="20% - Accent4 67" xfId="4384" xr:uid="{00000000-0005-0000-0000-0000C0100000}"/>
    <cellStyle name="20% - Accent4 68" xfId="4385" xr:uid="{00000000-0005-0000-0000-0000C1100000}"/>
    <cellStyle name="20% - Accent4 69" xfId="4386" xr:uid="{00000000-0005-0000-0000-0000C2100000}"/>
    <cellStyle name="20% - Accent4 7" xfId="4387" xr:uid="{00000000-0005-0000-0000-0000C3100000}"/>
    <cellStyle name="20% - Accent4 7 2" xfId="4388" xr:uid="{00000000-0005-0000-0000-0000C4100000}"/>
    <cellStyle name="20% - Accent4 7 2 2" xfId="4389" xr:uid="{00000000-0005-0000-0000-0000C5100000}"/>
    <cellStyle name="20% - Accent4 7 2 3" xfId="4390" xr:uid="{00000000-0005-0000-0000-0000C6100000}"/>
    <cellStyle name="20% - Accent4 7 2 4" xfId="4391" xr:uid="{00000000-0005-0000-0000-0000C7100000}"/>
    <cellStyle name="20% - Accent4 7 3" xfId="4392" xr:uid="{00000000-0005-0000-0000-0000C8100000}"/>
    <cellStyle name="20% - Accent4 7 4" xfId="4393" xr:uid="{00000000-0005-0000-0000-0000C9100000}"/>
    <cellStyle name="20% - Accent4 7 5" xfId="4394" xr:uid="{00000000-0005-0000-0000-0000CA100000}"/>
    <cellStyle name="20% - Accent4 70" xfId="4395" xr:uid="{00000000-0005-0000-0000-0000CB100000}"/>
    <cellStyle name="20% - Accent4 71" xfId="4396" xr:uid="{00000000-0005-0000-0000-0000CC100000}"/>
    <cellStyle name="20% - Accent4 72" xfId="4397" xr:uid="{00000000-0005-0000-0000-0000CD100000}"/>
    <cellStyle name="20% - Accent4 73" xfId="4398" xr:uid="{00000000-0005-0000-0000-0000CE100000}"/>
    <cellStyle name="20% - Accent4 74" xfId="4399" xr:uid="{00000000-0005-0000-0000-0000CF100000}"/>
    <cellStyle name="20% - Accent4 75" xfId="4400" xr:uid="{00000000-0005-0000-0000-0000D0100000}"/>
    <cellStyle name="20% - Accent4 76" xfId="4401" xr:uid="{00000000-0005-0000-0000-0000D1100000}"/>
    <cellStyle name="20% - Accent4 77" xfId="4402" xr:uid="{00000000-0005-0000-0000-0000D2100000}"/>
    <cellStyle name="20% - Accent4 78" xfId="4403" xr:uid="{00000000-0005-0000-0000-0000D3100000}"/>
    <cellStyle name="20% - Accent4 79" xfId="4404" xr:uid="{00000000-0005-0000-0000-0000D4100000}"/>
    <cellStyle name="20% - Accent4 79 2" xfId="4405" xr:uid="{00000000-0005-0000-0000-0000D5100000}"/>
    <cellStyle name="20% - Accent4 8" xfId="4406" xr:uid="{00000000-0005-0000-0000-0000D6100000}"/>
    <cellStyle name="20% - Accent4 8 2" xfId="4407" xr:uid="{00000000-0005-0000-0000-0000D7100000}"/>
    <cellStyle name="20% - Accent4 8 2 2" xfId="4408" xr:uid="{00000000-0005-0000-0000-0000D8100000}"/>
    <cellStyle name="20% - Accent4 8 2 3" xfId="4409" xr:uid="{00000000-0005-0000-0000-0000D9100000}"/>
    <cellStyle name="20% - Accent4 8 2 4" xfId="4410" xr:uid="{00000000-0005-0000-0000-0000DA100000}"/>
    <cellStyle name="20% - Accent4 8 3" xfId="4411" xr:uid="{00000000-0005-0000-0000-0000DB100000}"/>
    <cellStyle name="20% - Accent4 8 4" xfId="4412" xr:uid="{00000000-0005-0000-0000-0000DC100000}"/>
    <cellStyle name="20% - Accent4 8 5" xfId="4413" xr:uid="{00000000-0005-0000-0000-0000DD100000}"/>
    <cellStyle name="20% - Accent4 80" xfId="4414" xr:uid="{00000000-0005-0000-0000-0000DE100000}"/>
    <cellStyle name="20% - Accent4 80 2" xfId="4415" xr:uid="{00000000-0005-0000-0000-0000DF100000}"/>
    <cellStyle name="20% - Accent4 81" xfId="4416" xr:uid="{00000000-0005-0000-0000-0000E0100000}"/>
    <cellStyle name="20% - Accent4 81 2" xfId="4417" xr:uid="{00000000-0005-0000-0000-0000E1100000}"/>
    <cellStyle name="20% - Accent4 82" xfId="4418" xr:uid="{00000000-0005-0000-0000-0000E2100000}"/>
    <cellStyle name="20% - Accent4 82 2" xfId="4419" xr:uid="{00000000-0005-0000-0000-0000E3100000}"/>
    <cellStyle name="20% - Accent4 83" xfId="4420" xr:uid="{00000000-0005-0000-0000-0000E4100000}"/>
    <cellStyle name="20% - Accent4 83 2" xfId="4421" xr:uid="{00000000-0005-0000-0000-0000E5100000}"/>
    <cellStyle name="20% - Accent4 84" xfId="4422" xr:uid="{00000000-0005-0000-0000-0000E6100000}"/>
    <cellStyle name="20% - Accent4 84 2" xfId="4423" xr:uid="{00000000-0005-0000-0000-0000E7100000}"/>
    <cellStyle name="20% - Accent4 85" xfId="4424" xr:uid="{00000000-0005-0000-0000-0000E8100000}"/>
    <cellStyle name="20% - Accent4 85 2" xfId="4425" xr:uid="{00000000-0005-0000-0000-0000E9100000}"/>
    <cellStyle name="20% - Accent4 86" xfId="4426" xr:uid="{00000000-0005-0000-0000-0000EA100000}"/>
    <cellStyle name="20% - Accent4 86 2" xfId="4427" xr:uid="{00000000-0005-0000-0000-0000EB100000}"/>
    <cellStyle name="20% - Accent4 87" xfId="4428" xr:uid="{00000000-0005-0000-0000-0000EC100000}"/>
    <cellStyle name="20% - Accent4 87 2" xfId="4429" xr:uid="{00000000-0005-0000-0000-0000ED100000}"/>
    <cellStyle name="20% - Accent4 88" xfId="4430" xr:uid="{00000000-0005-0000-0000-0000EE100000}"/>
    <cellStyle name="20% - Accent4 88 2" xfId="4431" xr:uid="{00000000-0005-0000-0000-0000EF100000}"/>
    <cellStyle name="20% - Accent4 89" xfId="4432" xr:uid="{00000000-0005-0000-0000-0000F0100000}"/>
    <cellStyle name="20% - Accent4 89 2" xfId="4433" xr:uid="{00000000-0005-0000-0000-0000F1100000}"/>
    <cellStyle name="20% - Accent4 9" xfId="4434" xr:uid="{00000000-0005-0000-0000-0000F2100000}"/>
    <cellStyle name="20% - Accent4 9 2" xfId="4435" xr:uid="{00000000-0005-0000-0000-0000F3100000}"/>
    <cellStyle name="20% - Accent4 9 2 2" xfId="4436" xr:uid="{00000000-0005-0000-0000-0000F4100000}"/>
    <cellStyle name="20% - Accent4 9 2 3" xfId="4437" xr:uid="{00000000-0005-0000-0000-0000F5100000}"/>
    <cellStyle name="20% - Accent4 9 2 4" xfId="4438" xr:uid="{00000000-0005-0000-0000-0000F6100000}"/>
    <cellStyle name="20% - Accent4 9 3" xfId="4439" xr:uid="{00000000-0005-0000-0000-0000F7100000}"/>
    <cellStyle name="20% - Accent4 9 4" xfId="4440" xr:uid="{00000000-0005-0000-0000-0000F8100000}"/>
    <cellStyle name="20% - Accent4 9 5" xfId="4441" xr:uid="{00000000-0005-0000-0000-0000F9100000}"/>
    <cellStyle name="20% - Accent4 90" xfId="4442" xr:uid="{00000000-0005-0000-0000-0000FA100000}"/>
    <cellStyle name="20% - Accent4 91" xfId="4443" xr:uid="{00000000-0005-0000-0000-0000FB100000}"/>
    <cellStyle name="20% - Accent4 92" xfId="4444" xr:uid="{00000000-0005-0000-0000-0000FC100000}"/>
    <cellStyle name="20% - Accent4 93" xfId="4445" xr:uid="{00000000-0005-0000-0000-0000FD100000}"/>
    <cellStyle name="20% - Accent4 94" xfId="4446" xr:uid="{00000000-0005-0000-0000-0000FE100000}"/>
    <cellStyle name="20% - Accent4 95" xfId="4447" xr:uid="{00000000-0005-0000-0000-0000FF100000}"/>
    <cellStyle name="20% - Accent4 96" xfId="4448" xr:uid="{00000000-0005-0000-0000-000000110000}"/>
    <cellStyle name="20% - Accent4 97" xfId="4449" xr:uid="{00000000-0005-0000-0000-000001110000}"/>
    <cellStyle name="20% - Accent4 98" xfId="4450" xr:uid="{00000000-0005-0000-0000-000002110000}"/>
    <cellStyle name="20% - Accent4 99" xfId="4451" xr:uid="{00000000-0005-0000-0000-000003110000}"/>
    <cellStyle name="20% - Accent5" xfId="35" builtinId="46" customBuiltin="1"/>
    <cellStyle name="20% - Accent5 10" xfId="4452" xr:uid="{00000000-0005-0000-0000-000005110000}"/>
    <cellStyle name="20% - Accent5 10 2" xfId="4453" xr:uid="{00000000-0005-0000-0000-000006110000}"/>
    <cellStyle name="20% - Accent5 10 2 2" xfId="4454" xr:uid="{00000000-0005-0000-0000-000007110000}"/>
    <cellStyle name="20% - Accent5 10 2 3" xfId="4455" xr:uid="{00000000-0005-0000-0000-000008110000}"/>
    <cellStyle name="20% - Accent5 10 2 4" xfId="4456" xr:uid="{00000000-0005-0000-0000-000009110000}"/>
    <cellStyle name="20% - Accent5 10 3" xfId="4457" xr:uid="{00000000-0005-0000-0000-00000A110000}"/>
    <cellStyle name="20% - Accent5 10 4" xfId="4458" xr:uid="{00000000-0005-0000-0000-00000B110000}"/>
    <cellStyle name="20% - Accent5 10 5" xfId="4459" xr:uid="{00000000-0005-0000-0000-00000C110000}"/>
    <cellStyle name="20% - Accent5 100" xfId="4460" xr:uid="{00000000-0005-0000-0000-00000D110000}"/>
    <cellStyle name="20% - Accent5 101" xfId="4461" xr:uid="{00000000-0005-0000-0000-00000E110000}"/>
    <cellStyle name="20% - Accent5 102" xfId="4462" xr:uid="{00000000-0005-0000-0000-00000F110000}"/>
    <cellStyle name="20% - Accent5 103" xfId="4463" xr:uid="{00000000-0005-0000-0000-000010110000}"/>
    <cellStyle name="20% - Accent5 104" xfId="4464" xr:uid="{00000000-0005-0000-0000-000011110000}"/>
    <cellStyle name="20% - Accent5 105" xfId="4465" xr:uid="{00000000-0005-0000-0000-000012110000}"/>
    <cellStyle name="20% - Accent5 106" xfId="4466" xr:uid="{00000000-0005-0000-0000-000013110000}"/>
    <cellStyle name="20% - Accent5 107" xfId="4467" xr:uid="{00000000-0005-0000-0000-000014110000}"/>
    <cellStyle name="20% - Accent5 108" xfId="4468" xr:uid="{00000000-0005-0000-0000-000015110000}"/>
    <cellStyle name="20% - Accent5 109" xfId="4469" xr:uid="{00000000-0005-0000-0000-000016110000}"/>
    <cellStyle name="20% - Accent5 11" xfId="4470" xr:uid="{00000000-0005-0000-0000-000017110000}"/>
    <cellStyle name="20% - Accent5 11 2" xfId="4471" xr:uid="{00000000-0005-0000-0000-000018110000}"/>
    <cellStyle name="20% - Accent5 11 2 2" xfId="4472" xr:uid="{00000000-0005-0000-0000-000019110000}"/>
    <cellStyle name="20% - Accent5 11 2 3" xfId="4473" xr:uid="{00000000-0005-0000-0000-00001A110000}"/>
    <cellStyle name="20% - Accent5 11 2 4" xfId="4474" xr:uid="{00000000-0005-0000-0000-00001B110000}"/>
    <cellStyle name="20% - Accent5 11 3" xfId="4475" xr:uid="{00000000-0005-0000-0000-00001C110000}"/>
    <cellStyle name="20% - Accent5 11 4" xfId="4476" xr:uid="{00000000-0005-0000-0000-00001D110000}"/>
    <cellStyle name="20% - Accent5 11 5" xfId="4477" xr:uid="{00000000-0005-0000-0000-00001E110000}"/>
    <cellStyle name="20% - Accent5 110" xfId="4478" xr:uid="{00000000-0005-0000-0000-00001F110000}"/>
    <cellStyle name="20% - Accent5 111" xfId="4479" xr:uid="{00000000-0005-0000-0000-000020110000}"/>
    <cellStyle name="20% - Accent5 112" xfId="4480" xr:uid="{00000000-0005-0000-0000-000021110000}"/>
    <cellStyle name="20% - Accent5 113" xfId="4481" xr:uid="{00000000-0005-0000-0000-000022110000}"/>
    <cellStyle name="20% - Accent5 114" xfId="4482" xr:uid="{00000000-0005-0000-0000-000023110000}"/>
    <cellStyle name="20% - Accent5 115" xfId="4483" xr:uid="{00000000-0005-0000-0000-000024110000}"/>
    <cellStyle name="20% - Accent5 116" xfId="4484" xr:uid="{00000000-0005-0000-0000-000025110000}"/>
    <cellStyle name="20% - Accent5 117" xfId="4485" xr:uid="{00000000-0005-0000-0000-000026110000}"/>
    <cellStyle name="20% - Accent5 118" xfId="4486" xr:uid="{00000000-0005-0000-0000-000027110000}"/>
    <cellStyle name="20% - Accent5 119" xfId="4487" xr:uid="{00000000-0005-0000-0000-000028110000}"/>
    <cellStyle name="20% - Accent5 12" xfId="4488" xr:uid="{00000000-0005-0000-0000-000029110000}"/>
    <cellStyle name="20% - Accent5 12 2" xfId="4489" xr:uid="{00000000-0005-0000-0000-00002A110000}"/>
    <cellStyle name="20% - Accent5 12 2 2" xfId="4490" xr:uid="{00000000-0005-0000-0000-00002B110000}"/>
    <cellStyle name="20% - Accent5 12 2 3" xfId="4491" xr:uid="{00000000-0005-0000-0000-00002C110000}"/>
    <cellStyle name="20% - Accent5 12 2 4" xfId="4492" xr:uid="{00000000-0005-0000-0000-00002D110000}"/>
    <cellStyle name="20% - Accent5 12 3" xfId="4493" xr:uid="{00000000-0005-0000-0000-00002E110000}"/>
    <cellStyle name="20% - Accent5 12 4" xfId="4494" xr:uid="{00000000-0005-0000-0000-00002F110000}"/>
    <cellStyle name="20% - Accent5 12 5" xfId="4495" xr:uid="{00000000-0005-0000-0000-000030110000}"/>
    <cellStyle name="20% - Accent5 120" xfId="4496" xr:uid="{00000000-0005-0000-0000-000031110000}"/>
    <cellStyle name="20% - Accent5 121" xfId="4497" xr:uid="{00000000-0005-0000-0000-000032110000}"/>
    <cellStyle name="20% - Accent5 122" xfId="4498" xr:uid="{00000000-0005-0000-0000-000033110000}"/>
    <cellStyle name="20% - Accent5 123" xfId="4499" xr:uid="{00000000-0005-0000-0000-000034110000}"/>
    <cellStyle name="20% - Accent5 124" xfId="4500" xr:uid="{00000000-0005-0000-0000-000035110000}"/>
    <cellStyle name="20% - Accent5 125" xfId="4501" xr:uid="{00000000-0005-0000-0000-000036110000}"/>
    <cellStyle name="20% - Accent5 126" xfId="4502" xr:uid="{00000000-0005-0000-0000-000037110000}"/>
    <cellStyle name="20% - Accent5 127" xfId="4503" xr:uid="{00000000-0005-0000-0000-000038110000}"/>
    <cellStyle name="20% - Accent5 128" xfId="4504" xr:uid="{00000000-0005-0000-0000-000039110000}"/>
    <cellStyle name="20% - Accent5 129" xfId="4505" xr:uid="{00000000-0005-0000-0000-00003A110000}"/>
    <cellStyle name="20% - Accent5 13" xfId="4506" xr:uid="{00000000-0005-0000-0000-00003B110000}"/>
    <cellStyle name="20% - Accent5 13 2" xfId="4507" xr:uid="{00000000-0005-0000-0000-00003C110000}"/>
    <cellStyle name="20% - Accent5 13 2 2" xfId="4508" xr:uid="{00000000-0005-0000-0000-00003D110000}"/>
    <cellStyle name="20% - Accent5 13 2 3" xfId="4509" xr:uid="{00000000-0005-0000-0000-00003E110000}"/>
    <cellStyle name="20% - Accent5 13 2 4" xfId="4510" xr:uid="{00000000-0005-0000-0000-00003F110000}"/>
    <cellStyle name="20% - Accent5 13 3" xfId="4511" xr:uid="{00000000-0005-0000-0000-000040110000}"/>
    <cellStyle name="20% - Accent5 13 4" xfId="4512" xr:uid="{00000000-0005-0000-0000-000041110000}"/>
    <cellStyle name="20% - Accent5 13 5" xfId="4513" xr:uid="{00000000-0005-0000-0000-000042110000}"/>
    <cellStyle name="20% - Accent5 130" xfId="4514" xr:uid="{00000000-0005-0000-0000-000043110000}"/>
    <cellStyle name="20% - Accent5 131" xfId="4515" xr:uid="{00000000-0005-0000-0000-000044110000}"/>
    <cellStyle name="20% - Accent5 132" xfId="4516" xr:uid="{00000000-0005-0000-0000-000045110000}"/>
    <cellStyle name="20% - Accent5 133" xfId="4517" xr:uid="{00000000-0005-0000-0000-000046110000}"/>
    <cellStyle name="20% - Accent5 134" xfId="4518" xr:uid="{00000000-0005-0000-0000-000047110000}"/>
    <cellStyle name="20% - Accent5 135" xfId="4519" xr:uid="{00000000-0005-0000-0000-000048110000}"/>
    <cellStyle name="20% - Accent5 136" xfId="4520" xr:uid="{00000000-0005-0000-0000-000049110000}"/>
    <cellStyle name="20% - Accent5 137" xfId="4521" xr:uid="{00000000-0005-0000-0000-00004A110000}"/>
    <cellStyle name="20% - Accent5 138" xfId="4522" xr:uid="{00000000-0005-0000-0000-00004B110000}"/>
    <cellStyle name="20% - Accent5 139" xfId="4523" xr:uid="{00000000-0005-0000-0000-00004C110000}"/>
    <cellStyle name="20% - Accent5 14" xfId="4524" xr:uid="{00000000-0005-0000-0000-00004D110000}"/>
    <cellStyle name="20% - Accent5 14 2" xfId="4525" xr:uid="{00000000-0005-0000-0000-00004E110000}"/>
    <cellStyle name="20% - Accent5 14 2 2" xfId="4526" xr:uid="{00000000-0005-0000-0000-00004F110000}"/>
    <cellStyle name="20% - Accent5 14 2 3" xfId="4527" xr:uid="{00000000-0005-0000-0000-000050110000}"/>
    <cellStyle name="20% - Accent5 14 2 4" xfId="4528" xr:uid="{00000000-0005-0000-0000-000051110000}"/>
    <cellStyle name="20% - Accent5 14 3" xfId="4529" xr:uid="{00000000-0005-0000-0000-000052110000}"/>
    <cellStyle name="20% - Accent5 14 4" xfId="4530" xr:uid="{00000000-0005-0000-0000-000053110000}"/>
    <cellStyle name="20% - Accent5 14 5" xfId="4531" xr:uid="{00000000-0005-0000-0000-000054110000}"/>
    <cellStyle name="20% - Accent5 140" xfId="4532" xr:uid="{00000000-0005-0000-0000-000055110000}"/>
    <cellStyle name="20% - Accent5 141" xfId="4533" xr:uid="{00000000-0005-0000-0000-000056110000}"/>
    <cellStyle name="20% - Accent5 142" xfId="4534" xr:uid="{00000000-0005-0000-0000-000057110000}"/>
    <cellStyle name="20% - Accent5 143" xfId="4535" xr:uid="{00000000-0005-0000-0000-000058110000}"/>
    <cellStyle name="20% - Accent5 144" xfId="4536" xr:uid="{00000000-0005-0000-0000-000059110000}"/>
    <cellStyle name="20% - Accent5 145" xfId="4537" xr:uid="{00000000-0005-0000-0000-00005A110000}"/>
    <cellStyle name="20% - Accent5 146" xfId="4538" xr:uid="{00000000-0005-0000-0000-00005B110000}"/>
    <cellStyle name="20% - Accent5 147" xfId="4539" xr:uid="{00000000-0005-0000-0000-00005C110000}"/>
    <cellStyle name="20% - Accent5 148" xfId="4540" xr:uid="{00000000-0005-0000-0000-00005D110000}"/>
    <cellStyle name="20% - Accent5 149" xfId="4541" xr:uid="{00000000-0005-0000-0000-00005E110000}"/>
    <cellStyle name="20% - Accent5 15" xfId="4542" xr:uid="{00000000-0005-0000-0000-00005F110000}"/>
    <cellStyle name="20% - Accent5 15 2" xfId="4543" xr:uid="{00000000-0005-0000-0000-000060110000}"/>
    <cellStyle name="20% - Accent5 15 2 2" xfId="4544" xr:uid="{00000000-0005-0000-0000-000061110000}"/>
    <cellStyle name="20% - Accent5 15 2 3" xfId="4545" xr:uid="{00000000-0005-0000-0000-000062110000}"/>
    <cellStyle name="20% - Accent5 15 2 4" xfId="4546" xr:uid="{00000000-0005-0000-0000-000063110000}"/>
    <cellStyle name="20% - Accent5 15 3" xfId="4547" xr:uid="{00000000-0005-0000-0000-000064110000}"/>
    <cellStyle name="20% - Accent5 15 4" xfId="4548" xr:uid="{00000000-0005-0000-0000-000065110000}"/>
    <cellStyle name="20% - Accent5 15 5" xfId="4549" xr:uid="{00000000-0005-0000-0000-000066110000}"/>
    <cellStyle name="20% - Accent5 150" xfId="4550" xr:uid="{00000000-0005-0000-0000-000067110000}"/>
    <cellStyle name="20% - Accent5 151" xfId="4551" xr:uid="{00000000-0005-0000-0000-000068110000}"/>
    <cellStyle name="20% - Accent5 152" xfId="4552" xr:uid="{00000000-0005-0000-0000-000069110000}"/>
    <cellStyle name="20% - Accent5 153" xfId="4553" xr:uid="{00000000-0005-0000-0000-00006A110000}"/>
    <cellStyle name="20% - Accent5 154" xfId="4554" xr:uid="{00000000-0005-0000-0000-00006B110000}"/>
    <cellStyle name="20% - Accent5 155" xfId="4555" xr:uid="{00000000-0005-0000-0000-00006C110000}"/>
    <cellStyle name="20% - Accent5 156" xfId="4556" xr:uid="{00000000-0005-0000-0000-00006D110000}"/>
    <cellStyle name="20% - Accent5 157" xfId="4557" xr:uid="{00000000-0005-0000-0000-00006E110000}"/>
    <cellStyle name="20% - Accent5 158" xfId="4558" xr:uid="{00000000-0005-0000-0000-00006F110000}"/>
    <cellStyle name="20% - Accent5 159" xfId="4559" xr:uid="{00000000-0005-0000-0000-000070110000}"/>
    <cellStyle name="20% - Accent5 16" xfId="4560" xr:uid="{00000000-0005-0000-0000-000071110000}"/>
    <cellStyle name="20% - Accent5 16 2" xfId="4561" xr:uid="{00000000-0005-0000-0000-000072110000}"/>
    <cellStyle name="20% - Accent5 16 2 2" xfId="4562" xr:uid="{00000000-0005-0000-0000-000073110000}"/>
    <cellStyle name="20% - Accent5 16 3" xfId="4563" xr:uid="{00000000-0005-0000-0000-000074110000}"/>
    <cellStyle name="20% - Accent5 16 4" xfId="4564" xr:uid="{00000000-0005-0000-0000-000075110000}"/>
    <cellStyle name="20% - Accent5 16 5" xfId="4565" xr:uid="{00000000-0005-0000-0000-000076110000}"/>
    <cellStyle name="20% - Accent5 160" xfId="4566" xr:uid="{00000000-0005-0000-0000-000077110000}"/>
    <cellStyle name="20% - Accent5 161" xfId="4567" xr:uid="{00000000-0005-0000-0000-000078110000}"/>
    <cellStyle name="20% - Accent5 162" xfId="4568" xr:uid="{00000000-0005-0000-0000-000079110000}"/>
    <cellStyle name="20% - Accent5 163" xfId="4569" xr:uid="{00000000-0005-0000-0000-00007A110000}"/>
    <cellStyle name="20% - Accent5 164" xfId="4570" xr:uid="{00000000-0005-0000-0000-00007B110000}"/>
    <cellStyle name="20% - Accent5 165" xfId="4571" xr:uid="{00000000-0005-0000-0000-00007C110000}"/>
    <cellStyle name="20% - Accent5 166" xfId="4572" xr:uid="{00000000-0005-0000-0000-00007D110000}"/>
    <cellStyle name="20% - Accent5 167" xfId="4573" xr:uid="{00000000-0005-0000-0000-00007E110000}"/>
    <cellStyle name="20% - Accent5 168" xfId="4574" xr:uid="{00000000-0005-0000-0000-00007F110000}"/>
    <cellStyle name="20% - Accent5 169" xfId="4575" xr:uid="{00000000-0005-0000-0000-000080110000}"/>
    <cellStyle name="20% - Accent5 17" xfId="4576" xr:uid="{00000000-0005-0000-0000-000081110000}"/>
    <cellStyle name="20% - Accent5 17 2" xfId="4577" xr:uid="{00000000-0005-0000-0000-000082110000}"/>
    <cellStyle name="20% - Accent5 17 2 2" xfId="4578" xr:uid="{00000000-0005-0000-0000-000083110000}"/>
    <cellStyle name="20% - Accent5 17 3" xfId="4579" xr:uid="{00000000-0005-0000-0000-000084110000}"/>
    <cellStyle name="20% - Accent5 17 4" xfId="4580" xr:uid="{00000000-0005-0000-0000-000085110000}"/>
    <cellStyle name="20% - Accent5 17 5" xfId="4581" xr:uid="{00000000-0005-0000-0000-000086110000}"/>
    <cellStyle name="20% - Accent5 18" xfId="4582" xr:uid="{00000000-0005-0000-0000-000087110000}"/>
    <cellStyle name="20% - Accent5 18 2" xfId="4583" xr:uid="{00000000-0005-0000-0000-000088110000}"/>
    <cellStyle name="20% - Accent5 18 2 2" xfId="4584" xr:uid="{00000000-0005-0000-0000-000089110000}"/>
    <cellStyle name="20% - Accent5 18 3" xfId="4585" xr:uid="{00000000-0005-0000-0000-00008A110000}"/>
    <cellStyle name="20% - Accent5 18 4" xfId="4586" xr:uid="{00000000-0005-0000-0000-00008B110000}"/>
    <cellStyle name="20% - Accent5 18 5" xfId="4587" xr:uid="{00000000-0005-0000-0000-00008C110000}"/>
    <cellStyle name="20% - Accent5 19" xfId="4588" xr:uid="{00000000-0005-0000-0000-00008D110000}"/>
    <cellStyle name="20% - Accent5 19 2" xfId="4589" xr:uid="{00000000-0005-0000-0000-00008E110000}"/>
    <cellStyle name="20% - Accent5 19 2 2" xfId="4590" xr:uid="{00000000-0005-0000-0000-00008F110000}"/>
    <cellStyle name="20% - Accent5 19 3" xfId="4591" xr:uid="{00000000-0005-0000-0000-000090110000}"/>
    <cellStyle name="20% - Accent5 19 4" xfId="4592" xr:uid="{00000000-0005-0000-0000-000091110000}"/>
    <cellStyle name="20% - Accent5 19 5" xfId="4593" xr:uid="{00000000-0005-0000-0000-000092110000}"/>
    <cellStyle name="20% - Accent5 2" xfId="4594" xr:uid="{00000000-0005-0000-0000-000093110000}"/>
    <cellStyle name="20% - Accent5 2 10" xfId="4595" xr:uid="{00000000-0005-0000-0000-000094110000}"/>
    <cellStyle name="20% - Accent5 2 11" xfId="4596" xr:uid="{00000000-0005-0000-0000-000095110000}"/>
    <cellStyle name="20% - Accent5 2 12" xfId="4597" xr:uid="{00000000-0005-0000-0000-000096110000}"/>
    <cellStyle name="20% - Accent5 2 13" xfId="4598" xr:uid="{00000000-0005-0000-0000-000097110000}"/>
    <cellStyle name="20% - Accent5 2 14" xfId="4599" xr:uid="{00000000-0005-0000-0000-000098110000}"/>
    <cellStyle name="20% - Accent5 2 15" xfId="4600" xr:uid="{00000000-0005-0000-0000-000099110000}"/>
    <cellStyle name="20% - Accent5 2 16" xfId="4601" xr:uid="{00000000-0005-0000-0000-00009A110000}"/>
    <cellStyle name="20% - Accent5 2 17" xfId="4602" xr:uid="{00000000-0005-0000-0000-00009B110000}"/>
    <cellStyle name="20% - Accent5 2 18" xfId="4603" xr:uid="{00000000-0005-0000-0000-00009C110000}"/>
    <cellStyle name="20% - Accent5 2 19" xfId="4604" xr:uid="{00000000-0005-0000-0000-00009D110000}"/>
    <cellStyle name="20% - Accent5 2 2" xfId="4605" xr:uid="{00000000-0005-0000-0000-00009E110000}"/>
    <cellStyle name="20% - Accent5 2 2 2" xfId="4606" xr:uid="{00000000-0005-0000-0000-00009F110000}"/>
    <cellStyle name="20% - Accent5 2 20" xfId="4607" xr:uid="{00000000-0005-0000-0000-0000A0110000}"/>
    <cellStyle name="20% - Accent5 2 21" xfId="4608" xr:uid="{00000000-0005-0000-0000-0000A1110000}"/>
    <cellStyle name="20% - Accent5 2 22" xfId="4609" xr:uid="{00000000-0005-0000-0000-0000A2110000}"/>
    <cellStyle name="20% - Accent5 2 23" xfId="4610" xr:uid="{00000000-0005-0000-0000-0000A3110000}"/>
    <cellStyle name="20% - Accent5 2 24" xfId="4611" xr:uid="{00000000-0005-0000-0000-0000A4110000}"/>
    <cellStyle name="20% - Accent5 2 25" xfId="4612" xr:uid="{00000000-0005-0000-0000-0000A5110000}"/>
    <cellStyle name="20% - Accent5 2 26" xfId="4613" xr:uid="{00000000-0005-0000-0000-0000A6110000}"/>
    <cellStyle name="20% - Accent5 2 27" xfId="4614" xr:uid="{00000000-0005-0000-0000-0000A7110000}"/>
    <cellStyle name="20% - Accent5 2 28" xfId="4615" xr:uid="{00000000-0005-0000-0000-0000A8110000}"/>
    <cellStyle name="20% - Accent5 2 29" xfId="4616" xr:uid="{00000000-0005-0000-0000-0000A9110000}"/>
    <cellStyle name="20% - Accent5 2 3" xfId="4617" xr:uid="{00000000-0005-0000-0000-0000AA110000}"/>
    <cellStyle name="20% - Accent5 2 30" xfId="4618" xr:uid="{00000000-0005-0000-0000-0000AB110000}"/>
    <cellStyle name="20% - Accent5 2 31" xfId="4619" xr:uid="{00000000-0005-0000-0000-0000AC110000}"/>
    <cellStyle name="20% - Accent5 2 32" xfId="4620" xr:uid="{00000000-0005-0000-0000-0000AD110000}"/>
    <cellStyle name="20% - Accent5 2 33" xfId="4621" xr:uid="{00000000-0005-0000-0000-0000AE110000}"/>
    <cellStyle name="20% - Accent5 2 34" xfId="4622" xr:uid="{00000000-0005-0000-0000-0000AF110000}"/>
    <cellStyle name="20% - Accent5 2 35" xfId="4623" xr:uid="{00000000-0005-0000-0000-0000B0110000}"/>
    <cellStyle name="20% - Accent5 2 36" xfId="4624" xr:uid="{00000000-0005-0000-0000-0000B1110000}"/>
    <cellStyle name="20% - Accent5 2 37" xfId="4625" xr:uid="{00000000-0005-0000-0000-0000B2110000}"/>
    <cellStyle name="20% - Accent5 2 4" xfId="4626" xr:uid="{00000000-0005-0000-0000-0000B3110000}"/>
    <cellStyle name="20% - Accent5 2 4 2" xfId="4627" xr:uid="{00000000-0005-0000-0000-0000B4110000}"/>
    <cellStyle name="20% - Accent5 2 4 3" xfId="4628" xr:uid="{00000000-0005-0000-0000-0000B5110000}"/>
    <cellStyle name="20% - Accent5 2 4 4" xfId="4629" xr:uid="{00000000-0005-0000-0000-0000B6110000}"/>
    <cellStyle name="20% - Accent5 2 5" xfId="4630" xr:uid="{00000000-0005-0000-0000-0000B7110000}"/>
    <cellStyle name="20% - Accent5 2 6" xfId="4631" xr:uid="{00000000-0005-0000-0000-0000B8110000}"/>
    <cellStyle name="20% - Accent5 2 7" xfId="4632" xr:uid="{00000000-0005-0000-0000-0000B9110000}"/>
    <cellStyle name="20% - Accent5 2 8" xfId="4633" xr:uid="{00000000-0005-0000-0000-0000BA110000}"/>
    <cellStyle name="20% - Accent5 2 9" xfId="4634" xr:uid="{00000000-0005-0000-0000-0000BB110000}"/>
    <cellStyle name="20% - Accent5 20" xfId="4635" xr:uid="{00000000-0005-0000-0000-0000BC110000}"/>
    <cellStyle name="20% - Accent5 20 10" xfId="4636" xr:uid="{00000000-0005-0000-0000-0000BD110000}"/>
    <cellStyle name="20% - Accent5 20 11" xfId="4637" xr:uid="{00000000-0005-0000-0000-0000BE110000}"/>
    <cellStyle name="20% - Accent5 20 12" xfId="4638" xr:uid="{00000000-0005-0000-0000-0000BF110000}"/>
    <cellStyle name="20% - Accent5 20 13" xfId="4639" xr:uid="{00000000-0005-0000-0000-0000C0110000}"/>
    <cellStyle name="20% - Accent5 20 14" xfId="4640" xr:uid="{00000000-0005-0000-0000-0000C1110000}"/>
    <cellStyle name="20% - Accent5 20 15" xfId="4641" xr:uid="{00000000-0005-0000-0000-0000C2110000}"/>
    <cellStyle name="20% - Accent5 20 16" xfId="4642" xr:uid="{00000000-0005-0000-0000-0000C3110000}"/>
    <cellStyle name="20% - Accent5 20 17" xfId="4643" xr:uid="{00000000-0005-0000-0000-0000C4110000}"/>
    <cellStyle name="20% - Accent5 20 18" xfId="4644" xr:uid="{00000000-0005-0000-0000-0000C5110000}"/>
    <cellStyle name="20% - Accent5 20 2" xfId="4645" xr:uid="{00000000-0005-0000-0000-0000C6110000}"/>
    <cellStyle name="20% - Accent5 20 2 2" xfId="4646" xr:uid="{00000000-0005-0000-0000-0000C7110000}"/>
    <cellStyle name="20% - Accent5 20 2 3" xfId="4647" xr:uid="{00000000-0005-0000-0000-0000C8110000}"/>
    <cellStyle name="20% - Accent5 20 2 4" xfId="4648" xr:uid="{00000000-0005-0000-0000-0000C9110000}"/>
    <cellStyle name="20% - Accent5 20 3" xfId="4649" xr:uid="{00000000-0005-0000-0000-0000CA110000}"/>
    <cellStyle name="20% - Accent5 20 4" xfId="4650" xr:uid="{00000000-0005-0000-0000-0000CB110000}"/>
    <cellStyle name="20% - Accent5 20 5" xfId="4651" xr:uid="{00000000-0005-0000-0000-0000CC110000}"/>
    <cellStyle name="20% - Accent5 20 6" xfId="4652" xr:uid="{00000000-0005-0000-0000-0000CD110000}"/>
    <cellStyle name="20% - Accent5 20 7" xfId="4653" xr:uid="{00000000-0005-0000-0000-0000CE110000}"/>
    <cellStyle name="20% - Accent5 20 8" xfId="4654" xr:uid="{00000000-0005-0000-0000-0000CF110000}"/>
    <cellStyle name="20% - Accent5 20 9" xfId="4655" xr:uid="{00000000-0005-0000-0000-0000D0110000}"/>
    <cellStyle name="20% - Accent5 21" xfId="4656" xr:uid="{00000000-0005-0000-0000-0000D1110000}"/>
    <cellStyle name="20% - Accent5 21 2" xfId="4657" xr:uid="{00000000-0005-0000-0000-0000D2110000}"/>
    <cellStyle name="20% - Accent5 21 2 2" xfId="4658" xr:uid="{00000000-0005-0000-0000-0000D3110000}"/>
    <cellStyle name="20% - Accent5 21 2 3" xfId="4659" xr:uid="{00000000-0005-0000-0000-0000D4110000}"/>
    <cellStyle name="20% - Accent5 21 3" xfId="4660" xr:uid="{00000000-0005-0000-0000-0000D5110000}"/>
    <cellStyle name="20% - Accent5 21 4" xfId="4661" xr:uid="{00000000-0005-0000-0000-0000D6110000}"/>
    <cellStyle name="20% - Accent5 21 5" xfId="4662" xr:uid="{00000000-0005-0000-0000-0000D7110000}"/>
    <cellStyle name="20% - Accent5 21 6" xfId="4663" xr:uid="{00000000-0005-0000-0000-0000D8110000}"/>
    <cellStyle name="20% - Accent5 22" xfId="4664" xr:uid="{00000000-0005-0000-0000-0000D9110000}"/>
    <cellStyle name="20% - Accent5 22 2" xfId="4665" xr:uid="{00000000-0005-0000-0000-0000DA110000}"/>
    <cellStyle name="20% - Accent5 22 3" xfId="4666" xr:uid="{00000000-0005-0000-0000-0000DB110000}"/>
    <cellStyle name="20% - Accent5 23" xfId="4667" xr:uid="{00000000-0005-0000-0000-0000DC110000}"/>
    <cellStyle name="20% - Accent5 23 2" xfId="4668" xr:uid="{00000000-0005-0000-0000-0000DD110000}"/>
    <cellStyle name="20% - Accent5 23 3" xfId="4669" xr:uid="{00000000-0005-0000-0000-0000DE110000}"/>
    <cellStyle name="20% - Accent5 24" xfId="4670" xr:uid="{00000000-0005-0000-0000-0000DF110000}"/>
    <cellStyle name="20% - Accent5 24 2" xfId="4671" xr:uid="{00000000-0005-0000-0000-0000E0110000}"/>
    <cellStyle name="20% - Accent5 24 3" xfId="4672" xr:uid="{00000000-0005-0000-0000-0000E1110000}"/>
    <cellStyle name="20% - Accent5 25" xfId="4673" xr:uid="{00000000-0005-0000-0000-0000E2110000}"/>
    <cellStyle name="20% - Accent5 25 2" xfId="4674" xr:uid="{00000000-0005-0000-0000-0000E3110000}"/>
    <cellStyle name="20% - Accent5 25 3" xfId="4675" xr:uid="{00000000-0005-0000-0000-0000E4110000}"/>
    <cellStyle name="20% - Accent5 26" xfId="4676" xr:uid="{00000000-0005-0000-0000-0000E5110000}"/>
    <cellStyle name="20% - Accent5 26 2" xfId="4677" xr:uid="{00000000-0005-0000-0000-0000E6110000}"/>
    <cellStyle name="20% - Accent5 26 3" xfId="4678" xr:uid="{00000000-0005-0000-0000-0000E7110000}"/>
    <cellStyle name="20% - Accent5 27" xfId="4679" xr:uid="{00000000-0005-0000-0000-0000E8110000}"/>
    <cellStyle name="20% - Accent5 27 2" xfId="4680" xr:uid="{00000000-0005-0000-0000-0000E9110000}"/>
    <cellStyle name="20% - Accent5 27 3" xfId="4681" xr:uid="{00000000-0005-0000-0000-0000EA110000}"/>
    <cellStyle name="20% - Accent5 28" xfId="4682" xr:uid="{00000000-0005-0000-0000-0000EB110000}"/>
    <cellStyle name="20% - Accent5 28 2" xfId="4683" xr:uid="{00000000-0005-0000-0000-0000EC110000}"/>
    <cellStyle name="20% - Accent5 28 3" xfId="4684" xr:uid="{00000000-0005-0000-0000-0000ED110000}"/>
    <cellStyle name="20% - Accent5 29" xfId="4685" xr:uid="{00000000-0005-0000-0000-0000EE110000}"/>
    <cellStyle name="20% - Accent5 29 2" xfId="4686" xr:uid="{00000000-0005-0000-0000-0000EF110000}"/>
    <cellStyle name="20% - Accent5 29 3" xfId="4687" xr:uid="{00000000-0005-0000-0000-0000F0110000}"/>
    <cellStyle name="20% - Accent5 3" xfId="4688" xr:uid="{00000000-0005-0000-0000-0000F1110000}"/>
    <cellStyle name="20% - Accent5 3 10" xfId="4689" xr:uid="{00000000-0005-0000-0000-0000F2110000}"/>
    <cellStyle name="20% - Accent5 3 10 10" xfId="4690" xr:uid="{00000000-0005-0000-0000-0000F3110000}"/>
    <cellStyle name="20% - Accent5 3 10 11" xfId="4691" xr:uid="{00000000-0005-0000-0000-0000F4110000}"/>
    <cellStyle name="20% - Accent5 3 10 12" xfId="4692" xr:uid="{00000000-0005-0000-0000-0000F5110000}"/>
    <cellStyle name="20% - Accent5 3 10 13" xfId="4693" xr:uid="{00000000-0005-0000-0000-0000F6110000}"/>
    <cellStyle name="20% - Accent5 3 10 14" xfId="4694" xr:uid="{00000000-0005-0000-0000-0000F7110000}"/>
    <cellStyle name="20% - Accent5 3 10 15" xfId="4695" xr:uid="{00000000-0005-0000-0000-0000F8110000}"/>
    <cellStyle name="20% - Accent5 3 10 2" xfId="4696" xr:uid="{00000000-0005-0000-0000-0000F9110000}"/>
    <cellStyle name="20% - Accent5 3 10 3" xfId="4697" xr:uid="{00000000-0005-0000-0000-0000FA110000}"/>
    <cellStyle name="20% - Accent5 3 10 4" xfId="4698" xr:uid="{00000000-0005-0000-0000-0000FB110000}"/>
    <cellStyle name="20% - Accent5 3 10 5" xfId="4699" xr:uid="{00000000-0005-0000-0000-0000FC110000}"/>
    <cellStyle name="20% - Accent5 3 10 6" xfId="4700" xr:uid="{00000000-0005-0000-0000-0000FD110000}"/>
    <cellStyle name="20% - Accent5 3 10 7" xfId="4701" xr:uid="{00000000-0005-0000-0000-0000FE110000}"/>
    <cellStyle name="20% - Accent5 3 10 8" xfId="4702" xr:uid="{00000000-0005-0000-0000-0000FF110000}"/>
    <cellStyle name="20% - Accent5 3 10 9" xfId="4703" xr:uid="{00000000-0005-0000-0000-000000120000}"/>
    <cellStyle name="20% - Accent5 3 11" xfId="4704" xr:uid="{00000000-0005-0000-0000-000001120000}"/>
    <cellStyle name="20% - Accent5 3 11 10" xfId="4705" xr:uid="{00000000-0005-0000-0000-000002120000}"/>
    <cellStyle name="20% - Accent5 3 11 11" xfId="4706" xr:uid="{00000000-0005-0000-0000-000003120000}"/>
    <cellStyle name="20% - Accent5 3 11 12" xfId="4707" xr:uid="{00000000-0005-0000-0000-000004120000}"/>
    <cellStyle name="20% - Accent5 3 11 13" xfId="4708" xr:uid="{00000000-0005-0000-0000-000005120000}"/>
    <cellStyle name="20% - Accent5 3 11 14" xfId="4709" xr:uid="{00000000-0005-0000-0000-000006120000}"/>
    <cellStyle name="20% - Accent5 3 11 15" xfId="4710" xr:uid="{00000000-0005-0000-0000-000007120000}"/>
    <cellStyle name="20% - Accent5 3 11 2" xfId="4711" xr:uid="{00000000-0005-0000-0000-000008120000}"/>
    <cellStyle name="20% - Accent5 3 11 3" xfId="4712" xr:uid="{00000000-0005-0000-0000-000009120000}"/>
    <cellStyle name="20% - Accent5 3 11 4" xfId="4713" xr:uid="{00000000-0005-0000-0000-00000A120000}"/>
    <cellStyle name="20% - Accent5 3 11 5" xfId="4714" xr:uid="{00000000-0005-0000-0000-00000B120000}"/>
    <cellStyle name="20% - Accent5 3 11 6" xfId="4715" xr:uid="{00000000-0005-0000-0000-00000C120000}"/>
    <cellStyle name="20% - Accent5 3 11 7" xfId="4716" xr:uid="{00000000-0005-0000-0000-00000D120000}"/>
    <cellStyle name="20% - Accent5 3 11 8" xfId="4717" xr:uid="{00000000-0005-0000-0000-00000E120000}"/>
    <cellStyle name="20% - Accent5 3 11 9" xfId="4718" xr:uid="{00000000-0005-0000-0000-00000F120000}"/>
    <cellStyle name="20% - Accent5 3 12" xfId="4719" xr:uid="{00000000-0005-0000-0000-000010120000}"/>
    <cellStyle name="20% - Accent5 3 12 10" xfId="4720" xr:uid="{00000000-0005-0000-0000-000011120000}"/>
    <cellStyle name="20% - Accent5 3 12 11" xfId="4721" xr:uid="{00000000-0005-0000-0000-000012120000}"/>
    <cellStyle name="20% - Accent5 3 12 12" xfId="4722" xr:uid="{00000000-0005-0000-0000-000013120000}"/>
    <cellStyle name="20% - Accent5 3 12 13" xfId="4723" xr:uid="{00000000-0005-0000-0000-000014120000}"/>
    <cellStyle name="20% - Accent5 3 12 14" xfId="4724" xr:uid="{00000000-0005-0000-0000-000015120000}"/>
    <cellStyle name="20% - Accent5 3 12 15" xfId="4725" xr:uid="{00000000-0005-0000-0000-000016120000}"/>
    <cellStyle name="20% - Accent5 3 12 2" xfId="4726" xr:uid="{00000000-0005-0000-0000-000017120000}"/>
    <cellStyle name="20% - Accent5 3 12 3" xfId="4727" xr:uid="{00000000-0005-0000-0000-000018120000}"/>
    <cellStyle name="20% - Accent5 3 12 4" xfId="4728" xr:uid="{00000000-0005-0000-0000-000019120000}"/>
    <cellStyle name="20% - Accent5 3 12 5" xfId="4729" xr:uid="{00000000-0005-0000-0000-00001A120000}"/>
    <cellStyle name="20% - Accent5 3 12 6" xfId="4730" xr:uid="{00000000-0005-0000-0000-00001B120000}"/>
    <cellStyle name="20% - Accent5 3 12 7" xfId="4731" xr:uid="{00000000-0005-0000-0000-00001C120000}"/>
    <cellStyle name="20% - Accent5 3 12 8" xfId="4732" xr:uid="{00000000-0005-0000-0000-00001D120000}"/>
    <cellStyle name="20% - Accent5 3 12 9" xfId="4733" xr:uid="{00000000-0005-0000-0000-00001E120000}"/>
    <cellStyle name="20% - Accent5 3 13" xfId="4734" xr:uid="{00000000-0005-0000-0000-00001F120000}"/>
    <cellStyle name="20% - Accent5 3 13 10" xfId="4735" xr:uid="{00000000-0005-0000-0000-000020120000}"/>
    <cellStyle name="20% - Accent5 3 13 11" xfId="4736" xr:uid="{00000000-0005-0000-0000-000021120000}"/>
    <cellStyle name="20% - Accent5 3 13 12" xfId="4737" xr:uid="{00000000-0005-0000-0000-000022120000}"/>
    <cellStyle name="20% - Accent5 3 13 13" xfId="4738" xr:uid="{00000000-0005-0000-0000-000023120000}"/>
    <cellStyle name="20% - Accent5 3 13 14" xfId="4739" xr:uid="{00000000-0005-0000-0000-000024120000}"/>
    <cellStyle name="20% - Accent5 3 13 15" xfId="4740" xr:uid="{00000000-0005-0000-0000-000025120000}"/>
    <cellStyle name="20% - Accent5 3 13 2" xfId="4741" xr:uid="{00000000-0005-0000-0000-000026120000}"/>
    <cellStyle name="20% - Accent5 3 13 3" xfId="4742" xr:uid="{00000000-0005-0000-0000-000027120000}"/>
    <cellStyle name="20% - Accent5 3 13 4" xfId="4743" xr:uid="{00000000-0005-0000-0000-000028120000}"/>
    <cellStyle name="20% - Accent5 3 13 5" xfId="4744" xr:uid="{00000000-0005-0000-0000-000029120000}"/>
    <cellStyle name="20% - Accent5 3 13 6" xfId="4745" xr:uid="{00000000-0005-0000-0000-00002A120000}"/>
    <cellStyle name="20% - Accent5 3 13 7" xfId="4746" xr:uid="{00000000-0005-0000-0000-00002B120000}"/>
    <cellStyle name="20% - Accent5 3 13 8" xfId="4747" xr:uid="{00000000-0005-0000-0000-00002C120000}"/>
    <cellStyle name="20% - Accent5 3 13 9" xfId="4748" xr:uid="{00000000-0005-0000-0000-00002D120000}"/>
    <cellStyle name="20% - Accent5 3 14" xfId="4749" xr:uid="{00000000-0005-0000-0000-00002E120000}"/>
    <cellStyle name="20% - Accent5 3 14 10" xfId="4750" xr:uid="{00000000-0005-0000-0000-00002F120000}"/>
    <cellStyle name="20% - Accent5 3 14 11" xfId="4751" xr:uid="{00000000-0005-0000-0000-000030120000}"/>
    <cellStyle name="20% - Accent5 3 14 12" xfId="4752" xr:uid="{00000000-0005-0000-0000-000031120000}"/>
    <cellStyle name="20% - Accent5 3 14 13" xfId="4753" xr:uid="{00000000-0005-0000-0000-000032120000}"/>
    <cellStyle name="20% - Accent5 3 14 14" xfId="4754" xr:uid="{00000000-0005-0000-0000-000033120000}"/>
    <cellStyle name="20% - Accent5 3 14 15" xfId="4755" xr:uid="{00000000-0005-0000-0000-000034120000}"/>
    <cellStyle name="20% - Accent5 3 14 2" xfId="4756" xr:uid="{00000000-0005-0000-0000-000035120000}"/>
    <cellStyle name="20% - Accent5 3 14 3" xfId="4757" xr:uid="{00000000-0005-0000-0000-000036120000}"/>
    <cellStyle name="20% - Accent5 3 14 4" xfId="4758" xr:uid="{00000000-0005-0000-0000-000037120000}"/>
    <cellStyle name="20% - Accent5 3 14 5" xfId="4759" xr:uid="{00000000-0005-0000-0000-000038120000}"/>
    <cellStyle name="20% - Accent5 3 14 6" xfId="4760" xr:uid="{00000000-0005-0000-0000-000039120000}"/>
    <cellStyle name="20% - Accent5 3 14 7" xfId="4761" xr:uid="{00000000-0005-0000-0000-00003A120000}"/>
    <cellStyle name="20% - Accent5 3 14 8" xfId="4762" xr:uid="{00000000-0005-0000-0000-00003B120000}"/>
    <cellStyle name="20% - Accent5 3 14 9" xfId="4763" xr:uid="{00000000-0005-0000-0000-00003C120000}"/>
    <cellStyle name="20% - Accent5 3 15" xfId="4764" xr:uid="{00000000-0005-0000-0000-00003D120000}"/>
    <cellStyle name="20% - Accent5 3 15 10" xfId="4765" xr:uid="{00000000-0005-0000-0000-00003E120000}"/>
    <cellStyle name="20% - Accent5 3 15 11" xfId="4766" xr:uid="{00000000-0005-0000-0000-00003F120000}"/>
    <cellStyle name="20% - Accent5 3 15 12" xfId="4767" xr:uid="{00000000-0005-0000-0000-000040120000}"/>
    <cellStyle name="20% - Accent5 3 15 13" xfId="4768" xr:uid="{00000000-0005-0000-0000-000041120000}"/>
    <cellStyle name="20% - Accent5 3 15 14" xfId="4769" xr:uid="{00000000-0005-0000-0000-000042120000}"/>
    <cellStyle name="20% - Accent5 3 15 15" xfId="4770" xr:uid="{00000000-0005-0000-0000-000043120000}"/>
    <cellStyle name="20% - Accent5 3 15 2" xfId="4771" xr:uid="{00000000-0005-0000-0000-000044120000}"/>
    <cellStyle name="20% - Accent5 3 15 3" xfId="4772" xr:uid="{00000000-0005-0000-0000-000045120000}"/>
    <cellStyle name="20% - Accent5 3 15 4" xfId="4773" xr:uid="{00000000-0005-0000-0000-000046120000}"/>
    <cellStyle name="20% - Accent5 3 15 5" xfId="4774" xr:uid="{00000000-0005-0000-0000-000047120000}"/>
    <cellStyle name="20% - Accent5 3 15 6" xfId="4775" xr:uid="{00000000-0005-0000-0000-000048120000}"/>
    <cellStyle name="20% - Accent5 3 15 7" xfId="4776" xr:uid="{00000000-0005-0000-0000-000049120000}"/>
    <cellStyle name="20% - Accent5 3 15 8" xfId="4777" xr:uid="{00000000-0005-0000-0000-00004A120000}"/>
    <cellStyle name="20% - Accent5 3 15 9" xfId="4778" xr:uid="{00000000-0005-0000-0000-00004B120000}"/>
    <cellStyle name="20% - Accent5 3 16" xfId="4779" xr:uid="{00000000-0005-0000-0000-00004C120000}"/>
    <cellStyle name="20% - Accent5 3 16 10" xfId="4780" xr:uid="{00000000-0005-0000-0000-00004D120000}"/>
    <cellStyle name="20% - Accent5 3 16 11" xfId="4781" xr:uid="{00000000-0005-0000-0000-00004E120000}"/>
    <cellStyle name="20% - Accent5 3 16 12" xfId="4782" xr:uid="{00000000-0005-0000-0000-00004F120000}"/>
    <cellStyle name="20% - Accent5 3 16 13" xfId="4783" xr:uid="{00000000-0005-0000-0000-000050120000}"/>
    <cellStyle name="20% - Accent5 3 16 14" xfId="4784" xr:uid="{00000000-0005-0000-0000-000051120000}"/>
    <cellStyle name="20% - Accent5 3 16 15" xfId="4785" xr:uid="{00000000-0005-0000-0000-000052120000}"/>
    <cellStyle name="20% - Accent5 3 16 2" xfId="4786" xr:uid="{00000000-0005-0000-0000-000053120000}"/>
    <cellStyle name="20% - Accent5 3 16 3" xfId="4787" xr:uid="{00000000-0005-0000-0000-000054120000}"/>
    <cellStyle name="20% - Accent5 3 16 4" xfId="4788" xr:uid="{00000000-0005-0000-0000-000055120000}"/>
    <cellStyle name="20% - Accent5 3 16 5" xfId="4789" xr:uid="{00000000-0005-0000-0000-000056120000}"/>
    <cellStyle name="20% - Accent5 3 16 6" xfId="4790" xr:uid="{00000000-0005-0000-0000-000057120000}"/>
    <cellStyle name="20% - Accent5 3 16 7" xfId="4791" xr:uid="{00000000-0005-0000-0000-000058120000}"/>
    <cellStyle name="20% - Accent5 3 16 8" xfId="4792" xr:uid="{00000000-0005-0000-0000-000059120000}"/>
    <cellStyle name="20% - Accent5 3 16 9" xfId="4793" xr:uid="{00000000-0005-0000-0000-00005A120000}"/>
    <cellStyle name="20% - Accent5 3 17" xfId="4794" xr:uid="{00000000-0005-0000-0000-00005B120000}"/>
    <cellStyle name="20% - Accent5 3 17 10" xfId="4795" xr:uid="{00000000-0005-0000-0000-00005C120000}"/>
    <cellStyle name="20% - Accent5 3 17 11" xfId="4796" xr:uid="{00000000-0005-0000-0000-00005D120000}"/>
    <cellStyle name="20% - Accent5 3 17 12" xfId="4797" xr:uid="{00000000-0005-0000-0000-00005E120000}"/>
    <cellStyle name="20% - Accent5 3 17 13" xfId="4798" xr:uid="{00000000-0005-0000-0000-00005F120000}"/>
    <cellStyle name="20% - Accent5 3 17 14" xfId="4799" xr:uid="{00000000-0005-0000-0000-000060120000}"/>
    <cellStyle name="20% - Accent5 3 17 15" xfId="4800" xr:uid="{00000000-0005-0000-0000-000061120000}"/>
    <cellStyle name="20% - Accent5 3 17 2" xfId="4801" xr:uid="{00000000-0005-0000-0000-000062120000}"/>
    <cellStyle name="20% - Accent5 3 17 3" xfId="4802" xr:uid="{00000000-0005-0000-0000-000063120000}"/>
    <cellStyle name="20% - Accent5 3 17 4" xfId="4803" xr:uid="{00000000-0005-0000-0000-000064120000}"/>
    <cellStyle name="20% - Accent5 3 17 5" xfId="4804" xr:uid="{00000000-0005-0000-0000-000065120000}"/>
    <cellStyle name="20% - Accent5 3 17 6" xfId="4805" xr:uid="{00000000-0005-0000-0000-000066120000}"/>
    <cellStyle name="20% - Accent5 3 17 7" xfId="4806" xr:uid="{00000000-0005-0000-0000-000067120000}"/>
    <cellStyle name="20% - Accent5 3 17 8" xfId="4807" xr:uid="{00000000-0005-0000-0000-000068120000}"/>
    <cellStyle name="20% - Accent5 3 17 9" xfId="4808" xr:uid="{00000000-0005-0000-0000-000069120000}"/>
    <cellStyle name="20% - Accent5 3 18" xfId="4809" xr:uid="{00000000-0005-0000-0000-00006A120000}"/>
    <cellStyle name="20% - Accent5 3 18 10" xfId="4810" xr:uid="{00000000-0005-0000-0000-00006B120000}"/>
    <cellStyle name="20% - Accent5 3 18 11" xfId="4811" xr:uid="{00000000-0005-0000-0000-00006C120000}"/>
    <cellStyle name="20% - Accent5 3 18 12" xfId="4812" xr:uid="{00000000-0005-0000-0000-00006D120000}"/>
    <cellStyle name="20% - Accent5 3 18 13" xfId="4813" xr:uid="{00000000-0005-0000-0000-00006E120000}"/>
    <cellStyle name="20% - Accent5 3 18 14" xfId="4814" xr:uid="{00000000-0005-0000-0000-00006F120000}"/>
    <cellStyle name="20% - Accent5 3 18 15" xfId="4815" xr:uid="{00000000-0005-0000-0000-000070120000}"/>
    <cellStyle name="20% - Accent5 3 18 2" xfId="4816" xr:uid="{00000000-0005-0000-0000-000071120000}"/>
    <cellStyle name="20% - Accent5 3 18 3" xfId="4817" xr:uid="{00000000-0005-0000-0000-000072120000}"/>
    <cellStyle name="20% - Accent5 3 18 4" xfId="4818" xr:uid="{00000000-0005-0000-0000-000073120000}"/>
    <cellStyle name="20% - Accent5 3 18 5" xfId="4819" xr:uid="{00000000-0005-0000-0000-000074120000}"/>
    <cellStyle name="20% - Accent5 3 18 6" xfId="4820" xr:uid="{00000000-0005-0000-0000-000075120000}"/>
    <cellStyle name="20% - Accent5 3 18 7" xfId="4821" xr:uid="{00000000-0005-0000-0000-000076120000}"/>
    <cellStyle name="20% - Accent5 3 18 8" xfId="4822" xr:uid="{00000000-0005-0000-0000-000077120000}"/>
    <cellStyle name="20% - Accent5 3 18 9" xfId="4823" xr:uid="{00000000-0005-0000-0000-000078120000}"/>
    <cellStyle name="20% - Accent5 3 19" xfId="4824" xr:uid="{00000000-0005-0000-0000-000079120000}"/>
    <cellStyle name="20% - Accent5 3 19 10" xfId="4825" xr:uid="{00000000-0005-0000-0000-00007A120000}"/>
    <cellStyle name="20% - Accent5 3 19 11" xfId="4826" xr:uid="{00000000-0005-0000-0000-00007B120000}"/>
    <cellStyle name="20% - Accent5 3 19 12" xfId="4827" xr:uid="{00000000-0005-0000-0000-00007C120000}"/>
    <cellStyle name="20% - Accent5 3 19 13" xfId="4828" xr:uid="{00000000-0005-0000-0000-00007D120000}"/>
    <cellStyle name="20% - Accent5 3 19 14" xfId="4829" xr:uid="{00000000-0005-0000-0000-00007E120000}"/>
    <cellStyle name="20% - Accent5 3 19 15" xfId="4830" xr:uid="{00000000-0005-0000-0000-00007F120000}"/>
    <cellStyle name="20% - Accent5 3 19 2" xfId="4831" xr:uid="{00000000-0005-0000-0000-000080120000}"/>
    <cellStyle name="20% - Accent5 3 19 3" xfId="4832" xr:uid="{00000000-0005-0000-0000-000081120000}"/>
    <cellStyle name="20% - Accent5 3 19 4" xfId="4833" xr:uid="{00000000-0005-0000-0000-000082120000}"/>
    <cellStyle name="20% - Accent5 3 19 5" xfId="4834" xr:uid="{00000000-0005-0000-0000-000083120000}"/>
    <cellStyle name="20% - Accent5 3 19 6" xfId="4835" xr:uid="{00000000-0005-0000-0000-000084120000}"/>
    <cellStyle name="20% - Accent5 3 19 7" xfId="4836" xr:uid="{00000000-0005-0000-0000-000085120000}"/>
    <cellStyle name="20% - Accent5 3 19 8" xfId="4837" xr:uid="{00000000-0005-0000-0000-000086120000}"/>
    <cellStyle name="20% - Accent5 3 19 9" xfId="4838" xr:uid="{00000000-0005-0000-0000-000087120000}"/>
    <cellStyle name="20% - Accent5 3 2" xfId="4839" xr:uid="{00000000-0005-0000-0000-000088120000}"/>
    <cellStyle name="20% - Accent5 3 2 10" xfId="4840" xr:uid="{00000000-0005-0000-0000-000089120000}"/>
    <cellStyle name="20% - Accent5 3 2 11" xfId="4841" xr:uid="{00000000-0005-0000-0000-00008A120000}"/>
    <cellStyle name="20% - Accent5 3 2 12" xfId="4842" xr:uid="{00000000-0005-0000-0000-00008B120000}"/>
    <cellStyle name="20% - Accent5 3 2 13" xfId="4843" xr:uid="{00000000-0005-0000-0000-00008C120000}"/>
    <cellStyle name="20% - Accent5 3 2 14" xfId="4844" xr:uid="{00000000-0005-0000-0000-00008D120000}"/>
    <cellStyle name="20% - Accent5 3 2 15" xfId="4845" xr:uid="{00000000-0005-0000-0000-00008E120000}"/>
    <cellStyle name="20% - Accent5 3 2 16" xfId="4846" xr:uid="{00000000-0005-0000-0000-00008F120000}"/>
    <cellStyle name="20% - Accent5 3 2 17" xfId="4847" xr:uid="{00000000-0005-0000-0000-000090120000}"/>
    <cellStyle name="20% - Accent5 3 2 18" xfId="4848" xr:uid="{00000000-0005-0000-0000-000091120000}"/>
    <cellStyle name="20% - Accent5 3 2 19" xfId="4849" xr:uid="{00000000-0005-0000-0000-000092120000}"/>
    <cellStyle name="20% - Accent5 3 2 2" xfId="4850" xr:uid="{00000000-0005-0000-0000-000093120000}"/>
    <cellStyle name="20% - Accent5 3 2 20" xfId="4851" xr:uid="{00000000-0005-0000-0000-000094120000}"/>
    <cellStyle name="20% - Accent5 3 2 21" xfId="4852" xr:uid="{00000000-0005-0000-0000-000095120000}"/>
    <cellStyle name="20% - Accent5 3 2 22" xfId="4853" xr:uid="{00000000-0005-0000-0000-000096120000}"/>
    <cellStyle name="20% - Accent5 3 2 23" xfId="4854" xr:uid="{00000000-0005-0000-0000-000097120000}"/>
    <cellStyle name="20% - Accent5 3 2 24" xfId="4855" xr:uid="{00000000-0005-0000-0000-000098120000}"/>
    <cellStyle name="20% - Accent5 3 2 25" xfId="4856" xr:uid="{00000000-0005-0000-0000-000099120000}"/>
    <cellStyle name="20% - Accent5 3 2 26" xfId="4857" xr:uid="{00000000-0005-0000-0000-00009A120000}"/>
    <cellStyle name="20% - Accent5 3 2 27" xfId="4858" xr:uid="{00000000-0005-0000-0000-00009B120000}"/>
    <cellStyle name="20% - Accent5 3 2 28" xfId="4859" xr:uid="{00000000-0005-0000-0000-00009C120000}"/>
    <cellStyle name="20% - Accent5 3 2 29" xfId="4860" xr:uid="{00000000-0005-0000-0000-00009D120000}"/>
    <cellStyle name="20% - Accent5 3 2 3" xfId="4861" xr:uid="{00000000-0005-0000-0000-00009E120000}"/>
    <cellStyle name="20% - Accent5 3 2 30" xfId="4862" xr:uid="{00000000-0005-0000-0000-00009F120000}"/>
    <cellStyle name="20% - Accent5 3 2 31" xfId="4863" xr:uid="{00000000-0005-0000-0000-0000A0120000}"/>
    <cellStyle name="20% - Accent5 3 2 32" xfId="4864" xr:uid="{00000000-0005-0000-0000-0000A1120000}"/>
    <cellStyle name="20% - Accent5 3 2 33" xfId="4865" xr:uid="{00000000-0005-0000-0000-0000A2120000}"/>
    <cellStyle name="20% - Accent5 3 2 34" xfId="4866" xr:uid="{00000000-0005-0000-0000-0000A3120000}"/>
    <cellStyle name="20% - Accent5 3 2 35" xfId="4867" xr:uid="{00000000-0005-0000-0000-0000A4120000}"/>
    <cellStyle name="20% - Accent5 3 2 36" xfId="4868" xr:uid="{00000000-0005-0000-0000-0000A5120000}"/>
    <cellStyle name="20% - Accent5 3 2 37" xfId="4869" xr:uid="{00000000-0005-0000-0000-0000A6120000}"/>
    <cellStyle name="20% - Accent5 3 2 38" xfId="4870" xr:uid="{00000000-0005-0000-0000-0000A7120000}"/>
    <cellStyle name="20% - Accent5 3 2 39" xfId="4871" xr:uid="{00000000-0005-0000-0000-0000A8120000}"/>
    <cellStyle name="20% - Accent5 3 2 4" xfId="4872" xr:uid="{00000000-0005-0000-0000-0000A9120000}"/>
    <cellStyle name="20% - Accent5 3 2 40" xfId="4873" xr:uid="{00000000-0005-0000-0000-0000AA120000}"/>
    <cellStyle name="20% - Accent5 3 2 41" xfId="4874" xr:uid="{00000000-0005-0000-0000-0000AB120000}"/>
    <cellStyle name="20% - Accent5 3 2 42" xfId="4875" xr:uid="{00000000-0005-0000-0000-0000AC120000}"/>
    <cellStyle name="20% - Accent5 3 2 43" xfId="4876" xr:uid="{00000000-0005-0000-0000-0000AD120000}"/>
    <cellStyle name="20% - Accent5 3 2 44" xfId="4877" xr:uid="{00000000-0005-0000-0000-0000AE120000}"/>
    <cellStyle name="20% - Accent5 3 2 45" xfId="4878" xr:uid="{00000000-0005-0000-0000-0000AF120000}"/>
    <cellStyle name="20% - Accent5 3 2 46" xfId="4879" xr:uid="{00000000-0005-0000-0000-0000B0120000}"/>
    <cellStyle name="20% - Accent5 3 2 47" xfId="4880" xr:uid="{00000000-0005-0000-0000-0000B1120000}"/>
    <cellStyle name="20% - Accent5 3 2 48" xfId="4881" xr:uid="{00000000-0005-0000-0000-0000B2120000}"/>
    <cellStyle name="20% - Accent5 3 2 49" xfId="4882" xr:uid="{00000000-0005-0000-0000-0000B3120000}"/>
    <cellStyle name="20% - Accent5 3 2 5" xfId="4883" xr:uid="{00000000-0005-0000-0000-0000B4120000}"/>
    <cellStyle name="20% - Accent5 3 2 50" xfId="4884" xr:uid="{00000000-0005-0000-0000-0000B5120000}"/>
    <cellStyle name="20% - Accent5 3 2 51" xfId="4885" xr:uid="{00000000-0005-0000-0000-0000B6120000}"/>
    <cellStyle name="20% - Accent5 3 2 52" xfId="4886" xr:uid="{00000000-0005-0000-0000-0000B7120000}"/>
    <cellStyle name="20% - Accent5 3 2 53" xfId="4887" xr:uid="{00000000-0005-0000-0000-0000B8120000}"/>
    <cellStyle name="20% - Accent5 3 2 54" xfId="4888" xr:uid="{00000000-0005-0000-0000-0000B9120000}"/>
    <cellStyle name="20% - Accent5 3 2 6" xfId="4889" xr:uid="{00000000-0005-0000-0000-0000BA120000}"/>
    <cellStyle name="20% - Accent5 3 2 7" xfId="4890" xr:uid="{00000000-0005-0000-0000-0000BB120000}"/>
    <cellStyle name="20% - Accent5 3 2 8" xfId="4891" xr:uid="{00000000-0005-0000-0000-0000BC120000}"/>
    <cellStyle name="20% - Accent5 3 2 9" xfId="4892" xr:uid="{00000000-0005-0000-0000-0000BD120000}"/>
    <cellStyle name="20% - Accent5 3 20" xfId="4893" xr:uid="{00000000-0005-0000-0000-0000BE120000}"/>
    <cellStyle name="20% - Accent5 3 20 10" xfId="4894" xr:uid="{00000000-0005-0000-0000-0000BF120000}"/>
    <cellStyle name="20% - Accent5 3 20 11" xfId="4895" xr:uid="{00000000-0005-0000-0000-0000C0120000}"/>
    <cellStyle name="20% - Accent5 3 20 12" xfId="4896" xr:uid="{00000000-0005-0000-0000-0000C1120000}"/>
    <cellStyle name="20% - Accent5 3 20 13" xfId="4897" xr:uid="{00000000-0005-0000-0000-0000C2120000}"/>
    <cellStyle name="20% - Accent5 3 20 14" xfId="4898" xr:uid="{00000000-0005-0000-0000-0000C3120000}"/>
    <cellStyle name="20% - Accent5 3 20 15" xfId="4899" xr:uid="{00000000-0005-0000-0000-0000C4120000}"/>
    <cellStyle name="20% - Accent5 3 20 2" xfId="4900" xr:uid="{00000000-0005-0000-0000-0000C5120000}"/>
    <cellStyle name="20% - Accent5 3 20 3" xfId="4901" xr:uid="{00000000-0005-0000-0000-0000C6120000}"/>
    <cellStyle name="20% - Accent5 3 20 4" xfId="4902" xr:uid="{00000000-0005-0000-0000-0000C7120000}"/>
    <cellStyle name="20% - Accent5 3 20 5" xfId="4903" xr:uid="{00000000-0005-0000-0000-0000C8120000}"/>
    <cellStyle name="20% - Accent5 3 20 6" xfId="4904" xr:uid="{00000000-0005-0000-0000-0000C9120000}"/>
    <cellStyle name="20% - Accent5 3 20 7" xfId="4905" xr:uid="{00000000-0005-0000-0000-0000CA120000}"/>
    <cellStyle name="20% - Accent5 3 20 8" xfId="4906" xr:uid="{00000000-0005-0000-0000-0000CB120000}"/>
    <cellStyle name="20% - Accent5 3 20 9" xfId="4907" xr:uid="{00000000-0005-0000-0000-0000CC120000}"/>
    <cellStyle name="20% - Accent5 3 21" xfId="4908" xr:uid="{00000000-0005-0000-0000-0000CD120000}"/>
    <cellStyle name="20% - Accent5 3 21 10" xfId="4909" xr:uid="{00000000-0005-0000-0000-0000CE120000}"/>
    <cellStyle name="20% - Accent5 3 21 11" xfId="4910" xr:uid="{00000000-0005-0000-0000-0000CF120000}"/>
    <cellStyle name="20% - Accent5 3 21 12" xfId="4911" xr:uid="{00000000-0005-0000-0000-0000D0120000}"/>
    <cellStyle name="20% - Accent5 3 21 13" xfId="4912" xr:uid="{00000000-0005-0000-0000-0000D1120000}"/>
    <cellStyle name="20% - Accent5 3 21 14" xfId="4913" xr:uid="{00000000-0005-0000-0000-0000D2120000}"/>
    <cellStyle name="20% - Accent5 3 21 15" xfId="4914" xr:uid="{00000000-0005-0000-0000-0000D3120000}"/>
    <cellStyle name="20% - Accent5 3 21 2" xfId="4915" xr:uid="{00000000-0005-0000-0000-0000D4120000}"/>
    <cellStyle name="20% - Accent5 3 21 3" xfId="4916" xr:uid="{00000000-0005-0000-0000-0000D5120000}"/>
    <cellStyle name="20% - Accent5 3 21 4" xfId="4917" xr:uid="{00000000-0005-0000-0000-0000D6120000}"/>
    <cellStyle name="20% - Accent5 3 21 5" xfId="4918" xr:uid="{00000000-0005-0000-0000-0000D7120000}"/>
    <cellStyle name="20% - Accent5 3 21 6" xfId="4919" xr:uid="{00000000-0005-0000-0000-0000D8120000}"/>
    <cellStyle name="20% - Accent5 3 21 7" xfId="4920" xr:uid="{00000000-0005-0000-0000-0000D9120000}"/>
    <cellStyle name="20% - Accent5 3 21 8" xfId="4921" xr:uid="{00000000-0005-0000-0000-0000DA120000}"/>
    <cellStyle name="20% - Accent5 3 21 9" xfId="4922" xr:uid="{00000000-0005-0000-0000-0000DB120000}"/>
    <cellStyle name="20% - Accent5 3 22" xfId="4923" xr:uid="{00000000-0005-0000-0000-0000DC120000}"/>
    <cellStyle name="20% - Accent5 3 22 10" xfId="4924" xr:uid="{00000000-0005-0000-0000-0000DD120000}"/>
    <cellStyle name="20% - Accent5 3 22 11" xfId="4925" xr:uid="{00000000-0005-0000-0000-0000DE120000}"/>
    <cellStyle name="20% - Accent5 3 22 12" xfId="4926" xr:uid="{00000000-0005-0000-0000-0000DF120000}"/>
    <cellStyle name="20% - Accent5 3 22 13" xfId="4927" xr:uid="{00000000-0005-0000-0000-0000E0120000}"/>
    <cellStyle name="20% - Accent5 3 22 14" xfId="4928" xr:uid="{00000000-0005-0000-0000-0000E1120000}"/>
    <cellStyle name="20% - Accent5 3 22 15" xfId="4929" xr:uid="{00000000-0005-0000-0000-0000E2120000}"/>
    <cellStyle name="20% - Accent5 3 22 2" xfId="4930" xr:uid="{00000000-0005-0000-0000-0000E3120000}"/>
    <cellStyle name="20% - Accent5 3 22 3" xfId="4931" xr:uid="{00000000-0005-0000-0000-0000E4120000}"/>
    <cellStyle name="20% - Accent5 3 22 4" xfId="4932" xr:uid="{00000000-0005-0000-0000-0000E5120000}"/>
    <cellStyle name="20% - Accent5 3 22 5" xfId="4933" xr:uid="{00000000-0005-0000-0000-0000E6120000}"/>
    <cellStyle name="20% - Accent5 3 22 6" xfId="4934" xr:uid="{00000000-0005-0000-0000-0000E7120000}"/>
    <cellStyle name="20% - Accent5 3 22 7" xfId="4935" xr:uid="{00000000-0005-0000-0000-0000E8120000}"/>
    <cellStyle name="20% - Accent5 3 22 8" xfId="4936" xr:uid="{00000000-0005-0000-0000-0000E9120000}"/>
    <cellStyle name="20% - Accent5 3 22 9" xfId="4937" xr:uid="{00000000-0005-0000-0000-0000EA120000}"/>
    <cellStyle name="20% - Accent5 3 23" xfId="4938" xr:uid="{00000000-0005-0000-0000-0000EB120000}"/>
    <cellStyle name="20% - Accent5 3 23 10" xfId="4939" xr:uid="{00000000-0005-0000-0000-0000EC120000}"/>
    <cellStyle name="20% - Accent5 3 23 11" xfId="4940" xr:uid="{00000000-0005-0000-0000-0000ED120000}"/>
    <cellStyle name="20% - Accent5 3 23 12" xfId="4941" xr:uid="{00000000-0005-0000-0000-0000EE120000}"/>
    <cellStyle name="20% - Accent5 3 23 13" xfId="4942" xr:uid="{00000000-0005-0000-0000-0000EF120000}"/>
    <cellStyle name="20% - Accent5 3 23 14" xfId="4943" xr:uid="{00000000-0005-0000-0000-0000F0120000}"/>
    <cellStyle name="20% - Accent5 3 23 15" xfId="4944" xr:uid="{00000000-0005-0000-0000-0000F1120000}"/>
    <cellStyle name="20% - Accent5 3 23 2" xfId="4945" xr:uid="{00000000-0005-0000-0000-0000F2120000}"/>
    <cellStyle name="20% - Accent5 3 23 3" xfId="4946" xr:uid="{00000000-0005-0000-0000-0000F3120000}"/>
    <cellStyle name="20% - Accent5 3 23 4" xfId="4947" xr:uid="{00000000-0005-0000-0000-0000F4120000}"/>
    <cellStyle name="20% - Accent5 3 23 5" xfId="4948" xr:uid="{00000000-0005-0000-0000-0000F5120000}"/>
    <cellStyle name="20% - Accent5 3 23 6" xfId="4949" xr:uid="{00000000-0005-0000-0000-0000F6120000}"/>
    <cellStyle name="20% - Accent5 3 23 7" xfId="4950" xr:uid="{00000000-0005-0000-0000-0000F7120000}"/>
    <cellStyle name="20% - Accent5 3 23 8" xfId="4951" xr:uid="{00000000-0005-0000-0000-0000F8120000}"/>
    <cellStyle name="20% - Accent5 3 23 9" xfId="4952" xr:uid="{00000000-0005-0000-0000-0000F9120000}"/>
    <cellStyle name="20% - Accent5 3 24" xfId="4953" xr:uid="{00000000-0005-0000-0000-0000FA120000}"/>
    <cellStyle name="20% - Accent5 3 24 10" xfId="4954" xr:uid="{00000000-0005-0000-0000-0000FB120000}"/>
    <cellStyle name="20% - Accent5 3 24 11" xfId="4955" xr:uid="{00000000-0005-0000-0000-0000FC120000}"/>
    <cellStyle name="20% - Accent5 3 24 12" xfId="4956" xr:uid="{00000000-0005-0000-0000-0000FD120000}"/>
    <cellStyle name="20% - Accent5 3 24 13" xfId="4957" xr:uid="{00000000-0005-0000-0000-0000FE120000}"/>
    <cellStyle name="20% - Accent5 3 24 14" xfId="4958" xr:uid="{00000000-0005-0000-0000-0000FF120000}"/>
    <cellStyle name="20% - Accent5 3 24 15" xfId="4959" xr:uid="{00000000-0005-0000-0000-000000130000}"/>
    <cellStyle name="20% - Accent5 3 24 2" xfId="4960" xr:uid="{00000000-0005-0000-0000-000001130000}"/>
    <cellStyle name="20% - Accent5 3 24 3" xfId="4961" xr:uid="{00000000-0005-0000-0000-000002130000}"/>
    <cellStyle name="20% - Accent5 3 24 4" xfId="4962" xr:uid="{00000000-0005-0000-0000-000003130000}"/>
    <cellStyle name="20% - Accent5 3 24 5" xfId="4963" xr:uid="{00000000-0005-0000-0000-000004130000}"/>
    <cellStyle name="20% - Accent5 3 24 6" xfId="4964" xr:uid="{00000000-0005-0000-0000-000005130000}"/>
    <cellStyle name="20% - Accent5 3 24 7" xfId="4965" xr:uid="{00000000-0005-0000-0000-000006130000}"/>
    <cellStyle name="20% - Accent5 3 24 8" xfId="4966" xr:uid="{00000000-0005-0000-0000-000007130000}"/>
    <cellStyle name="20% - Accent5 3 24 9" xfId="4967" xr:uid="{00000000-0005-0000-0000-000008130000}"/>
    <cellStyle name="20% - Accent5 3 25" xfId="4968" xr:uid="{00000000-0005-0000-0000-000009130000}"/>
    <cellStyle name="20% - Accent5 3 25 10" xfId="4969" xr:uid="{00000000-0005-0000-0000-00000A130000}"/>
    <cellStyle name="20% - Accent5 3 25 11" xfId="4970" xr:uid="{00000000-0005-0000-0000-00000B130000}"/>
    <cellStyle name="20% - Accent5 3 25 12" xfId="4971" xr:uid="{00000000-0005-0000-0000-00000C130000}"/>
    <cellStyle name="20% - Accent5 3 25 13" xfId="4972" xr:uid="{00000000-0005-0000-0000-00000D130000}"/>
    <cellStyle name="20% - Accent5 3 25 14" xfId="4973" xr:uid="{00000000-0005-0000-0000-00000E130000}"/>
    <cellStyle name="20% - Accent5 3 25 15" xfId="4974" xr:uid="{00000000-0005-0000-0000-00000F130000}"/>
    <cellStyle name="20% - Accent5 3 25 2" xfId="4975" xr:uid="{00000000-0005-0000-0000-000010130000}"/>
    <cellStyle name="20% - Accent5 3 25 3" xfId="4976" xr:uid="{00000000-0005-0000-0000-000011130000}"/>
    <cellStyle name="20% - Accent5 3 25 4" xfId="4977" xr:uid="{00000000-0005-0000-0000-000012130000}"/>
    <cellStyle name="20% - Accent5 3 25 5" xfId="4978" xr:uid="{00000000-0005-0000-0000-000013130000}"/>
    <cellStyle name="20% - Accent5 3 25 6" xfId="4979" xr:uid="{00000000-0005-0000-0000-000014130000}"/>
    <cellStyle name="20% - Accent5 3 25 7" xfId="4980" xr:uid="{00000000-0005-0000-0000-000015130000}"/>
    <cellStyle name="20% - Accent5 3 25 8" xfId="4981" xr:uid="{00000000-0005-0000-0000-000016130000}"/>
    <cellStyle name="20% - Accent5 3 25 9" xfId="4982" xr:uid="{00000000-0005-0000-0000-000017130000}"/>
    <cellStyle name="20% - Accent5 3 26" xfId="4983" xr:uid="{00000000-0005-0000-0000-000018130000}"/>
    <cellStyle name="20% - Accent5 3 26 10" xfId="4984" xr:uid="{00000000-0005-0000-0000-000019130000}"/>
    <cellStyle name="20% - Accent5 3 26 11" xfId="4985" xr:uid="{00000000-0005-0000-0000-00001A130000}"/>
    <cellStyle name="20% - Accent5 3 26 12" xfId="4986" xr:uid="{00000000-0005-0000-0000-00001B130000}"/>
    <cellStyle name="20% - Accent5 3 26 13" xfId="4987" xr:uid="{00000000-0005-0000-0000-00001C130000}"/>
    <cellStyle name="20% - Accent5 3 26 14" xfId="4988" xr:uid="{00000000-0005-0000-0000-00001D130000}"/>
    <cellStyle name="20% - Accent5 3 26 15" xfId="4989" xr:uid="{00000000-0005-0000-0000-00001E130000}"/>
    <cellStyle name="20% - Accent5 3 26 2" xfId="4990" xr:uid="{00000000-0005-0000-0000-00001F130000}"/>
    <cellStyle name="20% - Accent5 3 26 3" xfId="4991" xr:uid="{00000000-0005-0000-0000-000020130000}"/>
    <cellStyle name="20% - Accent5 3 26 4" xfId="4992" xr:uid="{00000000-0005-0000-0000-000021130000}"/>
    <cellStyle name="20% - Accent5 3 26 5" xfId="4993" xr:uid="{00000000-0005-0000-0000-000022130000}"/>
    <cellStyle name="20% - Accent5 3 26 6" xfId="4994" xr:uid="{00000000-0005-0000-0000-000023130000}"/>
    <cellStyle name="20% - Accent5 3 26 7" xfId="4995" xr:uid="{00000000-0005-0000-0000-000024130000}"/>
    <cellStyle name="20% - Accent5 3 26 8" xfId="4996" xr:uid="{00000000-0005-0000-0000-000025130000}"/>
    <cellStyle name="20% - Accent5 3 26 9" xfId="4997" xr:uid="{00000000-0005-0000-0000-000026130000}"/>
    <cellStyle name="20% - Accent5 3 27" xfId="4998" xr:uid="{00000000-0005-0000-0000-000027130000}"/>
    <cellStyle name="20% - Accent5 3 27 10" xfId="4999" xr:uid="{00000000-0005-0000-0000-000028130000}"/>
    <cellStyle name="20% - Accent5 3 27 11" xfId="5000" xr:uid="{00000000-0005-0000-0000-000029130000}"/>
    <cellStyle name="20% - Accent5 3 27 12" xfId="5001" xr:uid="{00000000-0005-0000-0000-00002A130000}"/>
    <cellStyle name="20% - Accent5 3 27 13" xfId="5002" xr:uid="{00000000-0005-0000-0000-00002B130000}"/>
    <cellStyle name="20% - Accent5 3 27 14" xfId="5003" xr:uid="{00000000-0005-0000-0000-00002C130000}"/>
    <cellStyle name="20% - Accent5 3 27 15" xfId="5004" xr:uid="{00000000-0005-0000-0000-00002D130000}"/>
    <cellStyle name="20% - Accent5 3 27 2" xfId="5005" xr:uid="{00000000-0005-0000-0000-00002E130000}"/>
    <cellStyle name="20% - Accent5 3 27 3" xfId="5006" xr:uid="{00000000-0005-0000-0000-00002F130000}"/>
    <cellStyle name="20% - Accent5 3 27 4" xfId="5007" xr:uid="{00000000-0005-0000-0000-000030130000}"/>
    <cellStyle name="20% - Accent5 3 27 5" xfId="5008" xr:uid="{00000000-0005-0000-0000-000031130000}"/>
    <cellStyle name="20% - Accent5 3 27 6" xfId="5009" xr:uid="{00000000-0005-0000-0000-000032130000}"/>
    <cellStyle name="20% - Accent5 3 27 7" xfId="5010" xr:uid="{00000000-0005-0000-0000-000033130000}"/>
    <cellStyle name="20% - Accent5 3 27 8" xfId="5011" xr:uid="{00000000-0005-0000-0000-000034130000}"/>
    <cellStyle name="20% - Accent5 3 27 9" xfId="5012" xr:uid="{00000000-0005-0000-0000-000035130000}"/>
    <cellStyle name="20% - Accent5 3 28" xfId="5013" xr:uid="{00000000-0005-0000-0000-000036130000}"/>
    <cellStyle name="20% - Accent5 3 28 10" xfId="5014" xr:uid="{00000000-0005-0000-0000-000037130000}"/>
    <cellStyle name="20% - Accent5 3 28 11" xfId="5015" xr:uid="{00000000-0005-0000-0000-000038130000}"/>
    <cellStyle name="20% - Accent5 3 28 12" xfId="5016" xr:uid="{00000000-0005-0000-0000-000039130000}"/>
    <cellStyle name="20% - Accent5 3 28 13" xfId="5017" xr:uid="{00000000-0005-0000-0000-00003A130000}"/>
    <cellStyle name="20% - Accent5 3 28 14" xfId="5018" xr:uid="{00000000-0005-0000-0000-00003B130000}"/>
    <cellStyle name="20% - Accent5 3 28 15" xfId="5019" xr:uid="{00000000-0005-0000-0000-00003C130000}"/>
    <cellStyle name="20% - Accent5 3 28 2" xfId="5020" xr:uid="{00000000-0005-0000-0000-00003D130000}"/>
    <cellStyle name="20% - Accent5 3 28 3" xfId="5021" xr:uid="{00000000-0005-0000-0000-00003E130000}"/>
    <cellStyle name="20% - Accent5 3 28 4" xfId="5022" xr:uid="{00000000-0005-0000-0000-00003F130000}"/>
    <cellStyle name="20% - Accent5 3 28 5" xfId="5023" xr:uid="{00000000-0005-0000-0000-000040130000}"/>
    <cellStyle name="20% - Accent5 3 28 6" xfId="5024" xr:uid="{00000000-0005-0000-0000-000041130000}"/>
    <cellStyle name="20% - Accent5 3 28 7" xfId="5025" xr:uid="{00000000-0005-0000-0000-000042130000}"/>
    <cellStyle name="20% - Accent5 3 28 8" xfId="5026" xr:uid="{00000000-0005-0000-0000-000043130000}"/>
    <cellStyle name="20% - Accent5 3 28 9" xfId="5027" xr:uid="{00000000-0005-0000-0000-000044130000}"/>
    <cellStyle name="20% - Accent5 3 29" xfId="5028" xr:uid="{00000000-0005-0000-0000-000045130000}"/>
    <cellStyle name="20% - Accent5 3 29 10" xfId="5029" xr:uid="{00000000-0005-0000-0000-000046130000}"/>
    <cellStyle name="20% - Accent5 3 29 11" xfId="5030" xr:uid="{00000000-0005-0000-0000-000047130000}"/>
    <cellStyle name="20% - Accent5 3 29 12" xfId="5031" xr:uid="{00000000-0005-0000-0000-000048130000}"/>
    <cellStyle name="20% - Accent5 3 29 13" xfId="5032" xr:uid="{00000000-0005-0000-0000-000049130000}"/>
    <cellStyle name="20% - Accent5 3 29 14" xfId="5033" xr:uid="{00000000-0005-0000-0000-00004A130000}"/>
    <cellStyle name="20% - Accent5 3 29 15" xfId="5034" xr:uid="{00000000-0005-0000-0000-00004B130000}"/>
    <cellStyle name="20% - Accent5 3 29 2" xfId="5035" xr:uid="{00000000-0005-0000-0000-00004C130000}"/>
    <cellStyle name="20% - Accent5 3 29 3" xfId="5036" xr:uid="{00000000-0005-0000-0000-00004D130000}"/>
    <cellStyle name="20% - Accent5 3 29 4" xfId="5037" xr:uid="{00000000-0005-0000-0000-00004E130000}"/>
    <cellStyle name="20% - Accent5 3 29 5" xfId="5038" xr:uid="{00000000-0005-0000-0000-00004F130000}"/>
    <cellStyle name="20% - Accent5 3 29 6" xfId="5039" xr:uid="{00000000-0005-0000-0000-000050130000}"/>
    <cellStyle name="20% - Accent5 3 29 7" xfId="5040" xr:uid="{00000000-0005-0000-0000-000051130000}"/>
    <cellStyle name="20% - Accent5 3 29 8" xfId="5041" xr:uid="{00000000-0005-0000-0000-000052130000}"/>
    <cellStyle name="20% - Accent5 3 29 9" xfId="5042" xr:uid="{00000000-0005-0000-0000-000053130000}"/>
    <cellStyle name="20% - Accent5 3 3" xfId="5043" xr:uid="{00000000-0005-0000-0000-000054130000}"/>
    <cellStyle name="20% - Accent5 3 3 10" xfId="5044" xr:uid="{00000000-0005-0000-0000-000055130000}"/>
    <cellStyle name="20% - Accent5 3 3 11" xfId="5045" xr:uid="{00000000-0005-0000-0000-000056130000}"/>
    <cellStyle name="20% - Accent5 3 3 12" xfId="5046" xr:uid="{00000000-0005-0000-0000-000057130000}"/>
    <cellStyle name="20% - Accent5 3 3 13" xfId="5047" xr:uid="{00000000-0005-0000-0000-000058130000}"/>
    <cellStyle name="20% - Accent5 3 3 14" xfId="5048" xr:uid="{00000000-0005-0000-0000-000059130000}"/>
    <cellStyle name="20% - Accent5 3 3 15" xfId="5049" xr:uid="{00000000-0005-0000-0000-00005A130000}"/>
    <cellStyle name="20% - Accent5 3 3 16" xfId="5050" xr:uid="{00000000-0005-0000-0000-00005B130000}"/>
    <cellStyle name="20% - Accent5 3 3 2" xfId="5051" xr:uid="{00000000-0005-0000-0000-00005C130000}"/>
    <cellStyle name="20% - Accent5 3 3 3" xfId="5052" xr:uid="{00000000-0005-0000-0000-00005D130000}"/>
    <cellStyle name="20% - Accent5 3 3 4" xfId="5053" xr:uid="{00000000-0005-0000-0000-00005E130000}"/>
    <cellStyle name="20% - Accent5 3 3 5" xfId="5054" xr:uid="{00000000-0005-0000-0000-00005F130000}"/>
    <cellStyle name="20% - Accent5 3 3 6" xfId="5055" xr:uid="{00000000-0005-0000-0000-000060130000}"/>
    <cellStyle name="20% - Accent5 3 3 7" xfId="5056" xr:uid="{00000000-0005-0000-0000-000061130000}"/>
    <cellStyle name="20% - Accent5 3 3 8" xfId="5057" xr:uid="{00000000-0005-0000-0000-000062130000}"/>
    <cellStyle name="20% - Accent5 3 3 9" xfId="5058" xr:uid="{00000000-0005-0000-0000-000063130000}"/>
    <cellStyle name="20% - Accent5 3 30" xfId="5059" xr:uid="{00000000-0005-0000-0000-000064130000}"/>
    <cellStyle name="20% - Accent5 3 30 10" xfId="5060" xr:uid="{00000000-0005-0000-0000-000065130000}"/>
    <cellStyle name="20% - Accent5 3 30 11" xfId="5061" xr:uid="{00000000-0005-0000-0000-000066130000}"/>
    <cellStyle name="20% - Accent5 3 30 12" xfId="5062" xr:uid="{00000000-0005-0000-0000-000067130000}"/>
    <cellStyle name="20% - Accent5 3 30 13" xfId="5063" xr:uid="{00000000-0005-0000-0000-000068130000}"/>
    <cellStyle name="20% - Accent5 3 30 14" xfId="5064" xr:uid="{00000000-0005-0000-0000-000069130000}"/>
    <cellStyle name="20% - Accent5 3 30 15" xfId="5065" xr:uid="{00000000-0005-0000-0000-00006A130000}"/>
    <cellStyle name="20% - Accent5 3 30 2" xfId="5066" xr:uid="{00000000-0005-0000-0000-00006B130000}"/>
    <cellStyle name="20% - Accent5 3 30 3" xfId="5067" xr:uid="{00000000-0005-0000-0000-00006C130000}"/>
    <cellStyle name="20% - Accent5 3 30 4" xfId="5068" xr:uid="{00000000-0005-0000-0000-00006D130000}"/>
    <cellStyle name="20% - Accent5 3 30 5" xfId="5069" xr:uid="{00000000-0005-0000-0000-00006E130000}"/>
    <cellStyle name="20% - Accent5 3 30 6" xfId="5070" xr:uid="{00000000-0005-0000-0000-00006F130000}"/>
    <cellStyle name="20% - Accent5 3 30 7" xfId="5071" xr:uid="{00000000-0005-0000-0000-000070130000}"/>
    <cellStyle name="20% - Accent5 3 30 8" xfId="5072" xr:uid="{00000000-0005-0000-0000-000071130000}"/>
    <cellStyle name="20% - Accent5 3 30 9" xfId="5073" xr:uid="{00000000-0005-0000-0000-000072130000}"/>
    <cellStyle name="20% - Accent5 3 31" xfId="5074" xr:uid="{00000000-0005-0000-0000-000073130000}"/>
    <cellStyle name="20% - Accent5 3 31 10" xfId="5075" xr:uid="{00000000-0005-0000-0000-000074130000}"/>
    <cellStyle name="20% - Accent5 3 31 11" xfId="5076" xr:uid="{00000000-0005-0000-0000-000075130000}"/>
    <cellStyle name="20% - Accent5 3 31 12" xfId="5077" xr:uid="{00000000-0005-0000-0000-000076130000}"/>
    <cellStyle name="20% - Accent5 3 31 13" xfId="5078" xr:uid="{00000000-0005-0000-0000-000077130000}"/>
    <cellStyle name="20% - Accent5 3 31 14" xfId="5079" xr:uid="{00000000-0005-0000-0000-000078130000}"/>
    <cellStyle name="20% - Accent5 3 31 15" xfId="5080" xr:uid="{00000000-0005-0000-0000-000079130000}"/>
    <cellStyle name="20% - Accent5 3 31 2" xfId="5081" xr:uid="{00000000-0005-0000-0000-00007A130000}"/>
    <cellStyle name="20% - Accent5 3 31 3" xfId="5082" xr:uid="{00000000-0005-0000-0000-00007B130000}"/>
    <cellStyle name="20% - Accent5 3 31 4" xfId="5083" xr:uid="{00000000-0005-0000-0000-00007C130000}"/>
    <cellStyle name="20% - Accent5 3 31 5" xfId="5084" xr:uid="{00000000-0005-0000-0000-00007D130000}"/>
    <cellStyle name="20% - Accent5 3 31 6" xfId="5085" xr:uid="{00000000-0005-0000-0000-00007E130000}"/>
    <cellStyle name="20% - Accent5 3 31 7" xfId="5086" xr:uid="{00000000-0005-0000-0000-00007F130000}"/>
    <cellStyle name="20% - Accent5 3 31 8" xfId="5087" xr:uid="{00000000-0005-0000-0000-000080130000}"/>
    <cellStyle name="20% - Accent5 3 31 9" xfId="5088" xr:uid="{00000000-0005-0000-0000-000081130000}"/>
    <cellStyle name="20% - Accent5 3 32" xfId="5089" xr:uid="{00000000-0005-0000-0000-000082130000}"/>
    <cellStyle name="20% - Accent5 3 32 10" xfId="5090" xr:uid="{00000000-0005-0000-0000-000083130000}"/>
    <cellStyle name="20% - Accent5 3 32 11" xfId="5091" xr:uid="{00000000-0005-0000-0000-000084130000}"/>
    <cellStyle name="20% - Accent5 3 32 12" xfId="5092" xr:uid="{00000000-0005-0000-0000-000085130000}"/>
    <cellStyle name="20% - Accent5 3 32 13" xfId="5093" xr:uid="{00000000-0005-0000-0000-000086130000}"/>
    <cellStyle name="20% - Accent5 3 32 14" xfId="5094" xr:uid="{00000000-0005-0000-0000-000087130000}"/>
    <cellStyle name="20% - Accent5 3 32 15" xfId="5095" xr:uid="{00000000-0005-0000-0000-000088130000}"/>
    <cellStyle name="20% - Accent5 3 32 2" xfId="5096" xr:uid="{00000000-0005-0000-0000-000089130000}"/>
    <cellStyle name="20% - Accent5 3 32 3" xfId="5097" xr:uid="{00000000-0005-0000-0000-00008A130000}"/>
    <cellStyle name="20% - Accent5 3 32 4" xfId="5098" xr:uid="{00000000-0005-0000-0000-00008B130000}"/>
    <cellStyle name="20% - Accent5 3 32 5" xfId="5099" xr:uid="{00000000-0005-0000-0000-00008C130000}"/>
    <cellStyle name="20% - Accent5 3 32 6" xfId="5100" xr:uid="{00000000-0005-0000-0000-00008D130000}"/>
    <cellStyle name="20% - Accent5 3 32 7" xfId="5101" xr:uid="{00000000-0005-0000-0000-00008E130000}"/>
    <cellStyle name="20% - Accent5 3 32 8" xfId="5102" xr:uid="{00000000-0005-0000-0000-00008F130000}"/>
    <cellStyle name="20% - Accent5 3 32 9" xfId="5103" xr:uid="{00000000-0005-0000-0000-000090130000}"/>
    <cellStyle name="20% - Accent5 3 33" xfId="5104" xr:uid="{00000000-0005-0000-0000-000091130000}"/>
    <cellStyle name="20% - Accent5 3 34" xfId="5105" xr:uid="{00000000-0005-0000-0000-000092130000}"/>
    <cellStyle name="20% - Accent5 3 35" xfId="5106" xr:uid="{00000000-0005-0000-0000-000093130000}"/>
    <cellStyle name="20% - Accent5 3 36" xfId="5107" xr:uid="{00000000-0005-0000-0000-000094130000}"/>
    <cellStyle name="20% - Accent5 3 37" xfId="5108" xr:uid="{00000000-0005-0000-0000-000095130000}"/>
    <cellStyle name="20% - Accent5 3 38" xfId="5109" xr:uid="{00000000-0005-0000-0000-000096130000}"/>
    <cellStyle name="20% - Accent5 3 39" xfId="5110" xr:uid="{00000000-0005-0000-0000-000097130000}"/>
    <cellStyle name="20% - Accent5 3 4" xfId="5111" xr:uid="{00000000-0005-0000-0000-000098130000}"/>
    <cellStyle name="20% - Accent5 3 4 10" xfId="5112" xr:uid="{00000000-0005-0000-0000-000099130000}"/>
    <cellStyle name="20% - Accent5 3 4 11" xfId="5113" xr:uid="{00000000-0005-0000-0000-00009A130000}"/>
    <cellStyle name="20% - Accent5 3 4 12" xfId="5114" xr:uid="{00000000-0005-0000-0000-00009B130000}"/>
    <cellStyle name="20% - Accent5 3 4 13" xfId="5115" xr:uid="{00000000-0005-0000-0000-00009C130000}"/>
    <cellStyle name="20% - Accent5 3 4 14" xfId="5116" xr:uid="{00000000-0005-0000-0000-00009D130000}"/>
    <cellStyle name="20% - Accent5 3 4 15" xfId="5117" xr:uid="{00000000-0005-0000-0000-00009E130000}"/>
    <cellStyle name="20% - Accent5 3 4 16" xfId="5118" xr:uid="{00000000-0005-0000-0000-00009F130000}"/>
    <cellStyle name="20% - Accent5 3 4 2" xfId="5119" xr:uid="{00000000-0005-0000-0000-0000A0130000}"/>
    <cellStyle name="20% - Accent5 3 4 3" xfId="5120" xr:uid="{00000000-0005-0000-0000-0000A1130000}"/>
    <cellStyle name="20% - Accent5 3 4 4" xfId="5121" xr:uid="{00000000-0005-0000-0000-0000A2130000}"/>
    <cellStyle name="20% - Accent5 3 4 5" xfId="5122" xr:uid="{00000000-0005-0000-0000-0000A3130000}"/>
    <cellStyle name="20% - Accent5 3 4 6" xfId="5123" xr:uid="{00000000-0005-0000-0000-0000A4130000}"/>
    <cellStyle name="20% - Accent5 3 4 7" xfId="5124" xr:uid="{00000000-0005-0000-0000-0000A5130000}"/>
    <cellStyle name="20% - Accent5 3 4 8" xfId="5125" xr:uid="{00000000-0005-0000-0000-0000A6130000}"/>
    <cellStyle name="20% - Accent5 3 4 9" xfId="5126" xr:uid="{00000000-0005-0000-0000-0000A7130000}"/>
    <cellStyle name="20% - Accent5 3 40" xfId="5127" xr:uid="{00000000-0005-0000-0000-0000A8130000}"/>
    <cellStyle name="20% - Accent5 3 41" xfId="5128" xr:uid="{00000000-0005-0000-0000-0000A9130000}"/>
    <cellStyle name="20% - Accent5 3 42" xfId="5129" xr:uid="{00000000-0005-0000-0000-0000AA130000}"/>
    <cellStyle name="20% - Accent5 3 43" xfId="5130" xr:uid="{00000000-0005-0000-0000-0000AB130000}"/>
    <cellStyle name="20% - Accent5 3 44" xfId="5131" xr:uid="{00000000-0005-0000-0000-0000AC130000}"/>
    <cellStyle name="20% - Accent5 3 45" xfId="5132" xr:uid="{00000000-0005-0000-0000-0000AD130000}"/>
    <cellStyle name="20% - Accent5 3 46" xfId="5133" xr:uid="{00000000-0005-0000-0000-0000AE130000}"/>
    <cellStyle name="20% - Accent5 3 47" xfId="5134" xr:uid="{00000000-0005-0000-0000-0000AF130000}"/>
    <cellStyle name="20% - Accent5 3 48" xfId="5135" xr:uid="{00000000-0005-0000-0000-0000B0130000}"/>
    <cellStyle name="20% - Accent5 3 49" xfId="5136" xr:uid="{00000000-0005-0000-0000-0000B1130000}"/>
    <cellStyle name="20% - Accent5 3 5" xfId="5137" xr:uid="{00000000-0005-0000-0000-0000B2130000}"/>
    <cellStyle name="20% - Accent5 3 5 10" xfId="5138" xr:uid="{00000000-0005-0000-0000-0000B3130000}"/>
    <cellStyle name="20% - Accent5 3 5 11" xfId="5139" xr:uid="{00000000-0005-0000-0000-0000B4130000}"/>
    <cellStyle name="20% - Accent5 3 5 12" xfId="5140" xr:uid="{00000000-0005-0000-0000-0000B5130000}"/>
    <cellStyle name="20% - Accent5 3 5 13" xfId="5141" xr:uid="{00000000-0005-0000-0000-0000B6130000}"/>
    <cellStyle name="20% - Accent5 3 5 14" xfId="5142" xr:uid="{00000000-0005-0000-0000-0000B7130000}"/>
    <cellStyle name="20% - Accent5 3 5 15" xfId="5143" xr:uid="{00000000-0005-0000-0000-0000B8130000}"/>
    <cellStyle name="20% - Accent5 3 5 2" xfId="5144" xr:uid="{00000000-0005-0000-0000-0000B9130000}"/>
    <cellStyle name="20% - Accent5 3 5 3" xfId="5145" xr:uid="{00000000-0005-0000-0000-0000BA130000}"/>
    <cellStyle name="20% - Accent5 3 5 4" xfId="5146" xr:uid="{00000000-0005-0000-0000-0000BB130000}"/>
    <cellStyle name="20% - Accent5 3 5 5" xfId="5147" xr:uid="{00000000-0005-0000-0000-0000BC130000}"/>
    <cellStyle name="20% - Accent5 3 5 6" xfId="5148" xr:uid="{00000000-0005-0000-0000-0000BD130000}"/>
    <cellStyle name="20% - Accent5 3 5 7" xfId="5149" xr:uid="{00000000-0005-0000-0000-0000BE130000}"/>
    <cellStyle name="20% - Accent5 3 5 8" xfId="5150" xr:uid="{00000000-0005-0000-0000-0000BF130000}"/>
    <cellStyle name="20% - Accent5 3 5 9" xfId="5151" xr:uid="{00000000-0005-0000-0000-0000C0130000}"/>
    <cellStyle name="20% - Accent5 3 50" xfId="5152" xr:uid="{00000000-0005-0000-0000-0000C1130000}"/>
    <cellStyle name="20% - Accent5 3 51" xfId="5153" xr:uid="{00000000-0005-0000-0000-0000C2130000}"/>
    <cellStyle name="20% - Accent5 3 52" xfId="5154" xr:uid="{00000000-0005-0000-0000-0000C3130000}"/>
    <cellStyle name="20% - Accent5 3 53" xfId="5155" xr:uid="{00000000-0005-0000-0000-0000C4130000}"/>
    <cellStyle name="20% - Accent5 3 54" xfId="5156" xr:uid="{00000000-0005-0000-0000-0000C5130000}"/>
    <cellStyle name="20% - Accent5 3 55" xfId="5157" xr:uid="{00000000-0005-0000-0000-0000C6130000}"/>
    <cellStyle name="20% - Accent5 3 6" xfId="5158" xr:uid="{00000000-0005-0000-0000-0000C7130000}"/>
    <cellStyle name="20% - Accent5 3 6 10" xfId="5159" xr:uid="{00000000-0005-0000-0000-0000C8130000}"/>
    <cellStyle name="20% - Accent5 3 6 11" xfId="5160" xr:uid="{00000000-0005-0000-0000-0000C9130000}"/>
    <cellStyle name="20% - Accent5 3 6 12" xfId="5161" xr:uid="{00000000-0005-0000-0000-0000CA130000}"/>
    <cellStyle name="20% - Accent5 3 6 13" xfId="5162" xr:uid="{00000000-0005-0000-0000-0000CB130000}"/>
    <cellStyle name="20% - Accent5 3 6 14" xfId="5163" xr:uid="{00000000-0005-0000-0000-0000CC130000}"/>
    <cellStyle name="20% - Accent5 3 6 15" xfId="5164" xr:uid="{00000000-0005-0000-0000-0000CD130000}"/>
    <cellStyle name="20% - Accent5 3 6 2" xfId="5165" xr:uid="{00000000-0005-0000-0000-0000CE130000}"/>
    <cellStyle name="20% - Accent5 3 6 3" xfId="5166" xr:uid="{00000000-0005-0000-0000-0000CF130000}"/>
    <cellStyle name="20% - Accent5 3 6 4" xfId="5167" xr:uid="{00000000-0005-0000-0000-0000D0130000}"/>
    <cellStyle name="20% - Accent5 3 6 5" xfId="5168" xr:uid="{00000000-0005-0000-0000-0000D1130000}"/>
    <cellStyle name="20% - Accent5 3 6 6" xfId="5169" xr:uid="{00000000-0005-0000-0000-0000D2130000}"/>
    <cellStyle name="20% - Accent5 3 6 7" xfId="5170" xr:uid="{00000000-0005-0000-0000-0000D3130000}"/>
    <cellStyle name="20% - Accent5 3 6 8" xfId="5171" xr:uid="{00000000-0005-0000-0000-0000D4130000}"/>
    <cellStyle name="20% - Accent5 3 6 9" xfId="5172" xr:uid="{00000000-0005-0000-0000-0000D5130000}"/>
    <cellStyle name="20% - Accent5 3 7" xfId="5173" xr:uid="{00000000-0005-0000-0000-0000D6130000}"/>
    <cellStyle name="20% - Accent5 3 7 10" xfId="5174" xr:uid="{00000000-0005-0000-0000-0000D7130000}"/>
    <cellStyle name="20% - Accent5 3 7 11" xfId="5175" xr:uid="{00000000-0005-0000-0000-0000D8130000}"/>
    <cellStyle name="20% - Accent5 3 7 12" xfId="5176" xr:uid="{00000000-0005-0000-0000-0000D9130000}"/>
    <cellStyle name="20% - Accent5 3 7 13" xfId="5177" xr:uid="{00000000-0005-0000-0000-0000DA130000}"/>
    <cellStyle name="20% - Accent5 3 7 14" xfId="5178" xr:uid="{00000000-0005-0000-0000-0000DB130000}"/>
    <cellStyle name="20% - Accent5 3 7 15" xfId="5179" xr:uid="{00000000-0005-0000-0000-0000DC130000}"/>
    <cellStyle name="20% - Accent5 3 7 2" xfId="5180" xr:uid="{00000000-0005-0000-0000-0000DD130000}"/>
    <cellStyle name="20% - Accent5 3 7 3" xfId="5181" xr:uid="{00000000-0005-0000-0000-0000DE130000}"/>
    <cellStyle name="20% - Accent5 3 7 4" xfId="5182" xr:uid="{00000000-0005-0000-0000-0000DF130000}"/>
    <cellStyle name="20% - Accent5 3 7 5" xfId="5183" xr:uid="{00000000-0005-0000-0000-0000E0130000}"/>
    <cellStyle name="20% - Accent5 3 7 6" xfId="5184" xr:uid="{00000000-0005-0000-0000-0000E1130000}"/>
    <cellStyle name="20% - Accent5 3 7 7" xfId="5185" xr:uid="{00000000-0005-0000-0000-0000E2130000}"/>
    <cellStyle name="20% - Accent5 3 7 8" xfId="5186" xr:uid="{00000000-0005-0000-0000-0000E3130000}"/>
    <cellStyle name="20% - Accent5 3 7 9" xfId="5187" xr:uid="{00000000-0005-0000-0000-0000E4130000}"/>
    <cellStyle name="20% - Accent5 3 8" xfId="5188" xr:uid="{00000000-0005-0000-0000-0000E5130000}"/>
    <cellStyle name="20% - Accent5 3 8 10" xfId="5189" xr:uid="{00000000-0005-0000-0000-0000E6130000}"/>
    <cellStyle name="20% - Accent5 3 8 11" xfId="5190" xr:uid="{00000000-0005-0000-0000-0000E7130000}"/>
    <cellStyle name="20% - Accent5 3 8 12" xfId="5191" xr:uid="{00000000-0005-0000-0000-0000E8130000}"/>
    <cellStyle name="20% - Accent5 3 8 13" xfId="5192" xr:uid="{00000000-0005-0000-0000-0000E9130000}"/>
    <cellStyle name="20% - Accent5 3 8 14" xfId="5193" xr:uid="{00000000-0005-0000-0000-0000EA130000}"/>
    <cellStyle name="20% - Accent5 3 8 15" xfId="5194" xr:uid="{00000000-0005-0000-0000-0000EB130000}"/>
    <cellStyle name="20% - Accent5 3 8 2" xfId="5195" xr:uid="{00000000-0005-0000-0000-0000EC130000}"/>
    <cellStyle name="20% - Accent5 3 8 3" xfId="5196" xr:uid="{00000000-0005-0000-0000-0000ED130000}"/>
    <cellStyle name="20% - Accent5 3 8 4" xfId="5197" xr:uid="{00000000-0005-0000-0000-0000EE130000}"/>
    <cellStyle name="20% - Accent5 3 8 5" xfId="5198" xr:uid="{00000000-0005-0000-0000-0000EF130000}"/>
    <cellStyle name="20% - Accent5 3 8 6" xfId="5199" xr:uid="{00000000-0005-0000-0000-0000F0130000}"/>
    <cellStyle name="20% - Accent5 3 8 7" xfId="5200" xr:uid="{00000000-0005-0000-0000-0000F1130000}"/>
    <cellStyle name="20% - Accent5 3 8 8" xfId="5201" xr:uid="{00000000-0005-0000-0000-0000F2130000}"/>
    <cellStyle name="20% - Accent5 3 8 9" xfId="5202" xr:uid="{00000000-0005-0000-0000-0000F3130000}"/>
    <cellStyle name="20% - Accent5 3 9" xfId="5203" xr:uid="{00000000-0005-0000-0000-0000F4130000}"/>
    <cellStyle name="20% - Accent5 3 9 10" xfId="5204" xr:uid="{00000000-0005-0000-0000-0000F5130000}"/>
    <cellStyle name="20% - Accent5 3 9 11" xfId="5205" xr:uid="{00000000-0005-0000-0000-0000F6130000}"/>
    <cellStyle name="20% - Accent5 3 9 12" xfId="5206" xr:uid="{00000000-0005-0000-0000-0000F7130000}"/>
    <cellStyle name="20% - Accent5 3 9 13" xfId="5207" xr:uid="{00000000-0005-0000-0000-0000F8130000}"/>
    <cellStyle name="20% - Accent5 3 9 14" xfId="5208" xr:uid="{00000000-0005-0000-0000-0000F9130000}"/>
    <cellStyle name="20% - Accent5 3 9 15" xfId="5209" xr:uid="{00000000-0005-0000-0000-0000FA130000}"/>
    <cellStyle name="20% - Accent5 3 9 2" xfId="5210" xr:uid="{00000000-0005-0000-0000-0000FB130000}"/>
    <cellStyle name="20% - Accent5 3 9 3" xfId="5211" xr:uid="{00000000-0005-0000-0000-0000FC130000}"/>
    <cellStyle name="20% - Accent5 3 9 4" xfId="5212" xr:uid="{00000000-0005-0000-0000-0000FD130000}"/>
    <cellStyle name="20% - Accent5 3 9 5" xfId="5213" xr:uid="{00000000-0005-0000-0000-0000FE130000}"/>
    <cellStyle name="20% - Accent5 3 9 6" xfId="5214" xr:uid="{00000000-0005-0000-0000-0000FF130000}"/>
    <cellStyle name="20% - Accent5 3 9 7" xfId="5215" xr:uid="{00000000-0005-0000-0000-000000140000}"/>
    <cellStyle name="20% - Accent5 3 9 8" xfId="5216" xr:uid="{00000000-0005-0000-0000-000001140000}"/>
    <cellStyle name="20% - Accent5 3 9 9" xfId="5217" xr:uid="{00000000-0005-0000-0000-000002140000}"/>
    <cellStyle name="20% - Accent5 30" xfId="5218" xr:uid="{00000000-0005-0000-0000-000003140000}"/>
    <cellStyle name="20% - Accent5 30 10" xfId="5219" xr:uid="{00000000-0005-0000-0000-000004140000}"/>
    <cellStyle name="20% - Accent5 30 11" xfId="5220" xr:uid="{00000000-0005-0000-0000-000005140000}"/>
    <cellStyle name="20% - Accent5 30 12" xfId="5221" xr:uid="{00000000-0005-0000-0000-000006140000}"/>
    <cellStyle name="20% - Accent5 30 13" xfId="5222" xr:uid="{00000000-0005-0000-0000-000007140000}"/>
    <cellStyle name="20% - Accent5 30 14" xfId="5223" xr:uid="{00000000-0005-0000-0000-000008140000}"/>
    <cellStyle name="20% - Accent5 30 15" xfId="5224" xr:uid="{00000000-0005-0000-0000-000009140000}"/>
    <cellStyle name="20% - Accent5 30 16" xfId="5225" xr:uid="{00000000-0005-0000-0000-00000A140000}"/>
    <cellStyle name="20% - Accent5 30 2" xfId="5226" xr:uid="{00000000-0005-0000-0000-00000B140000}"/>
    <cellStyle name="20% - Accent5 30 3" xfId="5227" xr:uid="{00000000-0005-0000-0000-00000C140000}"/>
    <cellStyle name="20% - Accent5 30 4" xfId="5228" xr:uid="{00000000-0005-0000-0000-00000D140000}"/>
    <cellStyle name="20% - Accent5 30 5" xfId="5229" xr:uid="{00000000-0005-0000-0000-00000E140000}"/>
    <cellStyle name="20% - Accent5 30 6" xfId="5230" xr:uid="{00000000-0005-0000-0000-00000F140000}"/>
    <cellStyle name="20% - Accent5 30 7" xfId="5231" xr:uid="{00000000-0005-0000-0000-000010140000}"/>
    <cellStyle name="20% - Accent5 30 8" xfId="5232" xr:uid="{00000000-0005-0000-0000-000011140000}"/>
    <cellStyle name="20% - Accent5 30 9" xfId="5233" xr:uid="{00000000-0005-0000-0000-000012140000}"/>
    <cellStyle name="20% - Accent5 31" xfId="5234" xr:uid="{00000000-0005-0000-0000-000013140000}"/>
    <cellStyle name="20% - Accent5 31 10" xfId="5235" xr:uid="{00000000-0005-0000-0000-000014140000}"/>
    <cellStyle name="20% - Accent5 31 11" xfId="5236" xr:uid="{00000000-0005-0000-0000-000015140000}"/>
    <cellStyle name="20% - Accent5 31 12" xfId="5237" xr:uid="{00000000-0005-0000-0000-000016140000}"/>
    <cellStyle name="20% - Accent5 31 13" xfId="5238" xr:uid="{00000000-0005-0000-0000-000017140000}"/>
    <cellStyle name="20% - Accent5 31 14" xfId="5239" xr:uid="{00000000-0005-0000-0000-000018140000}"/>
    <cellStyle name="20% - Accent5 31 15" xfId="5240" xr:uid="{00000000-0005-0000-0000-000019140000}"/>
    <cellStyle name="20% - Accent5 31 16" xfId="5241" xr:uid="{00000000-0005-0000-0000-00001A140000}"/>
    <cellStyle name="20% - Accent5 31 2" xfId="5242" xr:uid="{00000000-0005-0000-0000-00001B140000}"/>
    <cellStyle name="20% - Accent5 31 3" xfId="5243" xr:uid="{00000000-0005-0000-0000-00001C140000}"/>
    <cellStyle name="20% - Accent5 31 4" xfId="5244" xr:uid="{00000000-0005-0000-0000-00001D140000}"/>
    <cellStyle name="20% - Accent5 31 5" xfId="5245" xr:uid="{00000000-0005-0000-0000-00001E140000}"/>
    <cellStyle name="20% - Accent5 31 6" xfId="5246" xr:uid="{00000000-0005-0000-0000-00001F140000}"/>
    <cellStyle name="20% - Accent5 31 7" xfId="5247" xr:uid="{00000000-0005-0000-0000-000020140000}"/>
    <cellStyle name="20% - Accent5 31 8" xfId="5248" xr:uid="{00000000-0005-0000-0000-000021140000}"/>
    <cellStyle name="20% - Accent5 31 9" xfId="5249" xr:uid="{00000000-0005-0000-0000-000022140000}"/>
    <cellStyle name="20% - Accent5 32" xfId="5250" xr:uid="{00000000-0005-0000-0000-000023140000}"/>
    <cellStyle name="20% - Accent5 32 10" xfId="5251" xr:uid="{00000000-0005-0000-0000-000024140000}"/>
    <cellStyle name="20% - Accent5 32 11" xfId="5252" xr:uid="{00000000-0005-0000-0000-000025140000}"/>
    <cellStyle name="20% - Accent5 32 12" xfId="5253" xr:uid="{00000000-0005-0000-0000-000026140000}"/>
    <cellStyle name="20% - Accent5 32 13" xfId="5254" xr:uid="{00000000-0005-0000-0000-000027140000}"/>
    <cellStyle name="20% - Accent5 32 14" xfId="5255" xr:uid="{00000000-0005-0000-0000-000028140000}"/>
    <cellStyle name="20% - Accent5 32 15" xfId="5256" xr:uid="{00000000-0005-0000-0000-000029140000}"/>
    <cellStyle name="20% - Accent5 32 2" xfId="5257" xr:uid="{00000000-0005-0000-0000-00002A140000}"/>
    <cellStyle name="20% - Accent5 32 3" xfId="5258" xr:uid="{00000000-0005-0000-0000-00002B140000}"/>
    <cellStyle name="20% - Accent5 32 4" xfId="5259" xr:uid="{00000000-0005-0000-0000-00002C140000}"/>
    <cellStyle name="20% - Accent5 32 5" xfId="5260" xr:uid="{00000000-0005-0000-0000-00002D140000}"/>
    <cellStyle name="20% - Accent5 32 6" xfId="5261" xr:uid="{00000000-0005-0000-0000-00002E140000}"/>
    <cellStyle name="20% - Accent5 32 7" xfId="5262" xr:uid="{00000000-0005-0000-0000-00002F140000}"/>
    <cellStyle name="20% - Accent5 32 8" xfId="5263" xr:uid="{00000000-0005-0000-0000-000030140000}"/>
    <cellStyle name="20% - Accent5 32 9" xfId="5264" xr:uid="{00000000-0005-0000-0000-000031140000}"/>
    <cellStyle name="20% - Accent5 33" xfId="5265" xr:uid="{00000000-0005-0000-0000-000032140000}"/>
    <cellStyle name="20% - Accent5 33 10" xfId="5266" xr:uid="{00000000-0005-0000-0000-000033140000}"/>
    <cellStyle name="20% - Accent5 33 11" xfId="5267" xr:uid="{00000000-0005-0000-0000-000034140000}"/>
    <cellStyle name="20% - Accent5 33 12" xfId="5268" xr:uid="{00000000-0005-0000-0000-000035140000}"/>
    <cellStyle name="20% - Accent5 33 13" xfId="5269" xr:uid="{00000000-0005-0000-0000-000036140000}"/>
    <cellStyle name="20% - Accent5 33 14" xfId="5270" xr:uid="{00000000-0005-0000-0000-000037140000}"/>
    <cellStyle name="20% - Accent5 33 15" xfId="5271" xr:uid="{00000000-0005-0000-0000-000038140000}"/>
    <cellStyle name="20% - Accent5 33 16" xfId="5272" xr:uid="{00000000-0005-0000-0000-000039140000}"/>
    <cellStyle name="20% - Accent5 33 2" xfId="5273" xr:uid="{00000000-0005-0000-0000-00003A140000}"/>
    <cellStyle name="20% - Accent5 33 3" xfId="5274" xr:uid="{00000000-0005-0000-0000-00003B140000}"/>
    <cellStyle name="20% - Accent5 33 4" xfId="5275" xr:uid="{00000000-0005-0000-0000-00003C140000}"/>
    <cellStyle name="20% - Accent5 33 5" xfId="5276" xr:uid="{00000000-0005-0000-0000-00003D140000}"/>
    <cellStyle name="20% - Accent5 33 6" xfId="5277" xr:uid="{00000000-0005-0000-0000-00003E140000}"/>
    <cellStyle name="20% - Accent5 33 7" xfId="5278" xr:uid="{00000000-0005-0000-0000-00003F140000}"/>
    <cellStyle name="20% - Accent5 33 8" xfId="5279" xr:uid="{00000000-0005-0000-0000-000040140000}"/>
    <cellStyle name="20% - Accent5 33 9" xfId="5280" xr:uid="{00000000-0005-0000-0000-000041140000}"/>
    <cellStyle name="20% - Accent5 34" xfId="5281" xr:uid="{00000000-0005-0000-0000-000042140000}"/>
    <cellStyle name="20% - Accent5 34 10" xfId="5282" xr:uid="{00000000-0005-0000-0000-000043140000}"/>
    <cellStyle name="20% - Accent5 34 11" xfId="5283" xr:uid="{00000000-0005-0000-0000-000044140000}"/>
    <cellStyle name="20% - Accent5 34 12" xfId="5284" xr:uid="{00000000-0005-0000-0000-000045140000}"/>
    <cellStyle name="20% - Accent5 34 13" xfId="5285" xr:uid="{00000000-0005-0000-0000-000046140000}"/>
    <cellStyle name="20% - Accent5 34 14" xfId="5286" xr:uid="{00000000-0005-0000-0000-000047140000}"/>
    <cellStyle name="20% - Accent5 34 15" xfId="5287" xr:uid="{00000000-0005-0000-0000-000048140000}"/>
    <cellStyle name="20% - Accent5 34 16" xfId="5288" xr:uid="{00000000-0005-0000-0000-000049140000}"/>
    <cellStyle name="20% - Accent5 34 2" xfId="5289" xr:uid="{00000000-0005-0000-0000-00004A140000}"/>
    <cellStyle name="20% - Accent5 34 3" xfId="5290" xr:uid="{00000000-0005-0000-0000-00004B140000}"/>
    <cellStyle name="20% - Accent5 34 4" xfId="5291" xr:uid="{00000000-0005-0000-0000-00004C140000}"/>
    <cellStyle name="20% - Accent5 34 5" xfId="5292" xr:uid="{00000000-0005-0000-0000-00004D140000}"/>
    <cellStyle name="20% - Accent5 34 6" xfId="5293" xr:uid="{00000000-0005-0000-0000-00004E140000}"/>
    <cellStyle name="20% - Accent5 34 7" xfId="5294" xr:uid="{00000000-0005-0000-0000-00004F140000}"/>
    <cellStyle name="20% - Accent5 34 8" xfId="5295" xr:uid="{00000000-0005-0000-0000-000050140000}"/>
    <cellStyle name="20% - Accent5 34 9" xfId="5296" xr:uid="{00000000-0005-0000-0000-000051140000}"/>
    <cellStyle name="20% - Accent5 35" xfId="5297" xr:uid="{00000000-0005-0000-0000-000052140000}"/>
    <cellStyle name="20% - Accent5 35 10" xfId="5298" xr:uid="{00000000-0005-0000-0000-000053140000}"/>
    <cellStyle name="20% - Accent5 35 11" xfId="5299" xr:uid="{00000000-0005-0000-0000-000054140000}"/>
    <cellStyle name="20% - Accent5 35 12" xfId="5300" xr:uid="{00000000-0005-0000-0000-000055140000}"/>
    <cellStyle name="20% - Accent5 35 13" xfId="5301" xr:uid="{00000000-0005-0000-0000-000056140000}"/>
    <cellStyle name="20% - Accent5 35 14" xfId="5302" xr:uid="{00000000-0005-0000-0000-000057140000}"/>
    <cellStyle name="20% - Accent5 35 15" xfId="5303" xr:uid="{00000000-0005-0000-0000-000058140000}"/>
    <cellStyle name="20% - Accent5 35 16" xfId="5304" xr:uid="{00000000-0005-0000-0000-000059140000}"/>
    <cellStyle name="20% - Accent5 35 2" xfId="5305" xr:uid="{00000000-0005-0000-0000-00005A140000}"/>
    <cellStyle name="20% - Accent5 35 3" xfId="5306" xr:uid="{00000000-0005-0000-0000-00005B140000}"/>
    <cellStyle name="20% - Accent5 35 4" xfId="5307" xr:uid="{00000000-0005-0000-0000-00005C140000}"/>
    <cellStyle name="20% - Accent5 35 5" xfId="5308" xr:uid="{00000000-0005-0000-0000-00005D140000}"/>
    <cellStyle name="20% - Accent5 35 6" xfId="5309" xr:uid="{00000000-0005-0000-0000-00005E140000}"/>
    <cellStyle name="20% - Accent5 35 7" xfId="5310" xr:uid="{00000000-0005-0000-0000-00005F140000}"/>
    <cellStyle name="20% - Accent5 35 8" xfId="5311" xr:uid="{00000000-0005-0000-0000-000060140000}"/>
    <cellStyle name="20% - Accent5 35 9" xfId="5312" xr:uid="{00000000-0005-0000-0000-000061140000}"/>
    <cellStyle name="20% - Accent5 36" xfId="5313" xr:uid="{00000000-0005-0000-0000-000062140000}"/>
    <cellStyle name="20% - Accent5 36 10" xfId="5314" xr:uid="{00000000-0005-0000-0000-000063140000}"/>
    <cellStyle name="20% - Accent5 36 11" xfId="5315" xr:uid="{00000000-0005-0000-0000-000064140000}"/>
    <cellStyle name="20% - Accent5 36 12" xfId="5316" xr:uid="{00000000-0005-0000-0000-000065140000}"/>
    <cellStyle name="20% - Accent5 36 13" xfId="5317" xr:uid="{00000000-0005-0000-0000-000066140000}"/>
    <cellStyle name="20% - Accent5 36 14" xfId="5318" xr:uid="{00000000-0005-0000-0000-000067140000}"/>
    <cellStyle name="20% - Accent5 36 15" xfId="5319" xr:uid="{00000000-0005-0000-0000-000068140000}"/>
    <cellStyle name="20% - Accent5 36 16" xfId="5320" xr:uid="{00000000-0005-0000-0000-000069140000}"/>
    <cellStyle name="20% - Accent5 36 2" xfId="5321" xr:uid="{00000000-0005-0000-0000-00006A140000}"/>
    <cellStyle name="20% - Accent5 36 3" xfId="5322" xr:uid="{00000000-0005-0000-0000-00006B140000}"/>
    <cellStyle name="20% - Accent5 36 4" xfId="5323" xr:uid="{00000000-0005-0000-0000-00006C140000}"/>
    <cellStyle name="20% - Accent5 36 5" xfId="5324" xr:uid="{00000000-0005-0000-0000-00006D140000}"/>
    <cellStyle name="20% - Accent5 36 6" xfId="5325" xr:uid="{00000000-0005-0000-0000-00006E140000}"/>
    <cellStyle name="20% - Accent5 36 7" xfId="5326" xr:uid="{00000000-0005-0000-0000-00006F140000}"/>
    <cellStyle name="20% - Accent5 36 8" xfId="5327" xr:uid="{00000000-0005-0000-0000-000070140000}"/>
    <cellStyle name="20% - Accent5 36 9" xfId="5328" xr:uid="{00000000-0005-0000-0000-000071140000}"/>
    <cellStyle name="20% - Accent5 37" xfId="5329" xr:uid="{00000000-0005-0000-0000-000072140000}"/>
    <cellStyle name="20% - Accent5 37 10" xfId="5330" xr:uid="{00000000-0005-0000-0000-000073140000}"/>
    <cellStyle name="20% - Accent5 37 11" xfId="5331" xr:uid="{00000000-0005-0000-0000-000074140000}"/>
    <cellStyle name="20% - Accent5 37 12" xfId="5332" xr:uid="{00000000-0005-0000-0000-000075140000}"/>
    <cellStyle name="20% - Accent5 37 13" xfId="5333" xr:uid="{00000000-0005-0000-0000-000076140000}"/>
    <cellStyle name="20% - Accent5 37 14" xfId="5334" xr:uid="{00000000-0005-0000-0000-000077140000}"/>
    <cellStyle name="20% - Accent5 37 15" xfId="5335" xr:uid="{00000000-0005-0000-0000-000078140000}"/>
    <cellStyle name="20% - Accent5 37 2" xfId="5336" xr:uid="{00000000-0005-0000-0000-000079140000}"/>
    <cellStyle name="20% - Accent5 37 3" xfId="5337" xr:uid="{00000000-0005-0000-0000-00007A140000}"/>
    <cellStyle name="20% - Accent5 37 4" xfId="5338" xr:uid="{00000000-0005-0000-0000-00007B140000}"/>
    <cellStyle name="20% - Accent5 37 5" xfId="5339" xr:uid="{00000000-0005-0000-0000-00007C140000}"/>
    <cellStyle name="20% - Accent5 37 6" xfId="5340" xr:uid="{00000000-0005-0000-0000-00007D140000}"/>
    <cellStyle name="20% - Accent5 37 7" xfId="5341" xr:uid="{00000000-0005-0000-0000-00007E140000}"/>
    <cellStyle name="20% - Accent5 37 8" xfId="5342" xr:uid="{00000000-0005-0000-0000-00007F140000}"/>
    <cellStyle name="20% - Accent5 37 9" xfId="5343" xr:uid="{00000000-0005-0000-0000-000080140000}"/>
    <cellStyle name="20% - Accent5 38" xfId="5344" xr:uid="{00000000-0005-0000-0000-000081140000}"/>
    <cellStyle name="20% - Accent5 38 10" xfId="5345" xr:uid="{00000000-0005-0000-0000-000082140000}"/>
    <cellStyle name="20% - Accent5 38 11" xfId="5346" xr:uid="{00000000-0005-0000-0000-000083140000}"/>
    <cellStyle name="20% - Accent5 38 12" xfId="5347" xr:uid="{00000000-0005-0000-0000-000084140000}"/>
    <cellStyle name="20% - Accent5 38 13" xfId="5348" xr:uid="{00000000-0005-0000-0000-000085140000}"/>
    <cellStyle name="20% - Accent5 38 14" xfId="5349" xr:uid="{00000000-0005-0000-0000-000086140000}"/>
    <cellStyle name="20% - Accent5 38 15" xfId="5350" xr:uid="{00000000-0005-0000-0000-000087140000}"/>
    <cellStyle name="20% - Accent5 38 2" xfId="5351" xr:uid="{00000000-0005-0000-0000-000088140000}"/>
    <cellStyle name="20% - Accent5 38 3" xfId="5352" xr:uid="{00000000-0005-0000-0000-000089140000}"/>
    <cellStyle name="20% - Accent5 38 4" xfId="5353" xr:uid="{00000000-0005-0000-0000-00008A140000}"/>
    <cellStyle name="20% - Accent5 38 5" xfId="5354" xr:uid="{00000000-0005-0000-0000-00008B140000}"/>
    <cellStyle name="20% - Accent5 38 6" xfId="5355" xr:uid="{00000000-0005-0000-0000-00008C140000}"/>
    <cellStyle name="20% - Accent5 38 7" xfId="5356" xr:uid="{00000000-0005-0000-0000-00008D140000}"/>
    <cellStyle name="20% - Accent5 38 8" xfId="5357" xr:uid="{00000000-0005-0000-0000-00008E140000}"/>
    <cellStyle name="20% - Accent5 38 9" xfId="5358" xr:uid="{00000000-0005-0000-0000-00008F140000}"/>
    <cellStyle name="20% - Accent5 39" xfId="5359" xr:uid="{00000000-0005-0000-0000-000090140000}"/>
    <cellStyle name="20% - Accent5 39 10" xfId="5360" xr:uid="{00000000-0005-0000-0000-000091140000}"/>
    <cellStyle name="20% - Accent5 39 11" xfId="5361" xr:uid="{00000000-0005-0000-0000-000092140000}"/>
    <cellStyle name="20% - Accent5 39 12" xfId="5362" xr:uid="{00000000-0005-0000-0000-000093140000}"/>
    <cellStyle name="20% - Accent5 39 13" xfId="5363" xr:uid="{00000000-0005-0000-0000-000094140000}"/>
    <cellStyle name="20% - Accent5 39 14" xfId="5364" xr:uid="{00000000-0005-0000-0000-000095140000}"/>
    <cellStyle name="20% - Accent5 39 15" xfId="5365" xr:uid="{00000000-0005-0000-0000-000096140000}"/>
    <cellStyle name="20% - Accent5 39 2" xfId="5366" xr:uid="{00000000-0005-0000-0000-000097140000}"/>
    <cellStyle name="20% - Accent5 39 3" xfId="5367" xr:uid="{00000000-0005-0000-0000-000098140000}"/>
    <cellStyle name="20% - Accent5 39 4" xfId="5368" xr:uid="{00000000-0005-0000-0000-000099140000}"/>
    <cellStyle name="20% - Accent5 39 5" xfId="5369" xr:uid="{00000000-0005-0000-0000-00009A140000}"/>
    <cellStyle name="20% - Accent5 39 6" xfId="5370" xr:uid="{00000000-0005-0000-0000-00009B140000}"/>
    <cellStyle name="20% - Accent5 39 7" xfId="5371" xr:uid="{00000000-0005-0000-0000-00009C140000}"/>
    <cellStyle name="20% - Accent5 39 8" xfId="5372" xr:uid="{00000000-0005-0000-0000-00009D140000}"/>
    <cellStyle name="20% - Accent5 39 9" xfId="5373" xr:uid="{00000000-0005-0000-0000-00009E140000}"/>
    <cellStyle name="20% - Accent5 4" xfId="5374" xr:uid="{00000000-0005-0000-0000-00009F140000}"/>
    <cellStyle name="20% - Accent5 4 2" xfId="5375" xr:uid="{00000000-0005-0000-0000-0000A0140000}"/>
    <cellStyle name="20% - Accent5 4 2 2" xfId="5376" xr:uid="{00000000-0005-0000-0000-0000A1140000}"/>
    <cellStyle name="20% - Accent5 4 2 3" xfId="5377" xr:uid="{00000000-0005-0000-0000-0000A2140000}"/>
    <cellStyle name="20% - Accent5 4 2 4" xfId="5378" xr:uid="{00000000-0005-0000-0000-0000A3140000}"/>
    <cellStyle name="20% - Accent5 4 2 5" xfId="5379" xr:uid="{00000000-0005-0000-0000-0000A4140000}"/>
    <cellStyle name="20% - Accent5 4 3" xfId="5380" xr:uid="{00000000-0005-0000-0000-0000A5140000}"/>
    <cellStyle name="20% - Accent5 4 3 2" xfId="5381" xr:uid="{00000000-0005-0000-0000-0000A6140000}"/>
    <cellStyle name="20% - Accent5 4 4" xfId="5382" xr:uid="{00000000-0005-0000-0000-0000A7140000}"/>
    <cellStyle name="20% - Accent5 4 4 2" xfId="5383" xr:uid="{00000000-0005-0000-0000-0000A8140000}"/>
    <cellStyle name="20% - Accent5 4 5" xfId="5384" xr:uid="{00000000-0005-0000-0000-0000A9140000}"/>
    <cellStyle name="20% - Accent5 4 5 2" xfId="5385" xr:uid="{00000000-0005-0000-0000-0000AA140000}"/>
    <cellStyle name="20% - Accent5 4 6" xfId="5386" xr:uid="{00000000-0005-0000-0000-0000AB140000}"/>
    <cellStyle name="20% - Accent5 4 6 2" xfId="5387" xr:uid="{00000000-0005-0000-0000-0000AC140000}"/>
    <cellStyle name="20% - Accent5 4 7" xfId="5388" xr:uid="{00000000-0005-0000-0000-0000AD140000}"/>
    <cellStyle name="20% - Accent5 40" xfId="5389" xr:uid="{00000000-0005-0000-0000-0000AE140000}"/>
    <cellStyle name="20% - Accent5 41" xfId="5390" xr:uid="{00000000-0005-0000-0000-0000AF140000}"/>
    <cellStyle name="20% - Accent5 42" xfId="5391" xr:uid="{00000000-0005-0000-0000-0000B0140000}"/>
    <cellStyle name="20% - Accent5 43" xfId="5392" xr:uid="{00000000-0005-0000-0000-0000B1140000}"/>
    <cellStyle name="20% - Accent5 44" xfId="5393" xr:uid="{00000000-0005-0000-0000-0000B2140000}"/>
    <cellStyle name="20% - Accent5 45" xfId="5394" xr:uid="{00000000-0005-0000-0000-0000B3140000}"/>
    <cellStyle name="20% - Accent5 46" xfId="5395" xr:uid="{00000000-0005-0000-0000-0000B4140000}"/>
    <cellStyle name="20% - Accent5 47" xfId="5396" xr:uid="{00000000-0005-0000-0000-0000B5140000}"/>
    <cellStyle name="20% - Accent5 48" xfId="5397" xr:uid="{00000000-0005-0000-0000-0000B6140000}"/>
    <cellStyle name="20% - Accent5 49" xfId="5398" xr:uid="{00000000-0005-0000-0000-0000B7140000}"/>
    <cellStyle name="20% - Accent5 5" xfId="5399" xr:uid="{00000000-0005-0000-0000-0000B8140000}"/>
    <cellStyle name="20% - Accent5 5 2" xfId="5400" xr:uid="{00000000-0005-0000-0000-0000B9140000}"/>
    <cellStyle name="20% - Accent5 5 2 2" xfId="5401" xr:uid="{00000000-0005-0000-0000-0000BA140000}"/>
    <cellStyle name="20% - Accent5 5 2 3" xfId="5402" xr:uid="{00000000-0005-0000-0000-0000BB140000}"/>
    <cellStyle name="20% - Accent5 5 2 4" xfId="5403" xr:uid="{00000000-0005-0000-0000-0000BC140000}"/>
    <cellStyle name="20% - Accent5 5 2 5" xfId="5404" xr:uid="{00000000-0005-0000-0000-0000BD140000}"/>
    <cellStyle name="20% - Accent5 5 3" xfId="5405" xr:uid="{00000000-0005-0000-0000-0000BE140000}"/>
    <cellStyle name="20% - Accent5 5 3 2" xfId="5406" xr:uid="{00000000-0005-0000-0000-0000BF140000}"/>
    <cellStyle name="20% - Accent5 5 3 3" xfId="5407" xr:uid="{00000000-0005-0000-0000-0000C0140000}"/>
    <cellStyle name="20% - Accent5 5 4" xfId="5408" xr:uid="{00000000-0005-0000-0000-0000C1140000}"/>
    <cellStyle name="20% - Accent5 5 4 2" xfId="5409" xr:uid="{00000000-0005-0000-0000-0000C2140000}"/>
    <cellStyle name="20% - Accent5 5 5" xfId="5410" xr:uid="{00000000-0005-0000-0000-0000C3140000}"/>
    <cellStyle name="20% - Accent5 5 6" xfId="5411" xr:uid="{00000000-0005-0000-0000-0000C4140000}"/>
    <cellStyle name="20% - Accent5 50" xfId="5412" xr:uid="{00000000-0005-0000-0000-0000C5140000}"/>
    <cellStyle name="20% - Accent5 51" xfId="5413" xr:uid="{00000000-0005-0000-0000-0000C6140000}"/>
    <cellStyle name="20% - Accent5 52" xfId="5414" xr:uid="{00000000-0005-0000-0000-0000C7140000}"/>
    <cellStyle name="20% - Accent5 53" xfId="5415" xr:uid="{00000000-0005-0000-0000-0000C8140000}"/>
    <cellStyle name="20% - Accent5 54" xfId="5416" xr:uid="{00000000-0005-0000-0000-0000C9140000}"/>
    <cellStyle name="20% - Accent5 55" xfId="5417" xr:uid="{00000000-0005-0000-0000-0000CA140000}"/>
    <cellStyle name="20% - Accent5 56" xfId="5418" xr:uid="{00000000-0005-0000-0000-0000CB140000}"/>
    <cellStyle name="20% - Accent5 57" xfId="5419" xr:uid="{00000000-0005-0000-0000-0000CC140000}"/>
    <cellStyle name="20% - Accent5 58" xfId="5420" xr:uid="{00000000-0005-0000-0000-0000CD140000}"/>
    <cellStyle name="20% - Accent5 59" xfId="5421" xr:uid="{00000000-0005-0000-0000-0000CE140000}"/>
    <cellStyle name="20% - Accent5 6" xfId="5422" xr:uid="{00000000-0005-0000-0000-0000CF140000}"/>
    <cellStyle name="20% - Accent5 6 2" xfId="5423" xr:uid="{00000000-0005-0000-0000-0000D0140000}"/>
    <cellStyle name="20% - Accent5 6 2 2" xfId="5424" xr:uid="{00000000-0005-0000-0000-0000D1140000}"/>
    <cellStyle name="20% - Accent5 6 2 3" xfId="5425" xr:uid="{00000000-0005-0000-0000-0000D2140000}"/>
    <cellStyle name="20% - Accent5 6 2 4" xfId="5426" xr:uid="{00000000-0005-0000-0000-0000D3140000}"/>
    <cellStyle name="20% - Accent5 6 3" xfId="5427" xr:uid="{00000000-0005-0000-0000-0000D4140000}"/>
    <cellStyle name="20% - Accent5 6 4" xfId="5428" xr:uid="{00000000-0005-0000-0000-0000D5140000}"/>
    <cellStyle name="20% - Accent5 6 5" xfId="5429" xr:uid="{00000000-0005-0000-0000-0000D6140000}"/>
    <cellStyle name="20% - Accent5 60" xfId="5430" xr:uid="{00000000-0005-0000-0000-0000D7140000}"/>
    <cellStyle name="20% - Accent5 61" xfId="5431" xr:uid="{00000000-0005-0000-0000-0000D8140000}"/>
    <cellStyle name="20% - Accent5 62" xfId="5432" xr:uid="{00000000-0005-0000-0000-0000D9140000}"/>
    <cellStyle name="20% - Accent5 63" xfId="5433" xr:uid="{00000000-0005-0000-0000-0000DA140000}"/>
    <cellStyle name="20% - Accent5 64" xfId="5434" xr:uid="{00000000-0005-0000-0000-0000DB140000}"/>
    <cellStyle name="20% - Accent5 65" xfId="5435" xr:uid="{00000000-0005-0000-0000-0000DC140000}"/>
    <cellStyle name="20% - Accent5 66" xfId="5436" xr:uid="{00000000-0005-0000-0000-0000DD140000}"/>
    <cellStyle name="20% - Accent5 67" xfId="5437" xr:uid="{00000000-0005-0000-0000-0000DE140000}"/>
    <cellStyle name="20% - Accent5 68" xfId="5438" xr:uid="{00000000-0005-0000-0000-0000DF140000}"/>
    <cellStyle name="20% - Accent5 69" xfId="5439" xr:uid="{00000000-0005-0000-0000-0000E0140000}"/>
    <cellStyle name="20% - Accent5 7" xfId="5440" xr:uid="{00000000-0005-0000-0000-0000E1140000}"/>
    <cellStyle name="20% - Accent5 7 2" xfId="5441" xr:uid="{00000000-0005-0000-0000-0000E2140000}"/>
    <cellStyle name="20% - Accent5 7 2 2" xfId="5442" xr:uid="{00000000-0005-0000-0000-0000E3140000}"/>
    <cellStyle name="20% - Accent5 7 2 3" xfId="5443" xr:uid="{00000000-0005-0000-0000-0000E4140000}"/>
    <cellStyle name="20% - Accent5 7 2 4" xfId="5444" xr:uid="{00000000-0005-0000-0000-0000E5140000}"/>
    <cellStyle name="20% - Accent5 7 3" xfId="5445" xr:uid="{00000000-0005-0000-0000-0000E6140000}"/>
    <cellStyle name="20% - Accent5 7 4" xfId="5446" xr:uid="{00000000-0005-0000-0000-0000E7140000}"/>
    <cellStyle name="20% - Accent5 7 5" xfId="5447" xr:uid="{00000000-0005-0000-0000-0000E8140000}"/>
    <cellStyle name="20% - Accent5 70" xfId="5448" xr:uid="{00000000-0005-0000-0000-0000E9140000}"/>
    <cellStyle name="20% - Accent5 71" xfId="5449" xr:uid="{00000000-0005-0000-0000-0000EA140000}"/>
    <cellStyle name="20% - Accent5 72" xfId="5450" xr:uid="{00000000-0005-0000-0000-0000EB140000}"/>
    <cellStyle name="20% - Accent5 73" xfId="5451" xr:uid="{00000000-0005-0000-0000-0000EC140000}"/>
    <cellStyle name="20% - Accent5 74" xfId="5452" xr:uid="{00000000-0005-0000-0000-0000ED140000}"/>
    <cellStyle name="20% - Accent5 75" xfId="5453" xr:uid="{00000000-0005-0000-0000-0000EE140000}"/>
    <cellStyle name="20% - Accent5 76" xfId="5454" xr:uid="{00000000-0005-0000-0000-0000EF140000}"/>
    <cellStyle name="20% - Accent5 77" xfId="5455" xr:uid="{00000000-0005-0000-0000-0000F0140000}"/>
    <cellStyle name="20% - Accent5 78" xfId="5456" xr:uid="{00000000-0005-0000-0000-0000F1140000}"/>
    <cellStyle name="20% - Accent5 79" xfId="5457" xr:uid="{00000000-0005-0000-0000-0000F2140000}"/>
    <cellStyle name="20% - Accent5 79 2" xfId="5458" xr:uid="{00000000-0005-0000-0000-0000F3140000}"/>
    <cellStyle name="20% - Accent5 8" xfId="5459" xr:uid="{00000000-0005-0000-0000-0000F4140000}"/>
    <cellStyle name="20% - Accent5 8 2" xfId="5460" xr:uid="{00000000-0005-0000-0000-0000F5140000}"/>
    <cellStyle name="20% - Accent5 8 2 2" xfId="5461" xr:uid="{00000000-0005-0000-0000-0000F6140000}"/>
    <cellStyle name="20% - Accent5 8 2 3" xfId="5462" xr:uid="{00000000-0005-0000-0000-0000F7140000}"/>
    <cellStyle name="20% - Accent5 8 2 4" xfId="5463" xr:uid="{00000000-0005-0000-0000-0000F8140000}"/>
    <cellStyle name="20% - Accent5 8 3" xfId="5464" xr:uid="{00000000-0005-0000-0000-0000F9140000}"/>
    <cellStyle name="20% - Accent5 8 4" xfId="5465" xr:uid="{00000000-0005-0000-0000-0000FA140000}"/>
    <cellStyle name="20% - Accent5 8 5" xfId="5466" xr:uid="{00000000-0005-0000-0000-0000FB140000}"/>
    <cellStyle name="20% - Accent5 80" xfId="5467" xr:uid="{00000000-0005-0000-0000-0000FC140000}"/>
    <cellStyle name="20% - Accent5 80 2" xfId="5468" xr:uid="{00000000-0005-0000-0000-0000FD140000}"/>
    <cellStyle name="20% - Accent5 81" xfId="5469" xr:uid="{00000000-0005-0000-0000-0000FE140000}"/>
    <cellStyle name="20% - Accent5 81 2" xfId="5470" xr:uid="{00000000-0005-0000-0000-0000FF140000}"/>
    <cellStyle name="20% - Accent5 82" xfId="5471" xr:uid="{00000000-0005-0000-0000-000000150000}"/>
    <cellStyle name="20% - Accent5 82 2" xfId="5472" xr:uid="{00000000-0005-0000-0000-000001150000}"/>
    <cellStyle name="20% - Accent5 83" xfId="5473" xr:uid="{00000000-0005-0000-0000-000002150000}"/>
    <cellStyle name="20% - Accent5 83 2" xfId="5474" xr:uid="{00000000-0005-0000-0000-000003150000}"/>
    <cellStyle name="20% - Accent5 84" xfId="5475" xr:uid="{00000000-0005-0000-0000-000004150000}"/>
    <cellStyle name="20% - Accent5 84 2" xfId="5476" xr:uid="{00000000-0005-0000-0000-000005150000}"/>
    <cellStyle name="20% - Accent5 85" xfId="5477" xr:uid="{00000000-0005-0000-0000-000006150000}"/>
    <cellStyle name="20% - Accent5 85 2" xfId="5478" xr:uid="{00000000-0005-0000-0000-000007150000}"/>
    <cellStyle name="20% - Accent5 86" xfId="5479" xr:uid="{00000000-0005-0000-0000-000008150000}"/>
    <cellStyle name="20% - Accent5 86 2" xfId="5480" xr:uid="{00000000-0005-0000-0000-000009150000}"/>
    <cellStyle name="20% - Accent5 87" xfId="5481" xr:uid="{00000000-0005-0000-0000-00000A150000}"/>
    <cellStyle name="20% - Accent5 87 2" xfId="5482" xr:uid="{00000000-0005-0000-0000-00000B150000}"/>
    <cellStyle name="20% - Accent5 88" xfId="5483" xr:uid="{00000000-0005-0000-0000-00000C150000}"/>
    <cellStyle name="20% - Accent5 88 2" xfId="5484" xr:uid="{00000000-0005-0000-0000-00000D150000}"/>
    <cellStyle name="20% - Accent5 89" xfId="5485" xr:uid="{00000000-0005-0000-0000-00000E150000}"/>
    <cellStyle name="20% - Accent5 89 2" xfId="5486" xr:uid="{00000000-0005-0000-0000-00000F150000}"/>
    <cellStyle name="20% - Accent5 9" xfId="5487" xr:uid="{00000000-0005-0000-0000-000010150000}"/>
    <cellStyle name="20% - Accent5 9 2" xfId="5488" xr:uid="{00000000-0005-0000-0000-000011150000}"/>
    <cellStyle name="20% - Accent5 9 2 2" xfId="5489" xr:uid="{00000000-0005-0000-0000-000012150000}"/>
    <cellStyle name="20% - Accent5 9 2 3" xfId="5490" xr:uid="{00000000-0005-0000-0000-000013150000}"/>
    <cellStyle name="20% - Accent5 9 2 4" xfId="5491" xr:uid="{00000000-0005-0000-0000-000014150000}"/>
    <cellStyle name="20% - Accent5 9 3" xfId="5492" xr:uid="{00000000-0005-0000-0000-000015150000}"/>
    <cellStyle name="20% - Accent5 9 4" xfId="5493" xr:uid="{00000000-0005-0000-0000-000016150000}"/>
    <cellStyle name="20% - Accent5 9 5" xfId="5494" xr:uid="{00000000-0005-0000-0000-000017150000}"/>
    <cellStyle name="20% - Accent5 90" xfId="5495" xr:uid="{00000000-0005-0000-0000-000018150000}"/>
    <cellStyle name="20% - Accent5 91" xfId="5496" xr:uid="{00000000-0005-0000-0000-000019150000}"/>
    <cellStyle name="20% - Accent5 92" xfId="5497" xr:uid="{00000000-0005-0000-0000-00001A150000}"/>
    <cellStyle name="20% - Accent5 93" xfId="5498" xr:uid="{00000000-0005-0000-0000-00001B150000}"/>
    <cellStyle name="20% - Accent5 94" xfId="5499" xr:uid="{00000000-0005-0000-0000-00001C150000}"/>
    <cellStyle name="20% - Accent5 95" xfId="5500" xr:uid="{00000000-0005-0000-0000-00001D150000}"/>
    <cellStyle name="20% - Accent5 96" xfId="5501" xr:uid="{00000000-0005-0000-0000-00001E150000}"/>
    <cellStyle name="20% - Accent5 97" xfId="5502" xr:uid="{00000000-0005-0000-0000-00001F150000}"/>
    <cellStyle name="20% - Accent5 98" xfId="5503" xr:uid="{00000000-0005-0000-0000-000020150000}"/>
    <cellStyle name="20% - Accent5 99" xfId="5504" xr:uid="{00000000-0005-0000-0000-000021150000}"/>
    <cellStyle name="20% - Accent6" xfId="39" builtinId="50" customBuiltin="1"/>
    <cellStyle name="20% - Accent6 10" xfId="5505" xr:uid="{00000000-0005-0000-0000-000023150000}"/>
    <cellStyle name="20% - Accent6 10 2" xfId="5506" xr:uid="{00000000-0005-0000-0000-000024150000}"/>
    <cellStyle name="20% - Accent6 10 2 2" xfId="5507" xr:uid="{00000000-0005-0000-0000-000025150000}"/>
    <cellStyle name="20% - Accent6 10 2 3" xfId="5508" xr:uid="{00000000-0005-0000-0000-000026150000}"/>
    <cellStyle name="20% - Accent6 10 2 4" xfId="5509" xr:uid="{00000000-0005-0000-0000-000027150000}"/>
    <cellStyle name="20% - Accent6 10 3" xfId="5510" xr:uid="{00000000-0005-0000-0000-000028150000}"/>
    <cellStyle name="20% - Accent6 10 4" xfId="5511" xr:uid="{00000000-0005-0000-0000-000029150000}"/>
    <cellStyle name="20% - Accent6 10 5" xfId="5512" xr:uid="{00000000-0005-0000-0000-00002A150000}"/>
    <cellStyle name="20% - Accent6 100" xfId="5513" xr:uid="{00000000-0005-0000-0000-00002B150000}"/>
    <cellStyle name="20% - Accent6 101" xfId="5514" xr:uid="{00000000-0005-0000-0000-00002C150000}"/>
    <cellStyle name="20% - Accent6 102" xfId="5515" xr:uid="{00000000-0005-0000-0000-00002D150000}"/>
    <cellStyle name="20% - Accent6 103" xfId="5516" xr:uid="{00000000-0005-0000-0000-00002E150000}"/>
    <cellStyle name="20% - Accent6 104" xfId="5517" xr:uid="{00000000-0005-0000-0000-00002F150000}"/>
    <cellStyle name="20% - Accent6 105" xfId="5518" xr:uid="{00000000-0005-0000-0000-000030150000}"/>
    <cellStyle name="20% - Accent6 106" xfId="5519" xr:uid="{00000000-0005-0000-0000-000031150000}"/>
    <cellStyle name="20% - Accent6 107" xfId="5520" xr:uid="{00000000-0005-0000-0000-000032150000}"/>
    <cellStyle name="20% - Accent6 108" xfId="5521" xr:uid="{00000000-0005-0000-0000-000033150000}"/>
    <cellStyle name="20% - Accent6 109" xfId="5522" xr:uid="{00000000-0005-0000-0000-000034150000}"/>
    <cellStyle name="20% - Accent6 11" xfId="5523" xr:uid="{00000000-0005-0000-0000-000035150000}"/>
    <cellStyle name="20% - Accent6 11 2" xfId="5524" xr:uid="{00000000-0005-0000-0000-000036150000}"/>
    <cellStyle name="20% - Accent6 11 2 2" xfId="5525" xr:uid="{00000000-0005-0000-0000-000037150000}"/>
    <cellStyle name="20% - Accent6 11 2 3" xfId="5526" xr:uid="{00000000-0005-0000-0000-000038150000}"/>
    <cellStyle name="20% - Accent6 11 2 4" xfId="5527" xr:uid="{00000000-0005-0000-0000-000039150000}"/>
    <cellStyle name="20% - Accent6 11 3" xfId="5528" xr:uid="{00000000-0005-0000-0000-00003A150000}"/>
    <cellStyle name="20% - Accent6 11 4" xfId="5529" xr:uid="{00000000-0005-0000-0000-00003B150000}"/>
    <cellStyle name="20% - Accent6 11 5" xfId="5530" xr:uid="{00000000-0005-0000-0000-00003C150000}"/>
    <cellStyle name="20% - Accent6 110" xfId="5531" xr:uid="{00000000-0005-0000-0000-00003D150000}"/>
    <cellStyle name="20% - Accent6 111" xfId="5532" xr:uid="{00000000-0005-0000-0000-00003E150000}"/>
    <cellStyle name="20% - Accent6 112" xfId="5533" xr:uid="{00000000-0005-0000-0000-00003F150000}"/>
    <cellStyle name="20% - Accent6 113" xfId="5534" xr:uid="{00000000-0005-0000-0000-000040150000}"/>
    <cellStyle name="20% - Accent6 114" xfId="5535" xr:uid="{00000000-0005-0000-0000-000041150000}"/>
    <cellStyle name="20% - Accent6 115" xfId="5536" xr:uid="{00000000-0005-0000-0000-000042150000}"/>
    <cellStyle name="20% - Accent6 116" xfId="5537" xr:uid="{00000000-0005-0000-0000-000043150000}"/>
    <cellStyle name="20% - Accent6 117" xfId="5538" xr:uid="{00000000-0005-0000-0000-000044150000}"/>
    <cellStyle name="20% - Accent6 118" xfId="5539" xr:uid="{00000000-0005-0000-0000-000045150000}"/>
    <cellStyle name="20% - Accent6 119" xfId="5540" xr:uid="{00000000-0005-0000-0000-000046150000}"/>
    <cellStyle name="20% - Accent6 12" xfId="5541" xr:uid="{00000000-0005-0000-0000-000047150000}"/>
    <cellStyle name="20% - Accent6 12 2" xfId="5542" xr:uid="{00000000-0005-0000-0000-000048150000}"/>
    <cellStyle name="20% - Accent6 12 2 2" xfId="5543" xr:uid="{00000000-0005-0000-0000-000049150000}"/>
    <cellStyle name="20% - Accent6 12 2 3" xfId="5544" xr:uid="{00000000-0005-0000-0000-00004A150000}"/>
    <cellStyle name="20% - Accent6 12 2 4" xfId="5545" xr:uid="{00000000-0005-0000-0000-00004B150000}"/>
    <cellStyle name="20% - Accent6 12 3" xfId="5546" xr:uid="{00000000-0005-0000-0000-00004C150000}"/>
    <cellStyle name="20% - Accent6 12 4" xfId="5547" xr:uid="{00000000-0005-0000-0000-00004D150000}"/>
    <cellStyle name="20% - Accent6 12 5" xfId="5548" xr:uid="{00000000-0005-0000-0000-00004E150000}"/>
    <cellStyle name="20% - Accent6 120" xfId="5549" xr:uid="{00000000-0005-0000-0000-00004F150000}"/>
    <cellStyle name="20% - Accent6 121" xfId="5550" xr:uid="{00000000-0005-0000-0000-000050150000}"/>
    <cellStyle name="20% - Accent6 122" xfId="5551" xr:uid="{00000000-0005-0000-0000-000051150000}"/>
    <cellStyle name="20% - Accent6 123" xfId="5552" xr:uid="{00000000-0005-0000-0000-000052150000}"/>
    <cellStyle name="20% - Accent6 124" xfId="5553" xr:uid="{00000000-0005-0000-0000-000053150000}"/>
    <cellStyle name="20% - Accent6 125" xfId="5554" xr:uid="{00000000-0005-0000-0000-000054150000}"/>
    <cellStyle name="20% - Accent6 126" xfId="5555" xr:uid="{00000000-0005-0000-0000-000055150000}"/>
    <cellStyle name="20% - Accent6 127" xfId="5556" xr:uid="{00000000-0005-0000-0000-000056150000}"/>
    <cellStyle name="20% - Accent6 128" xfId="5557" xr:uid="{00000000-0005-0000-0000-000057150000}"/>
    <cellStyle name="20% - Accent6 129" xfId="5558" xr:uid="{00000000-0005-0000-0000-000058150000}"/>
    <cellStyle name="20% - Accent6 13" xfId="5559" xr:uid="{00000000-0005-0000-0000-000059150000}"/>
    <cellStyle name="20% - Accent6 13 2" xfId="5560" xr:uid="{00000000-0005-0000-0000-00005A150000}"/>
    <cellStyle name="20% - Accent6 13 2 2" xfId="5561" xr:uid="{00000000-0005-0000-0000-00005B150000}"/>
    <cellStyle name="20% - Accent6 13 2 3" xfId="5562" xr:uid="{00000000-0005-0000-0000-00005C150000}"/>
    <cellStyle name="20% - Accent6 13 2 4" xfId="5563" xr:uid="{00000000-0005-0000-0000-00005D150000}"/>
    <cellStyle name="20% - Accent6 13 3" xfId="5564" xr:uid="{00000000-0005-0000-0000-00005E150000}"/>
    <cellStyle name="20% - Accent6 13 4" xfId="5565" xr:uid="{00000000-0005-0000-0000-00005F150000}"/>
    <cellStyle name="20% - Accent6 13 5" xfId="5566" xr:uid="{00000000-0005-0000-0000-000060150000}"/>
    <cellStyle name="20% - Accent6 130" xfId="5567" xr:uid="{00000000-0005-0000-0000-000061150000}"/>
    <cellStyle name="20% - Accent6 131" xfId="5568" xr:uid="{00000000-0005-0000-0000-000062150000}"/>
    <cellStyle name="20% - Accent6 132" xfId="5569" xr:uid="{00000000-0005-0000-0000-000063150000}"/>
    <cellStyle name="20% - Accent6 133" xfId="5570" xr:uid="{00000000-0005-0000-0000-000064150000}"/>
    <cellStyle name="20% - Accent6 134" xfId="5571" xr:uid="{00000000-0005-0000-0000-000065150000}"/>
    <cellStyle name="20% - Accent6 135" xfId="5572" xr:uid="{00000000-0005-0000-0000-000066150000}"/>
    <cellStyle name="20% - Accent6 136" xfId="5573" xr:uid="{00000000-0005-0000-0000-000067150000}"/>
    <cellStyle name="20% - Accent6 137" xfId="5574" xr:uid="{00000000-0005-0000-0000-000068150000}"/>
    <cellStyle name="20% - Accent6 138" xfId="5575" xr:uid="{00000000-0005-0000-0000-000069150000}"/>
    <cellStyle name="20% - Accent6 139" xfId="5576" xr:uid="{00000000-0005-0000-0000-00006A150000}"/>
    <cellStyle name="20% - Accent6 14" xfId="5577" xr:uid="{00000000-0005-0000-0000-00006B150000}"/>
    <cellStyle name="20% - Accent6 14 2" xfId="5578" xr:uid="{00000000-0005-0000-0000-00006C150000}"/>
    <cellStyle name="20% - Accent6 14 2 2" xfId="5579" xr:uid="{00000000-0005-0000-0000-00006D150000}"/>
    <cellStyle name="20% - Accent6 14 2 3" xfId="5580" xr:uid="{00000000-0005-0000-0000-00006E150000}"/>
    <cellStyle name="20% - Accent6 14 2 4" xfId="5581" xr:uid="{00000000-0005-0000-0000-00006F150000}"/>
    <cellStyle name="20% - Accent6 14 3" xfId="5582" xr:uid="{00000000-0005-0000-0000-000070150000}"/>
    <cellStyle name="20% - Accent6 14 4" xfId="5583" xr:uid="{00000000-0005-0000-0000-000071150000}"/>
    <cellStyle name="20% - Accent6 14 5" xfId="5584" xr:uid="{00000000-0005-0000-0000-000072150000}"/>
    <cellStyle name="20% - Accent6 140" xfId="5585" xr:uid="{00000000-0005-0000-0000-000073150000}"/>
    <cellStyle name="20% - Accent6 141" xfId="5586" xr:uid="{00000000-0005-0000-0000-000074150000}"/>
    <cellStyle name="20% - Accent6 142" xfId="5587" xr:uid="{00000000-0005-0000-0000-000075150000}"/>
    <cellStyle name="20% - Accent6 143" xfId="5588" xr:uid="{00000000-0005-0000-0000-000076150000}"/>
    <cellStyle name="20% - Accent6 144" xfId="5589" xr:uid="{00000000-0005-0000-0000-000077150000}"/>
    <cellStyle name="20% - Accent6 145" xfId="5590" xr:uid="{00000000-0005-0000-0000-000078150000}"/>
    <cellStyle name="20% - Accent6 146" xfId="5591" xr:uid="{00000000-0005-0000-0000-000079150000}"/>
    <cellStyle name="20% - Accent6 147" xfId="5592" xr:uid="{00000000-0005-0000-0000-00007A150000}"/>
    <cellStyle name="20% - Accent6 148" xfId="5593" xr:uid="{00000000-0005-0000-0000-00007B150000}"/>
    <cellStyle name="20% - Accent6 149" xfId="5594" xr:uid="{00000000-0005-0000-0000-00007C150000}"/>
    <cellStyle name="20% - Accent6 15" xfId="5595" xr:uid="{00000000-0005-0000-0000-00007D150000}"/>
    <cellStyle name="20% - Accent6 15 2" xfId="5596" xr:uid="{00000000-0005-0000-0000-00007E150000}"/>
    <cellStyle name="20% - Accent6 15 2 2" xfId="5597" xr:uid="{00000000-0005-0000-0000-00007F150000}"/>
    <cellStyle name="20% - Accent6 15 2 3" xfId="5598" xr:uid="{00000000-0005-0000-0000-000080150000}"/>
    <cellStyle name="20% - Accent6 15 2 4" xfId="5599" xr:uid="{00000000-0005-0000-0000-000081150000}"/>
    <cellStyle name="20% - Accent6 15 3" xfId="5600" xr:uid="{00000000-0005-0000-0000-000082150000}"/>
    <cellStyle name="20% - Accent6 15 4" xfId="5601" xr:uid="{00000000-0005-0000-0000-000083150000}"/>
    <cellStyle name="20% - Accent6 15 5" xfId="5602" xr:uid="{00000000-0005-0000-0000-000084150000}"/>
    <cellStyle name="20% - Accent6 150" xfId="5603" xr:uid="{00000000-0005-0000-0000-000085150000}"/>
    <cellStyle name="20% - Accent6 151" xfId="5604" xr:uid="{00000000-0005-0000-0000-000086150000}"/>
    <cellStyle name="20% - Accent6 152" xfId="5605" xr:uid="{00000000-0005-0000-0000-000087150000}"/>
    <cellStyle name="20% - Accent6 153" xfId="5606" xr:uid="{00000000-0005-0000-0000-000088150000}"/>
    <cellStyle name="20% - Accent6 154" xfId="5607" xr:uid="{00000000-0005-0000-0000-000089150000}"/>
    <cellStyle name="20% - Accent6 155" xfId="5608" xr:uid="{00000000-0005-0000-0000-00008A150000}"/>
    <cellStyle name="20% - Accent6 156" xfId="5609" xr:uid="{00000000-0005-0000-0000-00008B150000}"/>
    <cellStyle name="20% - Accent6 157" xfId="5610" xr:uid="{00000000-0005-0000-0000-00008C150000}"/>
    <cellStyle name="20% - Accent6 158" xfId="5611" xr:uid="{00000000-0005-0000-0000-00008D150000}"/>
    <cellStyle name="20% - Accent6 159" xfId="5612" xr:uid="{00000000-0005-0000-0000-00008E150000}"/>
    <cellStyle name="20% - Accent6 16" xfId="5613" xr:uid="{00000000-0005-0000-0000-00008F150000}"/>
    <cellStyle name="20% - Accent6 16 2" xfId="5614" xr:uid="{00000000-0005-0000-0000-000090150000}"/>
    <cellStyle name="20% - Accent6 16 2 2" xfId="5615" xr:uid="{00000000-0005-0000-0000-000091150000}"/>
    <cellStyle name="20% - Accent6 16 3" xfId="5616" xr:uid="{00000000-0005-0000-0000-000092150000}"/>
    <cellStyle name="20% - Accent6 16 4" xfId="5617" xr:uid="{00000000-0005-0000-0000-000093150000}"/>
    <cellStyle name="20% - Accent6 16 5" xfId="5618" xr:uid="{00000000-0005-0000-0000-000094150000}"/>
    <cellStyle name="20% - Accent6 160" xfId="5619" xr:uid="{00000000-0005-0000-0000-000095150000}"/>
    <cellStyle name="20% - Accent6 161" xfId="5620" xr:uid="{00000000-0005-0000-0000-000096150000}"/>
    <cellStyle name="20% - Accent6 162" xfId="5621" xr:uid="{00000000-0005-0000-0000-000097150000}"/>
    <cellStyle name="20% - Accent6 163" xfId="5622" xr:uid="{00000000-0005-0000-0000-000098150000}"/>
    <cellStyle name="20% - Accent6 164" xfId="5623" xr:uid="{00000000-0005-0000-0000-000099150000}"/>
    <cellStyle name="20% - Accent6 165" xfId="5624" xr:uid="{00000000-0005-0000-0000-00009A150000}"/>
    <cellStyle name="20% - Accent6 166" xfId="5625" xr:uid="{00000000-0005-0000-0000-00009B150000}"/>
    <cellStyle name="20% - Accent6 167" xfId="5626" xr:uid="{00000000-0005-0000-0000-00009C150000}"/>
    <cellStyle name="20% - Accent6 168" xfId="5627" xr:uid="{00000000-0005-0000-0000-00009D150000}"/>
    <cellStyle name="20% - Accent6 169" xfId="5628" xr:uid="{00000000-0005-0000-0000-00009E150000}"/>
    <cellStyle name="20% - Accent6 17" xfId="5629" xr:uid="{00000000-0005-0000-0000-00009F150000}"/>
    <cellStyle name="20% - Accent6 17 2" xfId="5630" xr:uid="{00000000-0005-0000-0000-0000A0150000}"/>
    <cellStyle name="20% - Accent6 17 2 2" xfId="5631" xr:uid="{00000000-0005-0000-0000-0000A1150000}"/>
    <cellStyle name="20% - Accent6 17 3" xfId="5632" xr:uid="{00000000-0005-0000-0000-0000A2150000}"/>
    <cellStyle name="20% - Accent6 17 4" xfId="5633" xr:uid="{00000000-0005-0000-0000-0000A3150000}"/>
    <cellStyle name="20% - Accent6 17 5" xfId="5634" xr:uid="{00000000-0005-0000-0000-0000A4150000}"/>
    <cellStyle name="20% - Accent6 18" xfId="5635" xr:uid="{00000000-0005-0000-0000-0000A5150000}"/>
    <cellStyle name="20% - Accent6 18 2" xfId="5636" xr:uid="{00000000-0005-0000-0000-0000A6150000}"/>
    <cellStyle name="20% - Accent6 18 2 2" xfId="5637" xr:uid="{00000000-0005-0000-0000-0000A7150000}"/>
    <cellStyle name="20% - Accent6 18 3" xfId="5638" xr:uid="{00000000-0005-0000-0000-0000A8150000}"/>
    <cellStyle name="20% - Accent6 18 4" xfId="5639" xr:uid="{00000000-0005-0000-0000-0000A9150000}"/>
    <cellStyle name="20% - Accent6 18 5" xfId="5640" xr:uid="{00000000-0005-0000-0000-0000AA150000}"/>
    <cellStyle name="20% - Accent6 19" xfId="5641" xr:uid="{00000000-0005-0000-0000-0000AB150000}"/>
    <cellStyle name="20% - Accent6 19 2" xfId="5642" xr:uid="{00000000-0005-0000-0000-0000AC150000}"/>
    <cellStyle name="20% - Accent6 19 2 2" xfId="5643" xr:uid="{00000000-0005-0000-0000-0000AD150000}"/>
    <cellStyle name="20% - Accent6 19 3" xfId="5644" xr:uid="{00000000-0005-0000-0000-0000AE150000}"/>
    <cellStyle name="20% - Accent6 19 4" xfId="5645" xr:uid="{00000000-0005-0000-0000-0000AF150000}"/>
    <cellStyle name="20% - Accent6 19 5" xfId="5646" xr:uid="{00000000-0005-0000-0000-0000B0150000}"/>
    <cellStyle name="20% - Accent6 2" xfId="5647" xr:uid="{00000000-0005-0000-0000-0000B1150000}"/>
    <cellStyle name="20% - Accent6 2 10" xfId="5648" xr:uid="{00000000-0005-0000-0000-0000B2150000}"/>
    <cellStyle name="20% - Accent6 2 11" xfId="5649" xr:uid="{00000000-0005-0000-0000-0000B3150000}"/>
    <cellStyle name="20% - Accent6 2 12" xfId="5650" xr:uid="{00000000-0005-0000-0000-0000B4150000}"/>
    <cellStyle name="20% - Accent6 2 13" xfId="5651" xr:uid="{00000000-0005-0000-0000-0000B5150000}"/>
    <cellStyle name="20% - Accent6 2 14" xfId="5652" xr:uid="{00000000-0005-0000-0000-0000B6150000}"/>
    <cellStyle name="20% - Accent6 2 15" xfId="5653" xr:uid="{00000000-0005-0000-0000-0000B7150000}"/>
    <cellStyle name="20% - Accent6 2 16" xfId="5654" xr:uid="{00000000-0005-0000-0000-0000B8150000}"/>
    <cellStyle name="20% - Accent6 2 17" xfId="5655" xr:uid="{00000000-0005-0000-0000-0000B9150000}"/>
    <cellStyle name="20% - Accent6 2 18" xfId="5656" xr:uid="{00000000-0005-0000-0000-0000BA150000}"/>
    <cellStyle name="20% - Accent6 2 19" xfId="5657" xr:uid="{00000000-0005-0000-0000-0000BB150000}"/>
    <cellStyle name="20% - Accent6 2 2" xfId="5658" xr:uid="{00000000-0005-0000-0000-0000BC150000}"/>
    <cellStyle name="20% - Accent6 2 2 2" xfId="5659" xr:uid="{00000000-0005-0000-0000-0000BD150000}"/>
    <cellStyle name="20% - Accent6 2 20" xfId="5660" xr:uid="{00000000-0005-0000-0000-0000BE150000}"/>
    <cellStyle name="20% - Accent6 2 21" xfId="5661" xr:uid="{00000000-0005-0000-0000-0000BF150000}"/>
    <cellStyle name="20% - Accent6 2 22" xfId="5662" xr:uid="{00000000-0005-0000-0000-0000C0150000}"/>
    <cellStyle name="20% - Accent6 2 23" xfId="5663" xr:uid="{00000000-0005-0000-0000-0000C1150000}"/>
    <cellStyle name="20% - Accent6 2 24" xfId="5664" xr:uid="{00000000-0005-0000-0000-0000C2150000}"/>
    <cellStyle name="20% - Accent6 2 25" xfId="5665" xr:uid="{00000000-0005-0000-0000-0000C3150000}"/>
    <cellStyle name="20% - Accent6 2 26" xfId="5666" xr:uid="{00000000-0005-0000-0000-0000C4150000}"/>
    <cellStyle name="20% - Accent6 2 27" xfId="5667" xr:uid="{00000000-0005-0000-0000-0000C5150000}"/>
    <cellStyle name="20% - Accent6 2 28" xfId="5668" xr:uid="{00000000-0005-0000-0000-0000C6150000}"/>
    <cellStyle name="20% - Accent6 2 29" xfId="5669" xr:uid="{00000000-0005-0000-0000-0000C7150000}"/>
    <cellStyle name="20% - Accent6 2 3" xfId="5670" xr:uid="{00000000-0005-0000-0000-0000C8150000}"/>
    <cellStyle name="20% - Accent6 2 30" xfId="5671" xr:uid="{00000000-0005-0000-0000-0000C9150000}"/>
    <cellStyle name="20% - Accent6 2 31" xfId="5672" xr:uid="{00000000-0005-0000-0000-0000CA150000}"/>
    <cellStyle name="20% - Accent6 2 32" xfId="5673" xr:uid="{00000000-0005-0000-0000-0000CB150000}"/>
    <cellStyle name="20% - Accent6 2 33" xfId="5674" xr:uid="{00000000-0005-0000-0000-0000CC150000}"/>
    <cellStyle name="20% - Accent6 2 34" xfId="5675" xr:uid="{00000000-0005-0000-0000-0000CD150000}"/>
    <cellStyle name="20% - Accent6 2 35" xfId="5676" xr:uid="{00000000-0005-0000-0000-0000CE150000}"/>
    <cellStyle name="20% - Accent6 2 36" xfId="5677" xr:uid="{00000000-0005-0000-0000-0000CF150000}"/>
    <cellStyle name="20% - Accent6 2 37" xfId="5678" xr:uid="{00000000-0005-0000-0000-0000D0150000}"/>
    <cellStyle name="20% - Accent6 2 4" xfId="5679" xr:uid="{00000000-0005-0000-0000-0000D1150000}"/>
    <cellStyle name="20% - Accent6 2 4 2" xfId="5680" xr:uid="{00000000-0005-0000-0000-0000D2150000}"/>
    <cellStyle name="20% - Accent6 2 4 3" xfId="5681" xr:uid="{00000000-0005-0000-0000-0000D3150000}"/>
    <cellStyle name="20% - Accent6 2 4 4" xfId="5682" xr:uid="{00000000-0005-0000-0000-0000D4150000}"/>
    <cellStyle name="20% - Accent6 2 5" xfId="5683" xr:uid="{00000000-0005-0000-0000-0000D5150000}"/>
    <cellStyle name="20% - Accent6 2 6" xfId="5684" xr:uid="{00000000-0005-0000-0000-0000D6150000}"/>
    <cellStyle name="20% - Accent6 2 7" xfId="5685" xr:uid="{00000000-0005-0000-0000-0000D7150000}"/>
    <cellStyle name="20% - Accent6 2 8" xfId="5686" xr:uid="{00000000-0005-0000-0000-0000D8150000}"/>
    <cellStyle name="20% - Accent6 2 9" xfId="5687" xr:uid="{00000000-0005-0000-0000-0000D9150000}"/>
    <cellStyle name="20% - Accent6 20" xfId="5688" xr:uid="{00000000-0005-0000-0000-0000DA150000}"/>
    <cellStyle name="20% - Accent6 20 10" xfId="5689" xr:uid="{00000000-0005-0000-0000-0000DB150000}"/>
    <cellStyle name="20% - Accent6 20 11" xfId="5690" xr:uid="{00000000-0005-0000-0000-0000DC150000}"/>
    <cellStyle name="20% - Accent6 20 12" xfId="5691" xr:uid="{00000000-0005-0000-0000-0000DD150000}"/>
    <cellStyle name="20% - Accent6 20 13" xfId="5692" xr:uid="{00000000-0005-0000-0000-0000DE150000}"/>
    <cellStyle name="20% - Accent6 20 14" xfId="5693" xr:uid="{00000000-0005-0000-0000-0000DF150000}"/>
    <cellStyle name="20% - Accent6 20 15" xfId="5694" xr:uid="{00000000-0005-0000-0000-0000E0150000}"/>
    <cellStyle name="20% - Accent6 20 16" xfId="5695" xr:uid="{00000000-0005-0000-0000-0000E1150000}"/>
    <cellStyle name="20% - Accent6 20 17" xfId="5696" xr:uid="{00000000-0005-0000-0000-0000E2150000}"/>
    <cellStyle name="20% - Accent6 20 18" xfId="5697" xr:uid="{00000000-0005-0000-0000-0000E3150000}"/>
    <cellStyle name="20% - Accent6 20 2" xfId="5698" xr:uid="{00000000-0005-0000-0000-0000E4150000}"/>
    <cellStyle name="20% - Accent6 20 2 2" xfId="5699" xr:uid="{00000000-0005-0000-0000-0000E5150000}"/>
    <cellStyle name="20% - Accent6 20 2 3" xfId="5700" xr:uid="{00000000-0005-0000-0000-0000E6150000}"/>
    <cellStyle name="20% - Accent6 20 2 4" xfId="5701" xr:uid="{00000000-0005-0000-0000-0000E7150000}"/>
    <cellStyle name="20% - Accent6 20 3" xfId="5702" xr:uid="{00000000-0005-0000-0000-0000E8150000}"/>
    <cellStyle name="20% - Accent6 20 4" xfId="5703" xr:uid="{00000000-0005-0000-0000-0000E9150000}"/>
    <cellStyle name="20% - Accent6 20 5" xfId="5704" xr:uid="{00000000-0005-0000-0000-0000EA150000}"/>
    <cellStyle name="20% - Accent6 20 6" xfId="5705" xr:uid="{00000000-0005-0000-0000-0000EB150000}"/>
    <cellStyle name="20% - Accent6 20 7" xfId="5706" xr:uid="{00000000-0005-0000-0000-0000EC150000}"/>
    <cellStyle name="20% - Accent6 20 8" xfId="5707" xr:uid="{00000000-0005-0000-0000-0000ED150000}"/>
    <cellStyle name="20% - Accent6 20 9" xfId="5708" xr:uid="{00000000-0005-0000-0000-0000EE150000}"/>
    <cellStyle name="20% - Accent6 21" xfId="5709" xr:uid="{00000000-0005-0000-0000-0000EF150000}"/>
    <cellStyle name="20% - Accent6 21 2" xfId="5710" xr:uid="{00000000-0005-0000-0000-0000F0150000}"/>
    <cellStyle name="20% - Accent6 21 2 2" xfId="5711" xr:uid="{00000000-0005-0000-0000-0000F1150000}"/>
    <cellStyle name="20% - Accent6 21 2 3" xfId="5712" xr:uid="{00000000-0005-0000-0000-0000F2150000}"/>
    <cellStyle name="20% - Accent6 21 3" xfId="5713" xr:uid="{00000000-0005-0000-0000-0000F3150000}"/>
    <cellStyle name="20% - Accent6 21 4" xfId="5714" xr:uid="{00000000-0005-0000-0000-0000F4150000}"/>
    <cellStyle name="20% - Accent6 21 5" xfId="5715" xr:uid="{00000000-0005-0000-0000-0000F5150000}"/>
    <cellStyle name="20% - Accent6 21 6" xfId="5716" xr:uid="{00000000-0005-0000-0000-0000F6150000}"/>
    <cellStyle name="20% - Accent6 22" xfId="5717" xr:uid="{00000000-0005-0000-0000-0000F7150000}"/>
    <cellStyle name="20% - Accent6 22 2" xfId="5718" xr:uid="{00000000-0005-0000-0000-0000F8150000}"/>
    <cellStyle name="20% - Accent6 22 3" xfId="5719" xr:uid="{00000000-0005-0000-0000-0000F9150000}"/>
    <cellStyle name="20% - Accent6 23" xfId="5720" xr:uid="{00000000-0005-0000-0000-0000FA150000}"/>
    <cellStyle name="20% - Accent6 23 2" xfId="5721" xr:uid="{00000000-0005-0000-0000-0000FB150000}"/>
    <cellStyle name="20% - Accent6 23 3" xfId="5722" xr:uid="{00000000-0005-0000-0000-0000FC150000}"/>
    <cellStyle name="20% - Accent6 24" xfId="5723" xr:uid="{00000000-0005-0000-0000-0000FD150000}"/>
    <cellStyle name="20% - Accent6 24 2" xfId="5724" xr:uid="{00000000-0005-0000-0000-0000FE150000}"/>
    <cellStyle name="20% - Accent6 24 3" xfId="5725" xr:uid="{00000000-0005-0000-0000-0000FF150000}"/>
    <cellStyle name="20% - Accent6 25" xfId="5726" xr:uid="{00000000-0005-0000-0000-000000160000}"/>
    <cellStyle name="20% - Accent6 25 2" xfId="5727" xr:uid="{00000000-0005-0000-0000-000001160000}"/>
    <cellStyle name="20% - Accent6 25 3" xfId="5728" xr:uid="{00000000-0005-0000-0000-000002160000}"/>
    <cellStyle name="20% - Accent6 26" xfId="5729" xr:uid="{00000000-0005-0000-0000-000003160000}"/>
    <cellStyle name="20% - Accent6 26 2" xfId="5730" xr:uid="{00000000-0005-0000-0000-000004160000}"/>
    <cellStyle name="20% - Accent6 26 3" xfId="5731" xr:uid="{00000000-0005-0000-0000-000005160000}"/>
    <cellStyle name="20% - Accent6 27" xfId="5732" xr:uid="{00000000-0005-0000-0000-000006160000}"/>
    <cellStyle name="20% - Accent6 27 2" xfId="5733" xr:uid="{00000000-0005-0000-0000-000007160000}"/>
    <cellStyle name="20% - Accent6 27 3" xfId="5734" xr:uid="{00000000-0005-0000-0000-000008160000}"/>
    <cellStyle name="20% - Accent6 28" xfId="5735" xr:uid="{00000000-0005-0000-0000-000009160000}"/>
    <cellStyle name="20% - Accent6 28 2" xfId="5736" xr:uid="{00000000-0005-0000-0000-00000A160000}"/>
    <cellStyle name="20% - Accent6 28 3" xfId="5737" xr:uid="{00000000-0005-0000-0000-00000B160000}"/>
    <cellStyle name="20% - Accent6 29" xfId="5738" xr:uid="{00000000-0005-0000-0000-00000C160000}"/>
    <cellStyle name="20% - Accent6 29 2" xfId="5739" xr:uid="{00000000-0005-0000-0000-00000D160000}"/>
    <cellStyle name="20% - Accent6 29 3" xfId="5740" xr:uid="{00000000-0005-0000-0000-00000E160000}"/>
    <cellStyle name="20% - Accent6 3" xfId="5741" xr:uid="{00000000-0005-0000-0000-00000F160000}"/>
    <cellStyle name="20% - Accent6 3 10" xfId="5742" xr:uid="{00000000-0005-0000-0000-000010160000}"/>
    <cellStyle name="20% - Accent6 3 10 10" xfId="5743" xr:uid="{00000000-0005-0000-0000-000011160000}"/>
    <cellStyle name="20% - Accent6 3 10 11" xfId="5744" xr:uid="{00000000-0005-0000-0000-000012160000}"/>
    <cellStyle name="20% - Accent6 3 10 12" xfId="5745" xr:uid="{00000000-0005-0000-0000-000013160000}"/>
    <cellStyle name="20% - Accent6 3 10 13" xfId="5746" xr:uid="{00000000-0005-0000-0000-000014160000}"/>
    <cellStyle name="20% - Accent6 3 10 14" xfId="5747" xr:uid="{00000000-0005-0000-0000-000015160000}"/>
    <cellStyle name="20% - Accent6 3 10 15" xfId="5748" xr:uid="{00000000-0005-0000-0000-000016160000}"/>
    <cellStyle name="20% - Accent6 3 10 2" xfId="5749" xr:uid="{00000000-0005-0000-0000-000017160000}"/>
    <cellStyle name="20% - Accent6 3 10 3" xfId="5750" xr:uid="{00000000-0005-0000-0000-000018160000}"/>
    <cellStyle name="20% - Accent6 3 10 4" xfId="5751" xr:uid="{00000000-0005-0000-0000-000019160000}"/>
    <cellStyle name="20% - Accent6 3 10 5" xfId="5752" xr:uid="{00000000-0005-0000-0000-00001A160000}"/>
    <cellStyle name="20% - Accent6 3 10 6" xfId="5753" xr:uid="{00000000-0005-0000-0000-00001B160000}"/>
    <cellStyle name="20% - Accent6 3 10 7" xfId="5754" xr:uid="{00000000-0005-0000-0000-00001C160000}"/>
    <cellStyle name="20% - Accent6 3 10 8" xfId="5755" xr:uid="{00000000-0005-0000-0000-00001D160000}"/>
    <cellStyle name="20% - Accent6 3 10 9" xfId="5756" xr:uid="{00000000-0005-0000-0000-00001E160000}"/>
    <cellStyle name="20% - Accent6 3 11" xfId="5757" xr:uid="{00000000-0005-0000-0000-00001F160000}"/>
    <cellStyle name="20% - Accent6 3 11 10" xfId="5758" xr:uid="{00000000-0005-0000-0000-000020160000}"/>
    <cellStyle name="20% - Accent6 3 11 11" xfId="5759" xr:uid="{00000000-0005-0000-0000-000021160000}"/>
    <cellStyle name="20% - Accent6 3 11 12" xfId="5760" xr:uid="{00000000-0005-0000-0000-000022160000}"/>
    <cellStyle name="20% - Accent6 3 11 13" xfId="5761" xr:uid="{00000000-0005-0000-0000-000023160000}"/>
    <cellStyle name="20% - Accent6 3 11 14" xfId="5762" xr:uid="{00000000-0005-0000-0000-000024160000}"/>
    <cellStyle name="20% - Accent6 3 11 15" xfId="5763" xr:uid="{00000000-0005-0000-0000-000025160000}"/>
    <cellStyle name="20% - Accent6 3 11 2" xfId="5764" xr:uid="{00000000-0005-0000-0000-000026160000}"/>
    <cellStyle name="20% - Accent6 3 11 3" xfId="5765" xr:uid="{00000000-0005-0000-0000-000027160000}"/>
    <cellStyle name="20% - Accent6 3 11 4" xfId="5766" xr:uid="{00000000-0005-0000-0000-000028160000}"/>
    <cellStyle name="20% - Accent6 3 11 5" xfId="5767" xr:uid="{00000000-0005-0000-0000-000029160000}"/>
    <cellStyle name="20% - Accent6 3 11 6" xfId="5768" xr:uid="{00000000-0005-0000-0000-00002A160000}"/>
    <cellStyle name="20% - Accent6 3 11 7" xfId="5769" xr:uid="{00000000-0005-0000-0000-00002B160000}"/>
    <cellStyle name="20% - Accent6 3 11 8" xfId="5770" xr:uid="{00000000-0005-0000-0000-00002C160000}"/>
    <cellStyle name="20% - Accent6 3 11 9" xfId="5771" xr:uid="{00000000-0005-0000-0000-00002D160000}"/>
    <cellStyle name="20% - Accent6 3 12" xfId="5772" xr:uid="{00000000-0005-0000-0000-00002E160000}"/>
    <cellStyle name="20% - Accent6 3 12 10" xfId="5773" xr:uid="{00000000-0005-0000-0000-00002F160000}"/>
    <cellStyle name="20% - Accent6 3 12 11" xfId="5774" xr:uid="{00000000-0005-0000-0000-000030160000}"/>
    <cellStyle name="20% - Accent6 3 12 12" xfId="5775" xr:uid="{00000000-0005-0000-0000-000031160000}"/>
    <cellStyle name="20% - Accent6 3 12 13" xfId="5776" xr:uid="{00000000-0005-0000-0000-000032160000}"/>
    <cellStyle name="20% - Accent6 3 12 14" xfId="5777" xr:uid="{00000000-0005-0000-0000-000033160000}"/>
    <cellStyle name="20% - Accent6 3 12 15" xfId="5778" xr:uid="{00000000-0005-0000-0000-000034160000}"/>
    <cellStyle name="20% - Accent6 3 12 2" xfId="5779" xr:uid="{00000000-0005-0000-0000-000035160000}"/>
    <cellStyle name="20% - Accent6 3 12 3" xfId="5780" xr:uid="{00000000-0005-0000-0000-000036160000}"/>
    <cellStyle name="20% - Accent6 3 12 4" xfId="5781" xr:uid="{00000000-0005-0000-0000-000037160000}"/>
    <cellStyle name="20% - Accent6 3 12 5" xfId="5782" xr:uid="{00000000-0005-0000-0000-000038160000}"/>
    <cellStyle name="20% - Accent6 3 12 6" xfId="5783" xr:uid="{00000000-0005-0000-0000-000039160000}"/>
    <cellStyle name="20% - Accent6 3 12 7" xfId="5784" xr:uid="{00000000-0005-0000-0000-00003A160000}"/>
    <cellStyle name="20% - Accent6 3 12 8" xfId="5785" xr:uid="{00000000-0005-0000-0000-00003B160000}"/>
    <cellStyle name="20% - Accent6 3 12 9" xfId="5786" xr:uid="{00000000-0005-0000-0000-00003C160000}"/>
    <cellStyle name="20% - Accent6 3 13" xfId="5787" xr:uid="{00000000-0005-0000-0000-00003D160000}"/>
    <cellStyle name="20% - Accent6 3 13 10" xfId="5788" xr:uid="{00000000-0005-0000-0000-00003E160000}"/>
    <cellStyle name="20% - Accent6 3 13 11" xfId="5789" xr:uid="{00000000-0005-0000-0000-00003F160000}"/>
    <cellStyle name="20% - Accent6 3 13 12" xfId="5790" xr:uid="{00000000-0005-0000-0000-000040160000}"/>
    <cellStyle name="20% - Accent6 3 13 13" xfId="5791" xr:uid="{00000000-0005-0000-0000-000041160000}"/>
    <cellStyle name="20% - Accent6 3 13 14" xfId="5792" xr:uid="{00000000-0005-0000-0000-000042160000}"/>
    <cellStyle name="20% - Accent6 3 13 15" xfId="5793" xr:uid="{00000000-0005-0000-0000-000043160000}"/>
    <cellStyle name="20% - Accent6 3 13 2" xfId="5794" xr:uid="{00000000-0005-0000-0000-000044160000}"/>
    <cellStyle name="20% - Accent6 3 13 3" xfId="5795" xr:uid="{00000000-0005-0000-0000-000045160000}"/>
    <cellStyle name="20% - Accent6 3 13 4" xfId="5796" xr:uid="{00000000-0005-0000-0000-000046160000}"/>
    <cellStyle name="20% - Accent6 3 13 5" xfId="5797" xr:uid="{00000000-0005-0000-0000-000047160000}"/>
    <cellStyle name="20% - Accent6 3 13 6" xfId="5798" xr:uid="{00000000-0005-0000-0000-000048160000}"/>
    <cellStyle name="20% - Accent6 3 13 7" xfId="5799" xr:uid="{00000000-0005-0000-0000-000049160000}"/>
    <cellStyle name="20% - Accent6 3 13 8" xfId="5800" xr:uid="{00000000-0005-0000-0000-00004A160000}"/>
    <cellStyle name="20% - Accent6 3 13 9" xfId="5801" xr:uid="{00000000-0005-0000-0000-00004B160000}"/>
    <cellStyle name="20% - Accent6 3 14" xfId="5802" xr:uid="{00000000-0005-0000-0000-00004C160000}"/>
    <cellStyle name="20% - Accent6 3 14 10" xfId="5803" xr:uid="{00000000-0005-0000-0000-00004D160000}"/>
    <cellStyle name="20% - Accent6 3 14 11" xfId="5804" xr:uid="{00000000-0005-0000-0000-00004E160000}"/>
    <cellStyle name="20% - Accent6 3 14 12" xfId="5805" xr:uid="{00000000-0005-0000-0000-00004F160000}"/>
    <cellStyle name="20% - Accent6 3 14 13" xfId="5806" xr:uid="{00000000-0005-0000-0000-000050160000}"/>
    <cellStyle name="20% - Accent6 3 14 14" xfId="5807" xr:uid="{00000000-0005-0000-0000-000051160000}"/>
    <cellStyle name="20% - Accent6 3 14 15" xfId="5808" xr:uid="{00000000-0005-0000-0000-000052160000}"/>
    <cellStyle name="20% - Accent6 3 14 2" xfId="5809" xr:uid="{00000000-0005-0000-0000-000053160000}"/>
    <cellStyle name="20% - Accent6 3 14 3" xfId="5810" xr:uid="{00000000-0005-0000-0000-000054160000}"/>
    <cellStyle name="20% - Accent6 3 14 4" xfId="5811" xr:uid="{00000000-0005-0000-0000-000055160000}"/>
    <cellStyle name="20% - Accent6 3 14 5" xfId="5812" xr:uid="{00000000-0005-0000-0000-000056160000}"/>
    <cellStyle name="20% - Accent6 3 14 6" xfId="5813" xr:uid="{00000000-0005-0000-0000-000057160000}"/>
    <cellStyle name="20% - Accent6 3 14 7" xfId="5814" xr:uid="{00000000-0005-0000-0000-000058160000}"/>
    <cellStyle name="20% - Accent6 3 14 8" xfId="5815" xr:uid="{00000000-0005-0000-0000-000059160000}"/>
    <cellStyle name="20% - Accent6 3 14 9" xfId="5816" xr:uid="{00000000-0005-0000-0000-00005A160000}"/>
    <cellStyle name="20% - Accent6 3 15" xfId="5817" xr:uid="{00000000-0005-0000-0000-00005B160000}"/>
    <cellStyle name="20% - Accent6 3 15 10" xfId="5818" xr:uid="{00000000-0005-0000-0000-00005C160000}"/>
    <cellStyle name="20% - Accent6 3 15 11" xfId="5819" xr:uid="{00000000-0005-0000-0000-00005D160000}"/>
    <cellStyle name="20% - Accent6 3 15 12" xfId="5820" xr:uid="{00000000-0005-0000-0000-00005E160000}"/>
    <cellStyle name="20% - Accent6 3 15 13" xfId="5821" xr:uid="{00000000-0005-0000-0000-00005F160000}"/>
    <cellStyle name="20% - Accent6 3 15 14" xfId="5822" xr:uid="{00000000-0005-0000-0000-000060160000}"/>
    <cellStyle name="20% - Accent6 3 15 15" xfId="5823" xr:uid="{00000000-0005-0000-0000-000061160000}"/>
    <cellStyle name="20% - Accent6 3 15 2" xfId="5824" xr:uid="{00000000-0005-0000-0000-000062160000}"/>
    <cellStyle name="20% - Accent6 3 15 3" xfId="5825" xr:uid="{00000000-0005-0000-0000-000063160000}"/>
    <cellStyle name="20% - Accent6 3 15 4" xfId="5826" xr:uid="{00000000-0005-0000-0000-000064160000}"/>
    <cellStyle name="20% - Accent6 3 15 5" xfId="5827" xr:uid="{00000000-0005-0000-0000-000065160000}"/>
    <cellStyle name="20% - Accent6 3 15 6" xfId="5828" xr:uid="{00000000-0005-0000-0000-000066160000}"/>
    <cellStyle name="20% - Accent6 3 15 7" xfId="5829" xr:uid="{00000000-0005-0000-0000-000067160000}"/>
    <cellStyle name="20% - Accent6 3 15 8" xfId="5830" xr:uid="{00000000-0005-0000-0000-000068160000}"/>
    <cellStyle name="20% - Accent6 3 15 9" xfId="5831" xr:uid="{00000000-0005-0000-0000-000069160000}"/>
    <cellStyle name="20% - Accent6 3 16" xfId="5832" xr:uid="{00000000-0005-0000-0000-00006A160000}"/>
    <cellStyle name="20% - Accent6 3 16 10" xfId="5833" xr:uid="{00000000-0005-0000-0000-00006B160000}"/>
    <cellStyle name="20% - Accent6 3 16 11" xfId="5834" xr:uid="{00000000-0005-0000-0000-00006C160000}"/>
    <cellStyle name="20% - Accent6 3 16 12" xfId="5835" xr:uid="{00000000-0005-0000-0000-00006D160000}"/>
    <cellStyle name="20% - Accent6 3 16 13" xfId="5836" xr:uid="{00000000-0005-0000-0000-00006E160000}"/>
    <cellStyle name="20% - Accent6 3 16 14" xfId="5837" xr:uid="{00000000-0005-0000-0000-00006F160000}"/>
    <cellStyle name="20% - Accent6 3 16 15" xfId="5838" xr:uid="{00000000-0005-0000-0000-000070160000}"/>
    <cellStyle name="20% - Accent6 3 16 2" xfId="5839" xr:uid="{00000000-0005-0000-0000-000071160000}"/>
    <cellStyle name="20% - Accent6 3 16 3" xfId="5840" xr:uid="{00000000-0005-0000-0000-000072160000}"/>
    <cellStyle name="20% - Accent6 3 16 4" xfId="5841" xr:uid="{00000000-0005-0000-0000-000073160000}"/>
    <cellStyle name="20% - Accent6 3 16 5" xfId="5842" xr:uid="{00000000-0005-0000-0000-000074160000}"/>
    <cellStyle name="20% - Accent6 3 16 6" xfId="5843" xr:uid="{00000000-0005-0000-0000-000075160000}"/>
    <cellStyle name="20% - Accent6 3 16 7" xfId="5844" xr:uid="{00000000-0005-0000-0000-000076160000}"/>
    <cellStyle name="20% - Accent6 3 16 8" xfId="5845" xr:uid="{00000000-0005-0000-0000-000077160000}"/>
    <cellStyle name="20% - Accent6 3 16 9" xfId="5846" xr:uid="{00000000-0005-0000-0000-000078160000}"/>
    <cellStyle name="20% - Accent6 3 17" xfId="5847" xr:uid="{00000000-0005-0000-0000-000079160000}"/>
    <cellStyle name="20% - Accent6 3 17 10" xfId="5848" xr:uid="{00000000-0005-0000-0000-00007A160000}"/>
    <cellStyle name="20% - Accent6 3 17 11" xfId="5849" xr:uid="{00000000-0005-0000-0000-00007B160000}"/>
    <cellStyle name="20% - Accent6 3 17 12" xfId="5850" xr:uid="{00000000-0005-0000-0000-00007C160000}"/>
    <cellStyle name="20% - Accent6 3 17 13" xfId="5851" xr:uid="{00000000-0005-0000-0000-00007D160000}"/>
    <cellStyle name="20% - Accent6 3 17 14" xfId="5852" xr:uid="{00000000-0005-0000-0000-00007E160000}"/>
    <cellStyle name="20% - Accent6 3 17 15" xfId="5853" xr:uid="{00000000-0005-0000-0000-00007F160000}"/>
    <cellStyle name="20% - Accent6 3 17 2" xfId="5854" xr:uid="{00000000-0005-0000-0000-000080160000}"/>
    <cellStyle name="20% - Accent6 3 17 3" xfId="5855" xr:uid="{00000000-0005-0000-0000-000081160000}"/>
    <cellStyle name="20% - Accent6 3 17 4" xfId="5856" xr:uid="{00000000-0005-0000-0000-000082160000}"/>
    <cellStyle name="20% - Accent6 3 17 5" xfId="5857" xr:uid="{00000000-0005-0000-0000-000083160000}"/>
    <cellStyle name="20% - Accent6 3 17 6" xfId="5858" xr:uid="{00000000-0005-0000-0000-000084160000}"/>
    <cellStyle name="20% - Accent6 3 17 7" xfId="5859" xr:uid="{00000000-0005-0000-0000-000085160000}"/>
    <cellStyle name="20% - Accent6 3 17 8" xfId="5860" xr:uid="{00000000-0005-0000-0000-000086160000}"/>
    <cellStyle name="20% - Accent6 3 17 9" xfId="5861" xr:uid="{00000000-0005-0000-0000-000087160000}"/>
    <cellStyle name="20% - Accent6 3 18" xfId="5862" xr:uid="{00000000-0005-0000-0000-000088160000}"/>
    <cellStyle name="20% - Accent6 3 18 10" xfId="5863" xr:uid="{00000000-0005-0000-0000-000089160000}"/>
    <cellStyle name="20% - Accent6 3 18 11" xfId="5864" xr:uid="{00000000-0005-0000-0000-00008A160000}"/>
    <cellStyle name="20% - Accent6 3 18 12" xfId="5865" xr:uid="{00000000-0005-0000-0000-00008B160000}"/>
    <cellStyle name="20% - Accent6 3 18 13" xfId="5866" xr:uid="{00000000-0005-0000-0000-00008C160000}"/>
    <cellStyle name="20% - Accent6 3 18 14" xfId="5867" xr:uid="{00000000-0005-0000-0000-00008D160000}"/>
    <cellStyle name="20% - Accent6 3 18 15" xfId="5868" xr:uid="{00000000-0005-0000-0000-00008E160000}"/>
    <cellStyle name="20% - Accent6 3 18 2" xfId="5869" xr:uid="{00000000-0005-0000-0000-00008F160000}"/>
    <cellStyle name="20% - Accent6 3 18 3" xfId="5870" xr:uid="{00000000-0005-0000-0000-000090160000}"/>
    <cellStyle name="20% - Accent6 3 18 4" xfId="5871" xr:uid="{00000000-0005-0000-0000-000091160000}"/>
    <cellStyle name="20% - Accent6 3 18 5" xfId="5872" xr:uid="{00000000-0005-0000-0000-000092160000}"/>
    <cellStyle name="20% - Accent6 3 18 6" xfId="5873" xr:uid="{00000000-0005-0000-0000-000093160000}"/>
    <cellStyle name="20% - Accent6 3 18 7" xfId="5874" xr:uid="{00000000-0005-0000-0000-000094160000}"/>
    <cellStyle name="20% - Accent6 3 18 8" xfId="5875" xr:uid="{00000000-0005-0000-0000-000095160000}"/>
    <cellStyle name="20% - Accent6 3 18 9" xfId="5876" xr:uid="{00000000-0005-0000-0000-000096160000}"/>
    <cellStyle name="20% - Accent6 3 19" xfId="5877" xr:uid="{00000000-0005-0000-0000-000097160000}"/>
    <cellStyle name="20% - Accent6 3 19 10" xfId="5878" xr:uid="{00000000-0005-0000-0000-000098160000}"/>
    <cellStyle name="20% - Accent6 3 19 11" xfId="5879" xr:uid="{00000000-0005-0000-0000-000099160000}"/>
    <cellStyle name="20% - Accent6 3 19 12" xfId="5880" xr:uid="{00000000-0005-0000-0000-00009A160000}"/>
    <cellStyle name="20% - Accent6 3 19 13" xfId="5881" xr:uid="{00000000-0005-0000-0000-00009B160000}"/>
    <cellStyle name="20% - Accent6 3 19 14" xfId="5882" xr:uid="{00000000-0005-0000-0000-00009C160000}"/>
    <cellStyle name="20% - Accent6 3 19 15" xfId="5883" xr:uid="{00000000-0005-0000-0000-00009D160000}"/>
    <cellStyle name="20% - Accent6 3 19 2" xfId="5884" xr:uid="{00000000-0005-0000-0000-00009E160000}"/>
    <cellStyle name="20% - Accent6 3 19 3" xfId="5885" xr:uid="{00000000-0005-0000-0000-00009F160000}"/>
    <cellStyle name="20% - Accent6 3 19 4" xfId="5886" xr:uid="{00000000-0005-0000-0000-0000A0160000}"/>
    <cellStyle name="20% - Accent6 3 19 5" xfId="5887" xr:uid="{00000000-0005-0000-0000-0000A1160000}"/>
    <cellStyle name="20% - Accent6 3 19 6" xfId="5888" xr:uid="{00000000-0005-0000-0000-0000A2160000}"/>
    <cellStyle name="20% - Accent6 3 19 7" xfId="5889" xr:uid="{00000000-0005-0000-0000-0000A3160000}"/>
    <cellStyle name="20% - Accent6 3 19 8" xfId="5890" xr:uid="{00000000-0005-0000-0000-0000A4160000}"/>
    <cellStyle name="20% - Accent6 3 19 9" xfId="5891" xr:uid="{00000000-0005-0000-0000-0000A5160000}"/>
    <cellStyle name="20% - Accent6 3 2" xfId="5892" xr:uid="{00000000-0005-0000-0000-0000A6160000}"/>
    <cellStyle name="20% - Accent6 3 2 10" xfId="5893" xr:uid="{00000000-0005-0000-0000-0000A7160000}"/>
    <cellStyle name="20% - Accent6 3 2 11" xfId="5894" xr:uid="{00000000-0005-0000-0000-0000A8160000}"/>
    <cellStyle name="20% - Accent6 3 2 12" xfId="5895" xr:uid="{00000000-0005-0000-0000-0000A9160000}"/>
    <cellStyle name="20% - Accent6 3 2 13" xfId="5896" xr:uid="{00000000-0005-0000-0000-0000AA160000}"/>
    <cellStyle name="20% - Accent6 3 2 14" xfId="5897" xr:uid="{00000000-0005-0000-0000-0000AB160000}"/>
    <cellStyle name="20% - Accent6 3 2 15" xfId="5898" xr:uid="{00000000-0005-0000-0000-0000AC160000}"/>
    <cellStyle name="20% - Accent6 3 2 16" xfId="5899" xr:uid="{00000000-0005-0000-0000-0000AD160000}"/>
    <cellStyle name="20% - Accent6 3 2 17" xfId="5900" xr:uid="{00000000-0005-0000-0000-0000AE160000}"/>
    <cellStyle name="20% - Accent6 3 2 18" xfId="5901" xr:uid="{00000000-0005-0000-0000-0000AF160000}"/>
    <cellStyle name="20% - Accent6 3 2 19" xfId="5902" xr:uid="{00000000-0005-0000-0000-0000B0160000}"/>
    <cellStyle name="20% - Accent6 3 2 2" xfId="5903" xr:uid="{00000000-0005-0000-0000-0000B1160000}"/>
    <cellStyle name="20% - Accent6 3 2 20" xfId="5904" xr:uid="{00000000-0005-0000-0000-0000B2160000}"/>
    <cellStyle name="20% - Accent6 3 2 21" xfId="5905" xr:uid="{00000000-0005-0000-0000-0000B3160000}"/>
    <cellStyle name="20% - Accent6 3 2 22" xfId="5906" xr:uid="{00000000-0005-0000-0000-0000B4160000}"/>
    <cellStyle name="20% - Accent6 3 2 23" xfId="5907" xr:uid="{00000000-0005-0000-0000-0000B5160000}"/>
    <cellStyle name="20% - Accent6 3 2 24" xfId="5908" xr:uid="{00000000-0005-0000-0000-0000B6160000}"/>
    <cellStyle name="20% - Accent6 3 2 25" xfId="5909" xr:uid="{00000000-0005-0000-0000-0000B7160000}"/>
    <cellStyle name="20% - Accent6 3 2 26" xfId="5910" xr:uid="{00000000-0005-0000-0000-0000B8160000}"/>
    <cellStyle name="20% - Accent6 3 2 27" xfId="5911" xr:uid="{00000000-0005-0000-0000-0000B9160000}"/>
    <cellStyle name="20% - Accent6 3 2 28" xfId="5912" xr:uid="{00000000-0005-0000-0000-0000BA160000}"/>
    <cellStyle name="20% - Accent6 3 2 29" xfId="5913" xr:uid="{00000000-0005-0000-0000-0000BB160000}"/>
    <cellStyle name="20% - Accent6 3 2 3" xfId="5914" xr:uid="{00000000-0005-0000-0000-0000BC160000}"/>
    <cellStyle name="20% - Accent6 3 2 30" xfId="5915" xr:uid="{00000000-0005-0000-0000-0000BD160000}"/>
    <cellStyle name="20% - Accent6 3 2 31" xfId="5916" xr:uid="{00000000-0005-0000-0000-0000BE160000}"/>
    <cellStyle name="20% - Accent6 3 2 32" xfId="5917" xr:uid="{00000000-0005-0000-0000-0000BF160000}"/>
    <cellStyle name="20% - Accent6 3 2 33" xfId="5918" xr:uid="{00000000-0005-0000-0000-0000C0160000}"/>
    <cellStyle name="20% - Accent6 3 2 34" xfId="5919" xr:uid="{00000000-0005-0000-0000-0000C1160000}"/>
    <cellStyle name="20% - Accent6 3 2 35" xfId="5920" xr:uid="{00000000-0005-0000-0000-0000C2160000}"/>
    <cellStyle name="20% - Accent6 3 2 36" xfId="5921" xr:uid="{00000000-0005-0000-0000-0000C3160000}"/>
    <cellStyle name="20% - Accent6 3 2 37" xfId="5922" xr:uid="{00000000-0005-0000-0000-0000C4160000}"/>
    <cellStyle name="20% - Accent6 3 2 38" xfId="5923" xr:uid="{00000000-0005-0000-0000-0000C5160000}"/>
    <cellStyle name="20% - Accent6 3 2 39" xfId="5924" xr:uid="{00000000-0005-0000-0000-0000C6160000}"/>
    <cellStyle name="20% - Accent6 3 2 4" xfId="5925" xr:uid="{00000000-0005-0000-0000-0000C7160000}"/>
    <cellStyle name="20% - Accent6 3 2 40" xfId="5926" xr:uid="{00000000-0005-0000-0000-0000C8160000}"/>
    <cellStyle name="20% - Accent6 3 2 41" xfId="5927" xr:uid="{00000000-0005-0000-0000-0000C9160000}"/>
    <cellStyle name="20% - Accent6 3 2 42" xfId="5928" xr:uid="{00000000-0005-0000-0000-0000CA160000}"/>
    <cellStyle name="20% - Accent6 3 2 43" xfId="5929" xr:uid="{00000000-0005-0000-0000-0000CB160000}"/>
    <cellStyle name="20% - Accent6 3 2 44" xfId="5930" xr:uid="{00000000-0005-0000-0000-0000CC160000}"/>
    <cellStyle name="20% - Accent6 3 2 45" xfId="5931" xr:uid="{00000000-0005-0000-0000-0000CD160000}"/>
    <cellStyle name="20% - Accent6 3 2 46" xfId="5932" xr:uid="{00000000-0005-0000-0000-0000CE160000}"/>
    <cellStyle name="20% - Accent6 3 2 47" xfId="5933" xr:uid="{00000000-0005-0000-0000-0000CF160000}"/>
    <cellStyle name="20% - Accent6 3 2 48" xfId="5934" xr:uid="{00000000-0005-0000-0000-0000D0160000}"/>
    <cellStyle name="20% - Accent6 3 2 49" xfId="5935" xr:uid="{00000000-0005-0000-0000-0000D1160000}"/>
    <cellStyle name="20% - Accent6 3 2 5" xfId="5936" xr:uid="{00000000-0005-0000-0000-0000D2160000}"/>
    <cellStyle name="20% - Accent6 3 2 50" xfId="5937" xr:uid="{00000000-0005-0000-0000-0000D3160000}"/>
    <cellStyle name="20% - Accent6 3 2 51" xfId="5938" xr:uid="{00000000-0005-0000-0000-0000D4160000}"/>
    <cellStyle name="20% - Accent6 3 2 52" xfId="5939" xr:uid="{00000000-0005-0000-0000-0000D5160000}"/>
    <cellStyle name="20% - Accent6 3 2 53" xfId="5940" xr:uid="{00000000-0005-0000-0000-0000D6160000}"/>
    <cellStyle name="20% - Accent6 3 2 54" xfId="5941" xr:uid="{00000000-0005-0000-0000-0000D7160000}"/>
    <cellStyle name="20% - Accent6 3 2 6" xfId="5942" xr:uid="{00000000-0005-0000-0000-0000D8160000}"/>
    <cellStyle name="20% - Accent6 3 2 7" xfId="5943" xr:uid="{00000000-0005-0000-0000-0000D9160000}"/>
    <cellStyle name="20% - Accent6 3 2 8" xfId="5944" xr:uid="{00000000-0005-0000-0000-0000DA160000}"/>
    <cellStyle name="20% - Accent6 3 2 9" xfId="5945" xr:uid="{00000000-0005-0000-0000-0000DB160000}"/>
    <cellStyle name="20% - Accent6 3 20" xfId="5946" xr:uid="{00000000-0005-0000-0000-0000DC160000}"/>
    <cellStyle name="20% - Accent6 3 20 10" xfId="5947" xr:uid="{00000000-0005-0000-0000-0000DD160000}"/>
    <cellStyle name="20% - Accent6 3 20 11" xfId="5948" xr:uid="{00000000-0005-0000-0000-0000DE160000}"/>
    <cellStyle name="20% - Accent6 3 20 12" xfId="5949" xr:uid="{00000000-0005-0000-0000-0000DF160000}"/>
    <cellStyle name="20% - Accent6 3 20 13" xfId="5950" xr:uid="{00000000-0005-0000-0000-0000E0160000}"/>
    <cellStyle name="20% - Accent6 3 20 14" xfId="5951" xr:uid="{00000000-0005-0000-0000-0000E1160000}"/>
    <cellStyle name="20% - Accent6 3 20 15" xfId="5952" xr:uid="{00000000-0005-0000-0000-0000E2160000}"/>
    <cellStyle name="20% - Accent6 3 20 2" xfId="5953" xr:uid="{00000000-0005-0000-0000-0000E3160000}"/>
    <cellStyle name="20% - Accent6 3 20 3" xfId="5954" xr:uid="{00000000-0005-0000-0000-0000E4160000}"/>
    <cellStyle name="20% - Accent6 3 20 4" xfId="5955" xr:uid="{00000000-0005-0000-0000-0000E5160000}"/>
    <cellStyle name="20% - Accent6 3 20 5" xfId="5956" xr:uid="{00000000-0005-0000-0000-0000E6160000}"/>
    <cellStyle name="20% - Accent6 3 20 6" xfId="5957" xr:uid="{00000000-0005-0000-0000-0000E7160000}"/>
    <cellStyle name="20% - Accent6 3 20 7" xfId="5958" xr:uid="{00000000-0005-0000-0000-0000E8160000}"/>
    <cellStyle name="20% - Accent6 3 20 8" xfId="5959" xr:uid="{00000000-0005-0000-0000-0000E9160000}"/>
    <cellStyle name="20% - Accent6 3 20 9" xfId="5960" xr:uid="{00000000-0005-0000-0000-0000EA160000}"/>
    <cellStyle name="20% - Accent6 3 21" xfId="5961" xr:uid="{00000000-0005-0000-0000-0000EB160000}"/>
    <cellStyle name="20% - Accent6 3 21 10" xfId="5962" xr:uid="{00000000-0005-0000-0000-0000EC160000}"/>
    <cellStyle name="20% - Accent6 3 21 11" xfId="5963" xr:uid="{00000000-0005-0000-0000-0000ED160000}"/>
    <cellStyle name="20% - Accent6 3 21 12" xfId="5964" xr:uid="{00000000-0005-0000-0000-0000EE160000}"/>
    <cellStyle name="20% - Accent6 3 21 13" xfId="5965" xr:uid="{00000000-0005-0000-0000-0000EF160000}"/>
    <cellStyle name="20% - Accent6 3 21 14" xfId="5966" xr:uid="{00000000-0005-0000-0000-0000F0160000}"/>
    <cellStyle name="20% - Accent6 3 21 15" xfId="5967" xr:uid="{00000000-0005-0000-0000-0000F1160000}"/>
    <cellStyle name="20% - Accent6 3 21 2" xfId="5968" xr:uid="{00000000-0005-0000-0000-0000F2160000}"/>
    <cellStyle name="20% - Accent6 3 21 3" xfId="5969" xr:uid="{00000000-0005-0000-0000-0000F3160000}"/>
    <cellStyle name="20% - Accent6 3 21 4" xfId="5970" xr:uid="{00000000-0005-0000-0000-0000F4160000}"/>
    <cellStyle name="20% - Accent6 3 21 5" xfId="5971" xr:uid="{00000000-0005-0000-0000-0000F5160000}"/>
    <cellStyle name="20% - Accent6 3 21 6" xfId="5972" xr:uid="{00000000-0005-0000-0000-0000F6160000}"/>
    <cellStyle name="20% - Accent6 3 21 7" xfId="5973" xr:uid="{00000000-0005-0000-0000-0000F7160000}"/>
    <cellStyle name="20% - Accent6 3 21 8" xfId="5974" xr:uid="{00000000-0005-0000-0000-0000F8160000}"/>
    <cellStyle name="20% - Accent6 3 21 9" xfId="5975" xr:uid="{00000000-0005-0000-0000-0000F9160000}"/>
    <cellStyle name="20% - Accent6 3 22" xfId="5976" xr:uid="{00000000-0005-0000-0000-0000FA160000}"/>
    <cellStyle name="20% - Accent6 3 22 10" xfId="5977" xr:uid="{00000000-0005-0000-0000-0000FB160000}"/>
    <cellStyle name="20% - Accent6 3 22 11" xfId="5978" xr:uid="{00000000-0005-0000-0000-0000FC160000}"/>
    <cellStyle name="20% - Accent6 3 22 12" xfId="5979" xr:uid="{00000000-0005-0000-0000-0000FD160000}"/>
    <cellStyle name="20% - Accent6 3 22 13" xfId="5980" xr:uid="{00000000-0005-0000-0000-0000FE160000}"/>
    <cellStyle name="20% - Accent6 3 22 14" xfId="5981" xr:uid="{00000000-0005-0000-0000-0000FF160000}"/>
    <cellStyle name="20% - Accent6 3 22 15" xfId="5982" xr:uid="{00000000-0005-0000-0000-000000170000}"/>
    <cellStyle name="20% - Accent6 3 22 2" xfId="5983" xr:uid="{00000000-0005-0000-0000-000001170000}"/>
    <cellStyle name="20% - Accent6 3 22 3" xfId="5984" xr:uid="{00000000-0005-0000-0000-000002170000}"/>
    <cellStyle name="20% - Accent6 3 22 4" xfId="5985" xr:uid="{00000000-0005-0000-0000-000003170000}"/>
    <cellStyle name="20% - Accent6 3 22 5" xfId="5986" xr:uid="{00000000-0005-0000-0000-000004170000}"/>
    <cellStyle name="20% - Accent6 3 22 6" xfId="5987" xr:uid="{00000000-0005-0000-0000-000005170000}"/>
    <cellStyle name="20% - Accent6 3 22 7" xfId="5988" xr:uid="{00000000-0005-0000-0000-000006170000}"/>
    <cellStyle name="20% - Accent6 3 22 8" xfId="5989" xr:uid="{00000000-0005-0000-0000-000007170000}"/>
    <cellStyle name="20% - Accent6 3 22 9" xfId="5990" xr:uid="{00000000-0005-0000-0000-000008170000}"/>
    <cellStyle name="20% - Accent6 3 23" xfId="5991" xr:uid="{00000000-0005-0000-0000-000009170000}"/>
    <cellStyle name="20% - Accent6 3 23 10" xfId="5992" xr:uid="{00000000-0005-0000-0000-00000A170000}"/>
    <cellStyle name="20% - Accent6 3 23 11" xfId="5993" xr:uid="{00000000-0005-0000-0000-00000B170000}"/>
    <cellStyle name="20% - Accent6 3 23 12" xfId="5994" xr:uid="{00000000-0005-0000-0000-00000C170000}"/>
    <cellStyle name="20% - Accent6 3 23 13" xfId="5995" xr:uid="{00000000-0005-0000-0000-00000D170000}"/>
    <cellStyle name="20% - Accent6 3 23 14" xfId="5996" xr:uid="{00000000-0005-0000-0000-00000E170000}"/>
    <cellStyle name="20% - Accent6 3 23 15" xfId="5997" xr:uid="{00000000-0005-0000-0000-00000F170000}"/>
    <cellStyle name="20% - Accent6 3 23 2" xfId="5998" xr:uid="{00000000-0005-0000-0000-000010170000}"/>
    <cellStyle name="20% - Accent6 3 23 3" xfId="5999" xr:uid="{00000000-0005-0000-0000-000011170000}"/>
    <cellStyle name="20% - Accent6 3 23 4" xfId="6000" xr:uid="{00000000-0005-0000-0000-000012170000}"/>
    <cellStyle name="20% - Accent6 3 23 5" xfId="6001" xr:uid="{00000000-0005-0000-0000-000013170000}"/>
    <cellStyle name="20% - Accent6 3 23 6" xfId="6002" xr:uid="{00000000-0005-0000-0000-000014170000}"/>
    <cellStyle name="20% - Accent6 3 23 7" xfId="6003" xr:uid="{00000000-0005-0000-0000-000015170000}"/>
    <cellStyle name="20% - Accent6 3 23 8" xfId="6004" xr:uid="{00000000-0005-0000-0000-000016170000}"/>
    <cellStyle name="20% - Accent6 3 23 9" xfId="6005" xr:uid="{00000000-0005-0000-0000-000017170000}"/>
    <cellStyle name="20% - Accent6 3 24" xfId="6006" xr:uid="{00000000-0005-0000-0000-000018170000}"/>
    <cellStyle name="20% - Accent6 3 24 10" xfId="6007" xr:uid="{00000000-0005-0000-0000-000019170000}"/>
    <cellStyle name="20% - Accent6 3 24 11" xfId="6008" xr:uid="{00000000-0005-0000-0000-00001A170000}"/>
    <cellStyle name="20% - Accent6 3 24 12" xfId="6009" xr:uid="{00000000-0005-0000-0000-00001B170000}"/>
    <cellStyle name="20% - Accent6 3 24 13" xfId="6010" xr:uid="{00000000-0005-0000-0000-00001C170000}"/>
    <cellStyle name="20% - Accent6 3 24 14" xfId="6011" xr:uid="{00000000-0005-0000-0000-00001D170000}"/>
    <cellStyle name="20% - Accent6 3 24 15" xfId="6012" xr:uid="{00000000-0005-0000-0000-00001E170000}"/>
    <cellStyle name="20% - Accent6 3 24 2" xfId="6013" xr:uid="{00000000-0005-0000-0000-00001F170000}"/>
    <cellStyle name="20% - Accent6 3 24 3" xfId="6014" xr:uid="{00000000-0005-0000-0000-000020170000}"/>
    <cellStyle name="20% - Accent6 3 24 4" xfId="6015" xr:uid="{00000000-0005-0000-0000-000021170000}"/>
    <cellStyle name="20% - Accent6 3 24 5" xfId="6016" xr:uid="{00000000-0005-0000-0000-000022170000}"/>
    <cellStyle name="20% - Accent6 3 24 6" xfId="6017" xr:uid="{00000000-0005-0000-0000-000023170000}"/>
    <cellStyle name="20% - Accent6 3 24 7" xfId="6018" xr:uid="{00000000-0005-0000-0000-000024170000}"/>
    <cellStyle name="20% - Accent6 3 24 8" xfId="6019" xr:uid="{00000000-0005-0000-0000-000025170000}"/>
    <cellStyle name="20% - Accent6 3 24 9" xfId="6020" xr:uid="{00000000-0005-0000-0000-000026170000}"/>
    <cellStyle name="20% - Accent6 3 25" xfId="6021" xr:uid="{00000000-0005-0000-0000-000027170000}"/>
    <cellStyle name="20% - Accent6 3 25 10" xfId="6022" xr:uid="{00000000-0005-0000-0000-000028170000}"/>
    <cellStyle name="20% - Accent6 3 25 11" xfId="6023" xr:uid="{00000000-0005-0000-0000-000029170000}"/>
    <cellStyle name="20% - Accent6 3 25 12" xfId="6024" xr:uid="{00000000-0005-0000-0000-00002A170000}"/>
    <cellStyle name="20% - Accent6 3 25 13" xfId="6025" xr:uid="{00000000-0005-0000-0000-00002B170000}"/>
    <cellStyle name="20% - Accent6 3 25 14" xfId="6026" xr:uid="{00000000-0005-0000-0000-00002C170000}"/>
    <cellStyle name="20% - Accent6 3 25 15" xfId="6027" xr:uid="{00000000-0005-0000-0000-00002D170000}"/>
    <cellStyle name="20% - Accent6 3 25 2" xfId="6028" xr:uid="{00000000-0005-0000-0000-00002E170000}"/>
    <cellStyle name="20% - Accent6 3 25 3" xfId="6029" xr:uid="{00000000-0005-0000-0000-00002F170000}"/>
    <cellStyle name="20% - Accent6 3 25 4" xfId="6030" xr:uid="{00000000-0005-0000-0000-000030170000}"/>
    <cellStyle name="20% - Accent6 3 25 5" xfId="6031" xr:uid="{00000000-0005-0000-0000-000031170000}"/>
    <cellStyle name="20% - Accent6 3 25 6" xfId="6032" xr:uid="{00000000-0005-0000-0000-000032170000}"/>
    <cellStyle name="20% - Accent6 3 25 7" xfId="6033" xr:uid="{00000000-0005-0000-0000-000033170000}"/>
    <cellStyle name="20% - Accent6 3 25 8" xfId="6034" xr:uid="{00000000-0005-0000-0000-000034170000}"/>
    <cellStyle name="20% - Accent6 3 25 9" xfId="6035" xr:uid="{00000000-0005-0000-0000-000035170000}"/>
    <cellStyle name="20% - Accent6 3 26" xfId="6036" xr:uid="{00000000-0005-0000-0000-000036170000}"/>
    <cellStyle name="20% - Accent6 3 26 10" xfId="6037" xr:uid="{00000000-0005-0000-0000-000037170000}"/>
    <cellStyle name="20% - Accent6 3 26 11" xfId="6038" xr:uid="{00000000-0005-0000-0000-000038170000}"/>
    <cellStyle name="20% - Accent6 3 26 12" xfId="6039" xr:uid="{00000000-0005-0000-0000-000039170000}"/>
    <cellStyle name="20% - Accent6 3 26 13" xfId="6040" xr:uid="{00000000-0005-0000-0000-00003A170000}"/>
    <cellStyle name="20% - Accent6 3 26 14" xfId="6041" xr:uid="{00000000-0005-0000-0000-00003B170000}"/>
    <cellStyle name="20% - Accent6 3 26 15" xfId="6042" xr:uid="{00000000-0005-0000-0000-00003C170000}"/>
    <cellStyle name="20% - Accent6 3 26 2" xfId="6043" xr:uid="{00000000-0005-0000-0000-00003D170000}"/>
    <cellStyle name="20% - Accent6 3 26 3" xfId="6044" xr:uid="{00000000-0005-0000-0000-00003E170000}"/>
    <cellStyle name="20% - Accent6 3 26 4" xfId="6045" xr:uid="{00000000-0005-0000-0000-00003F170000}"/>
    <cellStyle name="20% - Accent6 3 26 5" xfId="6046" xr:uid="{00000000-0005-0000-0000-000040170000}"/>
    <cellStyle name="20% - Accent6 3 26 6" xfId="6047" xr:uid="{00000000-0005-0000-0000-000041170000}"/>
    <cellStyle name="20% - Accent6 3 26 7" xfId="6048" xr:uid="{00000000-0005-0000-0000-000042170000}"/>
    <cellStyle name="20% - Accent6 3 26 8" xfId="6049" xr:uid="{00000000-0005-0000-0000-000043170000}"/>
    <cellStyle name="20% - Accent6 3 26 9" xfId="6050" xr:uid="{00000000-0005-0000-0000-000044170000}"/>
    <cellStyle name="20% - Accent6 3 27" xfId="6051" xr:uid="{00000000-0005-0000-0000-000045170000}"/>
    <cellStyle name="20% - Accent6 3 27 10" xfId="6052" xr:uid="{00000000-0005-0000-0000-000046170000}"/>
    <cellStyle name="20% - Accent6 3 27 11" xfId="6053" xr:uid="{00000000-0005-0000-0000-000047170000}"/>
    <cellStyle name="20% - Accent6 3 27 12" xfId="6054" xr:uid="{00000000-0005-0000-0000-000048170000}"/>
    <cellStyle name="20% - Accent6 3 27 13" xfId="6055" xr:uid="{00000000-0005-0000-0000-000049170000}"/>
    <cellStyle name="20% - Accent6 3 27 14" xfId="6056" xr:uid="{00000000-0005-0000-0000-00004A170000}"/>
    <cellStyle name="20% - Accent6 3 27 15" xfId="6057" xr:uid="{00000000-0005-0000-0000-00004B170000}"/>
    <cellStyle name="20% - Accent6 3 27 2" xfId="6058" xr:uid="{00000000-0005-0000-0000-00004C170000}"/>
    <cellStyle name="20% - Accent6 3 27 3" xfId="6059" xr:uid="{00000000-0005-0000-0000-00004D170000}"/>
    <cellStyle name="20% - Accent6 3 27 4" xfId="6060" xr:uid="{00000000-0005-0000-0000-00004E170000}"/>
    <cellStyle name="20% - Accent6 3 27 5" xfId="6061" xr:uid="{00000000-0005-0000-0000-00004F170000}"/>
    <cellStyle name="20% - Accent6 3 27 6" xfId="6062" xr:uid="{00000000-0005-0000-0000-000050170000}"/>
    <cellStyle name="20% - Accent6 3 27 7" xfId="6063" xr:uid="{00000000-0005-0000-0000-000051170000}"/>
    <cellStyle name="20% - Accent6 3 27 8" xfId="6064" xr:uid="{00000000-0005-0000-0000-000052170000}"/>
    <cellStyle name="20% - Accent6 3 27 9" xfId="6065" xr:uid="{00000000-0005-0000-0000-000053170000}"/>
    <cellStyle name="20% - Accent6 3 28" xfId="6066" xr:uid="{00000000-0005-0000-0000-000054170000}"/>
    <cellStyle name="20% - Accent6 3 28 10" xfId="6067" xr:uid="{00000000-0005-0000-0000-000055170000}"/>
    <cellStyle name="20% - Accent6 3 28 11" xfId="6068" xr:uid="{00000000-0005-0000-0000-000056170000}"/>
    <cellStyle name="20% - Accent6 3 28 12" xfId="6069" xr:uid="{00000000-0005-0000-0000-000057170000}"/>
    <cellStyle name="20% - Accent6 3 28 13" xfId="6070" xr:uid="{00000000-0005-0000-0000-000058170000}"/>
    <cellStyle name="20% - Accent6 3 28 14" xfId="6071" xr:uid="{00000000-0005-0000-0000-000059170000}"/>
    <cellStyle name="20% - Accent6 3 28 15" xfId="6072" xr:uid="{00000000-0005-0000-0000-00005A170000}"/>
    <cellStyle name="20% - Accent6 3 28 2" xfId="6073" xr:uid="{00000000-0005-0000-0000-00005B170000}"/>
    <cellStyle name="20% - Accent6 3 28 3" xfId="6074" xr:uid="{00000000-0005-0000-0000-00005C170000}"/>
    <cellStyle name="20% - Accent6 3 28 4" xfId="6075" xr:uid="{00000000-0005-0000-0000-00005D170000}"/>
    <cellStyle name="20% - Accent6 3 28 5" xfId="6076" xr:uid="{00000000-0005-0000-0000-00005E170000}"/>
    <cellStyle name="20% - Accent6 3 28 6" xfId="6077" xr:uid="{00000000-0005-0000-0000-00005F170000}"/>
    <cellStyle name="20% - Accent6 3 28 7" xfId="6078" xr:uid="{00000000-0005-0000-0000-000060170000}"/>
    <cellStyle name="20% - Accent6 3 28 8" xfId="6079" xr:uid="{00000000-0005-0000-0000-000061170000}"/>
    <cellStyle name="20% - Accent6 3 28 9" xfId="6080" xr:uid="{00000000-0005-0000-0000-000062170000}"/>
    <cellStyle name="20% - Accent6 3 29" xfId="6081" xr:uid="{00000000-0005-0000-0000-000063170000}"/>
    <cellStyle name="20% - Accent6 3 29 10" xfId="6082" xr:uid="{00000000-0005-0000-0000-000064170000}"/>
    <cellStyle name="20% - Accent6 3 29 11" xfId="6083" xr:uid="{00000000-0005-0000-0000-000065170000}"/>
    <cellStyle name="20% - Accent6 3 29 12" xfId="6084" xr:uid="{00000000-0005-0000-0000-000066170000}"/>
    <cellStyle name="20% - Accent6 3 29 13" xfId="6085" xr:uid="{00000000-0005-0000-0000-000067170000}"/>
    <cellStyle name="20% - Accent6 3 29 14" xfId="6086" xr:uid="{00000000-0005-0000-0000-000068170000}"/>
    <cellStyle name="20% - Accent6 3 29 15" xfId="6087" xr:uid="{00000000-0005-0000-0000-000069170000}"/>
    <cellStyle name="20% - Accent6 3 29 2" xfId="6088" xr:uid="{00000000-0005-0000-0000-00006A170000}"/>
    <cellStyle name="20% - Accent6 3 29 3" xfId="6089" xr:uid="{00000000-0005-0000-0000-00006B170000}"/>
    <cellStyle name="20% - Accent6 3 29 4" xfId="6090" xr:uid="{00000000-0005-0000-0000-00006C170000}"/>
    <cellStyle name="20% - Accent6 3 29 5" xfId="6091" xr:uid="{00000000-0005-0000-0000-00006D170000}"/>
    <cellStyle name="20% - Accent6 3 29 6" xfId="6092" xr:uid="{00000000-0005-0000-0000-00006E170000}"/>
    <cellStyle name="20% - Accent6 3 29 7" xfId="6093" xr:uid="{00000000-0005-0000-0000-00006F170000}"/>
    <cellStyle name="20% - Accent6 3 29 8" xfId="6094" xr:uid="{00000000-0005-0000-0000-000070170000}"/>
    <cellStyle name="20% - Accent6 3 29 9" xfId="6095" xr:uid="{00000000-0005-0000-0000-000071170000}"/>
    <cellStyle name="20% - Accent6 3 3" xfId="6096" xr:uid="{00000000-0005-0000-0000-000072170000}"/>
    <cellStyle name="20% - Accent6 3 3 10" xfId="6097" xr:uid="{00000000-0005-0000-0000-000073170000}"/>
    <cellStyle name="20% - Accent6 3 3 11" xfId="6098" xr:uid="{00000000-0005-0000-0000-000074170000}"/>
    <cellStyle name="20% - Accent6 3 3 12" xfId="6099" xr:uid="{00000000-0005-0000-0000-000075170000}"/>
    <cellStyle name="20% - Accent6 3 3 13" xfId="6100" xr:uid="{00000000-0005-0000-0000-000076170000}"/>
    <cellStyle name="20% - Accent6 3 3 14" xfId="6101" xr:uid="{00000000-0005-0000-0000-000077170000}"/>
    <cellStyle name="20% - Accent6 3 3 15" xfId="6102" xr:uid="{00000000-0005-0000-0000-000078170000}"/>
    <cellStyle name="20% - Accent6 3 3 16" xfId="6103" xr:uid="{00000000-0005-0000-0000-000079170000}"/>
    <cellStyle name="20% - Accent6 3 3 2" xfId="6104" xr:uid="{00000000-0005-0000-0000-00007A170000}"/>
    <cellStyle name="20% - Accent6 3 3 3" xfId="6105" xr:uid="{00000000-0005-0000-0000-00007B170000}"/>
    <cellStyle name="20% - Accent6 3 3 4" xfId="6106" xr:uid="{00000000-0005-0000-0000-00007C170000}"/>
    <cellStyle name="20% - Accent6 3 3 5" xfId="6107" xr:uid="{00000000-0005-0000-0000-00007D170000}"/>
    <cellStyle name="20% - Accent6 3 3 6" xfId="6108" xr:uid="{00000000-0005-0000-0000-00007E170000}"/>
    <cellStyle name="20% - Accent6 3 3 7" xfId="6109" xr:uid="{00000000-0005-0000-0000-00007F170000}"/>
    <cellStyle name="20% - Accent6 3 3 8" xfId="6110" xr:uid="{00000000-0005-0000-0000-000080170000}"/>
    <cellStyle name="20% - Accent6 3 3 9" xfId="6111" xr:uid="{00000000-0005-0000-0000-000081170000}"/>
    <cellStyle name="20% - Accent6 3 30" xfId="6112" xr:uid="{00000000-0005-0000-0000-000082170000}"/>
    <cellStyle name="20% - Accent6 3 30 10" xfId="6113" xr:uid="{00000000-0005-0000-0000-000083170000}"/>
    <cellStyle name="20% - Accent6 3 30 11" xfId="6114" xr:uid="{00000000-0005-0000-0000-000084170000}"/>
    <cellStyle name="20% - Accent6 3 30 12" xfId="6115" xr:uid="{00000000-0005-0000-0000-000085170000}"/>
    <cellStyle name="20% - Accent6 3 30 13" xfId="6116" xr:uid="{00000000-0005-0000-0000-000086170000}"/>
    <cellStyle name="20% - Accent6 3 30 14" xfId="6117" xr:uid="{00000000-0005-0000-0000-000087170000}"/>
    <cellStyle name="20% - Accent6 3 30 15" xfId="6118" xr:uid="{00000000-0005-0000-0000-000088170000}"/>
    <cellStyle name="20% - Accent6 3 30 2" xfId="6119" xr:uid="{00000000-0005-0000-0000-000089170000}"/>
    <cellStyle name="20% - Accent6 3 30 3" xfId="6120" xr:uid="{00000000-0005-0000-0000-00008A170000}"/>
    <cellStyle name="20% - Accent6 3 30 4" xfId="6121" xr:uid="{00000000-0005-0000-0000-00008B170000}"/>
    <cellStyle name="20% - Accent6 3 30 5" xfId="6122" xr:uid="{00000000-0005-0000-0000-00008C170000}"/>
    <cellStyle name="20% - Accent6 3 30 6" xfId="6123" xr:uid="{00000000-0005-0000-0000-00008D170000}"/>
    <cellStyle name="20% - Accent6 3 30 7" xfId="6124" xr:uid="{00000000-0005-0000-0000-00008E170000}"/>
    <cellStyle name="20% - Accent6 3 30 8" xfId="6125" xr:uid="{00000000-0005-0000-0000-00008F170000}"/>
    <cellStyle name="20% - Accent6 3 30 9" xfId="6126" xr:uid="{00000000-0005-0000-0000-000090170000}"/>
    <cellStyle name="20% - Accent6 3 31" xfId="6127" xr:uid="{00000000-0005-0000-0000-000091170000}"/>
    <cellStyle name="20% - Accent6 3 31 10" xfId="6128" xr:uid="{00000000-0005-0000-0000-000092170000}"/>
    <cellStyle name="20% - Accent6 3 31 11" xfId="6129" xr:uid="{00000000-0005-0000-0000-000093170000}"/>
    <cellStyle name="20% - Accent6 3 31 12" xfId="6130" xr:uid="{00000000-0005-0000-0000-000094170000}"/>
    <cellStyle name="20% - Accent6 3 31 13" xfId="6131" xr:uid="{00000000-0005-0000-0000-000095170000}"/>
    <cellStyle name="20% - Accent6 3 31 14" xfId="6132" xr:uid="{00000000-0005-0000-0000-000096170000}"/>
    <cellStyle name="20% - Accent6 3 31 15" xfId="6133" xr:uid="{00000000-0005-0000-0000-000097170000}"/>
    <cellStyle name="20% - Accent6 3 31 2" xfId="6134" xr:uid="{00000000-0005-0000-0000-000098170000}"/>
    <cellStyle name="20% - Accent6 3 31 3" xfId="6135" xr:uid="{00000000-0005-0000-0000-000099170000}"/>
    <cellStyle name="20% - Accent6 3 31 4" xfId="6136" xr:uid="{00000000-0005-0000-0000-00009A170000}"/>
    <cellStyle name="20% - Accent6 3 31 5" xfId="6137" xr:uid="{00000000-0005-0000-0000-00009B170000}"/>
    <cellStyle name="20% - Accent6 3 31 6" xfId="6138" xr:uid="{00000000-0005-0000-0000-00009C170000}"/>
    <cellStyle name="20% - Accent6 3 31 7" xfId="6139" xr:uid="{00000000-0005-0000-0000-00009D170000}"/>
    <cellStyle name="20% - Accent6 3 31 8" xfId="6140" xr:uid="{00000000-0005-0000-0000-00009E170000}"/>
    <cellStyle name="20% - Accent6 3 31 9" xfId="6141" xr:uid="{00000000-0005-0000-0000-00009F170000}"/>
    <cellStyle name="20% - Accent6 3 32" xfId="6142" xr:uid="{00000000-0005-0000-0000-0000A0170000}"/>
    <cellStyle name="20% - Accent6 3 32 10" xfId="6143" xr:uid="{00000000-0005-0000-0000-0000A1170000}"/>
    <cellStyle name="20% - Accent6 3 32 11" xfId="6144" xr:uid="{00000000-0005-0000-0000-0000A2170000}"/>
    <cellStyle name="20% - Accent6 3 32 12" xfId="6145" xr:uid="{00000000-0005-0000-0000-0000A3170000}"/>
    <cellStyle name="20% - Accent6 3 32 13" xfId="6146" xr:uid="{00000000-0005-0000-0000-0000A4170000}"/>
    <cellStyle name="20% - Accent6 3 32 14" xfId="6147" xr:uid="{00000000-0005-0000-0000-0000A5170000}"/>
    <cellStyle name="20% - Accent6 3 32 15" xfId="6148" xr:uid="{00000000-0005-0000-0000-0000A6170000}"/>
    <cellStyle name="20% - Accent6 3 32 2" xfId="6149" xr:uid="{00000000-0005-0000-0000-0000A7170000}"/>
    <cellStyle name="20% - Accent6 3 32 3" xfId="6150" xr:uid="{00000000-0005-0000-0000-0000A8170000}"/>
    <cellStyle name="20% - Accent6 3 32 4" xfId="6151" xr:uid="{00000000-0005-0000-0000-0000A9170000}"/>
    <cellStyle name="20% - Accent6 3 32 5" xfId="6152" xr:uid="{00000000-0005-0000-0000-0000AA170000}"/>
    <cellStyle name="20% - Accent6 3 32 6" xfId="6153" xr:uid="{00000000-0005-0000-0000-0000AB170000}"/>
    <cellStyle name="20% - Accent6 3 32 7" xfId="6154" xr:uid="{00000000-0005-0000-0000-0000AC170000}"/>
    <cellStyle name="20% - Accent6 3 32 8" xfId="6155" xr:uid="{00000000-0005-0000-0000-0000AD170000}"/>
    <cellStyle name="20% - Accent6 3 32 9" xfId="6156" xr:uid="{00000000-0005-0000-0000-0000AE170000}"/>
    <cellStyle name="20% - Accent6 3 33" xfId="6157" xr:uid="{00000000-0005-0000-0000-0000AF170000}"/>
    <cellStyle name="20% - Accent6 3 34" xfId="6158" xr:uid="{00000000-0005-0000-0000-0000B0170000}"/>
    <cellStyle name="20% - Accent6 3 35" xfId="6159" xr:uid="{00000000-0005-0000-0000-0000B1170000}"/>
    <cellStyle name="20% - Accent6 3 36" xfId="6160" xr:uid="{00000000-0005-0000-0000-0000B2170000}"/>
    <cellStyle name="20% - Accent6 3 37" xfId="6161" xr:uid="{00000000-0005-0000-0000-0000B3170000}"/>
    <cellStyle name="20% - Accent6 3 38" xfId="6162" xr:uid="{00000000-0005-0000-0000-0000B4170000}"/>
    <cellStyle name="20% - Accent6 3 39" xfId="6163" xr:uid="{00000000-0005-0000-0000-0000B5170000}"/>
    <cellStyle name="20% - Accent6 3 4" xfId="6164" xr:uid="{00000000-0005-0000-0000-0000B6170000}"/>
    <cellStyle name="20% - Accent6 3 4 10" xfId="6165" xr:uid="{00000000-0005-0000-0000-0000B7170000}"/>
    <cellStyle name="20% - Accent6 3 4 11" xfId="6166" xr:uid="{00000000-0005-0000-0000-0000B8170000}"/>
    <cellStyle name="20% - Accent6 3 4 12" xfId="6167" xr:uid="{00000000-0005-0000-0000-0000B9170000}"/>
    <cellStyle name="20% - Accent6 3 4 13" xfId="6168" xr:uid="{00000000-0005-0000-0000-0000BA170000}"/>
    <cellStyle name="20% - Accent6 3 4 14" xfId="6169" xr:uid="{00000000-0005-0000-0000-0000BB170000}"/>
    <cellStyle name="20% - Accent6 3 4 15" xfId="6170" xr:uid="{00000000-0005-0000-0000-0000BC170000}"/>
    <cellStyle name="20% - Accent6 3 4 16" xfId="6171" xr:uid="{00000000-0005-0000-0000-0000BD170000}"/>
    <cellStyle name="20% - Accent6 3 4 2" xfId="6172" xr:uid="{00000000-0005-0000-0000-0000BE170000}"/>
    <cellStyle name="20% - Accent6 3 4 3" xfId="6173" xr:uid="{00000000-0005-0000-0000-0000BF170000}"/>
    <cellStyle name="20% - Accent6 3 4 4" xfId="6174" xr:uid="{00000000-0005-0000-0000-0000C0170000}"/>
    <cellStyle name="20% - Accent6 3 4 5" xfId="6175" xr:uid="{00000000-0005-0000-0000-0000C1170000}"/>
    <cellStyle name="20% - Accent6 3 4 6" xfId="6176" xr:uid="{00000000-0005-0000-0000-0000C2170000}"/>
    <cellStyle name="20% - Accent6 3 4 7" xfId="6177" xr:uid="{00000000-0005-0000-0000-0000C3170000}"/>
    <cellStyle name="20% - Accent6 3 4 8" xfId="6178" xr:uid="{00000000-0005-0000-0000-0000C4170000}"/>
    <cellStyle name="20% - Accent6 3 4 9" xfId="6179" xr:uid="{00000000-0005-0000-0000-0000C5170000}"/>
    <cellStyle name="20% - Accent6 3 40" xfId="6180" xr:uid="{00000000-0005-0000-0000-0000C6170000}"/>
    <cellStyle name="20% - Accent6 3 41" xfId="6181" xr:uid="{00000000-0005-0000-0000-0000C7170000}"/>
    <cellStyle name="20% - Accent6 3 42" xfId="6182" xr:uid="{00000000-0005-0000-0000-0000C8170000}"/>
    <cellStyle name="20% - Accent6 3 43" xfId="6183" xr:uid="{00000000-0005-0000-0000-0000C9170000}"/>
    <cellStyle name="20% - Accent6 3 44" xfId="6184" xr:uid="{00000000-0005-0000-0000-0000CA170000}"/>
    <cellStyle name="20% - Accent6 3 45" xfId="6185" xr:uid="{00000000-0005-0000-0000-0000CB170000}"/>
    <cellStyle name="20% - Accent6 3 46" xfId="6186" xr:uid="{00000000-0005-0000-0000-0000CC170000}"/>
    <cellStyle name="20% - Accent6 3 47" xfId="6187" xr:uid="{00000000-0005-0000-0000-0000CD170000}"/>
    <cellStyle name="20% - Accent6 3 48" xfId="6188" xr:uid="{00000000-0005-0000-0000-0000CE170000}"/>
    <cellStyle name="20% - Accent6 3 49" xfId="6189" xr:uid="{00000000-0005-0000-0000-0000CF170000}"/>
    <cellStyle name="20% - Accent6 3 5" xfId="6190" xr:uid="{00000000-0005-0000-0000-0000D0170000}"/>
    <cellStyle name="20% - Accent6 3 5 10" xfId="6191" xr:uid="{00000000-0005-0000-0000-0000D1170000}"/>
    <cellStyle name="20% - Accent6 3 5 11" xfId="6192" xr:uid="{00000000-0005-0000-0000-0000D2170000}"/>
    <cellStyle name="20% - Accent6 3 5 12" xfId="6193" xr:uid="{00000000-0005-0000-0000-0000D3170000}"/>
    <cellStyle name="20% - Accent6 3 5 13" xfId="6194" xr:uid="{00000000-0005-0000-0000-0000D4170000}"/>
    <cellStyle name="20% - Accent6 3 5 14" xfId="6195" xr:uid="{00000000-0005-0000-0000-0000D5170000}"/>
    <cellStyle name="20% - Accent6 3 5 15" xfId="6196" xr:uid="{00000000-0005-0000-0000-0000D6170000}"/>
    <cellStyle name="20% - Accent6 3 5 2" xfId="6197" xr:uid="{00000000-0005-0000-0000-0000D7170000}"/>
    <cellStyle name="20% - Accent6 3 5 3" xfId="6198" xr:uid="{00000000-0005-0000-0000-0000D8170000}"/>
    <cellStyle name="20% - Accent6 3 5 4" xfId="6199" xr:uid="{00000000-0005-0000-0000-0000D9170000}"/>
    <cellStyle name="20% - Accent6 3 5 5" xfId="6200" xr:uid="{00000000-0005-0000-0000-0000DA170000}"/>
    <cellStyle name="20% - Accent6 3 5 6" xfId="6201" xr:uid="{00000000-0005-0000-0000-0000DB170000}"/>
    <cellStyle name="20% - Accent6 3 5 7" xfId="6202" xr:uid="{00000000-0005-0000-0000-0000DC170000}"/>
    <cellStyle name="20% - Accent6 3 5 8" xfId="6203" xr:uid="{00000000-0005-0000-0000-0000DD170000}"/>
    <cellStyle name="20% - Accent6 3 5 9" xfId="6204" xr:uid="{00000000-0005-0000-0000-0000DE170000}"/>
    <cellStyle name="20% - Accent6 3 50" xfId="6205" xr:uid="{00000000-0005-0000-0000-0000DF170000}"/>
    <cellStyle name="20% - Accent6 3 51" xfId="6206" xr:uid="{00000000-0005-0000-0000-0000E0170000}"/>
    <cellStyle name="20% - Accent6 3 52" xfId="6207" xr:uid="{00000000-0005-0000-0000-0000E1170000}"/>
    <cellStyle name="20% - Accent6 3 53" xfId="6208" xr:uid="{00000000-0005-0000-0000-0000E2170000}"/>
    <cellStyle name="20% - Accent6 3 54" xfId="6209" xr:uid="{00000000-0005-0000-0000-0000E3170000}"/>
    <cellStyle name="20% - Accent6 3 55" xfId="6210" xr:uid="{00000000-0005-0000-0000-0000E4170000}"/>
    <cellStyle name="20% - Accent6 3 6" xfId="6211" xr:uid="{00000000-0005-0000-0000-0000E5170000}"/>
    <cellStyle name="20% - Accent6 3 6 10" xfId="6212" xr:uid="{00000000-0005-0000-0000-0000E6170000}"/>
    <cellStyle name="20% - Accent6 3 6 11" xfId="6213" xr:uid="{00000000-0005-0000-0000-0000E7170000}"/>
    <cellStyle name="20% - Accent6 3 6 12" xfId="6214" xr:uid="{00000000-0005-0000-0000-0000E8170000}"/>
    <cellStyle name="20% - Accent6 3 6 13" xfId="6215" xr:uid="{00000000-0005-0000-0000-0000E9170000}"/>
    <cellStyle name="20% - Accent6 3 6 14" xfId="6216" xr:uid="{00000000-0005-0000-0000-0000EA170000}"/>
    <cellStyle name="20% - Accent6 3 6 15" xfId="6217" xr:uid="{00000000-0005-0000-0000-0000EB170000}"/>
    <cellStyle name="20% - Accent6 3 6 2" xfId="6218" xr:uid="{00000000-0005-0000-0000-0000EC170000}"/>
    <cellStyle name="20% - Accent6 3 6 3" xfId="6219" xr:uid="{00000000-0005-0000-0000-0000ED170000}"/>
    <cellStyle name="20% - Accent6 3 6 4" xfId="6220" xr:uid="{00000000-0005-0000-0000-0000EE170000}"/>
    <cellStyle name="20% - Accent6 3 6 5" xfId="6221" xr:uid="{00000000-0005-0000-0000-0000EF170000}"/>
    <cellStyle name="20% - Accent6 3 6 6" xfId="6222" xr:uid="{00000000-0005-0000-0000-0000F0170000}"/>
    <cellStyle name="20% - Accent6 3 6 7" xfId="6223" xr:uid="{00000000-0005-0000-0000-0000F1170000}"/>
    <cellStyle name="20% - Accent6 3 6 8" xfId="6224" xr:uid="{00000000-0005-0000-0000-0000F2170000}"/>
    <cellStyle name="20% - Accent6 3 6 9" xfId="6225" xr:uid="{00000000-0005-0000-0000-0000F3170000}"/>
    <cellStyle name="20% - Accent6 3 7" xfId="6226" xr:uid="{00000000-0005-0000-0000-0000F4170000}"/>
    <cellStyle name="20% - Accent6 3 7 10" xfId="6227" xr:uid="{00000000-0005-0000-0000-0000F5170000}"/>
    <cellStyle name="20% - Accent6 3 7 11" xfId="6228" xr:uid="{00000000-0005-0000-0000-0000F6170000}"/>
    <cellStyle name="20% - Accent6 3 7 12" xfId="6229" xr:uid="{00000000-0005-0000-0000-0000F7170000}"/>
    <cellStyle name="20% - Accent6 3 7 13" xfId="6230" xr:uid="{00000000-0005-0000-0000-0000F8170000}"/>
    <cellStyle name="20% - Accent6 3 7 14" xfId="6231" xr:uid="{00000000-0005-0000-0000-0000F9170000}"/>
    <cellStyle name="20% - Accent6 3 7 15" xfId="6232" xr:uid="{00000000-0005-0000-0000-0000FA170000}"/>
    <cellStyle name="20% - Accent6 3 7 2" xfId="6233" xr:uid="{00000000-0005-0000-0000-0000FB170000}"/>
    <cellStyle name="20% - Accent6 3 7 3" xfId="6234" xr:uid="{00000000-0005-0000-0000-0000FC170000}"/>
    <cellStyle name="20% - Accent6 3 7 4" xfId="6235" xr:uid="{00000000-0005-0000-0000-0000FD170000}"/>
    <cellStyle name="20% - Accent6 3 7 5" xfId="6236" xr:uid="{00000000-0005-0000-0000-0000FE170000}"/>
    <cellStyle name="20% - Accent6 3 7 6" xfId="6237" xr:uid="{00000000-0005-0000-0000-0000FF170000}"/>
    <cellStyle name="20% - Accent6 3 7 7" xfId="6238" xr:uid="{00000000-0005-0000-0000-000000180000}"/>
    <cellStyle name="20% - Accent6 3 7 8" xfId="6239" xr:uid="{00000000-0005-0000-0000-000001180000}"/>
    <cellStyle name="20% - Accent6 3 7 9" xfId="6240" xr:uid="{00000000-0005-0000-0000-000002180000}"/>
    <cellStyle name="20% - Accent6 3 8" xfId="6241" xr:uid="{00000000-0005-0000-0000-000003180000}"/>
    <cellStyle name="20% - Accent6 3 8 10" xfId="6242" xr:uid="{00000000-0005-0000-0000-000004180000}"/>
    <cellStyle name="20% - Accent6 3 8 11" xfId="6243" xr:uid="{00000000-0005-0000-0000-000005180000}"/>
    <cellStyle name="20% - Accent6 3 8 12" xfId="6244" xr:uid="{00000000-0005-0000-0000-000006180000}"/>
    <cellStyle name="20% - Accent6 3 8 13" xfId="6245" xr:uid="{00000000-0005-0000-0000-000007180000}"/>
    <cellStyle name="20% - Accent6 3 8 14" xfId="6246" xr:uid="{00000000-0005-0000-0000-000008180000}"/>
    <cellStyle name="20% - Accent6 3 8 15" xfId="6247" xr:uid="{00000000-0005-0000-0000-000009180000}"/>
    <cellStyle name="20% - Accent6 3 8 2" xfId="6248" xr:uid="{00000000-0005-0000-0000-00000A180000}"/>
    <cellStyle name="20% - Accent6 3 8 3" xfId="6249" xr:uid="{00000000-0005-0000-0000-00000B180000}"/>
    <cellStyle name="20% - Accent6 3 8 4" xfId="6250" xr:uid="{00000000-0005-0000-0000-00000C180000}"/>
    <cellStyle name="20% - Accent6 3 8 5" xfId="6251" xr:uid="{00000000-0005-0000-0000-00000D180000}"/>
    <cellStyle name="20% - Accent6 3 8 6" xfId="6252" xr:uid="{00000000-0005-0000-0000-00000E180000}"/>
    <cellStyle name="20% - Accent6 3 8 7" xfId="6253" xr:uid="{00000000-0005-0000-0000-00000F180000}"/>
    <cellStyle name="20% - Accent6 3 8 8" xfId="6254" xr:uid="{00000000-0005-0000-0000-000010180000}"/>
    <cellStyle name="20% - Accent6 3 8 9" xfId="6255" xr:uid="{00000000-0005-0000-0000-000011180000}"/>
    <cellStyle name="20% - Accent6 3 9" xfId="6256" xr:uid="{00000000-0005-0000-0000-000012180000}"/>
    <cellStyle name="20% - Accent6 3 9 10" xfId="6257" xr:uid="{00000000-0005-0000-0000-000013180000}"/>
    <cellStyle name="20% - Accent6 3 9 11" xfId="6258" xr:uid="{00000000-0005-0000-0000-000014180000}"/>
    <cellStyle name="20% - Accent6 3 9 12" xfId="6259" xr:uid="{00000000-0005-0000-0000-000015180000}"/>
    <cellStyle name="20% - Accent6 3 9 13" xfId="6260" xr:uid="{00000000-0005-0000-0000-000016180000}"/>
    <cellStyle name="20% - Accent6 3 9 14" xfId="6261" xr:uid="{00000000-0005-0000-0000-000017180000}"/>
    <cellStyle name="20% - Accent6 3 9 15" xfId="6262" xr:uid="{00000000-0005-0000-0000-000018180000}"/>
    <cellStyle name="20% - Accent6 3 9 2" xfId="6263" xr:uid="{00000000-0005-0000-0000-000019180000}"/>
    <cellStyle name="20% - Accent6 3 9 3" xfId="6264" xr:uid="{00000000-0005-0000-0000-00001A180000}"/>
    <cellStyle name="20% - Accent6 3 9 4" xfId="6265" xr:uid="{00000000-0005-0000-0000-00001B180000}"/>
    <cellStyle name="20% - Accent6 3 9 5" xfId="6266" xr:uid="{00000000-0005-0000-0000-00001C180000}"/>
    <cellStyle name="20% - Accent6 3 9 6" xfId="6267" xr:uid="{00000000-0005-0000-0000-00001D180000}"/>
    <cellStyle name="20% - Accent6 3 9 7" xfId="6268" xr:uid="{00000000-0005-0000-0000-00001E180000}"/>
    <cellStyle name="20% - Accent6 3 9 8" xfId="6269" xr:uid="{00000000-0005-0000-0000-00001F180000}"/>
    <cellStyle name="20% - Accent6 3 9 9" xfId="6270" xr:uid="{00000000-0005-0000-0000-000020180000}"/>
    <cellStyle name="20% - Accent6 30" xfId="6271" xr:uid="{00000000-0005-0000-0000-000021180000}"/>
    <cellStyle name="20% - Accent6 30 10" xfId="6272" xr:uid="{00000000-0005-0000-0000-000022180000}"/>
    <cellStyle name="20% - Accent6 30 11" xfId="6273" xr:uid="{00000000-0005-0000-0000-000023180000}"/>
    <cellStyle name="20% - Accent6 30 12" xfId="6274" xr:uid="{00000000-0005-0000-0000-000024180000}"/>
    <cellStyle name="20% - Accent6 30 13" xfId="6275" xr:uid="{00000000-0005-0000-0000-000025180000}"/>
    <cellStyle name="20% - Accent6 30 14" xfId="6276" xr:uid="{00000000-0005-0000-0000-000026180000}"/>
    <cellStyle name="20% - Accent6 30 15" xfId="6277" xr:uid="{00000000-0005-0000-0000-000027180000}"/>
    <cellStyle name="20% - Accent6 30 16" xfId="6278" xr:uid="{00000000-0005-0000-0000-000028180000}"/>
    <cellStyle name="20% - Accent6 30 2" xfId="6279" xr:uid="{00000000-0005-0000-0000-000029180000}"/>
    <cellStyle name="20% - Accent6 30 3" xfId="6280" xr:uid="{00000000-0005-0000-0000-00002A180000}"/>
    <cellStyle name="20% - Accent6 30 4" xfId="6281" xr:uid="{00000000-0005-0000-0000-00002B180000}"/>
    <cellStyle name="20% - Accent6 30 5" xfId="6282" xr:uid="{00000000-0005-0000-0000-00002C180000}"/>
    <cellStyle name="20% - Accent6 30 6" xfId="6283" xr:uid="{00000000-0005-0000-0000-00002D180000}"/>
    <cellStyle name="20% - Accent6 30 7" xfId="6284" xr:uid="{00000000-0005-0000-0000-00002E180000}"/>
    <cellStyle name="20% - Accent6 30 8" xfId="6285" xr:uid="{00000000-0005-0000-0000-00002F180000}"/>
    <cellStyle name="20% - Accent6 30 9" xfId="6286" xr:uid="{00000000-0005-0000-0000-000030180000}"/>
    <cellStyle name="20% - Accent6 31" xfId="6287" xr:uid="{00000000-0005-0000-0000-000031180000}"/>
    <cellStyle name="20% - Accent6 31 10" xfId="6288" xr:uid="{00000000-0005-0000-0000-000032180000}"/>
    <cellStyle name="20% - Accent6 31 11" xfId="6289" xr:uid="{00000000-0005-0000-0000-000033180000}"/>
    <cellStyle name="20% - Accent6 31 12" xfId="6290" xr:uid="{00000000-0005-0000-0000-000034180000}"/>
    <cellStyle name="20% - Accent6 31 13" xfId="6291" xr:uid="{00000000-0005-0000-0000-000035180000}"/>
    <cellStyle name="20% - Accent6 31 14" xfId="6292" xr:uid="{00000000-0005-0000-0000-000036180000}"/>
    <cellStyle name="20% - Accent6 31 15" xfId="6293" xr:uid="{00000000-0005-0000-0000-000037180000}"/>
    <cellStyle name="20% - Accent6 31 16" xfId="6294" xr:uid="{00000000-0005-0000-0000-000038180000}"/>
    <cellStyle name="20% - Accent6 31 2" xfId="6295" xr:uid="{00000000-0005-0000-0000-000039180000}"/>
    <cellStyle name="20% - Accent6 31 3" xfId="6296" xr:uid="{00000000-0005-0000-0000-00003A180000}"/>
    <cellStyle name="20% - Accent6 31 4" xfId="6297" xr:uid="{00000000-0005-0000-0000-00003B180000}"/>
    <cellStyle name="20% - Accent6 31 5" xfId="6298" xr:uid="{00000000-0005-0000-0000-00003C180000}"/>
    <cellStyle name="20% - Accent6 31 6" xfId="6299" xr:uid="{00000000-0005-0000-0000-00003D180000}"/>
    <cellStyle name="20% - Accent6 31 7" xfId="6300" xr:uid="{00000000-0005-0000-0000-00003E180000}"/>
    <cellStyle name="20% - Accent6 31 8" xfId="6301" xr:uid="{00000000-0005-0000-0000-00003F180000}"/>
    <cellStyle name="20% - Accent6 31 9" xfId="6302" xr:uid="{00000000-0005-0000-0000-000040180000}"/>
    <cellStyle name="20% - Accent6 32" xfId="6303" xr:uid="{00000000-0005-0000-0000-000041180000}"/>
    <cellStyle name="20% - Accent6 32 10" xfId="6304" xr:uid="{00000000-0005-0000-0000-000042180000}"/>
    <cellStyle name="20% - Accent6 32 11" xfId="6305" xr:uid="{00000000-0005-0000-0000-000043180000}"/>
    <cellStyle name="20% - Accent6 32 12" xfId="6306" xr:uid="{00000000-0005-0000-0000-000044180000}"/>
    <cellStyle name="20% - Accent6 32 13" xfId="6307" xr:uid="{00000000-0005-0000-0000-000045180000}"/>
    <cellStyle name="20% - Accent6 32 14" xfId="6308" xr:uid="{00000000-0005-0000-0000-000046180000}"/>
    <cellStyle name="20% - Accent6 32 15" xfId="6309" xr:uid="{00000000-0005-0000-0000-000047180000}"/>
    <cellStyle name="20% - Accent6 32 2" xfId="6310" xr:uid="{00000000-0005-0000-0000-000048180000}"/>
    <cellStyle name="20% - Accent6 32 3" xfId="6311" xr:uid="{00000000-0005-0000-0000-000049180000}"/>
    <cellStyle name="20% - Accent6 32 4" xfId="6312" xr:uid="{00000000-0005-0000-0000-00004A180000}"/>
    <cellStyle name="20% - Accent6 32 5" xfId="6313" xr:uid="{00000000-0005-0000-0000-00004B180000}"/>
    <cellStyle name="20% - Accent6 32 6" xfId="6314" xr:uid="{00000000-0005-0000-0000-00004C180000}"/>
    <cellStyle name="20% - Accent6 32 7" xfId="6315" xr:uid="{00000000-0005-0000-0000-00004D180000}"/>
    <cellStyle name="20% - Accent6 32 8" xfId="6316" xr:uid="{00000000-0005-0000-0000-00004E180000}"/>
    <cellStyle name="20% - Accent6 32 9" xfId="6317" xr:uid="{00000000-0005-0000-0000-00004F180000}"/>
    <cellStyle name="20% - Accent6 33" xfId="6318" xr:uid="{00000000-0005-0000-0000-000050180000}"/>
    <cellStyle name="20% - Accent6 33 10" xfId="6319" xr:uid="{00000000-0005-0000-0000-000051180000}"/>
    <cellStyle name="20% - Accent6 33 11" xfId="6320" xr:uid="{00000000-0005-0000-0000-000052180000}"/>
    <cellStyle name="20% - Accent6 33 12" xfId="6321" xr:uid="{00000000-0005-0000-0000-000053180000}"/>
    <cellStyle name="20% - Accent6 33 13" xfId="6322" xr:uid="{00000000-0005-0000-0000-000054180000}"/>
    <cellStyle name="20% - Accent6 33 14" xfId="6323" xr:uid="{00000000-0005-0000-0000-000055180000}"/>
    <cellStyle name="20% - Accent6 33 15" xfId="6324" xr:uid="{00000000-0005-0000-0000-000056180000}"/>
    <cellStyle name="20% - Accent6 33 16" xfId="6325" xr:uid="{00000000-0005-0000-0000-000057180000}"/>
    <cellStyle name="20% - Accent6 33 2" xfId="6326" xr:uid="{00000000-0005-0000-0000-000058180000}"/>
    <cellStyle name="20% - Accent6 33 3" xfId="6327" xr:uid="{00000000-0005-0000-0000-000059180000}"/>
    <cellStyle name="20% - Accent6 33 4" xfId="6328" xr:uid="{00000000-0005-0000-0000-00005A180000}"/>
    <cellStyle name="20% - Accent6 33 5" xfId="6329" xr:uid="{00000000-0005-0000-0000-00005B180000}"/>
    <cellStyle name="20% - Accent6 33 6" xfId="6330" xr:uid="{00000000-0005-0000-0000-00005C180000}"/>
    <cellStyle name="20% - Accent6 33 7" xfId="6331" xr:uid="{00000000-0005-0000-0000-00005D180000}"/>
    <cellStyle name="20% - Accent6 33 8" xfId="6332" xr:uid="{00000000-0005-0000-0000-00005E180000}"/>
    <cellStyle name="20% - Accent6 33 9" xfId="6333" xr:uid="{00000000-0005-0000-0000-00005F180000}"/>
    <cellStyle name="20% - Accent6 34" xfId="6334" xr:uid="{00000000-0005-0000-0000-000060180000}"/>
    <cellStyle name="20% - Accent6 34 10" xfId="6335" xr:uid="{00000000-0005-0000-0000-000061180000}"/>
    <cellStyle name="20% - Accent6 34 11" xfId="6336" xr:uid="{00000000-0005-0000-0000-000062180000}"/>
    <cellStyle name="20% - Accent6 34 12" xfId="6337" xr:uid="{00000000-0005-0000-0000-000063180000}"/>
    <cellStyle name="20% - Accent6 34 13" xfId="6338" xr:uid="{00000000-0005-0000-0000-000064180000}"/>
    <cellStyle name="20% - Accent6 34 14" xfId="6339" xr:uid="{00000000-0005-0000-0000-000065180000}"/>
    <cellStyle name="20% - Accent6 34 15" xfId="6340" xr:uid="{00000000-0005-0000-0000-000066180000}"/>
    <cellStyle name="20% - Accent6 34 16" xfId="6341" xr:uid="{00000000-0005-0000-0000-000067180000}"/>
    <cellStyle name="20% - Accent6 34 2" xfId="6342" xr:uid="{00000000-0005-0000-0000-000068180000}"/>
    <cellStyle name="20% - Accent6 34 3" xfId="6343" xr:uid="{00000000-0005-0000-0000-000069180000}"/>
    <cellStyle name="20% - Accent6 34 4" xfId="6344" xr:uid="{00000000-0005-0000-0000-00006A180000}"/>
    <cellStyle name="20% - Accent6 34 5" xfId="6345" xr:uid="{00000000-0005-0000-0000-00006B180000}"/>
    <cellStyle name="20% - Accent6 34 6" xfId="6346" xr:uid="{00000000-0005-0000-0000-00006C180000}"/>
    <cellStyle name="20% - Accent6 34 7" xfId="6347" xr:uid="{00000000-0005-0000-0000-00006D180000}"/>
    <cellStyle name="20% - Accent6 34 8" xfId="6348" xr:uid="{00000000-0005-0000-0000-00006E180000}"/>
    <cellStyle name="20% - Accent6 34 9" xfId="6349" xr:uid="{00000000-0005-0000-0000-00006F180000}"/>
    <cellStyle name="20% - Accent6 35" xfId="6350" xr:uid="{00000000-0005-0000-0000-000070180000}"/>
    <cellStyle name="20% - Accent6 35 10" xfId="6351" xr:uid="{00000000-0005-0000-0000-000071180000}"/>
    <cellStyle name="20% - Accent6 35 11" xfId="6352" xr:uid="{00000000-0005-0000-0000-000072180000}"/>
    <cellStyle name="20% - Accent6 35 12" xfId="6353" xr:uid="{00000000-0005-0000-0000-000073180000}"/>
    <cellStyle name="20% - Accent6 35 13" xfId="6354" xr:uid="{00000000-0005-0000-0000-000074180000}"/>
    <cellStyle name="20% - Accent6 35 14" xfId="6355" xr:uid="{00000000-0005-0000-0000-000075180000}"/>
    <cellStyle name="20% - Accent6 35 15" xfId="6356" xr:uid="{00000000-0005-0000-0000-000076180000}"/>
    <cellStyle name="20% - Accent6 35 16" xfId="6357" xr:uid="{00000000-0005-0000-0000-000077180000}"/>
    <cellStyle name="20% - Accent6 35 2" xfId="6358" xr:uid="{00000000-0005-0000-0000-000078180000}"/>
    <cellStyle name="20% - Accent6 35 3" xfId="6359" xr:uid="{00000000-0005-0000-0000-000079180000}"/>
    <cellStyle name="20% - Accent6 35 4" xfId="6360" xr:uid="{00000000-0005-0000-0000-00007A180000}"/>
    <cellStyle name="20% - Accent6 35 5" xfId="6361" xr:uid="{00000000-0005-0000-0000-00007B180000}"/>
    <cellStyle name="20% - Accent6 35 6" xfId="6362" xr:uid="{00000000-0005-0000-0000-00007C180000}"/>
    <cellStyle name="20% - Accent6 35 7" xfId="6363" xr:uid="{00000000-0005-0000-0000-00007D180000}"/>
    <cellStyle name="20% - Accent6 35 8" xfId="6364" xr:uid="{00000000-0005-0000-0000-00007E180000}"/>
    <cellStyle name="20% - Accent6 35 9" xfId="6365" xr:uid="{00000000-0005-0000-0000-00007F180000}"/>
    <cellStyle name="20% - Accent6 36" xfId="6366" xr:uid="{00000000-0005-0000-0000-000080180000}"/>
    <cellStyle name="20% - Accent6 36 10" xfId="6367" xr:uid="{00000000-0005-0000-0000-000081180000}"/>
    <cellStyle name="20% - Accent6 36 11" xfId="6368" xr:uid="{00000000-0005-0000-0000-000082180000}"/>
    <cellStyle name="20% - Accent6 36 12" xfId="6369" xr:uid="{00000000-0005-0000-0000-000083180000}"/>
    <cellStyle name="20% - Accent6 36 13" xfId="6370" xr:uid="{00000000-0005-0000-0000-000084180000}"/>
    <cellStyle name="20% - Accent6 36 14" xfId="6371" xr:uid="{00000000-0005-0000-0000-000085180000}"/>
    <cellStyle name="20% - Accent6 36 15" xfId="6372" xr:uid="{00000000-0005-0000-0000-000086180000}"/>
    <cellStyle name="20% - Accent6 36 16" xfId="6373" xr:uid="{00000000-0005-0000-0000-000087180000}"/>
    <cellStyle name="20% - Accent6 36 2" xfId="6374" xr:uid="{00000000-0005-0000-0000-000088180000}"/>
    <cellStyle name="20% - Accent6 36 3" xfId="6375" xr:uid="{00000000-0005-0000-0000-000089180000}"/>
    <cellStyle name="20% - Accent6 36 4" xfId="6376" xr:uid="{00000000-0005-0000-0000-00008A180000}"/>
    <cellStyle name="20% - Accent6 36 5" xfId="6377" xr:uid="{00000000-0005-0000-0000-00008B180000}"/>
    <cellStyle name="20% - Accent6 36 6" xfId="6378" xr:uid="{00000000-0005-0000-0000-00008C180000}"/>
    <cellStyle name="20% - Accent6 36 7" xfId="6379" xr:uid="{00000000-0005-0000-0000-00008D180000}"/>
    <cellStyle name="20% - Accent6 36 8" xfId="6380" xr:uid="{00000000-0005-0000-0000-00008E180000}"/>
    <cellStyle name="20% - Accent6 36 9" xfId="6381" xr:uid="{00000000-0005-0000-0000-00008F180000}"/>
    <cellStyle name="20% - Accent6 37" xfId="6382" xr:uid="{00000000-0005-0000-0000-000090180000}"/>
    <cellStyle name="20% - Accent6 37 10" xfId="6383" xr:uid="{00000000-0005-0000-0000-000091180000}"/>
    <cellStyle name="20% - Accent6 37 11" xfId="6384" xr:uid="{00000000-0005-0000-0000-000092180000}"/>
    <cellStyle name="20% - Accent6 37 12" xfId="6385" xr:uid="{00000000-0005-0000-0000-000093180000}"/>
    <cellStyle name="20% - Accent6 37 13" xfId="6386" xr:uid="{00000000-0005-0000-0000-000094180000}"/>
    <cellStyle name="20% - Accent6 37 14" xfId="6387" xr:uid="{00000000-0005-0000-0000-000095180000}"/>
    <cellStyle name="20% - Accent6 37 15" xfId="6388" xr:uid="{00000000-0005-0000-0000-000096180000}"/>
    <cellStyle name="20% - Accent6 37 2" xfId="6389" xr:uid="{00000000-0005-0000-0000-000097180000}"/>
    <cellStyle name="20% - Accent6 37 3" xfId="6390" xr:uid="{00000000-0005-0000-0000-000098180000}"/>
    <cellStyle name="20% - Accent6 37 4" xfId="6391" xr:uid="{00000000-0005-0000-0000-000099180000}"/>
    <cellStyle name="20% - Accent6 37 5" xfId="6392" xr:uid="{00000000-0005-0000-0000-00009A180000}"/>
    <cellStyle name="20% - Accent6 37 6" xfId="6393" xr:uid="{00000000-0005-0000-0000-00009B180000}"/>
    <cellStyle name="20% - Accent6 37 7" xfId="6394" xr:uid="{00000000-0005-0000-0000-00009C180000}"/>
    <cellStyle name="20% - Accent6 37 8" xfId="6395" xr:uid="{00000000-0005-0000-0000-00009D180000}"/>
    <cellStyle name="20% - Accent6 37 9" xfId="6396" xr:uid="{00000000-0005-0000-0000-00009E180000}"/>
    <cellStyle name="20% - Accent6 38" xfId="6397" xr:uid="{00000000-0005-0000-0000-00009F180000}"/>
    <cellStyle name="20% - Accent6 38 10" xfId="6398" xr:uid="{00000000-0005-0000-0000-0000A0180000}"/>
    <cellStyle name="20% - Accent6 38 11" xfId="6399" xr:uid="{00000000-0005-0000-0000-0000A1180000}"/>
    <cellStyle name="20% - Accent6 38 12" xfId="6400" xr:uid="{00000000-0005-0000-0000-0000A2180000}"/>
    <cellStyle name="20% - Accent6 38 13" xfId="6401" xr:uid="{00000000-0005-0000-0000-0000A3180000}"/>
    <cellStyle name="20% - Accent6 38 14" xfId="6402" xr:uid="{00000000-0005-0000-0000-0000A4180000}"/>
    <cellStyle name="20% - Accent6 38 15" xfId="6403" xr:uid="{00000000-0005-0000-0000-0000A5180000}"/>
    <cellStyle name="20% - Accent6 38 2" xfId="6404" xr:uid="{00000000-0005-0000-0000-0000A6180000}"/>
    <cellStyle name="20% - Accent6 38 3" xfId="6405" xr:uid="{00000000-0005-0000-0000-0000A7180000}"/>
    <cellStyle name="20% - Accent6 38 4" xfId="6406" xr:uid="{00000000-0005-0000-0000-0000A8180000}"/>
    <cellStyle name="20% - Accent6 38 5" xfId="6407" xr:uid="{00000000-0005-0000-0000-0000A9180000}"/>
    <cellStyle name="20% - Accent6 38 6" xfId="6408" xr:uid="{00000000-0005-0000-0000-0000AA180000}"/>
    <cellStyle name="20% - Accent6 38 7" xfId="6409" xr:uid="{00000000-0005-0000-0000-0000AB180000}"/>
    <cellStyle name="20% - Accent6 38 8" xfId="6410" xr:uid="{00000000-0005-0000-0000-0000AC180000}"/>
    <cellStyle name="20% - Accent6 38 9" xfId="6411" xr:uid="{00000000-0005-0000-0000-0000AD180000}"/>
    <cellStyle name="20% - Accent6 39" xfId="6412" xr:uid="{00000000-0005-0000-0000-0000AE180000}"/>
    <cellStyle name="20% - Accent6 39 10" xfId="6413" xr:uid="{00000000-0005-0000-0000-0000AF180000}"/>
    <cellStyle name="20% - Accent6 39 11" xfId="6414" xr:uid="{00000000-0005-0000-0000-0000B0180000}"/>
    <cellStyle name="20% - Accent6 39 12" xfId="6415" xr:uid="{00000000-0005-0000-0000-0000B1180000}"/>
    <cellStyle name="20% - Accent6 39 13" xfId="6416" xr:uid="{00000000-0005-0000-0000-0000B2180000}"/>
    <cellStyle name="20% - Accent6 39 14" xfId="6417" xr:uid="{00000000-0005-0000-0000-0000B3180000}"/>
    <cellStyle name="20% - Accent6 39 15" xfId="6418" xr:uid="{00000000-0005-0000-0000-0000B4180000}"/>
    <cellStyle name="20% - Accent6 39 2" xfId="6419" xr:uid="{00000000-0005-0000-0000-0000B5180000}"/>
    <cellStyle name="20% - Accent6 39 3" xfId="6420" xr:uid="{00000000-0005-0000-0000-0000B6180000}"/>
    <cellStyle name="20% - Accent6 39 4" xfId="6421" xr:uid="{00000000-0005-0000-0000-0000B7180000}"/>
    <cellStyle name="20% - Accent6 39 5" xfId="6422" xr:uid="{00000000-0005-0000-0000-0000B8180000}"/>
    <cellStyle name="20% - Accent6 39 6" xfId="6423" xr:uid="{00000000-0005-0000-0000-0000B9180000}"/>
    <cellStyle name="20% - Accent6 39 7" xfId="6424" xr:uid="{00000000-0005-0000-0000-0000BA180000}"/>
    <cellStyle name="20% - Accent6 39 8" xfId="6425" xr:uid="{00000000-0005-0000-0000-0000BB180000}"/>
    <cellStyle name="20% - Accent6 39 9" xfId="6426" xr:uid="{00000000-0005-0000-0000-0000BC180000}"/>
    <cellStyle name="20% - Accent6 4" xfId="6427" xr:uid="{00000000-0005-0000-0000-0000BD180000}"/>
    <cellStyle name="20% - Accent6 4 2" xfId="6428" xr:uid="{00000000-0005-0000-0000-0000BE180000}"/>
    <cellStyle name="20% - Accent6 4 2 2" xfId="6429" xr:uid="{00000000-0005-0000-0000-0000BF180000}"/>
    <cellStyle name="20% - Accent6 4 2 3" xfId="6430" xr:uid="{00000000-0005-0000-0000-0000C0180000}"/>
    <cellStyle name="20% - Accent6 4 2 4" xfId="6431" xr:uid="{00000000-0005-0000-0000-0000C1180000}"/>
    <cellStyle name="20% - Accent6 4 2 5" xfId="6432" xr:uid="{00000000-0005-0000-0000-0000C2180000}"/>
    <cellStyle name="20% - Accent6 4 3" xfId="6433" xr:uid="{00000000-0005-0000-0000-0000C3180000}"/>
    <cellStyle name="20% - Accent6 4 3 2" xfId="6434" xr:uid="{00000000-0005-0000-0000-0000C4180000}"/>
    <cellStyle name="20% - Accent6 4 4" xfId="6435" xr:uid="{00000000-0005-0000-0000-0000C5180000}"/>
    <cellStyle name="20% - Accent6 4 4 2" xfId="6436" xr:uid="{00000000-0005-0000-0000-0000C6180000}"/>
    <cellStyle name="20% - Accent6 4 5" xfId="6437" xr:uid="{00000000-0005-0000-0000-0000C7180000}"/>
    <cellStyle name="20% - Accent6 4 5 2" xfId="6438" xr:uid="{00000000-0005-0000-0000-0000C8180000}"/>
    <cellStyle name="20% - Accent6 4 6" xfId="6439" xr:uid="{00000000-0005-0000-0000-0000C9180000}"/>
    <cellStyle name="20% - Accent6 4 6 2" xfId="6440" xr:uid="{00000000-0005-0000-0000-0000CA180000}"/>
    <cellStyle name="20% - Accent6 4 7" xfId="6441" xr:uid="{00000000-0005-0000-0000-0000CB180000}"/>
    <cellStyle name="20% - Accent6 40" xfId="6442" xr:uid="{00000000-0005-0000-0000-0000CC180000}"/>
    <cellStyle name="20% - Accent6 41" xfId="6443" xr:uid="{00000000-0005-0000-0000-0000CD180000}"/>
    <cellStyle name="20% - Accent6 42" xfId="6444" xr:uid="{00000000-0005-0000-0000-0000CE180000}"/>
    <cellStyle name="20% - Accent6 43" xfId="6445" xr:uid="{00000000-0005-0000-0000-0000CF180000}"/>
    <cellStyle name="20% - Accent6 44" xfId="6446" xr:uid="{00000000-0005-0000-0000-0000D0180000}"/>
    <cellStyle name="20% - Accent6 45" xfId="6447" xr:uid="{00000000-0005-0000-0000-0000D1180000}"/>
    <cellStyle name="20% - Accent6 46" xfId="6448" xr:uid="{00000000-0005-0000-0000-0000D2180000}"/>
    <cellStyle name="20% - Accent6 47" xfId="6449" xr:uid="{00000000-0005-0000-0000-0000D3180000}"/>
    <cellStyle name="20% - Accent6 48" xfId="6450" xr:uid="{00000000-0005-0000-0000-0000D4180000}"/>
    <cellStyle name="20% - Accent6 49" xfId="6451" xr:uid="{00000000-0005-0000-0000-0000D5180000}"/>
    <cellStyle name="20% - Accent6 5" xfId="6452" xr:uid="{00000000-0005-0000-0000-0000D6180000}"/>
    <cellStyle name="20% - Accent6 5 2" xfId="6453" xr:uid="{00000000-0005-0000-0000-0000D7180000}"/>
    <cellStyle name="20% - Accent6 5 2 2" xfId="6454" xr:uid="{00000000-0005-0000-0000-0000D8180000}"/>
    <cellStyle name="20% - Accent6 5 2 3" xfId="6455" xr:uid="{00000000-0005-0000-0000-0000D9180000}"/>
    <cellStyle name="20% - Accent6 5 2 4" xfId="6456" xr:uid="{00000000-0005-0000-0000-0000DA180000}"/>
    <cellStyle name="20% - Accent6 5 2 5" xfId="6457" xr:uid="{00000000-0005-0000-0000-0000DB180000}"/>
    <cellStyle name="20% - Accent6 5 3" xfId="6458" xr:uid="{00000000-0005-0000-0000-0000DC180000}"/>
    <cellStyle name="20% - Accent6 5 3 2" xfId="6459" xr:uid="{00000000-0005-0000-0000-0000DD180000}"/>
    <cellStyle name="20% - Accent6 5 3 3" xfId="6460" xr:uid="{00000000-0005-0000-0000-0000DE180000}"/>
    <cellStyle name="20% - Accent6 5 4" xfId="6461" xr:uid="{00000000-0005-0000-0000-0000DF180000}"/>
    <cellStyle name="20% - Accent6 5 4 2" xfId="6462" xr:uid="{00000000-0005-0000-0000-0000E0180000}"/>
    <cellStyle name="20% - Accent6 5 5" xfId="6463" xr:uid="{00000000-0005-0000-0000-0000E1180000}"/>
    <cellStyle name="20% - Accent6 5 6" xfId="6464" xr:uid="{00000000-0005-0000-0000-0000E2180000}"/>
    <cellStyle name="20% - Accent6 50" xfId="6465" xr:uid="{00000000-0005-0000-0000-0000E3180000}"/>
    <cellStyle name="20% - Accent6 51" xfId="6466" xr:uid="{00000000-0005-0000-0000-0000E4180000}"/>
    <cellStyle name="20% - Accent6 52" xfId="6467" xr:uid="{00000000-0005-0000-0000-0000E5180000}"/>
    <cellStyle name="20% - Accent6 53" xfId="6468" xr:uid="{00000000-0005-0000-0000-0000E6180000}"/>
    <cellStyle name="20% - Accent6 54" xfId="6469" xr:uid="{00000000-0005-0000-0000-0000E7180000}"/>
    <cellStyle name="20% - Accent6 55" xfId="6470" xr:uid="{00000000-0005-0000-0000-0000E8180000}"/>
    <cellStyle name="20% - Accent6 56" xfId="6471" xr:uid="{00000000-0005-0000-0000-0000E9180000}"/>
    <cellStyle name="20% - Accent6 57" xfId="6472" xr:uid="{00000000-0005-0000-0000-0000EA180000}"/>
    <cellStyle name="20% - Accent6 58" xfId="6473" xr:uid="{00000000-0005-0000-0000-0000EB180000}"/>
    <cellStyle name="20% - Accent6 59" xfId="6474" xr:uid="{00000000-0005-0000-0000-0000EC180000}"/>
    <cellStyle name="20% - Accent6 6" xfId="6475" xr:uid="{00000000-0005-0000-0000-0000ED180000}"/>
    <cellStyle name="20% - Accent6 6 2" xfId="6476" xr:uid="{00000000-0005-0000-0000-0000EE180000}"/>
    <cellStyle name="20% - Accent6 6 2 2" xfId="6477" xr:uid="{00000000-0005-0000-0000-0000EF180000}"/>
    <cellStyle name="20% - Accent6 6 2 3" xfId="6478" xr:uid="{00000000-0005-0000-0000-0000F0180000}"/>
    <cellStyle name="20% - Accent6 6 2 4" xfId="6479" xr:uid="{00000000-0005-0000-0000-0000F1180000}"/>
    <cellStyle name="20% - Accent6 6 3" xfId="6480" xr:uid="{00000000-0005-0000-0000-0000F2180000}"/>
    <cellStyle name="20% - Accent6 6 4" xfId="6481" xr:uid="{00000000-0005-0000-0000-0000F3180000}"/>
    <cellStyle name="20% - Accent6 6 5" xfId="6482" xr:uid="{00000000-0005-0000-0000-0000F4180000}"/>
    <cellStyle name="20% - Accent6 60" xfId="6483" xr:uid="{00000000-0005-0000-0000-0000F5180000}"/>
    <cellStyle name="20% - Accent6 61" xfId="6484" xr:uid="{00000000-0005-0000-0000-0000F6180000}"/>
    <cellStyle name="20% - Accent6 62" xfId="6485" xr:uid="{00000000-0005-0000-0000-0000F7180000}"/>
    <cellStyle name="20% - Accent6 63" xfId="6486" xr:uid="{00000000-0005-0000-0000-0000F8180000}"/>
    <cellStyle name="20% - Accent6 64" xfId="6487" xr:uid="{00000000-0005-0000-0000-0000F9180000}"/>
    <cellStyle name="20% - Accent6 65" xfId="6488" xr:uid="{00000000-0005-0000-0000-0000FA180000}"/>
    <cellStyle name="20% - Accent6 66" xfId="6489" xr:uid="{00000000-0005-0000-0000-0000FB180000}"/>
    <cellStyle name="20% - Accent6 67" xfId="6490" xr:uid="{00000000-0005-0000-0000-0000FC180000}"/>
    <cellStyle name="20% - Accent6 68" xfId="6491" xr:uid="{00000000-0005-0000-0000-0000FD180000}"/>
    <cellStyle name="20% - Accent6 69" xfId="6492" xr:uid="{00000000-0005-0000-0000-0000FE180000}"/>
    <cellStyle name="20% - Accent6 7" xfId="6493" xr:uid="{00000000-0005-0000-0000-0000FF180000}"/>
    <cellStyle name="20% - Accent6 7 2" xfId="6494" xr:uid="{00000000-0005-0000-0000-000000190000}"/>
    <cellStyle name="20% - Accent6 7 2 2" xfId="6495" xr:uid="{00000000-0005-0000-0000-000001190000}"/>
    <cellStyle name="20% - Accent6 7 2 3" xfId="6496" xr:uid="{00000000-0005-0000-0000-000002190000}"/>
    <cellStyle name="20% - Accent6 7 2 4" xfId="6497" xr:uid="{00000000-0005-0000-0000-000003190000}"/>
    <cellStyle name="20% - Accent6 7 3" xfId="6498" xr:uid="{00000000-0005-0000-0000-000004190000}"/>
    <cellStyle name="20% - Accent6 7 4" xfId="6499" xr:uid="{00000000-0005-0000-0000-000005190000}"/>
    <cellStyle name="20% - Accent6 7 5" xfId="6500" xr:uid="{00000000-0005-0000-0000-000006190000}"/>
    <cellStyle name="20% - Accent6 70" xfId="6501" xr:uid="{00000000-0005-0000-0000-000007190000}"/>
    <cellStyle name="20% - Accent6 71" xfId="6502" xr:uid="{00000000-0005-0000-0000-000008190000}"/>
    <cellStyle name="20% - Accent6 72" xfId="6503" xr:uid="{00000000-0005-0000-0000-000009190000}"/>
    <cellStyle name="20% - Accent6 73" xfId="6504" xr:uid="{00000000-0005-0000-0000-00000A190000}"/>
    <cellStyle name="20% - Accent6 74" xfId="6505" xr:uid="{00000000-0005-0000-0000-00000B190000}"/>
    <cellStyle name="20% - Accent6 75" xfId="6506" xr:uid="{00000000-0005-0000-0000-00000C190000}"/>
    <cellStyle name="20% - Accent6 76" xfId="6507" xr:uid="{00000000-0005-0000-0000-00000D190000}"/>
    <cellStyle name="20% - Accent6 77" xfId="6508" xr:uid="{00000000-0005-0000-0000-00000E190000}"/>
    <cellStyle name="20% - Accent6 78" xfId="6509" xr:uid="{00000000-0005-0000-0000-00000F190000}"/>
    <cellStyle name="20% - Accent6 79" xfId="6510" xr:uid="{00000000-0005-0000-0000-000010190000}"/>
    <cellStyle name="20% - Accent6 79 2" xfId="6511" xr:uid="{00000000-0005-0000-0000-000011190000}"/>
    <cellStyle name="20% - Accent6 8" xfId="6512" xr:uid="{00000000-0005-0000-0000-000012190000}"/>
    <cellStyle name="20% - Accent6 8 2" xfId="6513" xr:uid="{00000000-0005-0000-0000-000013190000}"/>
    <cellStyle name="20% - Accent6 8 2 2" xfId="6514" xr:uid="{00000000-0005-0000-0000-000014190000}"/>
    <cellStyle name="20% - Accent6 8 2 3" xfId="6515" xr:uid="{00000000-0005-0000-0000-000015190000}"/>
    <cellStyle name="20% - Accent6 8 2 4" xfId="6516" xr:uid="{00000000-0005-0000-0000-000016190000}"/>
    <cellStyle name="20% - Accent6 8 3" xfId="6517" xr:uid="{00000000-0005-0000-0000-000017190000}"/>
    <cellStyle name="20% - Accent6 8 4" xfId="6518" xr:uid="{00000000-0005-0000-0000-000018190000}"/>
    <cellStyle name="20% - Accent6 8 5" xfId="6519" xr:uid="{00000000-0005-0000-0000-000019190000}"/>
    <cellStyle name="20% - Accent6 80" xfId="6520" xr:uid="{00000000-0005-0000-0000-00001A190000}"/>
    <cellStyle name="20% - Accent6 80 2" xfId="6521" xr:uid="{00000000-0005-0000-0000-00001B190000}"/>
    <cellStyle name="20% - Accent6 81" xfId="6522" xr:uid="{00000000-0005-0000-0000-00001C190000}"/>
    <cellStyle name="20% - Accent6 81 2" xfId="6523" xr:uid="{00000000-0005-0000-0000-00001D190000}"/>
    <cellStyle name="20% - Accent6 82" xfId="6524" xr:uid="{00000000-0005-0000-0000-00001E190000}"/>
    <cellStyle name="20% - Accent6 82 2" xfId="6525" xr:uid="{00000000-0005-0000-0000-00001F190000}"/>
    <cellStyle name="20% - Accent6 83" xfId="6526" xr:uid="{00000000-0005-0000-0000-000020190000}"/>
    <cellStyle name="20% - Accent6 83 2" xfId="6527" xr:uid="{00000000-0005-0000-0000-000021190000}"/>
    <cellStyle name="20% - Accent6 84" xfId="6528" xr:uid="{00000000-0005-0000-0000-000022190000}"/>
    <cellStyle name="20% - Accent6 84 2" xfId="6529" xr:uid="{00000000-0005-0000-0000-000023190000}"/>
    <cellStyle name="20% - Accent6 85" xfId="6530" xr:uid="{00000000-0005-0000-0000-000024190000}"/>
    <cellStyle name="20% - Accent6 85 2" xfId="6531" xr:uid="{00000000-0005-0000-0000-000025190000}"/>
    <cellStyle name="20% - Accent6 86" xfId="6532" xr:uid="{00000000-0005-0000-0000-000026190000}"/>
    <cellStyle name="20% - Accent6 86 2" xfId="6533" xr:uid="{00000000-0005-0000-0000-000027190000}"/>
    <cellStyle name="20% - Accent6 87" xfId="6534" xr:uid="{00000000-0005-0000-0000-000028190000}"/>
    <cellStyle name="20% - Accent6 87 2" xfId="6535" xr:uid="{00000000-0005-0000-0000-000029190000}"/>
    <cellStyle name="20% - Accent6 88" xfId="6536" xr:uid="{00000000-0005-0000-0000-00002A190000}"/>
    <cellStyle name="20% - Accent6 88 2" xfId="6537" xr:uid="{00000000-0005-0000-0000-00002B190000}"/>
    <cellStyle name="20% - Accent6 89" xfId="6538" xr:uid="{00000000-0005-0000-0000-00002C190000}"/>
    <cellStyle name="20% - Accent6 89 2" xfId="6539" xr:uid="{00000000-0005-0000-0000-00002D190000}"/>
    <cellStyle name="20% - Accent6 9" xfId="6540" xr:uid="{00000000-0005-0000-0000-00002E190000}"/>
    <cellStyle name="20% - Accent6 9 2" xfId="6541" xr:uid="{00000000-0005-0000-0000-00002F190000}"/>
    <cellStyle name="20% - Accent6 9 2 2" xfId="6542" xr:uid="{00000000-0005-0000-0000-000030190000}"/>
    <cellStyle name="20% - Accent6 9 2 3" xfId="6543" xr:uid="{00000000-0005-0000-0000-000031190000}"/>
    <cellStyle name="20% - Accent6 9 2 4" xfId="6544" xr:uid="{00000000-0005-0000-0000-000032190000}"/>
    <cellStyle name="20% - Accent6 9 3" xfId="6545" xr:uid="{00000000-0005-0000-0000-000033190000}"/>
    <cellStyle name="20% - Accent6 9 4" xfId="6546" xr:uid="{00000000-0005-0000-0000-000034190000}"/>
    <cellStyle name="20% - Accent6 9 5" xfId="6547" xr:uid="{00000000-0005-0000-0000-000035190000}"/>
    <cellStyle name="20% - Accent6 90" xfId="6548" xr:uid="{00000000-0005-0000-0000-000036190000}"/>
    <cellStyle name="20% - Accent6 91" xfId="6549" xr:uid="{00000000-0005-0000-0000-000037190000}"/>
    <cellStyle name="20% - Accent6 92" xfId="6550" xr:uid="{00000000-0005-0000-0000-000038190000}"/>
    <cellStyle name="20% - Accent6 93" xfId="6551" xr:uid="{00000000-0005-0000-0000-000039190000}"/>
    <cellStyle name="20% - Accent6 94" xfId="6552" xr:uid="{00000000-0005-0000-0000-00003A190000}"/>
    <cellStyle name="20% - Accent6 95" xfId="6553" xr:uid="{00000000-0005-0000-0000-00003B190000}"/>
    <cellStyle name="20% - Accent6 96" xfId="6554" xr:uid="{00000000-0005-0000-0000-00003C190000}"/>
    <cellStyle name="20% - Accent6 97" xfId="6555" xr:uid="{00000000-0005-0000-0000-00003D190000}"/>
    <cellStyle name="20% - Accent6 98" xfId="6556" xr:uid="{00000000-0005-0000-0000-00003E190000}"/>
    <cellStyle name="20% - Accent6 99" xfId="6557" xr:uid="{00000000-0005-0000-0000-00003F190000}"/>
    <cellStyle name="20% - akcent 1" xfId="6558" xr:uid="{00000000-0005-0000-0000-000040190000}"/>
    <cellStyle name="20% - akcent 2" xfId="6559" xr:uid="{00000000-0005-0000-0000-000041190000}"/>
    <cellStyle name="20% - akcent 3" xfId="6560" xr:uid="{00000000-0005-0000-0000-000042190000}"/>
    <cellStyle name="20% - akcent 4" xfId="6561" xr:uid="{00000000-0005-0000-0000-000043190000}"/>
    <cellStyle name="20% - akcent 5" xfId="6562" xr:uid="{00000000-0005-0000-0000-000044190000}"/>
    <cellStyle name="20% - akcent 6" xfId="6563" xr:uid="{00000000-0005-0000-0000-000045190000}"/>
    <cellStyle name="40 % - Accent1" xfId="6564" xr:uid="{00000000-0005-0000-0000-000046190000}"/>
    <cellStyle name="40 % - Accent2" xfId="6565" xr:uid="{00000000-0005-0000-0000-000047190000}"/>
    <cellStyle name="40 % - Accent3" xfId="6566" xr:uid="{00000000-0005-0000-0000-000048190000}"/>
    <cellStyle name="40 % - Accent4" xfId="6567" xr:uid="{00000000-0005-0000-0000-000049190000}"/>
    <cellStyle name="40 % - Accent5" xfId="6568" xr:uid="{00000000-0005-0000-0000-00004A190000}"/>
    <cellStyle name="40 % - Accent6" xfId="6569" xr:uid="{00000000-0005-0000-0000-00004B190000}"/>
    <cellStyle name="40% - Accent1" xfId="20" builtinId="31" customBuiltin="1"/>
    <cellStyle name="40% - Accent1 10" xfId="6570" xr:uid="{00000000-0005-0000-0000-00004D190000}"/>
    <cellStyle name="40% - Accent1 10 2" xfId="6571" xr:uid="{00000000-0005-0000-0000-00004E190000}"/>
    <cellStyle name="40% - Accent1 10 2 2" xfId="6572" xr:uid="{00000000-0005-0000-0000-00004F190000}"/>
    <cellStyle name="40% - Accent1 10 2 3" xfId="6573" xr:uid="{00000000-0005-0000-0000-000050190000}"/>
    <cellStyle name="40% - Accent1 10 2 4" xfId="6574" xr:uid="{00000000-0005-0000-0000-000051190000}"/>
    <cellStyle name="40% - Accent1 10 3" xfId="6575" xr:uid="{00000000-0005-0000-0000-000052190000}"/>
    <cellStyle name="40% - Accent1 10 4" xfId="6576" xr:uid="{00000000-0005-0000-0000-000053190000}"/>
    <cellStyle name="40% - Accent1 10 5" xfId="6577" xr:uid="{00000000-0005-0000-0000-000054190000}"/>
    <cellStyle name="40% - Accent1 100" xfId="6578" xr:uid="{00000000-0005-0000-0000-000055190000}"/>
    <cellStyle name="40% - Accent1 101" xfId="6579" xr:uid="{00000000-0005-0000-0000-000056190000}"/>
    <cellStyle name="40% - Accent1 102" xfId="6580" xr:uid="{00000000-0005-0000-0000-000057190000}"/>
    <cellStyle name="40% - Accent1 103" xfId="6581" xr:uid="{00000000-0005-0000-0000-000058190000}"/>
    <cellStyle name="40% - Accent1 104" xfId="6582" xr:uid="{00000000-0005-0000-0000-000059190000}"/>
    <cellStyle name="40% - Accent1 105" xfId="6583" xr:uid="{00000000-0005-0000-0000-00005A190000}"/>
    <cellStyle name="40% - Accent1 106" xfId="6584" xr:uid="{00000000-0005-0000-0000-00005B190000}"/>
    <cellStyle name="40% - Accent1 107" xfId="6585" xr:uid="{00000000-0005-0000-0000-00005C190000}"/>
    <cellStyle name="40% - Accent1 108" xfId="6586" xr:uid="{00000000-0005-0000-0000-00005D190000}"/>
    <cellStyle name="40% - Accent1 109" xfId="6587" xr:uid="{00000000-0005-0000-0000-00005E190000}"/>
    <cellStyle name="40% - Accent1 11" xfId="6588" xr:uid="{00000000-0005-0000-0000-00005F190000}"/>
    <cellStyle name="40% - Accent1 11 2" xfId="6589" xr:uid="{00000000-0005-0000-0000-000060190000}"/>
    <cellStyle name="40% - Accent1 11 2 2" xfId="6590" xr:uid="{00000000-0005-0000-0000-000061190000}"/>
    <cellStyle name="40% - Accent1 11 2 3" xfId="6591" xr:uid="{00000000-0005-0000-0000-000062190000}"/>
    <cellStyle name="40% - Accent1 11 2 4" xfId="6592" xr:uid="{00000000-0005-0000-0000-000063190000}"/>
    <cellStyle name="40% - Accent1 11 3" xfId="6593" xr:uid="{00000000-0005-0000-0000-000064190000}"/>
    <cellStyle name="40% - Accent1 11 4" xfId="6594" xr:uid="{00000000-0005-0000-0000-000065190000}"/>
    <cellStyle name="40% - Accent1 11 5" xfId="6595" xr:uid="{00000000-0005-0000-0000-000066190000}"/>
    <cellStyle name="40% - Accent1 110" xfId="6596" xr:uid="{00000000-0005-0000-0000-000067190000}"/>
    <cellStyle name="40% - Accent1 111" xfId="6597" xr:uid="{00000000-0005-0000-0000-000068190000}"/>
    <cellStyle name="40% - Accent1 112" xfId="6598" xr:uid="{00000000-0005-0000-0000-000069190000}"/>
    <cellStyle name="40% - Accent1 113" xfId="6599" xr:uid="{00000000-0005-0000-0000-00006A190000}"/>
    <cellStyle name="40% - Accent1 114" xfId="6600" xr:uid="{00000000-0005-0000-0000-00006B190000}"/>
    <cellStyle name="40% - Accent1 115" xfId="6601" xr:uid="{00000000-0005-0000-0000-00006C190000}"/>
    <cellStyle name="40% - Accent1 116" xfId="6602" xr:uid="{00000000-0005-0000-0000-00006D190000}"/>
    <cellStyle name="40% - Accent1 117" xfId="6603" xr:uid="{00000000-0005-0000-0000-00006E190000}"/>
    <cellStyle name="40% - Accent1 118" xfId="6604" xr:uid="{00000000-0005-0000-0000-00006F190000}"/>
    <cellStyle name="40% - Accent1 119" xfId="6605" xr:uid="{00000000-0005-0000-0000-000070190000}"/>
    <cellStyle name="40% - Accent1 12" xfId="6606" xr:uid="{00000000-0005-0000-0000-000071190000}"/>
    <cellStyle name="40% - Accent1 12 2" xfId="6607" xr:uid="{00000000-0005-0000-0000-000072190000}"/>
    <cellStyle name="40% - Accent1 12 2 2" xfId="6608" xr:uid="{00000000-0005-0000-0000-000073190000}"/>
    <cellStyle name="40% - Accent1 12 2 3" xfId="6609" xr:uid="{00000000-0005-0000-0000-000074190000}"/>
    <cellStyle name="40% - Accent1 12 2 4" xfId="6610" xr:uid="{00000000-0005-0000-0000-000075190000}"/>
    <cellStyle name="40% - Accent1 12 3" xfId="6611" xr:uid="{00000000-0005-0000-0000-000076190000}"/>
    <cellStyle name="40% - Accent1 12 4" xfId="6612" xr:uid="{00000000-0005-0000-0000-000077190000}"/>
    <cellStyle name="40% - Accent1 12 5" xfId="6613" xr:uid="{00000000-0005-0000-0000-000078190000}"/>
    <cellStyle name="40% - Accent1 120" xfId="6614" xr:uid="{00000000-0005-0000-0000-000079190000}"/>
    <cellStyle name="40% - Accent1 121" xfId="6615" xr:uid="{00000000-0005-0000-0000-00007A190000}"/>
    <cellStyle name="40% - Accent1 122" xfId="6616" xr:uid="{00000000-0005-0000-0000-00007B190000}"/>
    <cellStyle name="40% - Accent1 123" xfId="6617" xr:uid="{00000000-0005-0000-0000-00007C190000}"/>
    <cellStyle name="40% - Accent1 124" xfId="6618" xr:uid="{00000000-0005-0000-0000-00007D190000}"/>
    <cellStyle name="40% - Accent1 125" xfId="6619" xr:uid="{00000000-0005-0000-0000-00007E190000}"/>
    <cellStyle name="40% - Accent1 126" xfId="6620" xr:uid="{00000000-0005-0000-0000-00007F190000}"/>
    <cellStyle name="40% - Accent1 127" xfId="6621" xr:uid="{00000000-0005-0000-0000-000080190000}"/>
    <cellStyle name="40% - Accent1 128" xfId="6622" xr:uid="{00000000-0005-0000-0000-000081190000}"/>
    <cellStyle name="40% - Accent1 129" xfId="6623" xr:uid="{00000000-0005-0000-0000-000082190000}"/>
    <cellStyle name="40% - Accent1 13" xfId="6624" xr:uid="{00000000-0005-0000-0000-000083190000}"/>
    <cellStyle name="40% - Accent1 13 2" xfId="6625" xr:uid="{00000000-0005-0000-0000-000084190000}"/>
    <cellStyle name="40% - Accent1 13 2 2" xfId="6626" xr:uid="{00000000-0005-0000-0000-000085190000}"/>
    <cellStyle name="40% - Accent1 13 2 3" xfId="6627" xr:uid="{00000000-0005-0000-0000-000086190000}"/>
    <cellStyle name="40% - Accent1 13 2 4" xfId="6628" xr:uid="{00000000-0005-0000-0000-000087190000}"/>
    <cellStyle name="40% - Accent1 13 3" xfId="6629" xr:uid="{00000000-0005-0000-0000-000088190000}"/>
    <cellStyle name="40% - Accent1 13 4" xfId="6630" xr:uid="{00000000-0005-0000-0000-000089190000}"/>
    <cellStyle name="40% - Accent1 13 5" xfId="6631" xr:uid="{00000000-0005-0000-0000-00008A190000}"/>
    <cellStyle name="40% - Accent1 130" xfId="6632" xr:uid="{00000000-0005-0000-0000-00008B190000}"/>
    <cellStyle name="40% - Accent1 131" xfId="6633" xr:uid="{00000000-0005-0000-0000-00008C190000}"/>
    <cellStyle name="40% - Accent1 132" xfId="6634" xr:uid="{00000000-0005-0000-0000-00008D190000}"/>
    <cellStyle name="40% - Accent1 133" xfId="6635" xr:uid="{00000000-0005-0000-0000-00008E190000}"/>
    <cellStyle name="40% - Accent1 134" xfId="6636" xr:uid="{00000000-0005-0000-0000-00008F190000}"/>
    <cellStyle name="40% - Accent1 135" xfId="6637" xr:uid="{00000000-0005-0000-0000-000090190000}"/>
    <cellStyle name="40% - Accent1 136" xfId="6638" xr:uid="{00000000-0005-0000-0000-000091190000}"/>
    <cellStyle name="40% - Accent1 137" xfId="6639" xr:uid="{00000000-0005-0000-0000-000092190000}"/>
    <cellStyle name="40% - Accent1 138" xfId="6640" xr:uid="{00000000-0005-0000-0000-000093190000}"/>
    <cellStyle name="40% - Accent1 139" xfId="6641" xr:uid="{00000000-0005-0000-0000-000094190000}"/>
    <cellStyle name="40% - Accent1 14" xfId="6642" xr:uid="{00000000-0005-0000-0000-000095190000}"/>
    <cellStyle name="40% - Accent1 14 2" xfId="6643" xr:uid="{00000000-0005-0000-0000-000096190000}"/>
    <cellStyle name="40% - Accent1 14 2 2" xfId="6644" xr:uid="{00000000-0005-0000-0000-000097190000}"/>
    <cellStyle name="40% - Accent1 14 2 3" xfId="6645" xr:uid="{00000000-0005-0000-0000-000098190000}"/>
    <cellStyle name="40% - Accent1 14 2 4" xfId="6646" xr:uid="{00000000-0005-0000-0000-000099190000}"/>
    <cellStyle name="40% - Accent1 14 3" xfId="6647" xr:uid="{00000000-0005-0000-0000-00009A190000}"/>
    <cellStyle name="40% - Accent1 14 4" xfId="6648" xr:uid="{00000000-0005-0000-0000-00009B190000}"/>
    <cellStyle name="40% - Accent1 14 5" xfId="6649" xr:uid="{00000000-0005-0000-0000-00009C190000}"/>
    <cellStyle name="40% - Accent1 140" xfId="6650" xr:uid="{00000000-0005-0000-0000-00009D190000}"/>
    <cellStyle name="40% - Accent1 141" xfId="6651" xr:uid="{00000000-0005-0000-0000-00009E190000}"/>
    <cellStyle name="40% - Accent1 142" xfId="6652" xr:uid="{00000000-0005-0000-0000-00009F190000}"/>
    <cellStyle name="40% - Accent1 143" xfId="6653" xr:uid="{00000000-0005-0000-0000-0000A0190000}"/>
    <cellStyle name="40% - Accent1 144" xfId="6654" xr:uid="{00000000-0005-0000-0000-0000A1190000}"/>
    <cellStyle name="40% - Accent1 145" xfId="6655" xr:uid="{00000000-0005-0000-0000-0000A2190000}"/>
    <cellStyle name="40% - Accent1 146" xfId="6656" xr:uid="{00000000-0005-0000-0000-0000A3190000}"/>
    <cellStyle name="40% - Accent1 147" xfId="6657" xr:uid="{00000000-0005-0000-0000-0000A4190000}"/>
    <cellStyle name="40% - Accent1 148" xfId="6658" xr:uid="{00000000-0005-0000-0000-0000A5190000}"/>
    <cellStyle name="40% - Accent1 149" xfId="6659" xr:uid="{00000000-0005-0000-0000-0000A6190000}"/>
    <cellStyle name="40% - Accent1 15" xfId="6660" xr:uid="{00000000-0005-0000-0000-0000A7190000}"/>
    <cellStyle name="40% - Accent1 15 2" xfId="6661" xr:uid="{00000000-0005-0000-0000-0000A8190000}"/>
    <cellStyle name="40% - Accent1 15 2 2" xfId="6662" xr:uid="{00000000-0005-0000-0000-0000A9190000}"/>
    <cellStyle name="40% - Accent1 15 2 3" xfId="6663" xr:uid="{00000000-0005-0000-0000-0000AA190000}"/>
    <cellStyle name="40% - Accent1 15 2 4" xfId="6664" xr:uid="{00000000-0005-0000-0000-0000AB190000}"/>
    <cellStyle name="40% - Accent1 15 3" xfId="6665" xr:uid="{00000000-0005-0000-0000-0000AC190000}"/>
    <cellStyle name="40% - Accent1 15 4" xfId="6666" xr:uid="{00000000-0005-0000-0000-0000AD190000}"/>
    <cellStyle name="40% - Accent1 15 5" xfId="6667" xr:uid="{00000000-0005-0000-0000-0000AE190000}"/>
    <cellStyle name="40% - Accent1 150" xfId="6668" xr:uid="{00000000-0005-0000-0000-0000AF190000}"/>
    <cellStyle name="40% - Accent1 151" xfId="6669" xr:uid="{00000000-0005-0000-0000-0000B0190000}"/>
    <cellStyle name="40% - Accent1 152" xfId="6670" xr:uid="{00000000-0005-0000-0000-0000B1190000}"/>
    <cellStyle name="40% - Accent1 153" xfId="6671" xr:uid="{00000000-0005-0000-0000-0000B2190000}"/>
    <cellStyle name="40% - Accent1 154" xfId="6672" xr:uid="{00000000-0005-0000-0000-0000B3190000}"/>
    <cellStyle name="40% - Accent1 155" xfId="6673" xr:uid="{00000000-0005-0000-0000-0000B4190000}"/>
    <cellStyle name="40% - Accent1 156" xfId="6674" xr:uid="{00000000-0005-0000-0000-0000B5190000}"/>
    <cellStyle name="40% - Accent1 157" xfId="6675" xr:uid="{00000000-0005-0000-0000-0000B6190000}"/>
    <cellStyle name="40% - Accent1 158" xfId="6676" xr:uid="{00000000-0005-0000-0000-0000B7190000}"/>
    <cellStyle name="40% - Accent1 159" xfId="6677" xr:uid="{00000000-0005-0000-0000-0000B8190000}"/>
    <cellStyle name="40% - Accent1 16" xfId="6678" xr:uid="{00000000-0005-0000-0000-0000B9190000}"/>
    <cellStyle name="40% - Accent1 16 2" xfId="6679" xr:uid="{00000000-0005-0000-0000-0000BA190000}"/>
    <cellStyle name="40% - Accent1 16 2 2" xfId="6680" xr:uid="{00000000-0005-0000-0000-0000BB190000}"/>
    <cellStyle name="40% - Accent1 16 3" xfId="6681" xr:uid="{00000000-0005-0000-0000-0000BC190000}"/>
    <cellStyle name="40% - Accent1 16 4" xfId="6682" xr:uid="{00000000-0005-0000-0000-0000BD190000}"/>
    <cellStyle name="40% - Accent1 16 5" xfId="6683" xr:uid="{00000000-0005-0000-0000-0000BE190000}"/>
    <cellStyle name="40% - Accent1 160" xfId="6684" xr:uid="{00000000-0005-0000-0000-0000BF190000}"/>
    <cellStyle name="40% - Accent1 161" xfId="6685" xr:uid="{00000000-0005-0000-0000-0000C0190000}"/>
    <cellStyle name="40% - Accent1 162" xfId="6686" xr:uid="{00000000-0005-0000-0000-0000C1190000}"/>
    <cellStyle name="40% - Accent1 163" xfId="6687" xr:uid="{00000000-0005-0000-0000-0000C2190000}"/>
    <cellStyle name="40% - Accent1 164" xfId="6688" xr:uid="{00000000-0005-0000-0000-0000C3190000}"/>
    <cellStyle name="40% - Accent1 165" xfId="6689" xr:uid="{00000000-0005-0000-0000-0000C4190000}"/>
    <cellStyle name="40% - Accent1 166" xfId="6690" xr:uid="{00000000-0005-0000-0000-0000C5190000}"/>
    <cellStyle name="40% - Accent1 167" xfId="6691" xr:uid="{00000000-0005-0000-0000-0000C6190000}"/>
    <cellStyle name="40% - Accent1 168" xfId="6692" xr:uid="{00000000-0005-0000-0000-0000C7190000}"/>
    <cellStyle name="40% - Accent1 169" xfId="6693" xr:uid="{00000000-0005-0000-0000-0000C8190000}"/>
    <cellStyle name="40% - Accent1 17" xfId="6694" xr:uid="{00000000-0005-0000-0000-0000C9190000}"/>
    <cellStyle name="40% - Accent1 17 2" xfId="6695" xr:uid="{00000000-0005-0000-0000-0000CA190000}"/>
    <cellStyle name="40% - Accent1 17 2 2" xfId="6696" xr:uid="{00000000-0005-0000-0000-0000CB190000}"/>
    <cellStyle name="40% - Accent1 17 3" xfId="6697" xr:uid="{00000000-0005-0000-0000-0000CC190000}"/>
    <cellStyle name="40% - Accent1 17 4" xfId="6698" xr:uid="{00000000-0005-0000-0000-0000CD190000}"/>
    <cellStyle name="40% - Accent1 17 5" xfId="6699" xr:uid="{00000000-0005-0000-0000-0000CE190000}"/>
    <cellStyle name="40% - Accent1 18" xfId="6700" xr:uid="{00000000-0005-0000-0000-0000CF190000}"/>
    <cellStyle name="40% - Accent1 18 2" xfId="6701" xr:uid="{00000000-0005-0000-0000-0000D0190000}"/>
    <cellStyle name="40% - Accent1 18 2 2" xfId="6702" xr:uid="{00000000-0005-0000-0000-0000D1190000}"/>
    <cellStyle name="40% - Accent1 18 3" xfId="6703" xr:uid="{00000000-0005-0000-0000-0000D2190000}"/>
    <cellStyle name="40% - Accent1 18 4" xfId="6704" xr:uid="{00000000-0005-0000-0000-0000D3190000}"/>
    <cellStyle name="40% - Accent1 18 5" xfId="6705" xr:uid="{00000000-0005-0000-0000-0000D4190000}"/>
    <cellStyle name="40% - Accent1 19" xfId="6706" xr:uid="{00000000-0005-0000-0000-0000D5190000}"/>
    <cellStyle name="40% - Accent1 19 2" xfId="6707" xr:uid="{00000000-0005-0000-0000-0000D6190000}"/>
    <cellStyle name="40% - Accent1 19 2 2" xfId="6708" xr:uid="{00000000-0005-0000-0000-0000D7190000}"/>
    <cellStyle name="40% - Accent1 19 3" xfId="6709" xr:uid="{00000000-0005-0000-0000-0000D8190000}"/>
    <cellStyle name="40% - Accent1 19 4" xfId="6710" xr:uid="{00000000-0005-0000-0000-0000D9190000}"/>
    <cellStyle name="40% - Accent1 19 5" xfId="6711" xr:uid="{00000000-0005-0000-0000-0000DA190000}"/>
    <cellStyle name="40% - Accent1 2" xfId="6712" xr:uid="{00000000-0005-0000-0000-0000DB190000}"/>
    <cellStyle name="40% - Accent1 2 10" xfId="6713" xr:uid="{00000000-0005-0000-0000-0000DC190000}"/>
    <cellStyle name="40% - Accent1 2 11" xfId="6714" xr:uid="{00000000-0005-0000-0000-0000DD190000}"/>
    <cellStyle name="40% - Accent1 2 12" xfId="6715" xr:uid="{00000000-0005-0000-0000-0000DE190000}"/>
    <cellStyle name="40% - Accent1 2 13" xfId="6716" xr:uid="{00000000-0005-0000-0000-0000DF190000}"/>
    <cellStyle name="40% - Accent1 2 14" xfId="6717" xr:uid="{00000000-0005-0000-0000-0000E0190000}"/>
    <cellStyle name="40% - Accent1 2 15" xfId="6718" xr:uid="{00000000-0005-0000-0000-0000E1190000}"/>
    <cellStyle name="40% - Accent1 2 16" xfId="6719" xr:uid="{00000000-0005-0000-0000-0000E2190000}"/>
    <cellStyle name="40% - Accent1 2 17" xfId="6720" xr:uid="{00000000-0005-0000-0000-0000E3190000}"/>
    <cellStyle name="40% - Accent1 2 18" xfId="6721" xr:uid="{00000000-0005-0000-0000-0000E4190000}"/>
    <cellStyle name="40% - Accent1 2 19" xfId="6722" xr:uid="{00000000-0005-0000-0000-0000E5190000}"/>
    <cellStyle name="40% - Accent1 2 2" xfId="6723" xr:uid="{00000000-0005-0000-0000-0000E6190000}"/>
    <cellStyle name="40% - Accent1 2 2 2" xfId="6724" xr:uid="{00000000-0005-0000-0000-0000E7190000}"/>
    <cellStyle name="40% - Accent1 2 20" xfId="6725" xr:uid="{00000000-0005-0000-0000-0000E8190000}"/>
    <cellStyle name="40% - Accent1 2 21" xfId="6726" xr:uid="{00000000-0005-0000-0000-0000E9190000}"/>
    <cellStyle name="40% - Accent1 2 22" xfId="6727" xr:uid="{00000000-0005-0000-0000-0000EA190000}"/>
    <cellStyle name="40% - Accent1 2 23" xfId="6728" xr:uid="{00000000-0005-0000-0000-0000EB190000}"/>
    <cellStyle name="40% - Accent1 2 24" xfId="6729" xr:uid="{00000000-0005-0000-0000-0000EC190000}"/>
    <cellStyle name="40% - Accent1 2 25" xfId="6730" xr:uid="{00000000-0005-0000-0000-0000ED190000}"/>
    <cellStyle name="40% - Accent1 2 26" xfId="6731" xr:uid="{00000000-0005-0000-0000-0000EE190000}"/>
    <cellStyle name="40% - Accent1 2 27" xfId="6732" xr:uid="{00000000-0005-0000-0000-0000EF190000}"/>
    <cellStyle name="40% - Accent1 2 28" xfId="6733" xr:uid="{00000000-0005-0000-0000-0000F0190000}"/>
    <cellStyle name="40% - Accent1 2 29" xfId="6734" xr:uid="{00000000-0005-0000-0000-0000F1190000}"/>
    <cellStyle name="40% - Accent1 2 3" xfId="6735" xr:uid="{00000000-0005-0000-0000-0000F2190000}"/>
    <cellStyle name="40% - Accent1 2 30" xfId="6736" xr:uid="{00000000-0005-0000-0000-0000F3190000}"/>
    <cellStyle name="40% - Accent1 2 31" xfId="6737" xr:uid="{00000000-0005-0000-0000-0000F4190000}"/>
    <cellStyle name="40% - Accent1 2 32" xfId="6738" xr:uid="{00000000-0005-0000-0000-0000F5190000}"/>
    <cellStyle name="40% - Accent1 2 33" xfId="6739" xr:uid="{00000000-0005-0000-0000-0000F6190000}"/>
    <cellStyle name="40% - Accent1 2 34" xfId="6740" xr:uid="{00000000-0005-0000-0000-0000F7190000}"/>
    <cellStyle name="40% - Accent1 2 35" xfId="6741" xr:uid="{00000000-0005-0000-0000-0000F8190000}"/>
    <cellStyle name="40% - Accent1 2 36" xfId="6742" xr:uid="{00000000-0005-0000-0000-0000F9190000}"/>
    <cellStyle name="40% - Accent1 2 37" xfId="6743" xr:uid="{00000000-0005-0000-0000-0000FA190000}"/>
    <cellStyle name="40% - Accent1 2 4" xfId="6744" xr:uid="{00000000-0005-0000-0000-0000FB190000}"/>
    <cellStyle name="40% - Accent1 2 4 2" xfId="6745" xr:uid="{00000000-0005-0000-0000-0000FC190000}"/>
    <cellStyle name="40% - Accent1 2 4 2 2" xfId="6746" xr:uid="{00000000-0005-0000-0000-0000FD190000}"/>
    <cellStyle name="40% - Accent1 2 4 3" xfId="6747" xr:uid="{00000000-0005-0000-0000-0000FE190000}"/>
    <cellStyle name="40% - Accent1 2 4 3 2" xfId="6748" xr:uid="{00000000-0005-0000-0000-0000FF190000}"/>
    <cellStyle name="40% - Accent1 2 4 4" xfId="6749" xr:uid="{00000000-0005-0000-0000-0000001A0000}"/>
    <cellStyle name="40% - Accent1 2 5" xfId="6750" xr:uid="{00000000-0005-0000-0000-0000011A0000}"/>
    <cellStyle name="40% - Accent1 2 6" xfId="6751" xr:uid="{00000000-0005-0000-0000-0000021A0000}"/>
    <cellStyle name="40% - Accent1 2 7" xfId="6752" xr:uid="{00000000-0005-0000-0000-0000031A0000}"/>
    <cellStyle name="40% - Accent1 2 8" xfId="6753" xr:uid="{00000000-0005-0000-0000-0000041A0000}"/>
    <cellStyle name="40% - Accent1 2 9" xfId="6754" xr:uid="{00000000-0005-0000-0000-0000051A0000}"/>
    <cellStyle name="40% - Accent1 2_ERDF Losses" xfId="6755" xr:uid="{00000000-0005-0000-0000-0000061A0000}"/>
    <cellStyle name="40% - Accent1 20" xfId="6756" xr:uid="{00000000-0005-0000-0000-0000071A0000}"/>
    <cellStyle name="40% - Accent1 20 10" xfId="6757" xr:uid="{00000000-0005-0000-0000-0000081A0000}"/>
    <cellStyle name="40% - Accent1 20 11" xfId="6758" xr:uid="{00000000-0005-0000-0000-0000091A0000}"/>
    <cellStyle name="40% - Accent1 20 12" xfId="6759" xr:uid="{00000000-0005-0000-0000-00000A1A0000}"/>
    <cellStyle name="40% - Accent1 20 13" xfId="6760" xr:uid="{00000000-0005-0000-0000-00000B1A0000}"/>
    <cellStyle name="40% - Accent1 20 14" xfId="6761" xr:uid="{00000000-0005-0000-0000-00000C1A0000}"/>
    <cellStyle name="40% - Accent1 20 15" xfId="6762" xr:uid="{00000000-0005-0000-0000-00000D1A0000}"/>
    <cellStyle name="40% - Accent1 20 16" xfId="6763" xr:uid="{00000000-0005-0000-0000-00000E1A0000}"/>
    <cellStyle name="40% - Accent1 20 17" xfId="6764" xr:uid="{00000000-0005-0000-0000-00000F1A0000}"/>
    <cellStyle name="40% - Accent1 20 18" xfId="6765" xr:uid="{00000000-0005-0000-0000-0000101A0000}"/>
    <cellStyle name="40% - Accent1 20 2" xfId="6766" xr:uid="{00000000-0005-0000-0000-0000111A0000}"/>
    <cellStyle name="40% - Accent1 20 2 2" xfId="6767" xr:uid="{00000000-0005-0000-0000-0000121A0000}"/>
    <cellStyle name="40% - Accent1 20 2 3" xfId="6768" xr:uid="{00000000-0005-0000-0000-0000131A0000}"/>
    <cellStyle name="40% - Accent1 20 2 4" xfId="6769" xr:uid="{00000000-0005-0000-0000-0000141A0000}"/>
    <cellStyle name="40% - Accent1 20 3" xfId="6770" xr:uid="{00000000-0005-0000-0000-0000151A0000}"/>
    <cellStyle name="40% - Accent1 20 4" xfId="6771" xr:uid="{00000000-0005-0000-0000-0000161A0000}"/>
    <cellStyle name="40% - Accent1 20 5" xfId="6772" xr:uid="{00000000-0005-0000-0000-0000171A0000}"/>
    <cellStyle name="40% - Accent1 20 6" xfId="6773" xr:uid="{00000000-0005-0000-0000-0000181A0000}"/>
    <cellStyle name="40% - Accent1 20 7" xfId="6774" xr:uid="{00000000-0005-0000-0000-0000191A0000}"/>
    <cellStyle name="40% - Accent1 20 8" xfId="6775" xr:uid="{00000000-0005-0000-0000-00001A1A0000}"/>
    <cellStyle name="40% - Accent1 20 9" xfId="6776" xr:uid="{00000000-0005-0000-0000-00001B1A0000}"/>
    <cellStyle name="40% - Accent1 21" xfId="6777" xr:uid="{00000000-0005-0000-0000-00001C1A0000}"/>
    <cellStyle name="40% - Accent1 21 2" xfId="6778" xr:uid="{00000000-0005-0000-0000-00001D1A0000}"/>
    <cellStyle name="40% - Accent1 21 2 2" xfId="6779" xr:uid="{00000000-0005-0000-0000-00001E1A0000}"/>
    <cellStyle name="40% - Accent1 21 2 3" xfId="6780" xr:uid="{00000000-0005-0000-0000-00001F1A0000}"/>
    <cellStyle name="40% - Accent1 21 3" xfId="6781" xr:uid="{00000000-0005-0000-0000-0000201A0000}"/>
    <cellStyle name="40% - Accent1 21 4" xfId="6782" xr:uid="{00000000-0005-0000-0000-0000211A0000}"/>
    <cellStyle name="40% - Accent1 21 5" xfId="6783" xr:uid="{00000000-0005-0000-0000-0000221A0000}"/>
    <cellStyle name="40% - Accent1 21 6" xfId="6784" xr:uid="{00000000-0005-0000-0000-0000231A0000}"/>
    <cellStyle name="40% - Accent1 22" xfId="6785" xr:uid="{00000000-0005-0000-0000-0000241A0000}"/>
    <cellStyle name="40% - Accent1 22 2" xfId="6786" xr:uid="{00000000-0005-0000-0000-0000251A0000}"/>
    <cellStyle name="40% - Accent1 22 3" xfId="6787" xr:uid="{00000000-0005-0000-0000-0000261A0000}"/>
    <cellStyle name="40% - Accent1 23" xfId="6788" xr:uid="{00000000-0005-0000-0000-0000271A0000}"/>
    <cellStyle name="40% - Accent1 23 2" xfId="6789" xr:uid="{00000000-0005-0000-0000-0000281A0000}"/>
    <cellStyle name="40% - Accent1 23 3" xfId="6790" xr:uid="{00000000-0005-0000-0000-0000291A0000}"/>
    <cellStyle name="40% - Accent1 24" xfId="6791" xr:uid="{00000000-0005-0000-0000-00002A1A0000}"/>
    <cellStyle name="40% - Accent1 24 2" xfId="6792" xr:uid="{00000000-0005-0000-0000-00002B1A0000}"/>
    <cellStyle name="40% - Accent1 24 3" xfId="6793" xr:uid="{00000000-0005-0000-0000-00002C1A0000}"/>
    <cellStyle name="40% - Accent1 25" xfId="6794" xr:uid="{00000000-0005-0000-0000-00002D1A0000}"/>
    <cellStyle name="40% - Accent1 25 2" xfId="6795" xr:uid="{00000000-0005-0000-0000-00002E1A0000}"/>
    <cellStyle name="40% - Accent1 25 3" xfId="6796" xr:uid="{00000000-0005-0000-0000-00002F1A0000}"/>
    <cellStyle name="40% - Accent1 26" xfId="6797" xr:uid="{00000000-0005-0000-0000-0000301A0000}"/>
    <cellStyle name="40% - Accent1 26 2" xfId="6798" xr:uid="{00000000-0005-0000-0000-0000311A0000}"/>
    <cellStyle name="40% - Accent1 26 3" xfId="6799" xr:uid="{00000000-0005-0000-0000-0000321A0000}"/>
    <cellStyle name="40% - Accent1 27" xfId="6800" xr:uid="{00000000-0005-0000-0000-0000331A0000}"/>
    <cellStyle name="40% - Accent1 27 2" xfId="6801" xr:uid="{00000000-0005-0000-0000-0000341A0000}"/>
    <cellStyle name="40% - Accent1 27 3" xfId="6802" xr:uid="{00000000-0005-0000-0000-0000351A0000}"/>
    <cellStyle name="40% - Accent1 28" xfId="6803" xr:uid="{00000000-0005-0000-0000-0000361A0000}"/>
    <cellStyle name="40% - Accent1 28 2" xfId="6804" xr:uid="{00000000-0005-0000-0000-0000371A0000}"/>
    <cellStyle name="40% - Accent1 28 3" xfId="6805" xr:uid="{00000000-0005-0000-0000-0000381A0000}"/>
    <cellStyle name="40% - Accent1 29" xfId="6806" xr:uid="{00000000-0005-0000-0000-0000391A0000}"/>
    <cellStyle name="40% - Accent1 29 2" xfId="6807" xr:uid="{00000000-0005-0000-0000-00003A1A0000}"/>
    <cellStyle name="40% - Accent1 29 3" xfId="6808" xr:uid="{00000000-0005-0000-0000-00003B1A0000}"/>
    <cellStyle name="40% - Accent1 3" xfId="6809" xr:uid="{00000000-0005-0000-0000-00003C1A0000}"/>
    <cellStyle name="40% - Accent1 3 10" xfId="6810" xr:uid="{00000000-0005-0000-0000-00003D1A0000}"/>
    <cellStyle name="40% - Accent1 3 10 10" xfId="6811" xr:uid="{00000000-0005-0000-0000-00003E1A0000}"/>
    <cellStyle name="40% - Accent1 3 10 11" xfId="6812" xr:uid="{00000000-0005-0000-0000-00003F1A0000}"/>
    <cellStyle name="40% - Accent1 3 10 12" xfId="6813" xr:uid="{00000000-0005-0000-0000-0000401A0000}"/>
    <cellStyle name="40% - Accent1 3 10 13" xfId="6814" xr:uid="{00000000-0005-0000-0000-0000411A0000}"/>
    <cellStyle name="40% - Accent1 3 10 14" xfId="6815" xr:uid="{00000000-0005-0000-0000-0000421A0000}"/>
    <cellStyle name="40% - Accent1 3 10 15" xfId="6816" xr:uid="{00000000-0005-0000-0000-0000431A0000}"/>
    <cellStyle name="40% - Accent1 3 10 2" xfId="6817" xr:uid="{00000000-0005-0000-0000-0000441A0000}"/>
    <cellStyle name="40% - Accent1 3 10 3" xfId="6818" xr:uid="{00000000-0005-0000-0000-0000451A0000}"/>
    <cellStyle name="40% - Accent1 3 10 4" xfId="6819" xr:uid="{00000000-0005-0000-0000-0000461A0000}"/>
    <cellStyle name="40% - Accent1 3 10 5" xfId="6820" xr:uid="{00000000-0005-0000-0000-0000471A0000}"/>
    <cellStyle name="40% - Accent1 3 10 6" xfId="6821" xr:uid="{00000000-0005-0000-0000-0000481A0000}"/>
    <cellStyle name="40% - Accent1 3 10 7" xfId="6822" xr:uid="{00000000-0005-0000-0000-0000491A0000}"/>
    <cellStyle name="40% - Accent1 3 10 8" xfId="6823" xr:uid="{00000000-0005-0000-0000-00004A1A0000}"/>
    <cellStyle name="40% - Accent1 3 10 9" xfId="6824" xr:uid="{00000000-0005-0000-0000-00004B1A0000}"/>
    <cellStyle name="40% - Accent1 3 11" xfId="6825" xr:uid="{00000000-0005-0000-0000-00004C1A0000}"/>
    <cellStyle name="40% - Accent1 3 11 10" xfId="6826" xr:uid="{00000000-0005-0000-0000-00004D1A0000}"/>
    <cellStyle name="40% - Accent1 3 11 11" xfId="6827" xr:uid="{00000000-0005-0000-0000-00004E1A0000}"/>
    <cellStyle name="40% - Accent1 3 11 12" xfId="6828" xr:uid="{00000000-0005-0000-0000-00004F1A0000}"/>
    <cellStyle name="40% - Accent1 3 11 13" xfId="6829" xr:uid="{00000000-0005-0000-0000-0000501A0000}"/>
    <cellStyle name="40% - Accent1 3 11 14" xfId="6830" xr:uid="{00000000-0005-0000-0000-0000511A0000}"/>
    <cellStyle name="40% - Accent1 3 11 15" xfId="6831" xr:uid="{00000000-0005-0000-0000-0000521A0000}"/>
    <cellStyle name="40% - Accent1 3 11 2" xfId="6832" xr:uid="{00000000-0005-0000-0000-0000531A0000}"/>
    <cellStyle name="40% - Accent1 3 11 3" xfId="6833" xr:uid="{00000000-0005-0000-0000-0000541A0000}"/>
    <cellStyle name="40% - Accent1 3 11 4" xfId="6834" xr:uid="{00000000-0005-0000-0000-0000551A0000}"/>
    <cellStyle name="40% - Accent1 3 11 5" xfId="6835" xr:uid="{00000000-0005-0000-0000-0000561A0000}"/>
    <cellStyle name="40% - Accent1 3 11 6" xfId="6836" xr:uid="{00000000-0005-0000-0000-0000571A0000}"/>
    <cellStyle name="40% - Accent1 3 11 7" xfId="6837" xr:uid="{00000000-0005-0000-0000-0000581A0000}"/>
    <cellStyle name="40% - Accent1 3 11 8" xfId="6838" xr:uid="{00000000-0005-0000-0000-0000591A0000}"/>
    <cellStyle name="40% - Accent1 3 11 9" xfId="6839" xr:uid="{00000000-0005-0000-0000-00005A1A0000}"/>
    <cellStyle name="40% - Accent1 3 12" xfId="6840" xr:uid="{00000000-0005-0000-0000-00005B1A0000}"/>
    <cellStyle name="40% - Accent1 3 12 10" xfId="6841" xr:uid="{00000000-0005-0000-0000-00005C1A0000}"/>
    <cellStyle name="40% - Accent1 3 12 11" xfId="6842" xr:uid="{00000000-0005-0000-0000-00005D1A0000}"/>
    <cellStyle name="40% - Accent1 3 12 12" xfId="6843" xr:uid="{00000000-0005-0000-0000-00005E1A0000}"/>
    <cellStyle name="40% - Accent1 3 12 13" xfId="6844" xr:uid="{00000000-0005-0000-0000-00005F1A0000}"/>
    <cellStyle name="40% - Accent1 3 12 14" xfId="6845" xr:uid="{00000000-0005-0000-0000-0000601A0000}"/>
    <cellStyle name="40% - Accent1 3 12 15" xfId="6846" xr:uid="{00000000-0005-0000-0000-0000611A0000}"/>
    <cellStyle name="40% - Accent1 3 12 2" xfId="6847" xr:uid="{00000000-0005-0000-0000-0000621A0000}"/>
    <cellStyle name="40% - Accent1 3 12 3" xfId="6848" xr:uid="{00000000-0005-0000-0000-0000631A0000}"/>
    <cellStyle name="40% - Accent1 3 12 4" xfId="6849" xr:uid="{00000000-0005-0000-0000-0000641A0000}"/>
    <cellStyle name="40% - Accent1 3 12 5" xfId="6850" xr:uid="{00000000-0005-0000-0000-0000651A0000}"/>
    <cellStyle name="40% - Accent1 3 12 6" xfId="6851" xr:uid="{00000000-0005-0000-0000-0000661A0000}"/>
    <cellStyle name="40% - Accent1 3 12 7" xfId="6852" xr:uid="{00000000-0005-0000-0000-0000671A0000}"/>
    <cellStyle name="40% - Accent1 3 12 8" xfId="6853" xr:uid="{00000000-0005-0000-0000-0000681A0000}"/>
    <cellStyle name="40% - Accent1 3 12 9" xfId="6854" xr:uid="{00000000-0005-0000-0000-0000691A0000}"/>
    <cellStyle name="40% - Accent1 3 13" xfId="6855" xr:uid="{00000000-0005-0000-0000-00006A1A0000}"/>
    <cellStyle name="40% - Accent1 3 13 10" xfId="6856" xr:uid="{00000000-0005-0000-0000-00006B1A0000}"/>
    <cellStyle name="40% - Accent1 3 13 11" xfId="6857" xr:uid="{00000000-0005-0000-0000-00006C1A0000}"/>
    <cellStyle name="40% - Accent1 3 13 12" xfId="6858" xr:uid="{00000000-0005-0000-0000-00006D1A0000}"/>
    <cellStyle name="40% - Accent1 3 13 13" xfId="6859" xr:uid="{00000000-0005-0000-0000-00006E1A0000}"/>
    <cellStyle name="40% - Accent1 3 13 14" xfId="6860" xr:uid="{00000000-0005-0000-0000-00006F1A0000}"/>
    <cellStyle name="40% - Accent1 3 13 15" xfId="6861" xr:uid="{00000000-0005-0000-0000-0000701A0000}"/>
    <cellStyle name="40% - Accent1 3 13 2" xfId="6862" xr:uid="{00000000-0005-0000-0000-0000711A0000}"/>
    <cellStyle name="40% - Accent1 3 13 3" xfId="6863" xr:uid="{00000000-0005-0000-0000-0000721A0000}"/>
    <cellStyle name="40% - Accent1 3 13 4" xfId="6864" xr:uid="{00000000-0005-0000-0000-0000731A0000}"/>
    <cellStyle name="40% - Accent1 3 13 5" xfId="6865" xr:uid="{00000000-0005-0000-0000-0000741A0000}"/>
    <cellStyle name="40% - Accent1 3 13 6" xfId="6866" xr:uid="{00000000-0005-0000-0000-0000751A0000}"/>
    <cellStyle name="40% - Accent1 3 13 7" xfId="6867" xr:uid="{00000000-0005-0000-0000-0000761A0000}"/>
    <cellStyle name="40% - Accent1 3 13 8" xfId="6868" xr:uid="{00000000-0005-0000-0000-0000771A0000}"/>
    <cellStyle name="40% - Accent1 3 13 9" xfId="6869" xr:uid="{00000000-0005-0000-0000-0000781A0000}"/>
    <cellStyle name="40% - Accent1 3 14" xfId="6870" xr:uid="{00000000-0005-0000-0000-0000791A0000}"/>
    <cellStyle name="40% - Accent1 3 14 10" xfId="6871" xr:uid="{00000000-0005-0000-0000-00007A1A0000}"/>
    <cellStyle name="40% - Accent1 3 14 11" xfId="6872" xr:uid="{00000000-0005-0000-0000-00007B1A0000}"/>
    <cellStyle name="40% - Accent1 3 14 12" xfId="6873" xr:uid="{00000000-0005-0000-0000-00007C1A0000}"/>
    <cellStyle name="40% - Accent1 3 14 13" xfId="6874" xr:uid="{00000000-0005-0000-0000-00007D1A0000}"/>
    <cellStyle name="40% - Accent1 3 14 14" xfId="6875" xr:uid="{00000000-0005-0000-0000-00007E1A0000}"/>
    <cellStyle name="40% - Accent1 3 14 15" xfId="6876" xr:uid="{00000000-0005-0000-0000-00007F1A0000}"/>
    <cellStyle name="40% - Accent1 3 14 2" xfId="6877" xr:uid="{00000000-0005-0000-0000-0000801A0000}"/>
    <cellStyle name="40% - Accent1 3 14 3" xfId="6878" xr:uid="{00000000-0005-0000-0000-0000811A0000}"/>
    <cellStyle name="40% - Accent1 3 14 4" xfId="6879" xr:uid="{00000000-0005-0000-0000-0000821A0000}"/>
    <cellStyle name="40% - Accent1 3 14 5" xfId="6880" xr:uid="{00000000-0005-0000-0000-0000831A0000}"/>
    <cellStyle name="40% - Accent1 3 14 6" xfId="6881" xr:uid="{00000000-0005-0000-0000-0000841A0000}"/>
    <cellStyle name="40% - Accent1 3 14 7" xfId="6882" xr:uid="{00000000-0005-0000-0000-0000851A0000}"/>
    <cellStyle name="40% - Accent1 3 14 8" xfId="6883" xr:uid="{00000000-0005-0000-0000-0000861A0000}"/>
    <cellStyle name="40% - Accent1 3 14 9" xfId="6884" xr:uid="{00000000-0005-0000-0000-0000871A0000}"/>
    <cellStyle name="40% - Accent1 3 15" xfId="6885" xr:uid="{00000000-0005-0000-0000-0000881A0000}"/>
    <cellStyle name="40% - Accent1 3 15 10" xfId="6886" xr:uid="{00000000-0005-0000-0000-0000891A0000}"/>
    <cellStyle name="40% - Accent1 3 15 11" xfId="6887" xr:uid="{00000000-0005-0000-0000-00008A1A0000}"/>
    <cellStyle name="40% - Accent1 3 15 12" xfId="6888" xr:uid="{00000000-0005-0000-0000-00008B1A0000}"/>
    <cellStyle name="40% - Accent1 3 15 13" xfId="6889" xr:uid="{00000000-0005-0000-0000-00008C1A0000}"/>
    <cellStyle name="40% - Accent1 3 15 14" xfId="6890" xr:uid="{00000000-0005-0000-0000-00008D1A0000}"/>
    <cellStyle name="40% - Accent1 3 15 15" xfId="6891" xr:uid="{00000000-0005-0000-0000-00008E1A0000}"/>
    <cellStyle name="40% - Accent1 3 15 2" xfId="6892" xr:uid="{00000000-0005-0000-0000-00008F1A0000}"/>
    <cellStyle name="40% - Accent1 3 15 3" xfId="6893" xr:uid="{00000000-0005-0000-0000-0000901A0000}"/>
    <cellStyle name="40% - Accent1 3 15 4" xfId="6894" xr:uid="{00000000-0005-0000-0000-0000911A0000}"/>
    <cellStyle name="40% - Accent1 3 15 5" xfId="6895" xr:uid="{00000000-0005-0000-0000-0000921A0000}"/>
    <cellStyle name="40% - Accent1 3 15 6" xfId="6896" xr:uid="{00000000-0005-0000-0000-0000931A0000}"/>
    <cellStyle name="40% - Accent1 3 15 7" xfId="6897" xr:uid="{00000000-0005-0000-0000-0000941A0000}"/>
    <cellStyle name="40% - Accent1 3 15 8" xfId="6898" xr:uid="{00000000-0005-0000-0000-0000951A0000}"/>
    <cellStyle name="40% - Accent1 3 15 9" xfId="6899" xr:uid="{00000000-0005-0000-0000-0000961A0000}"/>
    <cellStyle name="40% - Accent1 3 16" xfId="6900" xr:uid="{00000000-0005-0000-0000-0000971A0000}"/>
    <cellStyle name="40% - Accent1 3 16 10" xfId="6901" xr:uid="{00000000-0005-0000-0000-0000981A0000}"/>
    <cellStyle name="40% - Accent1 3 16 11" xfId="6902" xr:uid="{00000000-0005-0000-0000-0000991A0000}"/>
    <cellStyle name="40% - Accent1 3 16 12" xfId="6903" xr:uid="{00000000-0005-0000-0000-00009A1A0000}"/>
    <cellStyle name="40% - Accent1 3 16 13" xfId="6904" xr:uid="{00000000-0005-0000-0000-00009B1A0000}"/>
    <cellStyle name="40% - Accent1 3 16 14" xfId="6905" xr:uid="{00000000-0005-0000-0000-00009C1A0000}"/>
    <cellStyle name="40% - Accent1 3 16 15" xfId="6906" xr:uid="{00000000-0005-0000-0000-00009D1A0000}"/>
    <cellStyle name="40% - Accent1 3 16 2" xfId="6907" xr:uid="{00000000-0005-0000-0000-00009E1A0000}"/>
    <cellStyle name="40% - Accent1 3 16 3" xfId="6908" xr:uid="{00000000-0005-0000-0000-00009F1A0000}"/>
    <cellStyle name="40% - Accent1 3 16 4" xfId="6909" xr:uid="{00000000-0005-0000-0000-0000A01A0000}"/>
    <cellStyle name="40% - Accent1 3 16 5" xfId="6910" xr:uid="{00000000-0005-0000-0000-0000A11A0000}"/>
    <cellStyle name="40% - Accent1 3 16 6" xfId="6911" xr:uid="{00000000-0005-0000-0000-0000A21A0000}"/>
    <cellStyle name="40% - Accent1 3 16 7" xfId="6912" xr:uid="{00000000-0005-0000-0000-0000A31A0000}"/>
    <cellStyle name="40% - Accent1 3 16 8" xfId="6913" xr:uid="{00000000-0005-0000-0000-0000A41A0000}"/>
    <cellStyle name="40% - Accent1 3 16 9" xfId="6914" xr:uid="{00000000-0005-0000-0000-0000A51A0000}"/>
    <cellStyle name="40% - Accent1 3 17" xfId="6915" xr:uid="{00000000-0005-0000-0000-0000A61A0000}"/>
    <cellStyle name="40% - Accent1 3 17 10" xfId="6916" xr:uid="{00000000-0005-0000-0000-0000A71A0000}"/>
    <cellStyle name="40% - Accent1 3 17 11" xfId="6917" xr:uid="{00000000-0005-0000-0000-0000A81A0000}"/>
    <cellStyle name="40% - Accent1 3 17 12" xfId="6918" xr:uid="{00000000-0005-0000-0000-0000A91A0000}"/>
    <cellStyle name="40% - Accent1 3 17 13" xfId="6919" xr:uid="{00000000-0005-0000-0000-0000AA1A0000}"/>
    <cellStyle name="40% - Accent1 3 17 14" xfId="6920" xr:uid="{00000000-0005-0000-0000-0000AB1A0000}"/>
    <cellStyle name="40% - Accent1 3 17 15" xfId="6921" xr:uid="{00000000-0005-0000-0000-0000AC1A0000}"/>
    <cellStyle name="40% - Accent1 3 17 2" xfId="6922" xr:uid="{00000000-0005-0000-0000-0000AD1A0000}"/>
    <cellStyle name="40% - Accent1 3 17 3" xfId="6923" xr:uid="{00000000-0005-0000-0000-0000AE1A0000}"/>
    <cellStyle name="40% - Accent1 3 17 4" xfId="6924" xr:uid="{00000000-0005-0000-0000-0000AF1A0000}"/>
    <cellStyle name="40% - Accent1 3 17 5" xfId="6925" xr:uid="{00000000-0005-0000-0000-0000B01A0000}"/>
    <cellStyle name="40% - Accent1 3 17 6" xfId="6926" xr:uid="{00000000-0005-0000-0000-0000B11A0000}"/>
    <cellStyle name="40% - Accent1 3 17 7" xfId="6927" xr:uid="{00000000-0005-0000-0000-0000B21A0000}"/>
    <cellStyle name="40% - Accent1 3 17 8" xfId="6928" xr:uid="{00000000-0005-0000-0000-0000B31A0000}"/>
    <cellStyle name="40% - Accent1 3 17 9" xfId="6929" xr:uid="{00000000-0005-0000-0000-0000B41A0000}"/>
    <cellStyle name="40% - Accent1 3 18" xfId="6930" xr:uid="{00000000-0005-0000-0000-0000B51A0000}"/>
    <cellStyle name="40% - Accent1 3 18 10" xfId="6931" xr:uid="{00000000-0005-0000-0000-0000B61A0000}"/>
    <cellStyle name="40% - Accent1 3 18 11" xfId="6932" xr:uid="{00000000-0005-0000-0000-0000B71A0000}"/>
    <cellStyle name="40% - Accent1 3 18 12" xfId="6933" xr:uid="{00000000-0005-0000-0000-0000B81A0000}"/>
    <cellStyle name="40% - Accent1 3 18 13" xfId="6934" xr:uid="{00000000-0005-0000-0000-0000B91A0000}"/>
    <cellStyle name="40% - Accent1 3 18 14" xfId="6935" xr:uid="{00000000-0005-0000-0000-0000BA1A0000}"/>
    <cellStyle name="40% - Accent1 3 18 15" xfId="6936" xr:uid="{00000000-0005-0000-0000-0000BB1A0000}"/>
    <cellStyle name="40% - Accent1 3 18 2" xfId="6937" xr:uid="{00000000-0005-0000-0000-0000BC1A0000}"/>
    <cellStyle name="40% - Accent1 3 18 3" xfId="6938" xr:uid="{00000000-0005-0000-0000-0000BD1A0000}"/>
    <cellStyle name="40% - Accent1 3 18 4" xfId="6939" xr:uid="{00000000-0005-0000-0000-0000BE1A0000}"/>
    <cellStyle name="40% - Accent1 3 18 5" xfId="6940" xr:uid="{00000000-0005-0000-0000-0000BF1A0000}"/>
    <cellStyle name="40% - Accent1 3 18 6" xfId="6941" xr:uid="{00000000-0005-0000-0000-0000C01A0000}"/>
    <cellStyle name="40% - Accent1 3 18 7" xfId="6942" xr:uid="{00000000-0005-0000-0000-0000C11A0000}"/>
    <cellStyle name="40% - Accent1 3 18 8" xfId="6943" xr:uid="{00000000-0005-0000-0000-0000C21A0000}"/>
    <cellStyle name="40% - Accent1 3 18 9" xfId="6944" xr:uid="{00000000-0005-0000-0000-0000C31A0000}"/>
    <cellStyle name="40% - Accent1 3 19" xfId="6945" xr:uid="{00000000-0005-0000-0000-0000C41A0000}"/>
    <cellStyle name="40% - Accent1 3 19 10" xfId="6946" xr:uid="{00000000-0005-0000-0000-0000C51A0000}"/>
    <cellStyle name="40% - Accent1 3 19 11" xfId="6947" xr:uid="{00000000-0005-0000-0000-0000C61A0000}"/>
    <cellStyle name="40% - Accent1 3 19 12" xfId="6948" xr:uid="{00000000-0005-0000-0000-0000C71A0000}"/>
    <cellStyle name="40% - Accent1 3 19 13" xfId="6949" xr:uid="{00000000-0005-0000-0000-0000C81A0000}"/>
    <cellStyle name="40% - Accent1 3 19 14" xfId="6950" xr:uid="{00000000-0005-0000-0000-0000C91A0000}"/>
    <cellStyle name="40% - Accent1 3 19 15" xfId="6951" xr:uid="{00000000-0005-0000-0000-0000CA1A0000}"/>
    <cellStyle name="40% - Accent1 3 19 2" xfId="6952" xr:uid="{00000000-0005-0000-0000-0000CB1A0000}"/>
    <cellStyle name="40% - Accent1 3 19 3" xfId="6953" xr:uid="{00000000-0005-0000-0000-0000CC1A0000}"/>
    <cellStyle name="40% - Accent1 3 19 4" xfId="6954" xr:uid="{00000000-0005-0000-0000-0000CD1A0000}"/>
    <cellStyle name="40% - Accent1 3 19 5" xfId="6955" xr:uid="{00000000-0005-0000-0000-0000CE1A0000}"/>
    <cellStyle name="40% - Accent1 3 19 6" xfId="6956" xr:uid="{00000000-0005-0000-0000-0000CF1A0000}"/>
    <cellStyle name="40% - Accent1 3 19 7" xfId="6957" xr:uid="{00000000-0005-0000-0000-0000D01A0000}"/>
    <cellStyle name="40% - Accent1 3 19 8" xfId="6958" xr:uid="{00000000-0005-0000-0000-0000D11A0000}"/>
    <cellStyle name="40% - Accent1 3 19 9" xfId="6959" xr:uid="{00000000-0005-0000-0000-0000D21A0000}"/>
    <cellStyle name="40% - Accent1 3 2" xfId="6960" xr:uid="{00000000-0005-0000-0000-0000D31A0000}"/>
    <cellStyle name="40% - Accent1 3 2 10" xfId="6961" xr:uid="{00000000-0005-0000-0000-0000D41A0000}"/>
    <cellStyle name="40% - Accent1 3 2 11" xfId="6962" xr:uid="{00000000-0005-0000-0000-0000D51A0000}"/>
    <cellStyle name="40% - Accent1 3 2 12" xfId="6963" xr:uid="{00000000-0005-0000-0000-0000D61A0000}"/>
    <cellStyle name="40% - Accent1 3 2 13" xfId="6964" xr:uid="{00000000-0005-0000-0000-0000D71A0000}"/>
    <cellStyle name="40% - Accent1 3 2 14" xfId="6965" xr:uid="{00000000-0005-0000-0000-0000D81A0000}"/>
    <cellStyle name="40% - Accent1 3 2 15" xfId="6966" xr:uid="{00000000-0005-0000-0000-0000D91A0000}"/>
    <cellStyle name="40% - Accent1 3 2 16" xfId="6967" xr:uid="{00000000-0005-0000-0000-0000DA1A0000}"/>
    <cellStyle name="40% - Accent1 3 2 17" xfId="6968" xr:uid="{00000000-0005-0000-0000-0000DB1A0000}"/>
    <cellStyle name="40% - Accent1 3 2 18" xfId="6969" xr:uid="{00000000-0005-0000-0000-0000DC1A0000}"/>
    <cellStyle name="40% - Accent1 3 2 19" xfId="6970" xr:uid="{00000000-0005-0000-0000-0000DD1A0000}"/>
    <cellStyle name="40% - Accent1 3 2 2" xfId="6971" xr:uid="{00000000-0005-0000-0000-0000DE1A0000}"/>
    <cellStyle name="40% - Accent1 3 2 20" xfId="6972" xr:uid="{00000000-0005-0000-0000-0000DF1A0000}"/>
    <cellStyle name="40% - Accent1 3 2 21" xfId="6973" xr:uid="{00000000-0005-0000-0000-0000E01A0000}"/>
    <cellStyle name="40% - Accent1 3 2 22" xfId="6974" xr:uid="{00000000-0005-0000-0000-0000E11A0000}"/>
    <cellStyle name="40% - Accent1 3 2 23" xfId="6975" xr:uid="{00000000-0005-0000-0000-0000E21A0000}"/>
    <cellStyle name="40% - Accent1 3 2 24" xfId="6976" xr:uid="{00000000-0005-0000-0000-0000E31A0000}"/>
    <cellStyle name="40% - Accent1 3 2 25" xfId="6977" xr:uid="{00000000-0005-0000-0000-0000E41A0000}"/>
    <cellStyle name="40% - Accent1 3 2 26" xfId="6978" xr:uid="{00000000-0005-0000-0000-0000E51A0000}"/>
    <cellStyle name="40% - Accent1 3 2 27" xfId="6979" xr:uid="{00000000-0005-0000-0000-0000E61A0000}"/>
    <cellStyle name="40% - Accent1 3 2 28" xfId="6980" xr:uid="{00000000-0005-0000-0000-0000E71A0000}"/>
    <cellStyle name="40% - Accent1 3 2 29" xfId="6981" xr:uid="{00000000-0005-0000-0000-0000E81A0000}"/>
    <cellStyle name="40% - Accent1 3 2 3" xfId="6982" xr:uid="{00000000-0005-0000-0000-0000E91A0000}"/>
    <cellStyle name="40% - Accent1 3 2 30" xfId="6983" xr:uid="{00000000-0005-0000-0000-0000EA1A0000}"/>
    <cellStyle name="40% - Accent1 3 2 31" xfId="6984" xr:uid="{00000000-0005-0000-0000-0000EB1A0000}"/>
    <cellStyle name="40% - Accent1 3 2 32" xfId="6985" xr:uid="{00000000-0005-0000-0000-0000EC1A0000}"/>
    <cellStyle name="40% - Accent1 3 2 33" xfId="6986" xr:uid="{00000000-0005-0000-0000-0000ED1A0000}"/>
    <cellStyle name="40% - Accent1 3 2 34" xfId="6987" xr:uid="{00000000-0005-0000-0000-0000EE1A0000}"/>
    <cellStyle name="40% - Accent1 3 2 35" xfId="6988" xr:uid="{00000000-0005-0000-0000-0000EF1A0000}"/>
    <cellStyle name="40% - Accent1 3 2 36" xfId="6989" xr:uid="{00000000-0005-0000-0000-0000F01A0000}"/>
    <cellStyle name="40% - Accent1 3 2 37" xfId="6990" xr:uid="{00000000-0005-0000-0000-0000F11A0000}"/>
    <cellStyle name="40% - Accent1 3 2 38" xfId="6991" xr:uid="{00000000-0005-0000-0000-0000F21A0000}"/>
    <cellStyle name="40% - Accent1 3 2 39" xfId="6992" xr:uid="{00000000-0005-0000-0000-0000F31A0000}"/>
    <cellStyle name="40% - Accent1 3 2 4" xfId="6993" xr:uid="{00000000-0005-0000-0000-0000F41A0000}"/>
    <cellStyle name="40% - Accent1 3 2 40" xfId="6994" xr:uid="{00000000-0005-0000-0000-0000F51A0000}"/>
    <cellStyle name="40% - Accent1 3 2 41" xfId="6995" xr:uid="{00000000-0005-0000-0000-0000F61A0000}"/>
    <cellStyle name="40% - Accent1 3 2 42" xfId="6996" xr:uid="{00000000-0005-0000-0000-0000F71A0000}"/>
    <cellStyle name="40% - Accent1 3 2 43" xfId="6997" xr:uid="{00000000-0005-0000-0000-0000F81A0000}"/>
    <cellStyle name="40% - Accent1 3 2 44" xfId="6998" xr:uid="{00000000-0005-0000-0000-0000F91A0000}"/>
    <cellStyle name="40% - Accent1 3 2 45" xfId="6999" xr:uid="{00000000-0005-0000-0000-0000FA1A0000}"/>
    <cellStyle name="40% - Accent1 3 2 46" xfId="7000" xr:uid="{00000000-0005-0000-0000-0000FB1A0000}"/>
    <cellStyle name="40% - Accent1 3 2 47" xfId="7001" xr:uid="{00000000-0005-0000-0000-0000FC1A0000}"/>
    <cellStyle name="40% - Accent1 3 2 48" xfId="7002" xr:uid="{00000000-0005-0000-0000-0000FD1A0000}"/>
    <cellStyle name="40% - Accent1 3 2 49" xfId="7003" xr:uid="{00000000-0005-0000-0000-0000FE1A0000}"/>
    <cellStyle name="40% - Accent1 3 2 5" xfId="7004" xr:uid="{00000000-0005-0000-0000-0000FF1A0000}"/>
    <cellStyle name="40% - Accent1 3 2 50" xfId="7005" xr:uid="{00000000-0005-0000-0000-0000001B0000}"/>
    <cellStyle name="40% - Accent1 3 2 51" xfId="7006" xr:uid="{00000000-0005-0000-0000-0000011B0000}"/>
    <cellStyle name="40% - Accent1 3 2 52" xfId="7007" xr:uid="{00000000-0005-0000-0000-0000021B0000}"/>
    <cellStyle name="40% - Accent1 3 2 53" xfId="7008" xr:uid="{00000000-0005-0000-0000-0000031B0000}"/>
    <cellStyle name="40% - Accent1 3 2 54" xfId="7009" xr:uid="{00000000-0005-0000-0000-0000041B0000}"/>
    <cellStyle name="40% - Accent1 3 2 6" xfId="7010" xr:uid="{00000000-0005-0000-0000-0000051B0000}"/>
    <cellStyle name="40% - Accent1 3 2 7" xfId="7011" xr:uid="{00000000-0005-0000-0000-0000061B0000}"/>
    <cellStyle name="40% - Accent1 3 2 8" xfId="7012" xr:uid="{00000000-0005-0000-0000-0000071B0000}"/>
    <cellStyle name="40% - Accent1 3 2 9" xfId="7013" xr:uid="{00000000-0005-0000-0000-0000081B0000}"/>
    <cellStyle name="40% - Accent1 3 20" xfId="7014" xr:uid="{00000000-0005-0000-0000-0000091B0000}"/>
    <cellStyle name="40% - Accent1 3 20 10" xfId="7015" xr:uid="{00000000-0005-0000-0000-00000A1B0000}"/>
    <cellStyle name="40% - Accent1 3 20 11" xfId="7016" xr:uid="{00000000-0005-0000-0000-00000B1B0000}"/>
    <cellStyle name="40% - Accent1 3 20 12" xfId="7017" xr:uid="{00000000-0005-0000-0000-00000C1B0000}"/>
    <cellStyle name="40% - Accent1 3 20 13" xfId="7018" xr:uid="{00000000-0005-0000-0000-00000D1B0000}"/>
    <cellStyle name="40% - Accent1 3 20 14" xfId="7019" xr:uid="{00000000-0005-0000-0000-00000E1B0000}"/>
    <cellStyle name="40% - Accent1 3 20 15" xfId="7020" xr:uid="{00000000-0005-0000-0000-00000F1B0000}"/>
    <cellStyle name="40% - Accent1 3 20 2" xfId="7021" xr:uid="{00000000-0005-0000-0000-0000101B0000}"/>
    <cellStyle name="40% - Accent1 3 20 3" xfId="7022" xr:uid="{00000000-0005-0000-0000-0000111B0000}"/>
    <cellStyle name="40% - Accent1 3 20 4" xfId="7023" xr:uid="{00000000-0005-0000-0000-0000121B0000}"/>
    <cellStyle name="40% - Accent1 3 20 5" xfId="7024" xr:uid="{00000000-0005-0000-0000-0000131B0000}"/>
    <cellStyle name="40% - Accent1 3 20 6" xfId="7025" xr:uid="{00000000-0005-0000-0000-0000141B0000}"/>
    <cellStyle name="40% - Accent1 3 20 7" xfId="7026" xr:uid="{00000000-0005-0000-0000-0000151B0000}"/>
    <cellStyle name="40% - Accent1 3 20 8" xfId="7027" xr:uid="{00000000-0005-0000-0000-0000161B0000}"/>
    <cellStyle name="40% - Accent1 3 20 9" xfId="7028" xr:uid="{00000000-0005-0000-0000-0000171B0000}"/>
    <cellStyle name="40% - Accent1 3 21" xfId="7029" xr:uid="{00000000-0005-0000-0000-0000181B0000}"/>
    <cellStyle name="40% - Accent1 3 21 10" xfId="7030" xr:uid="{00000000-0005-0000-0000-0000191B0000}"/>
    <cellStyle name="40% - Accent1 3 21 11" xfId="7031" xr:uid="{00000000-0005-0000-0000-00001A1B0000}"/>
    <cellStyle name="40% - Accent1 3 21 12" xfId="7032" xr:uid="{00000000-0005-0000-0000-00001B1B0000}"/>
    <cellStyle name="40% - Accent1 3 21 13" xfId="7033" xr:uid="{00000000-0005-0000-0000-00001C1B0000}"/>
    <cellStyle name="40% - Accent1 3 21 14" xfId="7034" xr:uid="{00000000-0005-0000-0000-00001D1B0000}"/>
    <cellStyle name="40% - Accent1 3 21 15" xfId="7035" xr:uid="{00000000-0005-0000-0000-00001E1B0000}"/>
    <cellStyle name="40% - Accent1 3 21 2" xfId="7036" xr:uid="{00000000-0005-0000-0000-00001F1B0000}"/>
    <cellStyle name="40% - Accent1 3 21 3" xfId="7037" xr:uid="{00000000-0005-0000-0000-0000201B0000}"/>
    <cellStyle name="40% - Accent1 3 21 4" xfId="7038" xr:uid="{00000000-0005-0000-0000-0000211B0000}"/>
    <cellStyle name="40% - Accent1 3 21 5" xfId="7039" xr:uid="{00000000-0005-0000-0000-0000221B0000}"/>
    <cellStyle name="40% - Accent1 3 21 6" xfId="7040" xr:uid="{00000000-0005-0000-0000-0000231B0000}"/>
    <cellStyle name="40% - Accent1 3 21 7" xfId="7041" xr:uid="{00000000-0005-0000-0000-0000241B0000}"/>
    <cellStyle name="40% - Accent1 3 21 8" xfId="7042" xr:uid="{00000000-0005-0000-0000-0000251B0000}"/>
    <cellStyle name="40% - Accent1 3 21 9" xfId="7043" xr:uid="{00000000-0005-0000-0000-0000261B0000}"/>
    <cellStyle name="40% - Accent1 3 22" xfId="7044" xr:uid="{00000000-0005-0000-0000-0000271B0000}"/>
    <cellStyle name="40% - Accent1 3 22 10" xfId="7045" xr:uid="{00000000-0005-0000-0000-0000281B0000}"/>
    <cellStyle name="40% - Accent1 3 22 11" xfId="7046" xr:uid="{00000000-0005-0000-0000-0000291B0000}"/>
    <cellStyle name="40% - Accent1 3 22 12" xfId="7047" xr:uid="{00000000-0005-0000-0000-00002A1B0000}"/>
    <cellStyle name="40% - Accent1 3 22 13" xfId="7048" xr:uid="{00000000-0005-0000-0000-00002B1B0000}"/>
    <cellStyle name="40% - Accent1 3 22 14" xfId="7049" xr:uid="{00000000-0005-0000-0000-00002C1B0000}"/>
    <cellStyle name="40% - Accent1 3 22 15" xfId="7050" xr:uid="{00000000-0005-0000-0000-00002D1B0000}"/>
    <cellStyle name="40% - Accent1 3 22 2" xfId="7051" xr:uid="{00000000-0005-0000-0000-00002E1B0000}"/>
    <cellStyle name="40% - Accent1 3 22 3" xfId="7052" xr:uid="{00000000-0005-0000-0000-00002F1B0000}"/>
    <cellStyle name="40% - Accent1 3 22 4" xfId="7053" xr:uid="{00000000-0005-0000-0000-0000301B0000}"/>
    <cellStyle name="40% - Accent1 3 22 5" xfId="7054" xr:uid="{00000000-0005-0000-0000-0000311B0000}"/>
    <cellStyle name="40% - Accent1 3 22 6" xfId="7055" xr:uid="{00000000-0005-0000-0000-0000321B0000}"/>
    <cellStyle name="40% - Accent1 3 22 7" xfId="7056" xr:uid="{00000000-0005-0000-0000-0000331B0000}"/>
    <cellStyle name="40% - Accent1 3 22 8" xfId="7057" xr:uid="{00000000-0005-0000-0000-0000341B0000}"/>
    <cellStyle name="40% - Accent1 3 22 9" xfId="7058" xr:uid="{00000000-0005-0000-0000-0000351B0000}"/>
    <cellStyle name="40% - Accent1 3 23" xfId="7059" xr:uid="{00000000-0005-0000-0000-0000361B0000}"/>
    <cellStyle name="40% - Accent1 3 23 10" xfId="7060" xr:uid="{00000000-0005-0000-0000-0000371B0000}"/>
    <cellStyle name="40% - Accent1 3 23 11" xfId="7061" xr:uid="{00000000-0005-0000-0000-0000381B0000}"/>
    <cellStyle name="40% - Accent1 3 23 12" xfId="7062" xr:uid="{00000000-0005-0000-0000-0000391B0000}"/>
    <cellStyle name="40% - Accent1 3 23 13" xfId="7063" xr:uid="{00000000-0005-0000-0000-00003A1B0000}"/>
    <cellStyle name="40% - Accent1 3 23 14" xfId="7064" xr:uid="{00000000-0005-0000-0000-00003B1B0000}"/>
    <cellStyle name="40% - Accent1 3 23 15" xfId="7065" xr:uid="{00000000-0005-0000-0000-00003C1B0000}"/>
    <cellStyle name="40% - Accent1 3 23 2" xfId="7066" xr:uid="{00000000-0005-0000-0000-00003D1B0000}"/>
    <cellStyle name="40% - Accent1 3 23 3" xfId="7067" xr:uid="{00000000-0005-0000-0000-00003E1B0000}"/>
    <cellStyle name="40% - Accent1 3 23 4" xfId="7068" xr:uid="{00000000-0005-0000-0000-00003F1B0000}"/>
    <cellStyle name="40% - Accent1 3 23 5" xfId="7069" xr:uid="{00000000-0005-0000-0000-0000401B0000}"/>
    <cellStyle name="40% - Accent1 3 23 6" xfId="7070" xr:uid="{00000000-0005-0000-0000-0000411B0000}"/>
    <cellStyle name="40% - Accent1 3 23 7" xfId="7071" xr:uid="{00000000-0005-0000-0000-0000421B0000}"/>
    <cellStyle name="40% - Accent1 3 23 8" xfId="7072" xr:uid="{00000000-0005-0000-0000-0000431B0000}"/>
    <cellStyle name="40% - Accent1 3 23 9" xfId="7073" xr:uid="{00000000-0005-0000-0000-0000441B0000}"/>
    <cellStyle name="40% - Accent1 3 24" xfId="7074" xr:uid="{00000000-0005-0000-0000-0000451B0000}"/>
    <cellStyle name="40% - Accent1 3 24 10" xfId="7075" xr:uid="{00000000-0005-0000-0000-0000461B0000}"/>
    <cellStyle name="40% - Accent1 3 24 11" xfId="7076" xr:uid="{00000000-0005-0000-0000-0000471B0000}"/>
    <cellStyle name="40% - Accent1 3 24 12" xfId="7077" xr:uid="{00000000-0005-0000-0000-0000481B0000}"/>
    <cellStyle name="40% - Accent1 3 24 13" xfId="7078" xr:uid="{00000000-0005-0000-0000-0000491B0000}"/>
    <cellStyle name="40% - Accent1 3 24 14" xfId="7079" xr:uid="{00000000-0005-0000-0000-00004A1B0000}"/>
    <cellStyle name="40% - Accent1 3 24 15" xfId="7080" xr:uid="{00000000-0005-0000-0000-00004B1B0000}"/>
    <cellStyle name="40% - Accent1 3 24 2" xfId="7081" xr:uid="{00000000-0005-0000-0000-00004C1B0000}"/>
    <cellStyle name="40% - Accent1 3 24 3" xfId="7082" xr:uid="{00000000-0005-0000-0000-00004D1B0000}"/>
    <cellStyle name="40% - Accent1 3 24 4" xfId="7083" xr:uid="{00000000-0005-0000-0000-00004E1B0000}"/>
    <cellStyle name="40% - Accent1 3 24 5" xfId="7084" xr:uid="{00000000-0005-0000-0000-00004F1B0000}"/>
    <cellStyle name="40% - Accent1 3 24 6" xfId="7085" xr:uid="{00000000-0005-0000-0000-0000501B0000}"/>
    <cellStyle name="40% - Accent1 3 24 7" xfId="7086" xr:uid="{00000000-0005-0000-0000-0000511B0000}"/>
    <cellStyle name="40% - Accent1 3 24 8" xfId="7087" xr:uid="{00000000-0005-0000-0000-0000521B0000}"/>
    <cellStyle name="40% - Accent1 3 24 9" xfId="7088" xr:uid="{00000000-0005-0000-0000-0000531B0000}"/>
    <cellStyle name="40% - Accent1 3 25" xfId="7089" xr:uid="{00000000-0005-0000-0000-0000541B0000}"/>
    <cellStyle name="40% - Accent1 3 25 10" xfId="7090" xr:uid="{00000000-0005-0000-0000-0000551B0000}"/>
    <cellStyle name="40% - Accent1 3 25 11" xfId="7091" xr:uid="{00000000-0005-0000-0000-0000561B0000}"/>
    <cellStyle name="40% - Accent1 3 25 12" xfId="7092" xr:uid="{00000000-0005-0000-0000-0000571B0000}"/>
    <cellStyle name="40% - Accent1 3 25 13" xfId="7093" xr:uid="{00000000-0005-0000-0000-0000581B0000}"/>
    <cellStyle name="40% - Accent1 3 25 14" xfId="7094" xr:uid="{00000000-0005-0000-0000-0000591B0000}"/>
    <cellStyle name="40% - Accent1 3 25 15" xfId="7095" xr:uid="{00000000-0005-0000-0000-00005A1B0000}"/>
    <cellStyle name="40% - Accent1 3 25 2" xfId="7096" xr:uid="{00000000-0005-0000-0000-00005B1B0000}"/>
    <cellStyle name="40% - Accent1 3 25 3" xfId="7097" xr:uid="{00000000-0005-0000-0000-00005C1B0000}"/>
    <cellStyle name="40% - Accent1 3 25 4" xfId="7098" xr:uid="{00000000-0005-0000-0000-00005D1B0000}"/>
    <cellStyle name="40% - Accent1 3 25 5" xfId="7099" xr:uid="{00000000-0005-0000-0000-00005E1B0000}"/>
    <cellStyle name="40% - Accent1 3 25 6" xfId="7100" xr:uid="{00000000-0005-0000-0000-00005F1B0000}"/>
    <cellStyle name="40% - Accent1 3 25 7" xfId="7101" xr:uid="{00000000-0005-0000-0000-0000601B0000}"/>
    <cellStyle name="40% - Accent1 3 25 8" xfId="7102" xr:uid="{00000000-0005-0000-0000-0000611B0000}"/>
    <cellStyle name="40% - Accent1 3 25 9" xfId="7103" xr:uid="{00000000-0005-0000-0000-0000621B0000}"/>
    <cellStyle name="40% - Accent1 3 26" xfId="7104" xr:uid="{00000000-0005-0000-0000-0000631B0000}"/>
    <cellStyle name="40% - Accent1 3 26 10" xfId="7105" xr:uid="{00000000-0005-0000-0000-0000641B0000}"/>
    <cellStyle name="40% - Accent1 3 26 11" xfId="7106" xr:uid="{00000000-0005-0000-0000-0000651B0000}"/>
    <cellStyle name="40% - Accent1 3 26 12" xfId="7107" xr:uid="{00000000-0005-0000-0000-0000661B0000}"/>
    <cellStyle name="40% - Accent1 3 26 13" xfId="7108" xr:uid="{00000000-0005-0000-0000-0000671B0000}"/>
    <cellStyle name="40% - Accent1 3 26 14" xfId="7109" xr:uid="{00000000-0005-0000-0000-0000681B0000}"/>
    <cellStyle name="40% - Accent1 3 26 15" xfId="7110" xr:uid="{00000000-0005-0000-0000-0000691B0000}"/>
    <cellStyle name="40% - Accent1 3 26 2" xfId="7111" xr:uid="{00000000-0005-0000-0000-00006A1B0000}"/>
    <cellStyle name="40% - Accent1 3 26 3" xfId="7112" xr:uid="{00000000-0005-0000-0000-00006B1B0000}"/>
    <cellStyle name="40% - Accent1 3 26 4" xfId="7113" xr:uid="{00000000-0005-0000-0000-00006C1B0000}"/>
    <cellStyle name="40% - Accent1 3 26 5" xfId="7114" xr:uid="{00000000-0005-0000-0000-00006D1B0000}"/>
    <cellStyle name="40% - Accent1 3 26 6" xfId="7115" xr:uid="{00000000-0005-0000-0000-00006E1B0000}"/>
    <cellStyle name="40% - Accent1 3 26 7" xfId="7116" xr:uid="{00000000-0005-0000-0000-00006F1B0000}"/>
    <cellStyle name="40% - Accent1 3 26 8" xfId="7117" xr:uid="{00000000-0005-0000-0000-0000701B0000}"/>
    <cellStyle name="40% - Accent1 3 26 9" xfId="7118" xr:uid="{00000000-0005-0000-0000-0000711B0000}"/>
    <cellStyle name="40% - Accent1 3 27" xfId="7119" xr:uid="{00000000-0005-0000-0000-0000721B0000}"/>
    <cellStyle name="40% - Accent1 3 27 10" xfId="7120" xr:uid="{00000000-0005-0000-0000-0000731B0000}"/>
    <cellStyle name="40% - Accent1 3 27 11" xfId="7121" xr:uid="{00000000-0005-0000-0000-0000741B0000}"/>
    <cellStyle name="40% - Accent1 3 27 12" xfId="7122" xr:uid="{00000000-0005-0000-0000-0000751B0000}"/>
    <cellStyle name="40% - Accent1 3 27 13" xfId="7123" xr:uid="{00000000-0005-0000-0000-0000761B0000}"/>
    <cellStyle name="40% - Accent1 3 27 14" xfId="7124" xr:uid="{00000000-0005-0000-0000-0000771B0000}"/>
    <cellStyle name="40% - Accent1 3 27 15" xfId="7125" xr:uid="{00000000-0005-0000-0000-0000781B0000}"/>
    <cellStyle name="40% - Accent1 3 27 2" xfId="7126" xr:uid="{00000000-0005-0000-0000-0000791B0000}"/>
    <cellStyle name="40% - Accent1 3 27 3" xfId="7127" xr:uid="{00000000-0005-0000-0000-00007A1B0000}"/>
    <cellStyle name="40% - Accent1 3 27 4" xfId="7128" xr:uid="{00000000-0005-0000-0000-00007B1B0000}"/>
    <cellStyle name="40% - Accent1 3 27 5" xfId="7129" xr:uid="{00000000-0005-0000-0000-00007C1B0000}"/>
    <cellStyle name="40% - Accent1 3 27 6" xfId="7130" xr:uid="{00000000-0005-0000-0000-00007D1B0000}"/>
    <cellStyle name="40% - Accent1 3 27 7" xfId="7131" xr:uid="{00000000-0005-0000-0000-00007E1B0000}"/>
    <cellStyle name="40% - Accent1 3 27 8" xfId="7132" xr:uid="{00000000-0005-0000-0000-00007F1B0000}"/>
    <cellStyle name="40% - Accent1 3 27 9" xfId="7133" xr:uid="{00000000-0005-0000-0000-0000801B0000}"/>
    <cellStyle name="40% - Accent1 3 28" xfId="7134" xr:uid="{00000000-0005-0000-0000-0000811B0000}"/>
    <cellStyle name="40% - Accent1 3 28 10" xfId="7135" xr:uid="{00000000-0005-0000-0000-0000821B0000}"/>
    <cellStyle name="40% - Accent1 3 28 11" xfId="7136" xr:uid="{00000000-0005-0000-0000-0000831B0000}"/>
    <cellStyle name="40% - Accent1 3 28 12" xfId="7137" xr:uid="{00000000-0005-0000-0000-0000841B0000}"/>
    <cellStyle name="40% - Accent1 3 28 13" xfId="7138" xr:uid="{00000000-0005-0000-0000-0000851B0000}"/>
    <cellStyle name="40% - Accent1 3 28 14" xfId="7139" xr:uid="{00000000-0005-0000-0000-0000861B0000}"/>
    <cellStyle name="40% - Accent1 3 28 15" xfId="7140" xr:uid="{00000000-0005-0000-0000-0000871B0000}"/>
    <cellStyle name="40% - Accent1 3 28 2" xfId="7141" xr:uid="{00000000-0005-0000-0000-0000881B0000}"/>
    <cellStyle name="40% - Accent1 3 28 3" xfId="7142" xr:uid="{00000000-0005-0000-0000-0000891B0000}"/>
    <cellStyle name="40% - Accent1 3 28 4" xfId="7143" xr:uid="{00000000-0005-0000-0000-00008A1B0000}"/>
    <cellStyle name="40% - Accent1 3 28 5" xfId="7144" xr:uid="{00000000-0005-0000-0000-00008B1B0000}"/>
    <cellStyle name="40% - Accent1 3 28 6" xfId="7145" xr:uid="{00000000-0005-0000-0000-00008C1B0000}"/>
    <cellStyle name="40% - Accent1 3 28 7" xfId="7146" xr:uid="{00000000-0005-0000-0000-00008D1B0000}"/>
    <cellStyle name="40% - Accent1 3 28 8" xfId="7147" xr:uid="{00000000-0005-0000-0000-00008E1B0000}"/>
    <cellStyle name="40% - Accent1 3 28 9" xfId="7148" xr:uid="{00000000-0005-0000-0000-00008F1B0000}"/>
    <cellStyle name="40% - Accent1 3 29" xfId="7149" xr:uid="{00000000-0005-0000-0000-0000901B0000}"/>
    <cellStyle name="40% - Accent1 3 29 10" xfId="7150" xr:uid="{00000000-0005-0000-0000-0000911B0000}"/>
    <cellStyle name="40% - Accent1 3 29 11" xfId="7151" xr:uid="{00000000-0005-0000-0000-0000921B0000}"/>
    <cellStyle name="40% - Accent1 3 29 12" xfId="7152" xr:uid="{00000000-0005-0000-0000-0000931B0000}"/>
    <cellStyle name="40% - Accent1 3 29 13" xfId="7153" xr:uid="{00000000-0005-0000-0000-0000941B0000}"/>
    <cellStyle name="40% - Accent1 3 29 14" xfId="7154" xr:uid="{00000000-0005-0000-0000-0000951B0000}"/>
    <cellStyle name="40% - Accent1 3 29 15" xfId="7155" xr:uid="{00000000-0005-0000-0000-0000961B0000}"/>
    <cellStyle name="40% - Accent1 3 29 2" xfId="7156" xr:uid="{00000000-0005-0000-0000-0000971B0000}"/>
    <cellStyle name="40% - Accent1 3 29 3" xfId="7157" xr:uid="{00000000-0005-0000-0000-0000981B0000}"/>
    <cellStyle name="40% - Accent1 3 29 4" xfId="7158" xr:uid="{00000000-0005-0000-0000-0000991B0000}"/>
    <cellStyle name="40% - Accent1 3 29 5" xfId="7159" xr:uid="{00000000-0005-0000-0000-00009A1B0000}"/>
    <cellStyle name="40% - Accent1 3 29 6" xfId="7160" xr:uid="{00000000-0005-0000-0000-00009B1B0000}"/>
    <cellStyle name="40% - Accent1 3 29 7" xfId="7161" xr:uid="{00000000-0005-0000-0000-00009C1B0000}"/>
    <cellStyle name="40% - Accent1 3 29 8" xfId="7162" xr:uid="{00000000-0005-0000-0000-00009D1B0000}"/>
    <cellStyle name="40% - Accent1 3 29 9" xfId="7163" xr:uid="{00000000-0005-0000-0000-00009E1B0000}"/>
    <cellStyle name="40% - Accent1 3 3" xfId="7164" xr:uid="{00000000-0005-0000-0000-00009F1B0000}"/>
    <cellStyle name="40% - Accent1 3 3 10" xfId="7165" xr:uid="{00000000-0005-0000-0000-0000A01B0000}"/>
    <cellStyle name="40% - Accent1 3 3 11" xfId="7166" xr:uid="{00000000-0005-0000-0000-0000A11B0000}"/>
    <cellStyle name="40% - Accent1 3 3 12" xfId="7167" xr:uid="{00000000-0005-0000-0000-0000A21B0000}"/>
    <cellStyle name="40% - Accent1 3 3 13" xfId="7168" xr:uid="{00000000-0005-0000-0000-0000A31B0000}"/>
    <cellStyle name="40% - Accent1 3 3 14" xfId="7169" xr:uid="{00000000-0005-0000-0000-0000A41B0000}"/>
    <cellStyle name="40% - Accent1 3 3 15" xfId="7170" xr:uid="{00000000-0005-0000-0000-0000A51B0000}"/>
    <cellStyle name="40% - Accent1 3 3 16" xfId="7171" xr:uid="{00000000-0005-0000-0000-0000A61B0000}"/>
    <cellStyle name="40% - Accent1 3 3 2" xfId="7172" xr:uid="{00000000-0005-0000-0000-0000A71B0000}"/>
    <cellStyle name="40% - Accent1 3 3 3" xfId="7173" xr:uid="{00000000-0005-0000-0000-0000A81B0000}"/>
    <cellStyle name="40% - Accent1 3 3 4" xfId="7174" xr:uid="{00000000-0005-0000-0000-0000A91B0000}"/>
    <cellStyle name="40% - Accent1 3 3 5" xfId="7175" xr:uid="{00000000-0005-0000-0000-0000AA1B0000}"/>
    <cellStyle name="40% - Accent1 3 3 6" xfId="7176" xr:uid="{00000000-0005-0000-0000-0000AB1B0000}"/>
    <cellStyle name="40% - Accent1 3 3 7" xfId="7177" xr:uid="{00000000-0005-0000-0000-0000AC1B0000}"/>
    <cellStyle name="40% - Accent1 3 3 8" xfId="7178" xr:uid="{00000000-0005-0000-0000-0000AD1B0000}"/>
    <cellStyle name="40% - Accent1 3 3 9" xfId="7179" xr:uid="{00000000-0005-0000-0000-0000AE1B0000}"/>
    <cellStyle name="40% - Accent1 3 30" xfId="7180" xr:uid="{00000000-0005-0000-0000-0000AF1B0000}"/>
    <cellStyle name="40% - Accent1 3 30 10" xfId="7181" xr:uid="{00000000-0005-0000-0000-0000B01B0000}"/>
    <cellStyle name="40% - Accent1 3 30 11" xfId="7182" xr:uid="{00000000-0005-0000-0000-0000B11B0000}"/>
    <cellStyle name="40% - Accent1 3 30 12" xfId="7183" xr:uid="{00000000-0005-0000-0000-0000B21B0000}"/>
    <cellStyle name="40% - Accent1 3 30 13" xfId="7184" xr:uid="{00000000-0005-0000-0000-0000B31B0000}"/>
    <cellStyle name="40% - Accent1 3 30 14" xfId="7185" xr:uid="{00000000-0005-0000-0000-0000B41B0000}"/>
    <cellStyle name="40% - Accent1 3 30 15" xfId="7186" xr:uid="{00000000-0005-0000-0000-0000B51B0000}"/>
    <cellStyle name="40% - Accent1 3 30 2" xfId="7187" xr:uid="{00000000-0005-0000-0000-0000B61B0000}"/>
    <cellStyle name="40% - Accent1 3 30 3" xfId="7188" xr:uid="{00000000-0005-0000-0000-0000B71B0000}"/>
    <cellStyle name="40% - Accent1 3 30 4" xfId="7189" xr:uid="{00000000-0005-0000-0000-0000B81B0000}"/>
    <cellStyle name="40% - Accent1 3 30 5" xfId="7190" xr:uid="{00000000-0005-0000-0000-0000B91B0000}"/>
    <cellStyle name="40% - Accent1 3 30 6" xfId="7191" xr:uid="{00000000-0005-0000-0000-0000BA1B0000}"/>
    <cellStyle name="40% - Accent1 3 30 7" xfId="7192" xr:uid="{00000000-0005-0000-0000-0000BB1B0000}"/>
    <cellStyle name="40% - Accent1 3 30 8" xfId="7193" xr:uid="{00000000-0005-0000-0000-0000BC1B0000}"/>
    <cellStyle name="40% - Accent1 3 30 9" xfId="7194" xr:uid="{00000000-0005-0000-0000-0000BD1B0000}"/>
    <cellStyle name="40% - Accent1 3 31" xfId="7195" xr:uid="{00000000-0005-0000-0000-0000BE1B0000}"/>
    <cellStyle name="40% - Accent1 3 31 10" xfId="7196" xr:uid="{00000000-0005-0000-0000-0000BF1B0000}"/>
    <cellStyle name="40% - Accent1 3 31 11" xfId="7197" xr:uid="{00000000-0005-0000-0000-0000C01B0000}"/>
    <cellStyle name="40% - Accent1 3 31 12" xfId="7198" xr:uid="{00000000-0005-0000-0000-0000C11B0000}"/>
    <cellStyle name="40% - Accent1 3 31 13" xfId="7199" xr:uid="{00000000-0005-0000-0000-0000C21B0000}"/>
    <cellStyle name="40% - Accent1 3 31 14" xfId="7200" xr:uid="{00000000-0005-0000-0000-0000C31B0000}"/>
    <cellStyle name="40% - Accent1 3 31 15" xfId="7201" xr:uid="{00000000-0005-0000-0000-0000C41B0000}"/>
    <cellStyle name="40% - Accent1 3 31 2" xfId="7202" xr:uid="{00000000-0005-0000-0000-0000C51B0000}"/>
    <cellStyle name="40% - Accent1 3 31 3" xfId="7203" xr:uid="{00000000-0005-0000-0000-0000C61B0000}"/>
    <cellStyle name="40% - Accent1 3 31 4" xfId="7204" xr:uid="{00000000-0005-0000-0000-0000C71B0000}"/>
    <cellStyle name="40% - Accent1 3 31 5" xfId="7205" xr:uid="{00000000-0005-0000-0000-0000C81B0000}"/>
    <cellStyle name="40% - Accent1 3 31 6" xfId="7206" xr:uid="{00000000-0005-0000-0000-0000C91B0000}"/>
    <cellStyle name="40% - Accent1 3 31 7" xfId="7207" xr:uid="{00000000-0005-0000-0000-0000CA1B0000}"/>
    <cellStyle name="40% - Accent1 3 31 8" xfId="7208" xr:uid="{00000000-0005-0000-0000-0000CB1B0000}"/>
    <cellStyle name="40% - Accent1 3 31 9" xfId="7209" xr:uid="{00000000-0005-0000-0000-0000CC1B0000}"/>
    <cellStyle name="40% - Accent1 3 32" xfId="7210" xr:uid="{00000000-0005-0000-0000-0000CD1B0000}"/>
    <cellStyle name="40% - Accent1 3 32 10" xfId="7211" xr:uid="{00000000-0005-0000-0000-0000CE1B0000}"/>
    <cellStyle name="40% - Accent1 3 32 11" xfId="7212" xr:uid="{00000000-0005-0000-0000-0000CF1B0000}"/>
    <cellStyle name="40% - Accent1 3 32 12" xfId="7213" xr:uid="{00000000-0005-0000-0000-0000D01B0000}"/>
    <cellStyle name="40% - Accent1 3 32 13" xfId="7214" xr:uid="{00000000-0005-0000-0000-0000D11B0000}"/>
    <cellStyle name="40% - Accent1 3 32 14" xfId="7215" xr:uid="{00000000-0005-0000-0000-0000D21B0000}"/>
    <cellStyle name="40% - Accent1 3 32 15" xfId="7216" xr:uid="{00000000-0005-0000-0000-0000D31B0000}"/>
    <cellStyle name="40% - Accent1 3 32 2" xfId="7217" xr:uid="{00000000-0005-0000-0000-0000D41B0000}"/>
    <cellStyle name="40% - Accent1 3 32 3" xfId="7218" xr:uid="{00000000-0005-0000-0000-0000D51B0000}"/>
    <cellStyle name="40% - Accent1 3 32 4" xfId="7219" xr:uid="{00000000-0005-0000-0000-0000D61B0000}"/>
    <cellStyle name="40% - Accent1 3 32 5" xfId="7220" xr:uid="{00000000-0005-0000-0000-0000D71B0000}"/>
    <cellStyle name="40% - Accent1 3 32 6" xfId="7221" xr:uid="{00000000-0005-0000-0000-0000D81B0000}"/>
    <cellStyle name="40% - Accent1 3 32 7" xfId="7222" xr:uid="{00000000-0005-0000-0000-0000D91B0000}"/>
    <cellStyle name="40% - Accent1 3 32 8" xfId="7223" xr:uid="{00000000-0005-0000-0000-0000DA1B0000}"/>
    <cellStyle name="40% - Accent1 3 32 9" xfId="7224" xr:uid="{00000000-0005-0000-0000-0000DB1B0000}"/>
    <cellStyle name="40% - Accent1 3 33" xfId="7225" xr:uid="{00000000-0005-0000-0000-0000DC1B0000}"/>
    <cellStyle name="40% - Accent1 3 34" xfId="7226" xr:uid="{00000000-0005-0000-0000-0000DD1B0000}"/>
    <cellStyle name="40% - Accent1 3 35" xfId="7227" xr:uid="{00000000-0005-0000-0000-0000DE1B0000}"/>
    <cellStyle name="40% - Accent1 3 36" xfId="7228" xr:uid="{00000000-0005-0000-0000-0000DF1B0000}"/>
    <cellStyle name="40% - Accent1 3 37" xfId="7229" xr:uid="{00000000-0005-0000-0000-0000E01B0000}"/>
    <cellStyle name="40% - Accent1 3 38" xfId="7230" xr:uid="{00000000-0005-0000-0000-0000E11B0000}"/>
    <cellStyle name="40% - Accent1 3 39" xfId="7231" xr:uid="{00000000-0005-0000-0000-0000E21B0000}"/>
    <cellStyle name="40% - Accent1 3 4" xfId="7232" xr:uid="{00000000-0005-0000-0000-0000E31B0000}"/>
    <cellStyle name="40% - Accent1 3 4 10" xfId="7233" xr:uid="{00000000-0005-0000-0000-0000E41B0000}"/>
    <cellStyle name="40% - Accent1 3 4 11" xfId="7234" xr:uid="{00000000-0005-0000-0000-0000E51B0000}"/>
    <cellStyle name="40% - Accent1 3 4 12" xfId="7235" xr:uid="{00000000-0005-0000-0000-0000E61B0000}"/>
    <cellStyle name="40% - Accent1 3 4 13" xfId="7236" xr:uid="{00000000-0005-0000-0000-0000E71B0000}"/>
    <cellStyle name="40% - Accent1 3 4 14" xfId="7237" xr:uid="{00000000-0005-0000-0000-0000E81B0000}"/>
    <cellStyle name="40% - Accent1 3 4 15" xfId="7238" xr:uid="{00000000-0005-0000-0000-0000E91B0000}"/>
    <cellStyle name="40% - Accent1 3 4 16" xfId="7239" xr:uid="{00000000-0005-0000-0000-0000EA1B0000}"/>
    <cellStyle name="40% - Accent1 3 4 2" xfId="7240" xr:uid="{00000000-0005-0000-0000-0000EB1B0000}"/>
    <cellStyle name="40% - Accent1 3 4 3" xfId="7241" xr:uid="{00000000-0005-0000-0000-0000EC1B0000}"/>
    <cellStyle name="40% - Accent1 3 4 4" xfId="7242" xr:uid="{00000000-0005-0000-0000-0000ED1B0000}"/>
    <cellStyle name="40% - Accent1 3 4 5" xfId="7243" xr:uid="{00000000-0005-0000-0000-0000EE1B0000}"/>
    <cellStyle name="40% - Accent1 3 4 6" xfId="7244" xr:uid="{00000000-0005-0000-0000-0000EF1B0000}"/>
    <cellStyle name="40% - Accent1 3 4 7" xfId="7245" xr:uid="{00000000-0005-0000-0000-0000F01B0000}"/>
    <cellStyle name="40% - Accent1 3 4 8" xfId="7246" xr:uid="{00000000-0005-0000-0000-0000F11B0000}"/>
    <cellStyle name="40% - Accent1 3 4 9" xfId="7247" xr:uid="{00000000-0005-0000-0000-0000F21B0000}"/>
    <cellStyle name="40% - Accent1 3 40" xfId="7248" xr:uid="{00000000-0005-0000-0000-0000F31B0000}"/>
    <cellStyle name="40% - Accent1 3 41" xfId="7249" xr:uid="{00000000-0005-0000-0000-0000F41B0000}"/>
    <cellStyle name="40% - Accent1 3 42" xfId="7250" xr:uid="{00000000-0005-0000-0000-0000F51B0000}"/>
    <cellStyle name="40% - Accent1 3 43" xfId="7251" xr:uid="{00000000-0005-0000-0000-0000F61B0000}"/>
    <cellStyle name="40% - Accent1 3 44" xfId="7252" xr:uid="{00000000-0005-0000-0000-0000F71B0000}"/>
    <cellStyle name="40% - Accent1 3 45" xfId="7253" xr:uid="{00000000-0005-0000-0000-0000F81B0000}"/>
    <cellStyle name="40% - Accent1 3 46" xfId="7254" xr:uid="{00000000-0005-0000-0000-0000F91B0000}"/>
    <cellStyle name="40% - Accent1 3 47" xfId="7255" xr:uid="{00000000-0005-0000-0000-0000FA1B0000}"/>
    <cellStyle name="40% - Accent1 3 48" xfId="7256" xr:uid="{00000000-0005-0000-0000-0000FB1B0000}"/>
    <cellStyle name="40% - Accent1 3 49" xfId="7257" xr:uid="{00000000-0005-0000-0000-0000FC1B0000}"/>
    <cellStyle name="40% - Accent1 3 5" xfId="7258" xr:uid="{00000000-0005-0000-0000-0000FD1B0000}"/>
    <cellStyle name="40% - Accent1 3 5 10" xfId="7259" xr:uid="{00000000-0005-0000-0000-0000FE1B0000}"/>
    <cellStyle name="40% - Accent1 3 5 11" xfId="7260" xr:uid="{00000000-0005-0000-0000-0000FF1B0000}"/>
    <cellStyle name="40% - Accent1 3 5 12" xfId="7261" xr:uid="{00000000-0005-0000-0000-0000001C0000}"/>
    <cellStyle name="40% - Accent1 3 5 13" xfId="7262" xr:uid="{00000000-0005-0000-0000-0000011C0000}"/>
    <cellStyle name="40% - Accent1 3 5 14" xfId="7263" xr:uid="{00000000-0005-0000-0000-0000021C0000}"/>
    <cellStyle name="40% - Accent1 3 5 15" xfId="7264" xr:uid="{00000000-0005-0000-0000-0000031C0000}"/>
    <cellStyle name="40% - Accent1 3 5 2" xfId="7265" xr:uid="{00000000-0005-0000-0000-0000041C0000}"/>
    <cellStyle name="40% - Accent1 3 5 3" xfId="7266" xr:uid="{00000000-0005-0000-0000-0000051C0000}"/>
    <cellStyle name="40% - Accent1 3 5 4" xfId="7267" xr:uid="{00000000-0005-0000-0000-0000061C0000}"/>
    <cellStyle name="40% - Accent1 3 5 5" xfId="7268" xr:uid="{00000000-0005-0000-0000-0000071C0000}"/>
    <cellStyle name="40% - Accent1 3 5 6" xfId="7269" xr:uid="{00000000-0005-0000-0000-0000081C0000}"/>
    <cellStyle name="40% - Accent1 3 5 7" xfId="7270" xr:uid="{00000000-0005-0000-0000-0000091C0000}"/>
    <cellStyle name="40% - Accent1 3 5 8" xfId="7271" xr:uid="{00000000-0005-0000-0000-00000A1C0000}"/>
    <cellStyle name="40% - Accent1 3 5 9" xfId="7272" xr:uid="{00000000-0005-0000-0000-00000B1C0000}"/>
    <cellStyle name="40% - Accent1 3 50" xfId="7273" xr:uid="{00000000-0005-0000-0000-00000C1C0000}"/>
    <cellStyle name="40% - Accent1 3 51" xfId="7274" xr:uid="{00000000-0005-0000-0000-00000D1C0000}"/>
    <cellStyle name="40% - Accent1 3 52" xfId="7275" xr:uid="{00000000-0005-0000-0000-00000E1C0000}"/>
    <cellStyle name="40% - Accent1 3 53" xfId="7276" xr:uid="{00000000-0005-0000-0000-00000F1C0000}"/>
    <cellStyle name="40% - Accent1 3 54" xfId="7277" xr:uid="{00000000-0005-0000-0000-0000101C0000}"/>
    <cellStyle name="40% - Accent1 3 55" xfId="7278" xr:uid="{00000000-0005-0000-0000-0000111C0000}"/>
    <cellStyle name="40% - Accent1 3 6" xfId="7279" xr:uid="{00000000-0005-0000-0000-0000121C0000}"/>
    <cellStyle name="40% - Accent1 3 6 10" xfId="7280" xr:uid="{00000000-0005-0000-0000-0000131C0000}"/>
    <cellStyle name="40% - Accent1 3 6 11" xfId="7281" xr:uid="{00000000-0005-0000-0000-0000141C0000}"/>
    <cellStyle name="40% - Accent1 3 6 12" xfId="7282" xr:uid="{00000000-0005-0000-0000-0000151C0000}"/>
    <cellStyle name="40% - Accent1 3 6 13" xfId="7283" xr:uid="{00000000-0005-0000-0000-0000161C0000}"/>
    <cellStyle name="40% - Accent1 3 6 14" xfId="7284" xr:uid="{00000000-0005-0000-0000-0000171C0000}"/>
    <cellStyle name="40% - Accent1 3 6 15" xfId="7285" xr:uid="{00000000-0005-0000-0000-0000181C0000}"/>
    <cellStyle name="40% - Accent1 3 6 2" xfId="7286" xr:uid="{00000000-0005-0000-0000-0000191C0000}"/>
    <cellStyle name="40% - Accent1 3 6 3" xfId="7287" xr:uid="{00000000-0005-0000-0000-00001A1C0000}"/>
    <cellStyle name="40% - Accent1 3 6 4" xfId="7288" xr:uid="{00000000-0005-0000-0000-00001B1C0000}"/>
    <cellStyle name="40% - Accent1 3 6 5" xfId="7289" xr:uid="{00000000-0005-0000-0000-00001C1C0000}"/>
    <cellStyle name="40% - Accent1 3 6 6" xfId="7290" xr:uid="{00000000-0005-0000-0000-00001D1C0000}"/>
    <cellStyle name="40% - Accent1 3 6 7" xfId="7291" xr:uid="{00000000-0005-0000-0000-00001E1C0000}"/>
    <cellStyle name="40% - Accent1 3 6 8" xfId="7292" xr:uid="{00000000-0005-0000-0000-00001F1C0000}"/>
    <cellStyle name="40% - Accent1 3 6 9" xfId="7293" xr:uid="{00000000-0005-0000-0000-0000201C0000}"/>
    <cellStyle name="40% - Accent1 3 7" xfId="7294" xr:uid="{00000000-0005-0000-0000-0000211C0000}"/>
    <cellStyle name="40% - Accent1 3 7 10" xfId="7295" xr:uid="{00000000-0005-0000-0000-0000221C0000}"/>
    <cellStyle name="40% - Accent1 3 7 11" xfId="7296" xr:uid="{00000000-0005-0000-0000-0000231C0000}"/>
    <cellStyle name="40% - Accent1 3 7 12" xfId="7297" xr:uid="{00000000-0005-0000-0000-0000241C0000}"/>
    <cellStyle name="40% - Accent1 3 7 13" xfId="7298" xr:uid="{00000000-0005-0000-0000-0000251C0000}"/>
    <cellStyle name="40% - Accent1 3 7 14" xfId="7299" xr:uid="{00000000-0005-0000-0000-0000261C0000}"/>
    <cellStyle name="40% - Accent1 3 7 15" xfId="7300" xr:uid="{00000000-0005-0000-0000-0000271C0000}"/>
    <cellStyle name="40% - Accent1 3 7 2" xfId="7301" xr:uid="{00000000-0005-0000-0000-0000281C0000}"/>
    <cellStyle name="40% - Accent1 3 7 3" xfId="7302" xr:uid="{00000000-0005-0000-0000-0000291C0000}"/>
    <cellStyle name="40% - Accent1 3 7 4" xfId="7303" xr:uid="{00000000-0005-0000-0000-00002A1C0000}"/>
    <cellStyle name="40% - Accent1 3 7 5" xfId="7304" xr:uid="{00000000-0005-0000-0000-00002B1C0000}"/>
    <cellStyle name="40% - Accent1 3 7 6" xfId="7305" xr:uid="{00000000-0005-0000-0000-00002C1C0000}"/>
    <cellStyle name="40% - Accent1 3 7 7" xfId="7306" xr:uid="{00000000-0005-0000-0000-00002D1C0000}"/>
    <cellStyle name="40% - Accent1 3 7 8" xfId="7307" xr:uid="{00000000-0005-0000-0000-00002E1C0000}"/>
    <cellStyle name="40% - Accent1 3 7 9" xfId="7308" xr:uid="{00000000-0005-0000-0000-00002F1C0000}"/>
    <cellStyle name="40% - Accent1 3 8" xfId="7309" xr:uid="{00000000-0005-0000-0000-0000301C0000}"/>
    <cellStyle name="40% - Accent1 3 8 10" xfId="7310" xr:uid="{00000000-0005-0000-0000-0000311C0000}"/>
    <cellStyle name="40% - Accent1 3 8 11" xfId="7311" xr:uid="{00000000-0005-0000-0000-0000321C0000}"/>
    <cellStyle name="40% - Accent1 3 8 12" xfId="7312" xr:uid="{00000000-0005-0000-0000-0000331C0000}"/>
    <cellStyle name="40% - Accent1 3 8 13" xfId="7313" xr:uid="{00000000-0005-0000-0000-0000341C0000}"/>
    <cellStyle name="40% - Accent1 3 8 14" xfId="7314" xr:uid="{00000000-0005-0000-0000-0000351C0000}"/>
    <cellStyle name="40% - Accent1 3 8 15" xfId="7315" xr:uid="{00000000-0005-0000-0000-0000361C0000}"/>
    <cellStyle name="40% - Accent1 3 8 2" xfId="7316" xr:uid="{00000000-0005-0000-0000-0000371C0000}"/>
    <cellStyle name="40% - Accent1 3 8 3" xfId="7317" xr:uid="{00000000-0005-0000-0000-0000381C0000}"/>
    <cellStyle name="40% - Accent1 3 8 4" xfId="7318" xr:uid="{00000000-0005-0000-0000-0000391C0000}"/>
    <cellStyle name="40% - Accent1 3 8 5" xfId="7319" xr:uid="{00000000-0005-0000-0000-00003A1C0000}"/>
    <cellStyle name="40% - Accent1 3 8 6" xfId="7320" xr:uid="{00000000-0005-0000-0000-00003B1C0000}"/>
    <cellStyle name="40% - Accent1 3 8 7" xfId="7321" xr:uid="{00000000-0005-0000-0000-00003C1C0000}"/>
    <cellStyle name="40% - Accent1 3 8 8" xfId="7322" xr:uid="{00000000-0005-0000-0000-00003D1C0000}"/>
    <cellStyle name="40% - Accent1 3 8 9" xfId="7323" xr:uid="{00000000-0005-0000-0000-00003E1C0000}"/>
    <cellStyle name="40% - Accent1 3 9" xfId="7324" xr:uid="{00000000-0005-0000-0000-00003F1C0000}"/>
    <cellStyle name="40% - Accent1 3 9 10" xfId="7325" xr:uid="{00000000-0005-0000-0000-0000401C0000}"/>
    <cellStyle name="40% - Accent1 3 9 11" xfId="7326" xr:uid="{00000000-0005-0000-0000-0000411C0000}"/>
    <cellStyle name="40% - Accent1 3 9 12" xfId="7327" xr:uid="{00000000-0005-0000-0000-0000421C0000}"/>
    <cellStyle name="40% - Accent1 3 9 13" xfId="7328" xr:uid="{00000000-0005-0000-0000-0000431C0000}"/>
    <cellStyle name="40% - Accent1 3 9 14" xfId="7329" xr:uid="{00000000-0005-0000-0000-0000441C0000}"/>
    <cellStyle name="40% - Accent1 3 9 15" xfId="7330" xr:uid="{00000000-0005-0000-0000-0000451C0000}"/>
    <cellStyle name="40% - Accent1 3 9 2" xfId="7331" xr:uid="{00000000-0005-0000-0000-0000461C0000}"/>
    <cellStyle name="40% - Accent1 3 9 3" xfId="7332" xr:uid="{00000000-0005-0000-0000-0000471C0000}"/>
    <cellStyle name="40% - Accent1 3 9 4" xfId="7333" xr:uid="{00000000-0005-0000-0000-0000481C0000}"/>
    <cellStyle name="40% - Accent1 3 9 5" xfId="7334" xr:uid="{00000000-0005-0000-0000-0000491C0000}"/>
    <cellStyle name="40% - Accent1 3 9 6" xfId="7335" xr:uid="{00000000-0005-0000-0000-00004A1C0000}"/>
    <cellStyle name="40% - Accent1 3 9 7" xfId="7336" xr:uid="{00000000-0005-0000-0000-00004B1C0000}"/>
    <cellStyle name="40% - Accent1 3 9 8" xfId="7337" xr:uid="{00000000-0005-0000-0000-00004C1C0000}"/>
    <cellStyle name="40% - Accent1 3 9 9" xfId="7338" xr:uid="{00000000-0005-0000-0000-00004D1C0000}"/>
    <cellStyle name="40% - Accent1 30" xfId="7339" xr:uid="{00000000-0005-0000-0000-00004E1C0000}"/>
    <cellStyle name="40% - Accent1 30 10" xfId="7340" xr:uid="{00000000-0005-0000-0000-00004F1C0000}"/>
    <cellStyle name="40% - Accent1 30 11" xfId="7341" xr:uid="{00000000-0005-0000-0000-0000501C0000}"/>
    <cellStyle name="40% - Accent1 30 12" xfId="7342" xr:uid="{00000000-0005-0000-0000-0000511C0000}"/>
    <cellStyle name="40% - Accent1 30 13" xfId="7343" xr:uid="{00000000-0005-0000-0000-0000521C0000}"/>
    <cellStyle name="40% - Accent1 30 14" xfId="7344" xr:uid="{00000000-0005-0000-0000-0000531C0000}"/>
    <cellStyle name="40% - Accent1 30 15" xfId="7345" xr:uid="{00000000-0005-0000-0000-0000541C0000}"/>
    <cellStyle name="40% - Accent1 30 16" xfId="7346" xr:uid="{00000000-0005-0000-0000-0000551C0000}"/>
    <cellStyle name="40% - Accent1 30 2" xfId="7347" xr:uid="{00000000-0005-0000-0000-0000561C0000}"/>
    <cellStyle name="40% - Accent1 30 3" xfId="7348" xr:uid="{00000000-0005-0000-0000-0000571C0000}"/>
    <cellStyle name="40% - Accent1 30 4" xfId="7349" xr:uid="{00000000-0005-0000-0000-0000581C0000}"/>
    <cellStyle name="40% - Accent1 30 5" xfId="7350" xr:uid="{00000000-0005-0000-0000-0000591C0000}"/>
    <cellStyle name="40% - Accent1 30 6" xfId="7351" xr:uid="{00000000-0005-0000-0000-00005A1C0000}"/>
    <cellStyle name="40% - Accent1 30 7" xfId="7352" xr:uid="{00000000-0005-0000-0000-00005B1C0000}"/>
    <cellStyle name="40% - Accent1 30 8" xfId="7353" xr:uid="{00000000-0005-0000-0000-00005C1C0000}"/>
    <cellStyle name="40% - Accent1 30 9" xfId="7354" xr:uid="{00000000-0005-0000-0000-00005D1C0000}"/>
    <cellStyle name="40% - Accent1 31" xfId="7355" xr:uid="{00000000-0005-0000-0000-00005E1C0000}"/>
    <cellStyle name="40% - Accent1 31 10" xfId="7356" xr:uid="{00000000-0005-0000-0000-00005F1C0000}"/>
    <cellStyle name="40% - Accent1 31 11" xfId="7357" xr:uid="{00000000-0005-0000-0000-0000601C0000}"/>
    <cellStyle name="40% - Accent1 31 12" xfId="7358" xr:uid="{00000000-0005-0000-0000-0000611C0000}"/>
    <cellStyle name="40% - Accent1 31 13" xfId="7359" xr:uid="{00000000-0005-0000-0000-0000621C0000}"/>
    <cellStyle name="40% - Accent1 31 14" xfId="7360" xr:uid="{00000000-0005-0000-0000-0000631C0000}"/>
    <cellStyle name="40% - Accent1 31 15" xfId="7361" xr:uid="{00000000-0005-0000-0000-0000641C0000}"/>
    <cellStyle name="40% - Accent1 31 16" xfId="7362" xr:uid="{00000000-0005-0000-0000-0000651C0000}"/>
    <cellStyle name="40% - Accent1 31 2" xfId="7363" xr:uid="{00000000-0005-0000-0000-0000661C0000}"/>
    <cellStyle name="40% - Accent1 31 3" xfId="7364" xr:uid="{00000000-0005-0000-0000-0000671C0000}"/>
    <cellStyle name="40% - Accent1 31 4" xfId="7365" xr:uid="{00000000-0005-0000-0000-0000681C0000}"/>
    <cellStyle name="40% - Accent1 31 5" xfId="7366" xr:uid="{00000000-0005-0000-0000-0000691C0000}"/>
    <cellStyle name="40% - Accent1 31 6" xfId="7367" xr:uid="{00000000-0005-0000-0000-00006A1C0000}"/>
    <cellStyle name="40% - Accent1 31 7" xfId="7368" xr:uid="{00000000-0005-0000-0000-00006B1C0000}"/>
    <cellStyle name="40% - Accent1 31 8" xfId="7369" xr:uid="{00000000-0005-0000-0000-00006C1C0000}"/>
    <cellStyle name="40% - Accent1 31 9" xfId="7370" xr:uid="{00000000-0005-0000-0000-00006D1C0000}"/>
    <cellStyle name="40% - Accent1 32" xfId="7371" xr:uid="{00000000-0005-0000-0000-00006E1C0000}"/>
    <cellStyle name="40% - Accent1 32 10" xfId="7372" xr:uid="{00000000-0005-0000-0000-00006F1C0000}"/>
    <cellStyle name="40% - Accent1 32 11" xfId="7373" xr:uid="{00000000-0005-0000-0000-0000701C0000}"/>
    <cellStyle name="40% - Accent1 32 12" xfId="7374" xr:uid="{00000000-0005-0000-0000-0000711C0000}"/>
    <cellStyle name="40% - Accent1 32 13" xfId="7375" xr:uid="{00000000-0005-0000-0000-0000721C0000}"/>
    <cellStyle name="40% - Accent1 32 14" xfId="7376" xr:uid="{00000000-0005-0000-0000-0000731C0000}"/>
    <cellStyle name="40% - Accent1 32 15" xfId="7377" xr:uid="{00000000-0005-0000-0000-0000741C0000}"/>
    <cellStyle name="40% - Accent1 32 2" xfId="7378" xr:uid="{00000000-0005-0000-0000-0000751C0000}"/>
    <cellStyle name="40% - Accent1 32 3" xfId="7379" xr:uid="{00000000-0005-0000-0000-0000761C0000}"/>
    <cellStyle name="40% - Accent1 32 4" xfId="7380" xr:uid="{00000000-0005-0000-0000-0000771C0000}"/>
    <cellStyle name="40% - Accent1 32 5" xfId="7381" xr:uid="{00000000-0005-0000-0000-0000781C0000}"/>
    <cellStyle name="40% - Accent1 32 6" xfId="7382" xr:uid="{00000000-0005-0000-0000-0000791C0000}"/>
    <cellStyle name="40% - Accent1 32 7" xfId="7383" xr:uid="{00000000-0005-0000-0000-00007A1C0000}"/>
    <cellStyle name="40% - Accent1 32 8" xfId="7384" xr:uid="{00000000-0005-0000-0000-00007B1C0000}"/>
    <cellStyle name="40% - Accent1 32 9" xfId="7385" xr:uid="{00000000-0005-0000-0000-00007C1C0000}"/>
    <cellStyle name="40% - Accent1 33" xfId="7386" xr:uid="{00000000-0005-0000-0000-00007D1C0000}"/>
    <cellStyle name="40% - Accent1 33 10" xfId="7387" xr:uid="{00000000-0005-0000-0000-00007E1C0000}"/>
    <cellStyle name="40% - Accent1 33 11" xfId="7388" xr:uid="{00000000-0005-0000-0000-00007F1C0000}"/>
    <cellStyle name="40% - Accent1 33 12" xfId="7389" xr:uid="{00000000-0005-0000-0000-0000801C0000}"/>
    <cellStyle name="40% - Accent1 33 13" xfId="7390" xr:uid="{00000000-0005-0000-0000-0000811C0000}"/>
    <cellStyle name="40% - Accent1 33 14" xfId="7391" xr:uid="{00000000-0005-0000-0000-0000821C0000}"/>
    <cellStyle name="40% - Accent1 33 15" xfId="7392" xr:uid="{00000000-0005-0000-0000-0000831C0000}"/>
    <cellStyle name="40% - Accent1 33 16" xfId="7393" xr:uid="{00000000-0005-0000-0000-0000841C0000}"/>
    <cellStyle name="40% - Accent1 33 2" xfId="7394" xr:uid="{00000000-0005-0000-0000-0000851C0000}"/>
    <cellStyle name="40% - Accent1 33 3" xfId="7395" xr:uid="{00000000-0005-0000-0000-0000861C0000}"/>
    <cellStyle name="40% - Accent1 33 4" xfId="7396" xr:uid="{00000000-0005-0000-0000-0000871C0000}"/>
    <cellStyle name="40% - Accent1 33 5" xfId="7397" xr:uid="{00000000-0005-0000-0000-0000881C0000}"/>
    <cellStyle name="40% - Accent1 33 6" xfId="7398" xr:uid="{00000000-0005-0000-0000-0000891C0000}"/>
    <cellStyle name="40% - Accent1 33 7" xfId="7399" xr:uid="{00000000-0005-0000-0000-00008A1C0000}"/>
    <cellStyle name="40% - Accent1 33 8" xfId="7400" xr:uid="{00000000-0005-0000-0000-00008B1C0000}"/>
    <cellStyle name="40% - Accent1 33 9" xfId="7401" xr:uid="{00000000-0005-0000-0000-00008C1C0000}"/>
    <cellStyle name="40% - Accent1 34" xfId="7402" xr:uid="{00000000-0005-0000-0000-00008D1C0000}"/>
    <cellStyle name="40% - Accent1 34 10" xfId="7403" xr:uid="{00000000-0005-0000-0000-00008E1C0000}"/>
    <cellStyle name="40% - Accent1 34 11" xfId="7404" xr:uid="{00000000-0005-0000-0000-00008F1C0000}"/>
    <cellStyle name="40% - Accent1 34 12" xfId="7405" xr:uid="{00000000-0005-0000-0000-0000901C0000}"/>
    <cellStyle name="40% - Accent1 34 13" xfId="7406" xr:uid="{00000000-0005-0000-0000-0000911C0000}"/>
    <cellStyle name="40% - Accent1 34 14" xfId="7407" xr:uid="{00000000-0005-0000-0000-0000921C0000}"/>
    <cellStyle name="40% - Accent1 34 15" xfId="7408" xr:uid="{00000000-0005-0000-0000-0000931C0000}"/>
    <cellStyle name="40% - Accent1 34 16" xfId="7409" xr:uid="{00000000-0005-0000-0000-0000941C0000}"/>
    <cellStyle name="40% - Accent1 34 2" xfId="7410" xr:uid="{00000000-0005-0000-0000-0000951C0000}"/>
    <cellStyle name="40% - Accent1 34 3" xfId="7411" xr:uid="{00000000-0005-0000-0000-0000961C0000}"/>
    <cellStyle name="40% - Accent1 34 4" xfId="7412" xr:uid="{00000000-0005-0000-0000-0000971C0000}"/>
    <cellStyle name="40% - Accent1 34 5" xfId="7413" xr:uid="{00000000-0005-0000-0000-0000981C0000}"/>
    <cellStyle name="40% - Accent1 34 6" xfId="7414" xr:uid="{00000000-0005-0000-0000-0000991C0000}"/>
    <cellStyle name="40% - Accent1 34 7" xfId="7415" xr:uid="{00000000-0005-0000-0000-00009A1C0000}"/>
    <cellStyle name="40% - Accent1 34 8" xfId="7416" xr:uid="{00000000-0005-0000-0000-00009B1C0000}"/>
    <cellStyle name="40% - Accent1 34 9" xfId="7417" xr:uid="{00000000-0005-0000-0000-00009C1C0000}"/>
    <cellStyle name="40% - Accent1 35" xfId="7418" xr:uid="{00000000-0005-0000-0000-00009D1C0000}"/>
    <cellStyle name="40% - Accent1 35 10" xfId="7419" xr:uid="{00000000-0005-0000-0000-00009E1C0000}"/>
    <cellStyle name="40% - Accent1 35 11" xfId="7420" xr:uid="{00000000-0005-0000-0000-00009F1C0000}"/>
    <cellStyle name="40% - Accent1 35 12" xfId="7421" xr:uid="{00000000-0005-0000-0000-0000A01C0000}"/>
    <cellStyle name="40% - Accent1 35 13" xfId="7422" xr:uid="{00000000-0005-0000-0000-0000A11C0000}"/>
    <cellStyle name="40% - Accent1 35 14" xfId="7423" xr:uid="{00000000-0005-0000-0000-0000A21C0000}"/>
    <cellStyle name="40% - Accent1 35 15" xfId="7424" xr:uid="{00000000-0005-0000-0000-0000A31C0000}"/>
    <cellStyle name="40% - Accent1 35 16" xfId="7425" xr:uid="{00000000-0005-0000-0000-0000A41C0000}"/>
    <cellStyle name="40% - Accent1 35 2" xfId="7426" xr:uid="{00000000-0005-0000-0000-0000A51C0000}"/>
    <cellStyle name="40% - Accent1 35 3" xfId="7427" xr:uid="{00000000-0005-0000-0000-0000A61C0000}"/>
    <cellStyle name="40% - Accent1 35 4" xfId="7428" xr:uid="{00000000-0005-0000-0000-0000A71C0000}"/>
    <cellStyle name="40% - Accent1 35 5" xfId="7429" xr:uid="{00000000-0005-0000-0000-0000A81C0000}"/>
    <cellStyle name="40% - Accent1 35 6" xfId="7430" xr:uid="{00000000-0005-0000-0000-0000A91C0000}"/>
    <cellStyle name="40% - Accent1 35 7" xfId="7431" xr:uid="{00000000-0005-0000-0000-0000AA1C0000}"/>
    <cellStyle name="40% - Accent1 35 8" xfId="7432" xr:uid="{00000000-0005-0000-0000-0000AB1C0000}"/>
    <cellStyle name="40% - Accent1 35 9" xfId="7433" xr:uid="{00000000-0005-0000-0000-0000AC1C0000}"/>
    <cellStyle name="40% - Accent1 36" xfId="7434" xr:uid="{00000000-0005-0000-0000-0000AD1C0000}"/>
    <cellStyle name="40% - Accent1 36 10" xfId="7435" xr:uid="{00000000-0005-0000-0000-0000AE1C0000}"/>
    <cellStyle name="40% - Accent1 36 11" xfId="7436" xr:uid="{00000000-0005-0000-0000-0000AF1C0000}"/>
    <cellStyle name="40% - Accent1 36 12" xfId="7437" xr:uid="{00000000-0005-0000-0000-0000B01C0000}"/>
    <cellStyle name="40% - Accent1 36 13" xfId="7438" xr:uid="{00000000-0005-0000-0000-0000B11C0000}"/>
    <cellStyle name="40% - Accent1 36 14" xfId="7439" xr:uid="{00000000-0005-0000-0000-0000B21C0000}"/>
    <cellStyle name="40% - Accent1 36 15" xfId="7440" xr:uid="{00000000-0005-0000-0000-0000B31C0000}"/>
    <cellStyle name="40% - Accent1 36 16" xfId="7441" xr:uid="{00000000-0005-0000-0000-0000B41C0000}"/>
    <cellStyle name="40% - Accent1 36 2" xfId="7442" xr:uid="{00000000-0005-0000-0000-0000B51C0000}"/>
    <cellStyle name="40% - Accent1 36 3" xfId="7443" xr:uid="{00000000-0005-0000-0000-0000B61C0000}"/>
    <cellStyle name="40% - Accent1 36 4" xfId="7444" xr:uid="{00000000-0005-0000-0000-0000B71C0000}"/>
    <cellStyle name="40% - Accent1 36 5" xfId="7445" xr:uid="{00000000-0005-0000-0000-0000B81C0000}"/>
    <cellStyle name="40% - Accent1 36 6" xfId="7446" xr:uid="{00000000-0005-0000-0000-0000B91C0000}"/>
    <cellStyle name="40% - Accent1 36 7" xfId="7447" xr:uid="{00000000-0005-0000-0000-0000BA1C0000}"/>
    <cellStyle name="40% - Accent1 36 8" xfId="7448" xr:uid="{00000000-0005-0000-0000-0000BB1C0000}"/>
    <cellStyle name="40% - Accent1 36 9" xfId="7449" xr:uid="{00000000-0005-0000-0000-0000BC1C0000}"/>
    <cellStyle name="40% - Accent1 37" xfId="7450" xr:uid="{00000000-0005-0000-0000-0000BD1C0000}"/>
    <cellStyle name="40% - Accent1 37 10" xfId="7451" xr:uid="{00000000-0005-0000-0000-0000BE1C0000}"/>
    <cellStyle name="40% - Accent1 37 11" xfId="7452" xr:uid="{00000000-0005-0000-0000-0000BF1C0000}"/>
    <cellStyle name="40% - Accent1 37 12" xfId="7453" xr:uid="{00000000-0005-0000-0000-0000C01C0000}"/>
    <cellStyle name="40% - Accent1 37 13" xfId="7454" xr:uid="{00000000-0005-0000-0000-0000C11C0000}"/>
    <cellStyle name="40% - Accent1 37 14" xfId="7455" xr:uid="{00000000-0005-0000-0000-0000C21C0000}"/>
    <cellStyle name="40% - Accent1 37 15" xfId="7456" xr:uid="{00000000-0005-0000-0000-0000C31C0000}"/>
    <cellStyle name="40% - Accent1 37 2" xfId="7457" xr:uid="{00000000-0005-0000-0000-0000C41C0000}"/>
    <cellStyle name="40% - Accent1 37 3" xfId="7458" xr:uid="{00000000-0005-0000-0000-0000C51C0000}"/>
    <cellStyle name="40% - Accent1 37 4" xfId="7459" xr:uid="{00000000-0005-0000-0000-0000C61C0000}"/>
    <cellStyle name="40% - Accent1 37 5" xfId="7460" xr:uid="{00000000-0005-0000-0000-0000C71C0000}"/>
    <cellStyle name="40% - Accent1 37 6" xfId="7461" xr:uid="{00000000-0005-0000-0000-0000C81C0000}"/>
    <cellStyle name="40% - Accent1 37 7" xfId="7462" xr:uid="{00000000-0005-0000-0000-0000C91C0000}"/>
    <cellStyle name="40% - Accent1 37 8" xfId="7463" xr:uid="{00000000-0005-0000-0000-0000CA1C0000}"/>
    <cellStyle name="40% - Accent1 37 9" xfId="7464" xr:uid="{00000000-0005-0000-0000-0000CB1C0000}"/>
    <cellStyle name="40% - Accent1 38" xfId="7465" xr:uid="{00000000-0005-0000-0000-0000CC1C0000}"/>
    <cellStyle name="40% - Accent1 38 10" xfId="7466" xr:uid="{00000000-0005-0000-0000-0000CD1C0000}"/>
    <cellStyle name="40% - Accent1 38 11" xfId="7467" xr:uid="{00000000-0005-0000-0000-0000CE1C0000}"/>
    <cellStyle name="40% - Accent1 38 12" xfId="7468" xr:uid="{00000000-0005-0000-0000-0000CF1C0000}"/>
    <cellStyle name="40% - Accent1 38 13" xfId="7469" xr:uid="{00000000-0005-0000-0000-0000D01C0000}"/>
    <cellStyle name="40% - Accent1 38 14" xfId="7470" xr:uid="{00000000-0005-0000-0000-0000D11C0000}"/>
    <cellStyle name="40% - Accent1 38 15" xfId="7471" xr:uid="{00000000-0005-0000-0000-0000D21C0000}"/>
    <cellStyle name="40% - Accent1 38 2" xfId="7472" xr:uid="{00000000-0005-0000-0000-0000D31C0000}"/>
    <cellStyle name="40% - Accent1 38 3" xfId="7473" xr:uid="{00000000-0005-0000-0000-0000D41C0000}"/>
    <cellStyle name="40% - Accent1 38 4" xfId="7474" xr:uid="{00000000-0005-0000-0000-0000D51C0000}"/>
    <cellStyle name="40% - Accent1 38 5" xfId="7475" xr:uid="{00000000-0005-0000-0000-0000D61C0000}"/>
    <cellStyle name="40% - Accent1 38 6" xfId="7476" xr:uid="{00000000-0005-0000-0000-0000D71C0000}"/>
    <cellStyle name="40% - Accent1 38 7" xfId="7477" xr:uid="{00000000-0005-0000-0000-0000D81C0000}"/>
    <cellStyle name="40% - Accent1 38 8" xfId="7478" xr:uid="{00000000-0005-0000-0000-0000D91C0000}"/>
    <cellStyle name="40% - Accent1 38 9" xfId="7479" xr:uid="{00000000-0005-0000-0000-0000DA1C0000}"/>
    <cellStyle name="40% - Accent1 39" xfId="7480" xr:uid="{00000000-0005-0000-0000-0000DB1C0000}"/>
    <cellStyle name="40% - Accent1 39 10" xfId="7481" xr:uid="{00000000-0005-0000-0000-0000DC1C0000}"/>
    <cellStyle name="40% - Accent1 39 11" xfId="7482" xr:uid="{00000000-0005-0000-0000-0000DD1C0000}"/>
    <cellStyle name="40% - Accent1 39 12" xfId="7483" xr:uid="{00000000-0005-0000-0000-0000DE1C0000}"/>
    <cellStyle name="40% - Accent1 39 13" xfId="7484" xr:uid="{00000000-0005-0000-0000-0000DF1C0000}"/>
    <cellStyle name="40% - Accent1 39 14" xfId="7485" xr:uid="{00000000-0005-0000-0000-0000E01C0000}"/>
    <cellStyle name="40% - Accent1 39 15" xfId="7486" xr:uid="{00000000-0005-0000-0000-0000E11C0000}"/>
    <cellStyle name="40% - Accent1 39 2" xfId="7487" xr:uid="{00000000-0005-0000-0000-0000E21C0000}"/>
    <cellStyle name="40% - Accent1 39 3" xfId="7488" xr:uid="{00000000-0005-0000-0000-0000E31C0000}"/>
    <cellStyle name="40% - Accent1 39 4" xfId="7489" xr:uid="{00000000-0005-0000-0000-0000E41C0000}"/>
    <cellStyle name="40% - Accent1 39 5" xfId="7490" xr:uid="{00000000-0005-0000-0000-0000E51C0000}"/>
    <cellStyle name="40% - Accent1 39 6" xfId="7491" xr:uid="{00000000-0005-0000-0000-0000E61C0000}"/>
    <cellStyle name="40% - Accent1 39 7" xfId="7492" xr:uid="{00000000-0005-0000-0000-0000E71C0000}"/>
    <cellStyle name="40% - Accent1 39 8" xfId="7493" xr:uid="{00000000-0005-0000-0000-0000E81C0000}"/>
    <cellStyle name="40% - Accent1 39 9" xfId="7494" xr:uid="{00000000-0005-0000-0000-0000E91C0000}"/>
    <cellStyle name="40% - Accent1 4" xfId="7495" xr:uid="{00000000-0005-0000-0000-0000EA1C0000}"/>
    <cellStyle name="40% - Accent1 4 2" xfId="7496" xr:uid="{00000000-0005-0000-0000-0000EB1C0000}"/>
    <cellStyle name="40% - Accent1 4 2 2" xfId="7497" xr:uid="{00000000-0005-0000-0000-0000EC1C0000}"/>
    <cellStyle name="40% - Accent1 4 2 3" xfId="7498" xr:uid="{00000000-0005-0000-0000-0000ED1C0000}"/>
    <cellStyle name="40% - Accent1 4 2 4" xfId="7499" xr:uid="{00000000-0005-0000-0000-0000EE1C0000}"/>
    <cellStyle name="40% - Accent1 4 2 5" xfId="7500" xr:uid="{00000000-0005-0000-0000-0000EF1C0000}"/>
    <cellStyle name="40% - Accent1 4 3" xfId="7501" xr:uid="{00000000-0005-0000-0000-0000F01C0000}"/>
    <cellStyle name="40% - Accent1 4 3 2" xfId="7502" xr:uid="{00000000-0005-0000-0000-0000F11C0000}"/>
    <cellStyle name="40% - Accent1 4 4" xfId="7503" xr:uid="{00000000-0005-0000-0000-0000F21C0000}"/>
    <cellStyle name="40% - Accent1 4 4 2" xfId="7504" xr:uid="{00000000-0005-0000-0000-0000F31C0000}"/>
    <cellStyle name="40% - Accent1 4 5" xfId="7505" xr:uid="{00000000-0005-0000-0000-0000F41C0000}"/>
    <cellStyle name="40% - Accent1 4 5 2" xfId="7506" xr:uid="{00000000-0005-0000-0000-0000F51C0000}"/>
    <cellStyle name="40% - Accent1 4 6" xfId="7507" xr:uid="{00000000-0005-0000-0000-0000F61C0000}"/>
    <cellStyle name="40% - Accent1 4 6 2" xfId="7508" xr:uid="{00000000-0005-0000-0000-0000F71C0000}"/>
    <cellStyle name="40% - Accent1 4 7" xfId="7509" xr:uid="{00000000-0005-0000-0000-0000F81C0000}"/>
    <cellStyle name="40% - Accent1 40" xfId="7510" xr:uid="{00000000-0005-0000-0000-0000F91C0000}"/>
    <cellStyle name="40% - Accent1 41" xfId="7511" xr:uid="{00000000-0005-0000-0000-0000FA1C0000}"/>
    <cellStyle name="40% - Accent1 42" xfId="7512" xr:uid="{00000000-0005-0000-0000-0000FB1C0000}"/>
    <cellStyle name="40% - Accent1 43" xfId="7513" xr:uid="{00000000-0005-0000-0000-0000FC1C0000}"/>
    <cellStyle name="40% - Accent1 44" xfId="7514" xr:uid="{00000000-0005-0000-0000-0000FD1C0000}"/>
    <cellStyle name="40% - Accent1 45" xfId="7515" xr:uid="{00000000-0005-0000-0000-0000FE1C0000}"/>
    <cellStyle name="40% - Accent1 46" xfId="7516" xr:uid="{00000000-0005-0000-0000-0000FF1C0000}"/>
    <cellStyle name="40% - Accent1 47" xfId="7517" xr:uid="{00000000-0005-0000-0000-0000001D0000}"/>
    <cellStyle name="40% - Accent1 48" xfId="7518" xr:uid="{00000000-0005-0000-0000-0000011D0000}"/>
    <cellStyle name="40% - Accent1 49" xfId="7519" xr:uid="{00000000-0005-0000-0000-0000021D0000}"/>
    <cellStyle name="40% - Accent1 5" xfId="7520" xr:uid="{00000000-0005-0000-0000-0000031D0000}"/>
    <cellStyle name="40% - Accent1 5 2" xfId="7521" xr:uid="{00000000-0005-0000-0000-0000041D0000}"/>
    <cellStyle name="40% - Accent1 5 2 2" xfId="7522" xr:uid="{00000000-0005-0000-0000-0000051D0000}"/>
    <cellStyle name="40% - Accent1 5 2 3" xfId="7523" xr:uid="{00000000-0005-0000-0000-0000061D0000}"/>
    <cellStyle name="40% - Accent1 5 2 4" xfId="7524" xr:uid="{00000000-0005-0000-0000-0000071D0000}"/>
    <cellStyle name="40% - Accent1 5 2 5" xfId="7525" xr:uid="{00000000-0005-0000-0000-0000081D0000}"/>
    <cellStyle name="40% - Accent1 5 3" xfId="7526" xr:uid="{00000000-0005-0000-0000-0000091D0000}"/>
    <cellStyle name="40% - Accent1 5 3 2" xfId="7527" xr:uid="{00000000-0005-0000-0000-00000A1D0000}"/>
    <cellStyle name="40% - Accent1 5 3 3" xfId="7528" xr:uid="{00000000-0005-0000-0000-00000B1D0000}"/>
    <cellStyle name="40% - Accent1 5 4" xfId="7529" xr:uid="{00000000-0005-0000-0000-00000C1D0000}"/>
    <cellStyle name="40% - Accent1 5 4 2" xfId="7530" xr:uid="{00000000-0005-0000-0000-00000D1D0000}"/>
    <cellStyle name="40% - Accent1 5 5" xfId="7531" xr:uid="{00000000-0005-0000-0000-00000E1D0000}"/>
    <cellStyle name="40% - Accent1 5 6" xfId="7532" xr:uid="{00000000-0005-0000-0000-00000F1D0000}"/>
    <cellStyle name="40% - Accent1 50" xfId="7533" xr:uid="{00000000-0005-0000-0000-0000101D0000}"/>
    <cellStyle name="40% - Accent1 51" xfId="7534" xr:uid="{00000000-0005-0000-0000-0000111D0000}"/>
    <cellStyle name="40% - Accent1 52" xfId="7535" xr:uid="{00000000-0005-0000-0000-0000121D0000}"/>
    <cellStyle name="40% - Accent1 53" xfId="7536" xr:uid="{00000000-0005-0000-0000-0000131D0000}"/>
    <cellStyle name="40% - Accent1 54" xfId="7537" xr:uid="{00000000-0005-0000-0000-0000141D0000}"/>
    <cellStyle name="40% - Accent1 55" xfId="7538" xr:uid="{00000000-0005-0000-0000-0000151D0000}"/>
    <cellStyle name="40% - Accent1 56" xfId="7539" xr:uid="{00000000-0005-0000-0000-0000161D0000}"/>
    <cellStyle name="40% - Accent1 57" xfId="7540" xr:uid="{00000000-0005-0000-0000-0000171D0000}"/>
    <cellStyle name="40% - Accent1 58" xfId="7541" xr:uid="{00000000-0005-0000-0000-0000181D0000}"/>
    <cellStyle name="40% - Accent1 59" xfId="7542" xr:uid="{00000000-0005-0000-0000-0000191D0000}"/>
    <cellStyle name="40% - Accent1 6" xfId="7543" xr:uid="{00000000-0005-0000-0000-00001A1D0000}"/>
    <cellStyle name="40% - Accent1 6 2" xfId="7544" xr:uid="{00000000-0005-0000-0000-00001B1D0000}"/>
    <cellStyle name="40% - Accent1 6 2 2" xfId="7545" xr:uid="{00000000-0005-0000-0000-00001C1D0000}"/>
    <cellStyle name="40% - Accent1 6 2 3" xfId="7546" xr:uid="{00000000-0005-0000-0000-00001D1D0000}"/>
    <cellStyle name="40% - Accent1 6 2 4" xfId="7547" xr:uid="{00000000-0005-0000-0000-00001E1D0000}"/>
    <cellStyle name="40% - Accent1 6 3" xfId="7548" xr:uid="{00000000-0005-0000-0000-00001F1D0000}"/>
    <cellStyle name="40% - Accent1 6 4" xfId="7549" xr:uid="{00000000-0005-0000-0000-0000201D0000}"/>
    <cellStyle name="40% - Accent1 6 5" xfId="7550" xr:uid="{00000000-0005-0000-0000-0000211D0000}"/>
    <cellStyle name="40% - Accent1 60" xfId="7551" xr:uid="{00000000-0005-0000-0000-0000221D0000}"/>
    <cellStyle name="40% - Accent1 61" xfId="7552" xr:uid="{00000000-0005-0000-0000-0000231D0000}"/>
    <cellStyle name="40% - Accent1 62" xfId="7553" xr:uid="{00000000-0005-0000-0000-0000241D0000}"/>
    <cellStyle name="40% - Accent1 63" xfId="7554" xr:uid="{00000000-0005-0000-0000-0000251D0000}"/>
    <cellStyle name="40% - Accent1 64" xfId="7555" xr:uid="{00000000-0005-0000-0000-0000261D0000}"/>
    <cellStyle name="40% - Accent1 65" xfId="7556" xr:uid="{00000000-0005-0000-0000-0000271D0000}"/>
    <cellStyle name="40% - Accent1 66" xfId="7557" xr:uid="{00000000-0005-0000-0000-0000281D0000}"/>
    <cellStyle name="40% - Accent1 67" xfId="7558" xr:uid="{00000000-0005-0000-0000-0000291D0000}"/>
    <cellStyle name="40% - Accent1 68" xfId="7559" xr:uid="{00000000-0005-0000-0000-00002A1D0000}"/>
    <cellStyle name="40% - Accent1 69" xfId="7560" xr:uid="{00000000-0005-0000-0000-00002B1D0000}"/>
    <cellStyle name="40% - Accent1 7" xfId="7561" xr:uid="{00000000-0005-0000-0000-00002C1D0000}"/>
    <cellStyle name="40% - Accent1 7 2" xfId="7562" xr:uid="{00000000-0005-0000-0000-00002D1D0000}"/>
    <cellStyle name="40% - Accent1 7 2 2" xfId="7563" xr:uid="{00000000-0005-0000-0000-00002E1D0000}"/>
    <cellStyle name="40% - Accent1 7 2 3" xfId="7564" xr:uid="{00000000-0005-0000-0000-00002F1D0000}"/>
    <cellStyle name="40% - Accent1 7 2 4" xfId="7565" xr:uid="{00000000-0005-0000-0000-0000301D0000}"/>
    <cellStyle name="40% - Accent1 7 3" xfId="7566" xr:uid="{00000000-0005-0000-0000-0000311D0000}"/>
    <cellStyle name="40% - Accent1 7 4" xfId="7567" xr:uid="{00000000-0005-0000-0000-0000321D0000}"/>
    <cellStyle name="40% - Accent1 7 5" xfId="7568" xr:uid="{00000000-0005-0000-0000-0000331D0000}"/>
    <cellStyle name="40% - Accent1 70" xfId="7569" xr:uid="{00000000-0005-0000-0000-0000341D0000}"/>
    <cellStyle name="40% - Accent1 71" xfId="7570" xr:uid="{00000000-0005-0000-0000-0000351D0000}"/>
    <cellStyle name="40% - Accent1 72" xfId="7571" xr:uid="{00000000-0005-0000-0000-0000361D0000}"/>
    <cellStyle name="40% - Accent1 73" xfId="7572" xr:uid="{00000000-0005-0000-0000-0000371D0000}"/>
    <cellStyle name="40% - Accent1 74" xfId="7573" xr:uid="{00000000-0005-0000-0000-0000381D0000}"/>
    <cellStyle name="40% - Accent1 75" xfId="7574" xr:uid="{00000000-0005-0000-0000-0000391D0000}"/>
    <cellStyle name="40% - Accent1 76" xfId="7575" xr:uid="{00000000-0005-0000-0000-00003A1D0000}"/>
    <cellStyle name="40% - Accent1 77" xfId="7576" xr:uid="{00000000-0005-0000-0000-00003B1D0000}"/>
    <cellStyle name="40% - Accent1 78" xfId="7577" xr:uid="{00000000-0005-0000-0000-00003C1D0000}"/>
    <cellStyle name="40% - Accent1 79" xfId="7578" xr:uid="{00000000-0005-0000-0000-00003D1D0000}"/>
    <cellStyle name="40% - Accent1 79 2" xfId="7579" xr:uid="{00000000-0005-0000-0000-00003E1D0000}"/>
    <cellStyle name="40% - Accent1 8" xfId="7580" xr:uid="{00000000-0005-0000-0000-00003F1D0000}"/>
    <cellStyle name="40% - Accent1 8 2" xfId="7581" xr:uid="{00000000-0005-0000-0000-0000401D0000}"/>
    <cellStyle name="40% - Accent1 8 2 2" xfId="7582" xr:uid="{00000000-0005-0000-0000-0000411D0000}"/>
    <cellStyle name="40% - Accent1 8 2 3" xfId="7583" xr:uid="{00000000-0005-0000-0000-0000421D0000}"/>
    <cellStyle name="40% - Accent1 8 2 4" xfId="7584" xr:uid="{00000000-0005-0000-0000-0000431D0000}"/>
    <cellStyle name="40% - Accent1 8 3" xfId="7585" xr:uid="{00000000-0005-0000-0000-0000441D0000}"/>
    <cellStyle name="40% - Accent1 8 4" xfId="7586" xr:uid="{00000000-0005-0000-0000-0000451D0000}"/>
    <cellStyle name="40% - Accent1 8 5" xfId="7587" xr:uid="{00000000-0005-0000-0000-0000461D0000}"/>
    <cellStyle name="40% - Accent1 80" xfId="7588" xr:uid="{00000000-0005-0000-0000-0000471D0000}"/>
    <cellStyle name="40% - Accent1 80 2" xfId="7589" xr:uid="{00000000-0005-0000-0000-0000481D0000}"/>
    <cellStyle name="40% - Accent1 81" xfId="7590" xr:uid="{00000000-0005-0000-0000-0000491D0000}"/>
    <cellStyle name="40% - Accent1 81 2" xfId="7591" xr:uid="{00000000-0005-0000-0000-00004A1D0000}"/>
    <cellStyle name="40% - Accent1 82" xfId="7592" xr:uid="{00000000-0005-0000-0000-00004B1D0000}"/>
    <cellStyle name="40% - Accent1 82 2" xfId="7593" xr:uid="{00000000-0005-0000-0000-00004C1D0000}"/>
    <cellStyle name="40% - Accent1 83" xfId="7594" xr:uid="{00000000-0005-0000-0000-00004D1D0000}"/>
    <cellStyle name="40% - Accent1 83 2" xfId="7595" xr:uid="{00000000-0005-0000-0000-00004E1D0000}"/>
    <cellStyle name="40% - Accent1 84" xfId="7596" xr:uid="{00000000-0005-0000-0000-00004F1D0000}"/>
    <cellStyle name="40% - Accent1 84 2" xfId="7597" xr:uid="{00000000-0005-0000-0000-0000501D0000}"/>
    <cellStyle name="40% - Accent1 85" xfId="7598" xr:uid="{00000000-0005-0000-0000-0000511D0000}"/>
    <cellStyle name="40% - Accent1 85 2" xfId="7599" xr:uid="{00000000-0005-0000-0000-0000521D0000}"/>
    <cellStyle name="40% - Accent1 86" xfId="7600" xr:uid="{00000000-0005-0000-0000-0000531D0000}"/>
    <cellStyle name="40% - Accent1 86 2" xfId="7601" xr:uid="{00000000-0005-0000-0000-0000541D0000}"/>
    <cellStyle name="40% - Accent1 87" xfId="7602" xr:uid="{00000000-0005-0000-0000-0000551D0000}"/>
    <cellStyle name="40% - Accent1 87 2" xfId="7603" xr:uid="{00000000-0005-0000-0000-0000561D0000}"/>
    <cellStyle name="40% - Accent1 88" xfId="7604" xr:uid="{00000000-0005-0000-0000-0000571D0000}"/>
    <cellStyle name="40% - Accent1 88 2" xfId="7605" xr:uid="{00000000-0005-0000-0000-0000581D0000}"/>
    <cellStyle name="40% - Accent1 89" xfId="7606" xr:uid="{00000000-0005-0000-0000-0000591D0000}"/>
    <cellStyle name="40% - Accent1 89 2" xfId="7607" xr:uid="{00000000-0005-0000-0000-00005A1D0000}"/>
    <cellStyle name="40% - Accent1 9" xfId="7608" xr:uid="{00000000-0005-0000-0000-00005B1D0000}"/>
    <cellStyle name="40% - Accent1 9 2" xfId="7609" xr:uid="{00000000-0005-0000-0000-00005C1D0000}"/>
    <cellStyle name="40% - Accent1 9 2 2" xfId="7610" xr:uid="{00000000-0005-0000-0000-00005D1D0000}"/>
    <cellStyle name="40% - Accent1 9 2 3" xfId="7611" xr:uid="{00000000-0005-0000-0000-00005E1D0000}"/>
    <cellStyle name="40% - Accent1 9 2 4" xfId="7612" xr:uid="{00000000-0005-0000-0000-00005F1D0000}"/>
    <cellStyle name="40% - Accent1 9 3" xfId="7613" xr:uid="{00000000-0005-0000-0000-0000601D0000}"/>
    <cellStyle name="40% - Accent1 9 4" xfId="7614" xr:uid="{00000000-0005-0000-0000-0000611D0000}"/>
    <cellStyle name="40% - Accent1 9 5" xfId="7615" xr:uid="{00000000-0005-0000-0000-0000621D0000}"/>
    <cellStyle name="40% - Accent1 90" xfId="7616" xr:uid="{00000000-0005-0000-0000-0000631D0000}"/>
    <cellStyle name="40% - Accent1 91" xfId="7617" xr:uid="{00000000-0005-0000-0000-0000641D0000}"/>
    <cellStyle name="40% - Accent1 92" xfId="7618" xr:uid="{00000000-0005-0000-0000-0000651D0000}"/>
    <cellStyle name="40% - Accent1 93" xfId="7619" xr:uid="{00000000-0005-0000-0000-0000661D0000}"/>
    <cellStyle name="40% - Accent1 94" xfId="7620" xr:uid="{00000000-0005-0000-0000-0000671D0000}"/>
    <cellStyle name="40% - Accent1 95" xfId="7621" xr:uid="{00000000-0005-0000-0000-0000681D0000}"/>
    <cellStyle name="40% - Accent1 96" xfId="7622" xr:uid="{00000000-0005-0000-0000-0000691D0000}"/>
    <cellStyle name="40% - Accent1 97" xfId="7623" xr:uid="{00000000-0005-0000-0000-00006A1D0000}"/>
    <cellStyle name="40% - Accent1 98" xfId="7624" xr:uid="{00000000-0005-0000-0000-00006B1D0000}"/>
    <cellStyle name="40% - Accent1 99" xfId="7625" xr:uid="{00000000-0005-0000-0000-00006C1D0000}"/>
    <cellStyle name="40% - Accent2" xfId="24" builtinId="35" customBuiltin="1"/>
    <cellStyle name="40% - Accent2 10" xfId="7626" xr:uid="{00000000-0005-0000-0000-00006E1D0000}"/>
    <cellStyle name="40% - Accent2 10 2" xfId="7627" xr:uid="{00000000-0005-0000-0000-00006F1D0000}"/>
    <cellStyle name="40% - Accent2 10 2 2" xfId="7628" xr:uid="{00000000-0005-0000-0000-0000701D0000}"/>
    <cellStyle name="40% - Accent2 10 2 3" xfId="7629" xr:uid="{00000000-0005-0000-0000-0000711D0000}"/>
    <cellStyle name="40% - Accent2 10 2 4" xfId="7630" xr:uid="{00000000-0005-0000-0000-0000721D0000}"/>
    <cellStyle name="40% - Accent2 10 3" xfId="7631" xr:uid="{00000000-0005-0000-0000-0000731D0000}"/>
    <cellStyle name="40% - Accent2 10 4" xfId="7632" xr:uid="{00000000-0005-0000-0000-0000741D0000}"/>
    <cellStyle name="40% - Accent2 10 5" xfId="7633" xr:uid="{00000000-0005-0000-0000-0000751D0000}"/>
    <cellStyle name="40% - Accent2 100" xfId="7634" xr:uid="{00000000-0005-0000-0000-0000761D0000}"/>
    <cellStyle name="40% - Accent2 101" xfId="7635" xr:uid="{00000000-0005-0000-0000-0000771D0000}"/>
    <cellStyle name="40% - Accent2 102" xfId="7636" xr:uid="{00000000-0005-0000-0000-0000781D0000}"/>
    <cellStyle name="40% - Accent2 103" xfId="7637" xr:uid="{00000000-0005-0000-0000-0000791D0000}"/>
    <cellStyle name="40% - Accent2 104" xfId="7638" xr:uid="{00000000-0005-0000-0000-00007A1D0000}"/>
    <cellStyle name="40% - Accent2 105" xfId="7639" xr:uid="{00000000-0005-0000-0000-00007B1D0000}"/>
    <cellStyle name="40% - Accent2 106" xfId="7640" xr:uid="{00000000-0005-0000-0000-00007C1D0000}"/>
    <cellStyle name="40% - Accent2 107" xfId="7641" xr:uid="{00000000-0005-0000-0000-00007D1D0000}"/>
    <cellStyle name="40% - Accent2 108" xfId="7642" xr:uid="{00000000-0005-0000-0000-00007E1D0000}"/>
    <cellStyle name="40% - Accent2 109" xfId="7643" xr:uid="{00000000-0005-0000-0000-00007F1D0000}"/>
    <cellStyle name="40% - Accent2 11" xfId="7644" xr:uid="{00000000-0005-0000-0000-0000801D0000}"/>
    <cellStyle name="40% - Accent2 11 2" xfId="7645" xr:uid="{00000000-0005-0000-0000-0000811D0000}"/>
    <cellStyle name="40% - Accent2 11 2 2" xfId="7646" xr:uid="{00000000-0005-0000-0000-0000821D0000}"/>
    <cellStyle name="40% - Accent2 11 2 3" xfId="7647" xr:uid="{00000000-0005-0000-0000-0000831D0000}"/>
    <cellStyle name="40% - Accent2 11 2 4" xfId="7648" xr:uid="{00000000-0005-0000-0000-0000841D0000}"/>
    <cellStyle name="40% - Accent2 11 3" xfId="7649" xr:uid="{00000000-0005-0000-0000-0000851D0000}"/>
    <cellStyle name="40% - Accent2 11 4" xfId="7650" xr:uid="{00000000-0005-0000-0000-0000861D0000}"/>
    <cellStyle name="40% - Accent2 11 5" xfId="7651" xr:uid="{00000000-0005-0000-0000-0000871D0000}"/>
    <cellStyle name="40% - Accent2 110" xfId="7652" xr:uid="{00000000-0005-0000-0000-0000881D0000}"/>
    <cellStyle name="40% - Accent2 111" xfId="7653" xr:uid="{00000000-0005-0000-0000-0000891D0000}"/>
    <cellStyle name="40% - Accent2 112" xfId="7654" xr:uid="{00000000-0005-0000-0000-00008A1D0000}"/>
    <cellStyle name="40% - Accent2 113" xfId="7655" xr:uid="{00000000-0005-0000-0000-00008B1D0000}"/>
    <cellStyle name="40% - Accent2 114" xfId="7656" xr:uid="{00000000-0005-0000-0000-00008C1D0000}"/>
    <cellStyle name="40% - Accent2 115" xfId="7657" xr:uid="{00000000-0005-0000-0000-00008D1D0000}"/>
    <cellStyle name="40% - Accent2 116" xfId="7658" xr:uid="{00000000-0005-0000-0000-00008E1D0000}"/>
    <cellStyle name="40% - Accent2 117" xfId="7659" xr:uid="{00000000-0005-0000-0000-00008F1D0000}"/>
    <cellStyle name="40% - Accent2 118" xfId="7660" xr:uid="{00000000-0005-0000-0000-0000901D0000}"/>
    <cellStyle name="40% - Accent2 119" xfId="7661" xr:uid="{00000000-0005-0000-0000-0000911D0000}"/>
    <cellStyle name="40% - Accent2 12" xfId="7662" xr:uid="{00000000-0005-0000-0000-0000921D0000}"/>
    <cellStyle name="40% - Accent2 12 2" xfId="7663" xr:uid="{00000000-0005-0000-0000-0000931D0000}"/>
    <cellStyle name="40% - Accent2 12 2 2" xfId="7664" xr:uid="{00000000-0005-0000-0000-0000941D0000}"/>
    <cellStyle name="40% - Accent2 12 2 3" xfId="7665" xr:uid="{00000000-0005-0000-0000-0000951D0000}"/>
    <cellStyle name="40% - Accent2 12 2 4" xfId="7666" xr:uid="{00000000-0005-0000-0000-0000961D0000}"/>
    <cellStyle name="40% - Accent2 12 3" xfId="7667" xr:uid="{00000000-0005-0000-0000-0000971D0000}"/>
    <cellStyle name="40% - Accent2 12 4" xfId="7668" xr:uid="{00000000-0005-0000-0000-0000981D0000}"/>
    <cellStyle name="40% - Accent2 12 5" xfId="7669" xr:uid="{00000000-0005-0000-0000-0000991D0000}"/>
    <cellStyle name="40% - Accent2 120" xfId="7670" xr:uid="{00000000-0005-0000-0000-00009A1D0000}"/>
    <cellStyle name="40% - Accent2 121" xfId="7671" xr:uid="{00000000-0005-0000-0000-00009B1D0000}"/>
    <cellStyle name="40% - Accent2 122" xfId="7672" xr:uid="{00000000-0005-0000-0000-00009C1D0000}"/>
    <cellStyle name="40% - Accent2 123" xfId="7673" xr:uid="{00000000-0005-0000-0000-00009D1D0000}"/>
    <cellStyle name="40% - Accent2 124" xfId="7674" xr:uid="{00000000-0005-0000-0000-00009E1D0000}"/>
    <cellStyle name="40% - Accent2 125" xfId="7675" xr:uid="{00000000-0005-0000-0000-00009F1D0000}"/>
    <cellStyle name="40% - Accent2 126" xfId="7676" xr:uid="{00000000-0005-0000-0000-0000A01D0000}"/>
    <cellStyle name="40% - Accent2 127" xfId="7677" xr:uid="{00000000-0005-0000-0000-0000A11D0000}"/>
    <cellStyle name="40% - Accent2 128" xfId="7678" xr:uid="{00000000-0005-0000-0000-0000A21D0000}"/>
    <cellStyle name="40% - Accent2 129" xfId="7679" xr:uid="{00000000-0005-0000-0000-0000A31D0000}"/>
    <cellStyle name="40% - Accent2 13" xfId="7680" xr:uid="{00000000-0005-0000-0000-0000A41D0000}"/>
    <cellStyle name="40% - Accent2 13 2" xfId="7681" xr:uid="{00000000-0005-0000-0000-0000A51D0000}"/>
    <cellStyle name="40% - Accent2 13 2 2" xfId="7682" xr:uid="{00000000-0005-0000-0000-0000A61D0000}"/>
    <cellStyle name="40% - Accent2 13 2 3" xfId="7683" xr:uid="{00000000-0005-0000-0000-0000A71D0000}"/>
    <cellStyle name="40% - Accent2 13 2 4" xfId="7684" xr:uid="{00000000-0005-0000-0000-0000A81D0000}"/>
    <cellStyle name="40% - Accent2 13 3" xfId="7685" xr:uid="{00000000-0005-0000-0000-0000A91D0000}"/>
    <cellStyle name="40% - Accent2 13 4" xfId="7686" xr:uid="{00000000-0005-0000-0000-0000AA1D0000}"/>
    <cellStyle name="40% - Accent2 13 5" xfId="7687" xr:uid="{00000000-0005-0000-0000-0000AB1D0000}"/>
    <cellStyle name="40% - Accent2 130" xfId="7688" xr:uid="{00000000-0005-0000-0000-0000AC1D0000}"/>
    <cellStyle name="40% - Accent2 131" xfId="7689" xr:uid="{00000000-0005-0000-0000-0000AD1D0000}"/>
    <cellStyle name="40% - Accent2 132" xfId="7690" xr:uid="{00000000-0005-0000-0000-0000AE1D0000}"/>
    <cellStyle name="40% - Accent2 133" xfId="7691" xr:uid="{00000000-0005-0000-0000-0000AF1D0000}"/>
    <cellStyle name="40% - Accent2 134" xfId="7692" xr:uid="{00000000-0005-0000-0000-0000B01D0000}"/>
    <cellStyle name="40% - Accent2 135" xfId="7693" xr:uid="{00000000-0005-0000-0000-0000B11D0000}"/>
    <cellStyle name="40% - Accent2 136" xfId="7694" xr:uid="{00000000-0005-0000-0000-0000B21D0000}"/>
    <cellStyle name="40% - Accent2 137" xfId="7695" xr:uid="{00000000-0005-0000-0000-0000B31D0000}"/>
    <cellStyle name="40% - Accent2 138" xfId="7696" xr:uid="{00000000-0005-0000-0000-0000B41D0000}"/>
    <cellStyle name="40% - Accent2 139" xfId="7697" xr:uid="{00000000-0005-0000-0000-0000B51D0000}"/>
    <cellStyle name="40% - Accent2 14" xfId="7698" xr:uid="{00000000-0005-0000-0000-0000B61D0000}"/>
    <cellStyle name="40% - Accent2 14 2" xfId="7699" xr:uid="{00000000-0005-0000-0000-0000B71D0000}"/>
    <cellStyle name="40% - Accent2 14 2 2" xfId="7700" xr:uid="{00000000-0005-0000-0000-0000B81D0000}"/>
    <cellStyle name="40% - Accent2 14 2 3" xfId="7701" xr:uid="{00000000-0005-0000-0000-0000B91D0000}"/>
    <cellStyle name="40% - Accent2 14 2 4" xfId="7702" xr:uid="{00000000-0005-0000-0000-0000BA1D0000}"/>
    <cellStyle name="40% - Accent2 14 3" xfId="7703" xr:uid="{00000000-0005-0000-0000-0000BB1D0000}"/>
    <cellStyle name="40% - Accent2 14 4" xfId="7704" xr:uid="{00000000-0005-0000-0000-0000BC1D0000}"/>
    <cellStyle name="40% - Accent2 14 5" xfId="7705" xr:uid="{00000000-0005-0000-0000-0000BD1D0000}"/>
    <cellStyle name="40% - Accent2 140" xfId="7706" xr:uid="{00000000-0005-0000-0000-0000BE1D0000}"/>
    <cellStyle name="40% - Accent2 141" xfId="7707" xr:uid="{00000000-0005-0000-0000-0000BF1D0000}"/>
    <cellStyle name="40% - Accent2 142" xfId="7708" xr:uid="{00000000-0005-0000-0000-0000C01D0000}"/>
    <cellStyle name="40% - Accent2 143" xfId="7709" xr:uid="{00000000-0005-0000-0000-0000C11D0000}"/>
    <cellStyle name="40% - Accent2 144" xfId="7710" xr:uid="{00000000-0005-0000-0000-0000C21D0000}"/>
    <cellStyle name="40% - Accent2 145" xfId="7711" xr:uid="{00000000-0005-0000-0000-0000C31D0000}"/>
    <cellStyle name="40% - Accent2 146" xfId="7712" xr:uid="{00000000-0005-0000-0000-0000C41D0000}"/>
    <cellStyle name="40% - Accent2 147" xfId="7713" xr:uid="{00000000-0005-0000-0000-0000C51D0000}"/>
    <cellStyle name="40% - Accent2 148" xfId="7714" xr:uid="{00000000-0005-0000-0000-0000C61D0000}"/>
    <cellStyle name="40% - Accent2 149" xfId="7715" xr:uid="{00000000-0005-0000-0000-0000C71D0000}"/>
    <cellStyle name="40% - Accent2 15" xfId="7716" xr:uid="{00000000-0005-0000-0000-0000C81D0000}"/>
    <cellStyle name="40% - Accent2 15 2" xfId="7717" xr:uid="{00000000-0005-0000-0000-0000C91D0000}"/>
    <cellStyle name="40% - Accent2 15 2 2" xfId="7718" xr:uid="{00000000-0005-0000-0000-0000CA1D0000}"/>
    <cellStyle name="40% - Accent2 15 2 3" xfId="7719" xr:uid="{00000000-0005-0000-0000-0000CB1D0000}"/>
    <cellStyle name="40% - Accent2 15 2 4" xfId="7720" xr:uid="{00000000-0005-0000-0000-0000CC1D0000}"/>
    <cellStyle name="40% - Accent2 15 3" xfId="7721" xr:uid="{00000000-0005-0000-0000-0000CD1D0000}"/>
    <cellStyle name="40% - Accent2 15 4" xfId="7722" xr:uid="{00000000-0005-0000-0000-0000CE1D0000}"/>
    <cellStyle name="40% - Accent2 15 5" xfId="7723" xr:uid="{00000000-0005-0000-0000-0000CF1D0000}"/>
    <cellStyle name="40% - Accent2 150" xfId="7724" xr:uid="{00000000-0005-0000-0000-0000D01D0000}"/>
    <cellStyle name="40% - Accent2 151" xfId="7725" xr:uid="{00000000-0005-0000-0000-0000D11D0000}"/>
    <cellStyle name="40% - Accent2 152" xfId="7726" xr:uid="{00000000-0005-0000-0000-0000D21D0000}"/>
    <cellStyle name="40% - Accent2 153" xfId="7727" xr:uid="{00000000-0005-0000-0000-0000D31D0000}"/>
    <cellStyle name="40% - Accent2 154" xfId="7728" xr:uid="{00000000-0005-0000-0000-0000D41D0000}"/>
    <cellStyle name="40% - Accent2 155" xfId="7729" xr:uid="{00000000-0005-0000-0000-0000D51D0000}"/>
    <cellStyle name="40% - Accent2 156" xfId="7730" xr:uid="{00000000-0005-0000-0000-0000D61D0000}"/>
    <cellStyle name="40% - Accent2 157" xfId="7731" xr:uid="{00000000-0005-0000-0000-0000D71D0000}"/>
    <cellStyle name="40% - Accent2 158" xfId="7732" xr:uid="{00000000-0005-0000-0000-0000D81D0000}"/>
    <cellStyle name="40% - Accent2 159" xfId="7733" xr:uid="{00000000-0005-0000-0000-0000D91D0000}"/>
    <cellStyle name="40% - Accent2 16" xfId="7734" xr:uid="{00000000-0005-0000-0000-0000DA1D0000}"/>
    <cellStyle name="40% - Accent2 16 2" xfId="7735" xr:uid="{00000000-0005-0000-0000-0000DB1D0000}"/>
    <cellStyle name="40% - Accent2 16 2 2" xfId="7736" xr:uid="{00000000-0005-0000-0000-0000DC1D0000}"/>
    <cellStyle name="40% - Accent2 16 3" xfId="7737" xr:uid="{00000000-0005-0000-0000-0000DD1D0000}"/>
    <cellStyle name="40% - Accent2 16 4" xfId="7738" xr:uid="{00000000-0005-0000-0000-0000DE1D0000}"/>
    <cellStyle name="40% - Accent2 16 5" xfId="7739" xr:uid="{00000000-0005-0000-0000-0000DF1D0000}"/>
    <cellStyle name="40% - Accent2 160" xfId="7740" xr:uid="{00000000-0005-0000-0000-0000E01D0000}"/>
    <cellStyle name="40% - Accent2 161" xfId="7741" xr:uid="{00000000-0005-0000-0000-0000E11D0000}"/>
    <cellStyle name="40% - Accent2 162" xfId="7742" xr:uid="{00000000-0005-0000-0000-0000E21D0000}"/>
    <cellStyle name="40% - Accent2 163" xfId="7743" xr:uid="{00000000-0005-0000-0000-0000E31D0000}"/>
    <cellStyle name="40% - Accent2 164" xfId="7744" xr:uid="{00000000-0005-0000-0000-0000E41D0000}"/>
    <cellStyle name="40% - Accent2 165" xfId="7745" xr:uid="{00000000-0005-0000-0000-0000E51D0000}"/>
    <cellStyle name="40% - Accent2 166" xfId="7746" xr:uid="{00000000-0005-0000-0000-0000E61D0000}"/>
    <cellStyle name="40% - Accent2 167" xfId="7747" xr:uid="{00000000-0005-0000-0000-0000E71D0000}"/>
    <cellStyle name="40% - Accent2 168" xfId="7748" xr:uid="{00000000-0005-0000-0000-0000E81D0000}"/>
    <cellStyle name="40% - Accent2 169" xfId="7749" xr:uid="{00000000-0005-0000-0000-0000E91D0000}"/>
    <cellStyle name="40% - Accent2 17" xfId="7750" xr:uid="{00000000-0005-0000-0000-0000EA1D0000}"/>
    <cellStyle name="40% - Accent2 17 2" xfId="7751" xr:uid="{00000000-0005-0000-0000-0000EB1D0000}"/>
    <cellStyle name="40% - Accent2 17 2 2" xfId="7752" xr:uid="{00000000-0005-0000-0000-0000EC1D0000}"/>
    <cellStyle name="40% - Accent2 17 3" xfId="7753" xr:uid="{00000000-0005-0000-0000-0000ED1D0000}"/>
    <cellStyle name="40% - Accent2 17 4" xfId="7754" xr:uid="{00000000-0005-0000-0000-0000EE1D0000}"/>
    <cellStyle name="40% - Accent2 17 5" xfId="7755" xr:uid="{00000000-0005-0000-0000-0000EF1D0000}"/>
    <cellStyle name="40% - Accent2 18" xfId="7756" xr:uid="{00000000-0005-0000-0000-0000F01D0000}"/>
    <cellStyle name="40% - Accent2 18 2" xfId="7757" xr:uid="{00000000-0005-0000-0000-0000F11D0000}"/>
    <cellStyle name="40% - Accent2 18 2 2" xfId="7758" xr:uid="{00000000-0005-0000-0000-0000F21D0000}"/>
    <cellStyle name="40% - Accent2 18 3" xfId="7759" xr:uid="{00000000-0005-0000-0000-0000F31D0000}"/>
    <cellStyle name="40% - Accent2 18 4" xfId="7760" xr:uid="{00000000-0005-0000-0000-0000F41D0000}"/>
    <cellStyle name="40% - Accent2 18 5" xfId="7761" xr:uid="{00000000-0005-0000-0000-0000F51D0000}"/>
    <cellStyle name="40% - Accent2 19" xfId="7762" xr:uid="{00000000-0005-0000-0000-0000F61D0000}"/>
    <cellStyle name="40% - Accent2 19 2" xfId="7763" xr:uid="{00000000-0005-0000-0000-0000F71D0000}"/>
    <cellStyle name="40% - Accent2 19 2 2" xfId="7764" xr:uid="{00000000-0005-0000-0000-0000F81D0000}"/>
    <cellStyle name="40% - Accent2 19 3" xfId="7765" xr:uid="{00000000-0005-0000-0000-0000F91D0000}"/>
    <cellStyle name="40% - Accent2 19 4" xfId="7766" xr:uid="{00000000-0005-0000-0000-0000FA1D0000}"/>
    <cellStyle name="40% - Accent2 19 5" xfId="7767" xr:uid="{00000000-0005-0000-0000-0000FB1D0000}"/>
    <cellStyle name="40% - Accent2 2" xfId="7768" xr:uid="{00000000-0005-0000-0000-0000FC1D0000}"/>
    <cellStyle name="40% - Accent2 2 10" xfId="7769" xr:uid="{00000000-0005-0000-0000-0000FD1D0000}"/>
    <cellStyle name="40% - Accent2 2 11" xfId="7770" xr:uid="{00000000-0005-0000-0000-0000FE1D0000}"/>
    <cellStyle name="40% - Accent2 2 12" xfId="7771" xr:uid="{00000000-0005-0000-0000-0000FF1D0000}"/>
    <cellStyle name="40% - Accent2 2 13" xfId="7772" xr:uid="{00000000-0005-0000-0000-0000001E0000}"/>
    <cellStyle name="40% - Accent2 2 14" xfId="7773" xr:uid="{00000000-0005-0000-0000-0000011E0000}"/>
    <cellStyle name="40% - Accent2 2 15" xfId="7774" xr:uid="{00000000-0005-0000-0000-0000021E0000}"/>
    <cellStyle name="40% - Accent2 2 16" xfId="7775" xr:uid="{00000000-0005-0000-0000-0000031E0000}"/>
    <cellStyle name="40% - Accent2 2 17" xfId="7776" xr:uid="{00000000-0005-0000-0000-0000041E0000}"/>
    <cellStyle name="40% - Accent2 2 18" xfId="7777" xr:uid="{00000000-0005-0000-0000-0000051E0000}"/>
    <cellStyle name="40% - Accent2 2 19" xfId="7778" xr:uid="{00000000-0005-0000-0000-0000061E0000}"/>
    <cellStyle name="40% - Accent2 2 2" xfId="7779" xr:uid="{00000000-0005-0000-0000-0000071E0000}"/>
    <cellStyle name="40% - Accent2 2 2 2" xfId="7780" xr:uid="{00000000-0005-0000-0000-0000081E0000}"/>
    <cellStyle name="40% - Accent2 2 20" xfId="7781" xr:uid="{00000000-0005-0000-0000-0000091E0000}"/>
    <cellStyle name="40% - Accent2 2 21" xfId="7782" xr:uid="{00000000-0005-0000-0000-00000A1E0000}"/>
    <cellStyle name="40% - Accent2 2 22" xfId="7783" xr:uid="{00000000-0005-0000-0000-00000B1E0000}"/>
    <cellStyle name="40% - Accent2 2 23" xfId="7784" xr:uid="{00000000-0005-0000-0000-00000C1E0000}"/>
    <cellStyle name="40% - Accent2 2 24" xfId="7785" xr:uid="{00000000-0005-0000-0000-00000D1E0000}"/>
    <cellStyle name="40% - Accent2 2 25" xfId="7786" xr:uid="{00000000-0005-0000-0000-00000E1E0000}"/>
    <cellStyle name="40% - Accent2 2 26" xfId="7787" xr:uid="{00000000-0005-0000-0000-00000F1E0000}"/>
    <cellStyle name="40% - Accent2 2 27" xfId="7788" xr:uid="{00000000-0005-0000-0000-0000101E0000}"/>
    <cellStyle name="40% - Accent2 2 28" xfId="7789" xr:uid="{00000000-0005-0000-0000-0000111E0000}"/>
    <cellStyle name="40% - Accent2 2 29" xfId="7790" xr:uid="{00000000-0005-0000-0000-0000121E0000}"/>
    <cellStyle name="40% - Accent2 2 3" xfId="7791" xr:uid="{00000000-0005-0000-0000-0000131E0000}"/>
    <cellStyle name="40% - Accent2 2 30" xfId="7792" xr:uid="{00000000-0005-0000-0000-0000141E0000}"/>
    <cellStyle name="40% - Accent2 2 31" xfId="7793" xr:uid="{00000000-0005-0000-0000-0000151E0000}"/>
    <cellStyle name="40% - Accent2 2 32" xfId="7794" xr:uid="{00000000-0005-0000-0000-0000161E0000}"/>
    <cellStyle name="40% - Accent2 2 33" xfId="7795" xr:uid="{00000000-0005-0000-0000-0000171E0000}"/>
    <cellStyle name="40% - Accent2 2 34" xfId="7796" xr:uid="{00000000-0005-0000-0000-0000181E0000}"/>
    <cellStyle name="40% - Accent2 2 35" xfId="7797" xr:uid="{00000000-0005-0000-0000-0000191E0000}"/>
    <cellStyle name="40% - Accent2 2 36" xfId="7798" xr:uid="{00000000-0005-0000-0000-00001A1E0000}"/>
    <cellStyle name="40% - Accent2 2 37" xfId="7799" xr:uid="{00000000-0005-0000-0000-00001B1E0000}"/>
    <cellStyle name="40% - Accent2 2 4" xfId="7800" xr:uid="{00000000-0005-0000-0000-00001C1E0000}"/>
    <cellStyle name="40% - Accent2 2 4 2" xfId="7801" xr:uid="{00000000-0005-0000-0000-00001D1E0000}"/>
    <cellStyle name="40% - Accent2 2 4 3" xfId="7802" xr:uid="{00000000-0005-0000-0000-00001E1E0000}"/>
    <cellStyle name="40% - Accent2 2 4 4" xfId="7803" xr:uid="{00000000-0005-0000-0000-00001F1E0000}"/>
    <cellStyle name="40% - Accent2 2 5" xfId="7804" xr:uid="{00000000-0005-0000-0000-0000201E0000}"/>
    <cellStyle name="40% - Accent2 2 6" xfId="7805" xr:uid="{00000000-0005-0000-0000-0000211E0000}"/>
    <cellStyle name="40% - Accent2 2 7" xfId="7806" xr:uid="{00000000-0005-0000-0000-0000221E0000}"/>
    <cellStyle name="40% - Accent2 2 8" xfId="7807" xr:uid="{00000000-0005-0000-0000-0000231E0000}"/>
    <cellStyle name="40% - Accent2 2 9" xfId="7808" xr:uid="{00000000-0005-0000-0000-0000241E0000}"/>
    <cellStyle name="40% - Accent2 20" xfId="7809" xr:uid="{00000000-0005-0000-0000-0000251E0000}"/>
    <cellStyle name="40% - Accent2 20 10" xfId="7810" xr:uid="{00000000-0005-0000-0000-0000261E0000}"/>
    <cellStyle name="40% - Accent2 20 11" xfId="7811" xr:uid="{00000000-0005-0000-0000-0000271E0000}"/>
    <cellStyle name="40% - Accent2 20 12" xfId="7812" xr:uid="{00000000-0005-0000-0000-0000281E0000}"/>
    <cellStyle name="40% - Accent2 20 13" xfId="7813" xr:uid="{00000000-0005-0000-0000-0000291E0000}"/>
    <cellStyle name="40% - Accent2 20 14" xfId="7814" xr:uid="{00000000-0005-0000-0000-00002A1E0000}"/>
    <cellStyle name="40% - Accent2 20 15" xfId="7815" xr:uid="{00000000-0005-0000-0000-00002B1E0000}"/>
    <cellStyle name="40% - Accent2 20 16" xfId="7816" xr:uid="{00000000-0005-0000-0000-00002C1E0000}"/>
    <cellStyle name="40% - Accent2 20 17" xfId="7817" xr:uid="{00000000-0005-0000-0000-00002D1E0000}"/>
    <cellStyle name="40% - Accent2 20 18" xfId="7818" xr:uid="{00000000-0005-0000-0000-00002E1E0000}"/>
    <cellStyle name="40% - Accent2 20 2" xfId="7819" xr:uid="{00000000-0005-0000-0000-00002F1E0000}"/>
    <cellStyle name="40% - Accent2 20 2 2" xfId="7820" xr:uid="{00000000-0005-0000-0000-0000301E0000}"/>
    <cellStyle name="40% - Accent2 20 2 3" xfId="7821" xr:uid="{00000000-0005-0000-0000-0000311E0000}"/>
    <cellStyle name="40% - Accent2 20 2 4" xfId="7822" xr:uid="{00000000-0005-0000-0000-0000321E0000}"/>
    <cellStyle name="40% - Accent2 20 3" xfId="7823" xr:uid="{00000000-0005-0000-0000-0000331E0000}"/>
    <cellStyle name="40% - Accent2 20 4" xfId="7824" xr:uid="{00000000-0005-0000-0000-0000341E0000}"/>
    <cellStyle name="40% - Accent2 20 5" xfId="7825" xr:uid="{00000000-0005-0000-0000-0000351E0000}"/>
    <cellStyle name="40% - Accent2 20 6" xfId="7826" xr:uid="{00000000-0005-0000-0000-0000361E0000}"/>
    <cellStyle name="40% - Accent2 20 7" xfId="7827" xr:uid="{00000000-0005-0000-0000-0000371E0000}"/>
    <cellStyle name="40% - Accent2 20 8" xfId="7828" xr:uid="{00000000-0005-0000-0000-0000381E0000}"/>
    <cellStyle name="40% - Accent2 20 9" xfId="7829" xr:uid="{00000000-0005-0000-0000-0000391E0000}"/>
    <cellStyle name="40% - Accent2 21" xfId="7830" xr:uid="{00000000-0005-0000-0000-00003A1E0000}"/>
    <cellStyle name="40% - Accent2 21 2" xfId="7831" xr:uid="{00000000-0005-0000-0000-00003B1E0000}"/>
    <cellStyle name="40% - Accent2 21 2 2" xfId="7832" xr:uid="{00000000-0005-0000-0000-00003C1E0000}"/>
    <cellStyle name="40% - Accent2 21 2 3" xfId="7833" xr:uid="{00000000-0005-0000-0000-00003D1E0000}"/>
    <cellStyle name="40% - Accent2 21 3" xfId="7834" xr:uid="{00000000-0005-0000-0000-00003E1E0000}"/>
    <cellStyle name="40% - Accent2 21 4" xfId="7835" xr:uid="{00000000-0005-0000-0000-00003F1E0000}"/>
    <cellStyle name="40% - Accent2 21 5" xfId="7836" xr:uid="{00000000-0005-0000-0000-0000401E0000}"/>
    <cellStyle name="40% - Accent2 21 6" xfId="7837" xr:uid="{00000000-0005-0000-0000-0000411E0000}"/>
    <cellStyle name="40% - Accent2 22" xfId="7838" xr:uid="{00000000-0005-0000-0000-0000421E0000}"/>
    <cellStyle name="40% - Accent2 22 2" xfId="7839" xr:uid="{00000000-0005-0000-0000-0000431E0000}"/>
    <cellStyle name="40% - Accent2 22 3" xfId="7840" xr:uid="{00000000-0005-0000-0000-0000441E0000}"/>
    <cellStyle name="40% - Accent2 23" xfId="7841" xr:uid="{00000000-0005-0000-0000-0000451E0000}"/>
    <cellStyle name="40% - Accent2 23 2" xfId="7842" xr:uid="{00000000-0005-0000-0000-0000461E0000}"/>
    <cellStyle name="40% - Accent2 23 3" xfId="7843" xr:uid="{00000000-0005-0000-0000-0000471E0000}"/>
    <cellStyle name="40% - Accent2 24" xfId="7844" xr:uid="{00000000-0005-0000-0000-0000481E0000}"/>
    <cellStyle name="40% - Accent2 24 2" xfId="7845" xr:uid="{00000000-0005-0000-0000-0000491E0000}"/>
    <cellStyle name="40% - Accent2 24 3" xfId="7846" xr:uid="{00000000-0005-0000-0000-00004A1E0000}"/>
    <cellStyle name="40% - Accent2 25" xfId="7847" xr:uid="{00000000-0005-0000-0000-00004B1E0000}"/>
    <cellStyle name="40% - Accent2 25 2" xfId="7848" xr:uid="{00000000-0005-0000-0000-00004C1E0000}"/>
    <cellStyle name="40% - Accent2 25 3" xfId="7849" xr:uid="{00000000-0005-0000-0000-00004D1E0000}"/>
    <cellStyle name="40% - Accent2 26" xfId="7850" xr:uid="{00000000-0005-0000-0000-00004E1E0000}"/>
    <cellStyle name="40% - Accent2 26 2" xfId="7851" xr:uid="{00000000-0005-0000-0000-00004F1E0000}"/>
    <cellStyle name="40% - Accent2 26 3" xfId="7852" xr:uid="{00000000-0005-0000-0000-0000501E0000}"/>
    <cellStyle name="40% - Accent2 27" xfId="7853" xr:uid="{00000000-0005-0000-0000-0000511E0000}"/>
    <cellStyle name="40% - Accent2 27 2" xfId="7854" xr:uid="{00000000-0005-0000-0000-0000521E0000}"/>
    <cellStyle name="40% - Accent2 27 3" xfId="7855" xr:uid="{00000000-0005-0000-0000-0000531E0000}"/>
    <cellStyle name="40% - Accent2 28" xfId="7856" xr:uid="{00000000-0005-0000-0000-0000541E0000}"/>
    <cellStyle name="40% - Accent2 28 2" xfId="7857" xr:uid="{00000000-0005-0000-0000-0000551E0000}"/>
    <cellStyle name="40% - Accent2 28 3" xfId="7858" xr:uid="{00000000-0005-0000-0000-0000561E0000}"/>
    <cellStyle name="40% - Accent2 29" xfId="7859" xr:uid="{00000000-0005-0000-0000-0000571E0000}"/>
    <cellStyle name="40% - Accent2 29 2" xfId="7860" xr:uid="{00000000-0005-0000-0000-0000581E0000}"/>
    <cellStyle name="40% - Accent2 29 3" xfId="7861" xr:uid="{00000000-0005-0000-0000-0000591E0000}"/>
    <cellStyle name="40% - Accent2 3" xfId="7862" xr:uid="{00000000-0005-0000-0000-00005A1E0000}"/>
    <cellStyle name="40% - Accent2 3 10" xfId="7863" xr:uid="{00000000-0005-0000-0000-00005B1E0000}"/>
    <cellStyle name="40% - Accent2 3 10 10" xfId="7864" xr:uid="{00000000-0005-0000-0000-00005C1E0000}"/>
    <cellStyle name="40% - Accent2 3 10 11" xfId="7865" xr:uid="{00000000-0005-0000-0000-00005D1E0000}"/>
    <cellStyle name="40% - Accent2 3 10 12" xfId="7866" xr:uid="{00000000-0005-0000-0000-00005E1E0000}"/>
    <cellStyle name="40% - Accent2 3 10 13" xfId="7867" xr:uid="{00000000-0005-0000-0000-00005F1E0000}"/>
    <cellStyle name="40% - Accent2 3 10 14" xfId="7868" xr:uid="{00000000-0005-0000-0000-0000601E0000}"/>
    <cellStyle name="40% - Accent2 3 10 15" xfId="7869" xr:uid="{00000000-0005-0000-0000-0000611E0000}"/>
    <cellStyle name="40% - Accent2 3 10 2" xfId="7870" xr:uid="{00000000-0005-0000-0000-0000621E0000}"/>
    <cellStyle name="40% - Accent2 3 10 3" xfId="7871" xr:uid="{00000000-0005-0000-0000-0000631E0000}"/>
    <cellStyle name="40% - Accent2 3 10 4" xfId="7872" xr:uid="{00000000-0005-0000-0000-0000641E0000}"/>
    <cellStyle name="40% - Accent2 3 10 5" xfId="7873" xr:uid="{00000000-0005-0000-0000-0000651E0000}"/>
    <cellStyle name="40% - Accent2 3 10 6" xfId="7874" xr:uid="{00000000-0005-0000-0000-0000661E0000}"/>
    <cellStyle name="40% - Accent2 3 10 7" xfId="7875" xr:uid="{00000000-0005-0000-0000-0000671E0000}"/>
    <cellStyle name="40% - Accent2 3 10 8" xfId="7876" xr:uid="{00000000-0005-0000-0000-0000681E0000}"/>
    <cellStyle name="40% - Accent2 3 10 9" xfId="7877" xr:uid="{00000000-0005-0000-0000-0000691E0000}"/>
    <cellStyle name="40% - Accent2 3 11" xfId="7878" xr:uid="{00000000-0005-0000-0000-00006A1E0000}"/>
    <cellStyle name="40% - Accent2 3 11 10" xfId="7879" xr:uid="{00000000-0005-0000-0000-00006B1E0000}"/>
    <cellStyle name="40% - Accent2 3 11 11" xfId="7880" xr:uid="{00000000-0005-0000-0000-00006C1E0000}"/>
    <cellStyle name="40% - Accent2 3 11 12" xfId="7881" xr:uid="{00000000-0005-0000-0000-00006D1E0000}"/>
    <cellStyle name="40% - Accent2 3 11 13" xfId="7882" xr:uid="{00000000-0005-0000-0000-00006E1E0000}"/>
    <cellStyle name="40% - Accent2 3 11 14" xfId="7883" xr:uid="{00000000-0005-0000-0000-00006F1E0000}"/>
    <cellStyle name="40% - Accent2 3 11 15" xfId="7884" xr:uid="{00000000-0005-0000-0000-0000701E0000}"/>
    <cellStyle name="40% - Accent2 3 11 2" xfId="7885" xr:uid="{00000000-0005-0000-0000-0000711E0000}"/>
    <cellStyle name="40% - Accent2 3 11 3" xfId="7886" xr:uid="{00000000-0005-0000-0000-0000721E0000}"/>
    <cellStyle name="40% - Accent2 3 11 4" xfId="7887" xr:uid="{00000000-0005-0000-0000-0000731E0000}"/>
    <cellStyle name="40% - Accent2 3 11 5" xfId="7888" xr:uid="{00000000-0005-0000-0000-0000741E0000}"/>
    <cellStyle name="40% - Accent2 3 11 6" xfId="7889" xr:uid="{00000000-0005-0000-0000-0000751E0000}"/>
    <cellStyle name="40% - Accent2 3 11 7" xfId="7890" xr:uid="{00000000-0005-0000-0000-0000761E0000}"/>
    <cellStyle name="40% - Accent2 3 11 8" xfId="7891" xr:uid="{00000000-0005-0000-0000-0000771E0000}"/>
    <cellStyle name="40% - Accent2 3 11 9" xfId="7892" xr:uid="{00000000-0005-0000-0000-0000781E0000}"/>
    <cellStyle name="40% - Accent2 3 12" xfId="7893" xr:uid="{00000000-0005-0000-0000-0000791E0000}"/>
    <cellStyle name="40% - Accent2 3 12 10" xfId="7894" xr:uid="{00000000-0005-0000-0000-00007A1E0000}"/>
    <cellStyle name="40% - Accent2 3 12 11" xfId="7895" xr:uid="{00000000-0005-0000-0000-00007B1E0000}"/>
    <cellStyle name="40% - Accent2 3 12 12" xfId="7896" xr:uid="{00000000-0005-0000-0000-00007C1E0000}"/>
    <cellStyle name="40% - Accent2 3 12 13" xfId="7897" xr:uid="{00000000-0005-0000-0000-00007D1E0000}"/>
    <cellStyle name="40% - Accent2 3 12 14" xfId="7898" xr:uid="{00000000-0005-0000-0000-00007E1E0000}"/>
    <cellStyle name="40% - Accent2 3 12 15" xfId="7899" xr:uid="{00000000-0005-0000-0000-00007F1E0000}"/>
    <cellStyle name="40% - Accent2 3 12 2" xfId="7900" xr:uid="{00000000-0005-0000-0000-0000801E0000}"/>
    <cellStyle name="40% - Accent2 3 12 3" xfId="7901" xr:uid="{00000000-0005-0000-0000-0000811E0000}"/>
    <cellStyle name="40% - Accent2 3 12 4" xfId="7902" xr:uid="{00000000-0005-0000-0000-0000821E0000}"/>
    <cellStyle name="40% - Accent2 3 12 5" xfId="7903" xr:uid="{00000000-0005-0000-0000-0000831E0000}"/>
    <cellStyle name="40% - Accent2 3 12 6" xfId="7904" xr:uid="{00000000-0005-0000-0000-0000841E0000}"/>
    <cellStyle name="40% - Accent2 3 12 7" xfId="7905" xr:uid="{00000000-0005-0000-0000-0000851E0000}"/>
    <cellStyle name="40% - Accent2 3 12 8" xfId="7906" xr:uid="{00000000-0005-0000-0000-0000861E0000}"/>
    <cellStyle name="40% - Accent2 3 12 9" xfId="7907" xr:uid="{00000000-0005-0000-0000-0000871E0000}"/>
    <cellStyle name="40% - Accent2 3 13" xfId="7908" xr:uid="{00000000-0005-0000-0000-0000881E0000}"/>
    <cellStyle name="40% - Accent2 3 13 10" xfId="7909" xr:uid="{00000000-0005-0000-0000-0000891E0000}"/>
    <cellStyle name="40% - Accent2 3 13 11" xfId="7910" xr:uid="{00000000-0005-0000-0000-00008A1E0000}"/>
    <cellStyle name="40% - Accent2 3 13 12" xfId="7911" xr:uid="{00000000-0005-0000-0000-00008B1E0000}"/>
    <cellStyle name="40% - Accent2 3 13 13" xfId="7912" xr:uid="{00000000-0005-0000-0000-00008C1E0000}"/>
    <cellStyle name="40% - Accent2 3 13 14" xfId="7913" xr:uid="{00000000-0005-0000-0000-00008D1E0000}"/>
    <cellStyle name="40% - Accent2 3 13 15" xfId="7914" xr:uid="{00000000-0005-0000-0000-00008E1E0000}"/>
    <cellStyle name="40% - Accent2 3 13 2" xfId="7915" xr:uid="{00000000-0005-0000-0000-00008F1E0000}"/>
    <cellStyle name="40% - Accent2 3 13 3" xfId="7916" xr:uid="{00000000-0005-0000-0000-0000901E0000}"/>
    <cellStyle name="40% - Accent2 3 13 4" xfId="7917" xr:uid="{00000000-0005-0000-0000-0000911E0000}"/>
    <cellStyle name="40% - Accent2 3 13 5" xfId="7918" xr:uid="{00000000-0005-0000-0000-0000921E0000}"/>
    <cellStyle name="40% - Accent2 3 13 6" xfId="7919" xr:uid="{00000000-0005-0000-0000-0000931E0000}"/>
    <cellStyle name="40% - Accent2 3 13 7" xfId="7920" xr:uid="{00000000-0005-0000-0000-0000941E0000}"/>
    <cellStyle name="40% - Accent2 3 13 8" xfId="7921" xr:uid="{00000000-0005-0000-0000-0000951E0000}"/>
    <cellStyle name="40% - Accent2 3 13 9" xfId="7922" xr:uid="{00000000-0005-0000-0000-0000961E0000}"/>
    <cellStyle name="40% - Accent2 3 14" xfId="7923" xr:uid="{00000000-0005-0000-0000-0000971E0000}"/>
    <cellStyle name="40% - Accent2 3 14 10" xfId="7924" xr:uid="{00000000-0005-0000-0000-0000981E0000}"/>
    <cellStyle name="40% - Accent2 3 14 11" xfId="7925" xr:uid="{00000000-0005-0000-0000-0000991E0000}"/>
    <cellStyle name="40% - Accent2 3 14 12" xfId="7926" xr:uid="{00000000-0005-0000-0000-00009A1E0000}"/>
    <cellStyle name="40% - Accent2 3 14 13" xfId="7927" xr:uid="{00000000-0005-0000-0000-00009B1E0000}"/>
    <cellStyle name="40% - Accent2 3 14 14" xfId="7928" xr:uid="{00000000-0005-0000-0000-00009C1E0000}"/>
    <cellStyle name="40% - Accent2 3 14 15" xfId="7929" xr:uid="{00000000-0005-0000-0000-00009D1E0000}"/>
    <cellStyle name="40% - Accent2 3 14 2" xfId="7930" xr:uid="{00000000-0005-0000-0000-00009E1E0000}"/>
    <cellStyle name="40% - Accent2 3 14 3" xfId="7931" xr:uid="{00000000-0005-0000-0000-00009F1E0000}"/>
    <cellStyle name="40% - Accent2 3 14 4" xfId="7932" xr:uid="{00000000-0005-0000-0000-0000A01E0000}"/>
    <cellStyle name="40% - Accent2 3 14 5" xfId="7933" xr:uid="{00000000-0005-0000-0000-0000A11E0000}"/>
    <cellStyle name="40% - Accent2 3 14 6" xfId="7934" xr:uid="{00000000-0005-0000-0000-0000A21E0000}"/>
    <cellStyle name="40% - Accent2 3 14 7" xfId="7935" xr:uid="{00000000-0005-0000-0000-0000A31E0000}"/>
    <cellStyle name="40% - Accent2 3 14 8" xfId="7936" xr:uid="{00000000-0005-0000-0000-0000A41E0000}"/>
    <cellStyle name="40% - Accent2 3 14 9" xfId="7937" xr:uid="{00000000-0005-0000-0000-0000A51E0000}"/>
    <cellStyle name="40% - Accent2 3 15" xfId="7938" xr:uid="{00000000-0005-0000-0000-0000A61E0000}"/>
    <cellStyle name="40% - Accent2 3 15 10" xfId="7939" xr:uid="{00000000-0005-0000-0000-0000A71E0000}"/>
    <cellStyle name="40% - Accent2 3 15 11" xfId="7940" xr:uid="{00000000-0005-0000-0000-0000A81E0000}"/>
    <cellStyle name="40% - Accent2 3 15 12" xfId="7941" xr:uid="{00000000-0005-0000-0000-0000A91E0000}"/>
    <cellStyle name="40% - Accent2 3 15 13" xfId="7942" xr:uid="{00000000-0005-0000-0000-0000AA1E0000}"/>
    <cellStyle name="40% - Accent2 3 15 14" xfId="7943" xr:uid="{00000000-0005-0000-0000-0000AB1E0000}"/>
    <cellStyle name="40% - Accent2 3 15 15" xfId="7944" xr:uid="{00000000-0005-0000-0000-0000AC1E0000}"/>
    <cellStyle name="40% - Accent2 3 15 2" xfId="7945" xr:uid="{00000000-0005-0000-0000-0000AD1E0000}"/>
    <cellStyle name="40% - Accent2 3 15 3" xfId="7946" xr:uid="{00000000-0005-0000-0000-0000AE1E0000}"/>
    <cellStyle name="40% - Accent2 3 15 4" xfId="7947" xr:uid="{00000000-0005-0000-0000-0000AF1E0000}"/>
    <cellStyle name="40% - Accent2 3 15 5" xfId="7948" xr:uid="{00000000-0005-0000-0000-0000B01E0000}"/>
    <cellStyle name="40% - Accent2 3 15 6" xfId="7949" xr:uid="{00000000-0005-0000-0000-0000B11E0000}"/>
    <cellStyle name="40% - Accent2 3 15 7" xfId="7950" xr:uid="{00000000-0005-0000-0000-0000B21E0000}"/>
    <cellStyle name="40% - Accent2 3 15 8" xfId="7951" xr:uid="{00000000-0005-0000-0000-0000B31E0000}"/>
    <cellStyle name="40% - Accent2 3 15 9" xfId="7952" xr:uid="{00000000-0005-0000-0000-0000B41E0000}"/>
    <cellStyle name="40% - Accent2 3 16" xfId="7953" xr:uid="{00000000-0005-0000-0000-0000B51E0000}"/>
    <cellStyle name="40% - Accent2 3 16 10" xfId="7954" xr:uid="{00000000-0005-0000-0000-0000B61E0000}"/>
    <cellStyle name="40% - Accent2 3 16 11" xfId="7955" xr:uid="{00000000-0005-0000-0000-0000B71E0000}"/>
    <cellStyle name="40% - Accent2 3 16 12" xfId="7956" xr:uid="{00000000-0005-0000-0000-0000B81E0000}"/>
    <cellStyle name="40% - Accent2 3 16 13" xfId="7957" xr:uid="{00000000-0005-0000-0000-0000B91E0000}"/>
    <cellStyle name="40% - Accent2 3 16 14" xfId="7958" xr:uid="{00000000-0005-0000-0000-0000BA1E0000}"/>
    <cellStyle name="40% - Accent2 3 16 15" xfId="7959" xr:uid="{00000000-0005-0000-0000-0000BB1E0000}"/>
    <cellStyle name="40% - Accent2 3 16 2" xfId="7960" xr:uid="{00000000-0005-0000-0000-0000BC1E0000}"/>
    <cellStyle name="40% - Accent2 3 16 3" xfId="7961" xr:uid="{00000000-0005-0000-0000-0000BD1E0000}"/>
    <cellStyle name="40% - Accent2 3 16 4" xfId="7962" xr:uid="{00000000-0005-0000-0000-0000BE1E0000}"/>
    <cellStyle name="40% - Accent2 3 16 5" xfId="7963" xr:uid="{00000000-0005-0000-0000-0000BF1E0000}"/>
    <cellStyle name="40% - Accent2 3 16 6" xfId="7964" xr:uid="{00000000-0005-0000-0000-0000C01E0000}"/>
    <cellStyle name="40% - Accent2 3 16 7" xfId="7965" xr:uid="{00000000-0005-0000-0000-0000C11E0000}"/>
    <cellStyle name="40% - Accent2 3 16 8" xfId="7966" xr:uid="{00000000-0005-0000-0000-0000C21E0000}"/>
    <cellStyle name="40% - Accent2 3 16 9" xfId="7967" xr:uid="{00000000-0005-0000-0000-0000C31E0000}"/>
    <cellStyle name="40% - Accent2 3 17" xfId="7968" xr:uid="{00000000-0005-0000-0000-0000C41E0000}"/>
    <cellStyle name="40% - Accent2 3 17 10" xfId="7969" xr:uid="{00000000-0005-0000-0000-0000C51E0000}"/>
    <cellStyle name="40% - Accent2 3 17 11" xfId="7970" xr:uid="{00000000-0005-0000-0000-0000C61E0000}"/>
    <cellStyle name="40% - Accent2 3 17 12" xfId="7971" xr:uid="{00000000-0005-0000-0000-0000C71E0000}"/>
    <cellStyle name="40% - Accent2 3 17 13" xfId="7972" xr:uid="{00000000-0005-0000-0000-0000C81E0000}"/>
    <cellStyle name="40% - Accent2 3 17 14" xfId="7973" xr:uid="{00000000-0005-0000-0000-0000C91E0000}"/>
    <cellStyle name="40% - Accent2 3 17 15" xfId="7974" xr:uid="{00000000-0005-0000-0000-0000CA1E0000}"/>
    <cellStyle name="40% - Accent2 3 17 2" xfId="7975" xr:uid="{00000000-0005-0000-0000-0000CB1E0000}"/>
    <cellStyle name="40% - Accent2 3 17 3" xfId="7976" xr:uid="{00000000-0005-0000-0000-0000CC1E0000}"/>
    <cellStyle name="40% - Accent2 3 17 4" xfId="7977" xr:uid="{00000000-0005-0000-0000-0000CD1E0000}"/>
    <cellStyle name="40% - Accent2 3 17 5" xfId="7978" xr:uid="{00000000-0005-0000-0000-0000CE1E0000}"/>
    <cellStyle name="40% - Accent2 3 17 6" xfId="7979" xr:uid="{00000000-0005-0000-0000-0000CF1E0000}"/>
    <cellStyle name="40% - Accent2 3 17 7" xfId="7980" xr:uid="{00000000-0005-0000-0000-0000D01E0000}"/>
    <cellStyle name="40% - Accent2 3 17 8" xfId="7981" xr:uid="{00000000-0005-0000-0000-0000D11E0000}"/>
    <cellStyle name="40% - Accent2 3 17 9" xfId="7982" xr:uid="{00000000-0005-0000-0000-0000D21E0000}"/>
    <cellStyle name="40% - Accent2 3 18" xfId="7983" xr:uid="{00000000-0005-0000-0000-0000D31E0000}"/>
    <cellStyle name="40% - Accent2 3 18 10" xfId="7984" xr:uid="{00000000-0005-0000-0000-0000D41E0000}"/>
    <cellStyle name="40% - Accent2 3 18 11" xfId="7985" xr:uid="{00000000-0005-0000-0000-0000D51E0000}"/>
    <cellStyle name="40% - Accent2 3 18 12" xfId="7986" xr:uid="{00000000-0005-0000-0000-0000D61E0000}"/>
    <cellStyle name="40% - Accent2 3 18 13" xfId="7987" xr:uid="{00000000-0005-0000-0000-0000D71E0000}"/>
    <cellStyle name="40% - Accent2 3 18 14" xfId="7988" xr:uid="{00000000-0005-0000-0000-0000D81E0000}"/>
    <cellStyle name="40% - Accent2 3 18 15" xfId="7989" xr:uid="{00000000-0005-0000-0000-0000D91E0000}"/>
    <cellStyle name="40% - Accent2 3 18 2" xfId="7990" xr:uid="{00000000-0005-0000-0000-0000DA1E0000}"/>
    <cellStyle name="40% - Accent2 3 18 3" xfId="7991" xr:uid="{00000000-0005-0000-0000-0000DB1E0000}"/>
    <cellStyle name="40% - Accent2 3 18 4" xfId="7992" xr:uid="{00000000-0005-0000-0000-0000DC1E0000}"/>
    <cellStyle name="40% - Accent2 3 18 5" xfId="7993" xr:uid="{00000000-0005-0000-0000-0000DD1E0000}"/>
    <cellStyle name="40% - Accent2 3 18 6" xfId="7994" xr:uid="{00000000-0005-0000-0000-0000DE1E0000}"/>
    <cellStyle name="40% - Accent2 3 18 7" xfId="7995" xr:uid="{00000000-0005-0000-0000-0000DF1E0000}"/>
    <cellStyle name="40% - Accent2 3 18 8" xfId="7996" xr:uid="{00000000-0005-0000-0000-0000E01E0000}"/>
    <cellStyle name="40% - Accent2 3 18 9" xfId="7997" xr:uid="{00000000-0005-0000-0000-0000E11E0000}"/>
    <cellStyle name="40% - Accent2 3 19" xfId="7998" xr:uid="{00000000-0005-0000-0000-0000E21E0000}"/>
    <cellStyle name="40% - Accent2 3 19 10" xfId="7999" xr:uid="{00000000-0005-0000-0000-0000E31E0000}"/>
    <cellStyle name="40% - Accent2 3 19 11" xfId="8000" xr:uid="{00000000-0005-0000-0000-0000E41E0000}"/>
    <cellStyle name="40% - Accent2 3 19 12" xfId="8001" xr:uid="{00000000-0005-0000-0000-0000E51E0000}"/>
    <cellStyle name="40% - Accent2 3 19 13" xfId="8002" xr:uid="{00000000-0005-0000-0000-0000E61E0000}"/>
    <cellStyle name="40% - Accent2 3 19 14" xfId="8003" xr:uid="{00000000-0005-0000-0000-0000E71E0000}"/>
    <cellStyle name="40% - Accent2 3 19 15" xfId="8004" xr:uid="{00000000-0005-0000-0000-0000E81E0000}"/>
    <cellStyle name="40% - Accent2 3 19 2" xfId="8005" xr:uid="{00000000-0005-0000-0000-0000E91E0000}"/>
    <cellStyle name="40% - Accent2 3 19 3" xfId="8006" xr:uid="{00000000-0005-0000-0000-0000EA1E0000}"/>
    <cellStyle name="40% - Accent2 3 19 4" xfId="8007" xr:uid="{00000000-0005-0000-0000-0000EB1E0000}"/>
    <cellStyle name="40% - Accent2 3 19 5" xfId="8008" xr:uid="{00000000-0005-0000-0000-0000EC1E0000}"/>
    <cellStyle name="40% - Accent2 3 19 6" xfId="8009" xr:uid="{00000000-0005-0000-0000-0000ED1E0000}"/>
    <cellStyle name="40% - Accent2 3 19 7" xfId="8010" xr:uid="{00000000-0005-0000-0000-0000EE1E0000}"/>
    <cellStyle name="40% - Accent2 3 19 8" xfId="8011" xr:uid="{00000000-0005-0000-0000-0000EF1E0000}"/>
    <cellStyle name="40% - Accent2 3 19 9" xfId="8012" xr:uid="{00000000-0005-0000-0000-0000F01E0000}"/>
    <cellStyle name="40% - Accent2 3 2" xfId="8013" xr:uid="{00000000-0005-0000-0000-0000F11E0000}"/>
    <cellStyle name="40% - Accent2 3 2 10" xfId="8014" xr:uid="{00000000-0005-0000-0000-0000F21E0000}"/>
    <cellStyle name="40% - Accent2 3 2 11" xfId="8015" xr:uid="{00000000-0005-0000-0000-0000F31E0000}"/>
    <cellStyle name="40% - Accent2 3 2 12" xfId="8016" xr:uid="{00000000-0005-0000-0000-0000F41E0000}"/>
    <cellStyle name="40% - Accent2 3 2 13" xfId="8017" xr:uid="{00000000-0005-0000-0000-0000F51E0000}"/>
    <cellStyle name="40% - Accent2 3 2 14" xfId="8018" xr:uid="{00000000-0005-0000-0000-0000F61E0000}"/>
    <cellStyle name="40% - Accent2 3 2 15" xfId="8019" xr:uid="{00000000-0005-0000-0000-0000F71E0000}"/>
    <cellStyle name="40% - Accent2 3 2 16" xfId="8020" xr:uid="{00000000-0005-0000-0000-0000F81E0000}"/>
    <cellStyle name="40% - Accent2 3 2 17" xfId="8021" xr:uid="{00000000-0005-0000-0000-0000F91E0000}"/>
    <cellStyle name="40% - Accent2 3 2 18" xfId="8022" xr:uid="{00000000-0005-0000-0000-0000FA1E0000}"/>
    <cellStyle name="40% - Accent2 3 2 19" xfId="8023" xr:uid="{00000000-0005-0000-0000-0000FB1E0000}"/>
    <cellStyle name="40% - Accent2 3 2 2" xfId="8024" xr:uid="{00000000-0005-0000-0000-0000FC1E0000}"/>
    <cellStyle name="40% - Accent2 3 2 20" xfId="8025" xr:uid="{00000000-0005-0000-0000-0000FD1E0000}"/>
    <cellStyle name="40% - Accent2 3 2 21" xfId="8026" xr:uid="{00000000-0005-0000-0000-0000FE1E0000}"/>
    <cellStyle name="40% - Accent2 3 2 22" xfId="8027" xr:uid="{00000000-0005-0000-0000-0000FF1E0000}"/>
    <cellStyle name="40% - Accent2 3 2 23" xfId="8028" xr:uid="{00000000-0005-0000-0000-0000001F0000}"/>
    <cellStyle name="40% - Accent2 3 2 24" xfId="8029" xr:uid="{00000000-0005-0000-0000-0000011F0000}"/>
    <cellStyle name="40% - Accent2 3 2 25" xfId="8030" xr:uid="{00000000-0005-0000-0000-0000021F0000}"/>
    <cellStyle name="40% - Accent2 3 2 26" xfId="8031" xr:uid="{00000000-0005-0000-0000-0000031F0000}"/>
    <cellStyle name="40% - Accent2 3 2 27" xfId="8032" xr:uid="{00000000-0005-0000-0000-0000041F0000}"/>
    <cellStyle name="40% - Accent2 3 2 28" xfId="8033" xr:uid="{00000000-0005-0000-0000-0000051F0000}"/>
    <cellStyle name="40% - Accent2 3 2 29" xfId="8034" xr:uid="{00000000-0005-0000-0000-0000061F0000}"/>
    <cellStyle name="40% - Accent2 3 2 3" xfId="8035" xr:uid="{00000000-0005-0000-0000-0000071F0000}"/>
    <cellStyle name="40% - Accent2 3 2 30" xfId="8036" xr:uid="{00000000-0005-0000-0000-0000081F0000}"/>
    <cellStyle name="40% - Accent2 3 2 31" xfId="8037" xr:uid="{00000000-0005-0000-0000-0000091F0000}"/>
    <cellStyle name="40% - Accent2 3 2 32" xfId="8038" xr:uid="{00000000-0005-0000-0000-00000A1F0000}"/>
    <cellStyle name="40% - Accent2 3 2 33" xfId="8039" xr:uid="{00000000-0005-0000-0000-00000B1F0000}"/>
    <cellStyle name="40% - Accent2 3 2 34" xfId="8040" xr:uid="{00000000-0005-0000-0000-00000C1F0000}"/>
    <cellStyle name="40% - Accent2 3 2 35" xfId="8041" xr:uid="{00000000-0005-0000-0000-00000D1F0000}"/>
    <cellStyle name="40% - Accent2 3 2 36" xfId="8042" xr:uid="{00000000-0005-0000-0000-00000E1F0000}"/>
    <cellStyle name="40% - Accent2 3 2 37" xfId="8043" xr:uid="{00000000-0005-0000-0000-00000F1F0000}"/>
    <cellStyle name="40% - Accent2 3 2 38" xfId="8044" xr:uid="{00000000-0005-0000-0000-0000101F0000}"/>
    <cellStyle name="40% - Accent2 3 2 39" xfId="8045" xr:uid="{00000000-0005-0000-0000-0000111F0000}"/>
    <cellStyle name="40% - Accent2 3 2 4" xfId="8046" xr:uid="{00000000-0005-0000-0000-0000121F0000}"/>
    <cellStyle name="40% - Accent2 3 2 40" xfId="8047" xr:uid="{00000000-0005-0000-0000-0000131F0000}"/>
    <cellStyle name="40% - Accent2 3 2 41" xfId="8048" xr:uid="{00000000-0005-0000-0000-0000141F0000}"/>
    <cellStyle name="40% - Accent2 3 2 42" xfId="8049" xr:uid="{00000000-0005-0000-0000-0000151F0000}"/>
    <cellStyle name="40% - Accent2 3 2 43" xfId="8050" xr:uid="{00000000-0005-0000-0000-0000161F0000}"/>
    <cellStyle name="40% - Accent2 3 2 44" xfId="8051" xr:uid="{00000000-0005-0000-0000-0000171F0000}"/>
    <cellStyle name="40% - Accent2 3 2 45" xfId="8052" xr:uid="{00000000-0005-0000-0000-0000181F0000}"/>
    <cellStyle name="40% - Accent2 3 2 46" xfId="8053" xr:uid="{00000000-0005-0000-0000-0000191F0000}"/>
    <cellStyle name="40% - Accent2 3 2 47" xfId="8054" xr:uid="{00000000-0005-0000-0000-00001A1F0000}"/>
    <cellStyle name="40% - Accent2 3 2 48" xfId="8055" xr:uid="{00000000-0005-0000-0000-00001B1F0000}"/>
    <cellStyle name="40% - Accent2 3 2 49" xfId="8056" xr:uid="{00000000-0005-0000-0000-00001C1F0000}"/>
    <cellStyle name="40% - Accent2 3 2 5" xfId="8057" xr:uid="{00000000-0005-0000-0000-00001D1F0000}"/>
    <cellStyle name="40% - Accent2 3 2 50" xfId="8058" xr:uid="{00000000-0005-0000-0000-00001E1F0000}"/>
    <cellStyle name="40% - Accent2 3 2 51" xfId="8059" xr:uid="{00000000-0005-0000-0000-00001F1F0000}"/>
    <cellStyle name="40% - Accent2 3 2 52" xfId="8060" xr:uid="{00000000-0005-0000-0000-0000201F0000}"/>
    <cellStyle name="40% - Accent2 3 2 53" xfId="8061" xr:uid="{00000000-0005-0000-0000-0000211F0000}"/>
    <cellStyle name="40% - Accent2 3 2 54" xfId="8062" xr:uid="{00000000-0005-0000-0000-0000221F0000}"/>
    <cellStyle name="40% - Accent2 3 2 6" xfId="8063" xr:uid="{00000000-0005-0000-0000-0000231F0000}"/>
    <cellStyle name="40% - Accent2 3 2 7" xfId="8064" xr:uid="{00000000-0005-0000-0000-0000241F0000}"/>
    <cellStyle name="40% - Accent2 3 2 8" xfId="8065" xr:uid="{00000000-0005-0000-0000-0000251F0000}"/>
    <cellStyle name="40% - Accent2 3 2 9" xfId="8066" xr:uid="{00000000-0005-0000-0000-0000261F0000}"/>
    <cellStyle name="40% - Accent2 3 20" xfId="8067" xr:uid="{00000000-0005-0000-0000-0000271F0000}"/>
    <cellStyle name="40% - Accent2 3 20 10" xfId="8068" xr:uid="{00000000-0005-0000-0000-0000281F0000}"/>
    <cellStyle name="40% - Accent2 3 20 11" xfId="8069" xr:uid="{00000000-0005-0000-0000-0000291F0000}"/>
    <cellStyle name="40% - Accent2 3 20 12" xfId="8070" xr:uid="{00000000-0005-0000-0000-00002A1F0000}"/>
    <cellStyle name="40% - Accent2 3 20 13" xfId="8071" xr:uid="{00000000-0005-0000-0000-00002B1F0000}"/>
    <cellStyle name="40% - Accent2 3 20 14" xfId="8072" xr:uid="{00000000-0005-0000-0000-00002C1F0000}"/>
    <cellStyle name="40% - Accent2 3 20 15" xfId="8073" xr:uid="{00000000-0005-0000-0000-00002D1F0000}"/>
    <cellStyle name="40% - Accent2 3 20 2" xfId="8074" xr:uid="{00000000-0005-0000-0000-00002E1F0000}"/>
    <cellStyle name="40% - Accent2 3 20 3" xfId="8075" xr:uid="{00000000-0005-0000-0000-00002F1F0000}"/>
    <cellStyle name="40% - Accent2 3 20 4" xfId="8076" xr:uid="{00000000-0005-0000-0000-0000301F0000}"/>
    <cellStyle name="40% - Accent2 3 20 5" xfId="8077" xr:uid="{00000000-0005-0000-0000-0000311F0000}"/>
    <cellStyle name="40% - Accent2 3 20 6" xfId="8078" xr:uid="{00000000-0005-0000-0000-0000321F0000}"/>
    <cellStyle name="40% - Accent2 3 20 7" xfId="8079" xr:uid="{00000000-0005-0000-0000-0000331F0000}"/>
    <cellStyle name="40% - Accent2 3 20 8" xfId="8080" xr:uid="{00000000-0005-0000-0000-0000341F0000}"/>
    <cellStyle name="40% - Accent2 3 20 9" xfId="8081" xr:uid="{00000000-0005-0000-0000-0000351F0000}"/>
    <cellStyle name="40% - Accent2 3 21" xfId="8082" xr:uid="{00000000-0005-0000-0000-0000361F0000}"/>
    <cellStyle name="40% - Accent2 3 21 10" xfId="8083" xr:uid="{00000000-0005-0000-0000-0000371F0000}"/>
    <cellStyle name="40% - Accent2 3 21 11" xfId="8084" xr:uid="{00000000-0005-0000-0000-0000381F0000}"/>
    <cellStyle name="40% - Accent2 3 21 12" xfId="8085" xr:uid="{00000000-0005-0000-0000-0000391F0000}"/>
    <cellStyle name="40% - Accent2 3 21 13" xfId="8086" xr:uid="{00000000-0005-0000-0000-00003A1F0000}"/>
    <cellStyle name="40% - Accent2 3 21 14" xfId="8087" xr:uid="{00000000-0005-0000-0000-00003B1F0000}"/>
    <cellStyle name="40% - Accent2 3 21 15" xfId="8088" xr:uid="{00000000-0005-0000-0000-00003C1F0000}"/>
    <cellStyle name="40% - Accent2 3 21 2" xfId="8089" xr:uid="{00000000-0005-0000-0000-00003D1F0000}"/>
    <cellStyle name="40% - Accent2 3 21 3" xfId="8090" xr:uid="{00000000-0005-0000-0000-00003E1F0000}"/>
    <cellStyle name="40% - Accent2 3 21 4" xfId="8091" xr:uid="{00000000-0005-0000-0000-00003F1F0000}"/>
    <cellStyle name="40% - Accent2 3 21 5" xfId="8092" xr:uid="{00000000-0005-0000-0000-0000401F0000}"/>
    <cellStyle name="40% - Accent2 3 21 6" xfId="8093" xr:uid="{00000000-0005-0000-0000-0000411F0000}"/>
    <cellStyle name="40% - Accent2 3 21 7" xfId="8094" xr:uid="{00000000-0005-0000-0000-0000421F0000}"/>
    <cellStyle name="40% - Accent2 3 21 8" xfId="8095" xr:uid="{00000000-0005-0000-0000-0000431F0000}"/>
    <cellStyle name="40% - Accent2 3 21 9" xfId="8096" xr:uid="{00000000-0005-0000-0000-0000441F0000}"/>
    <cellStyle name="40% - Accent2 3 22" xfId="8097" xr:uid="{00000000-0005-0000-0000-0000451F0000}"/>
    <cellStyle name="40% - Accent2 3 22 10" xfId="8098" xr:uid="{00000000-0005-0000-0000-0000461F0000}"/>
    <cellStyle name="40% - Accent2 3 22 11" xfId="8099" xr:uid="{00000000-0005-0000-0000-0000471F0000}"/>
    <cellStyle name="40% - Accent2 3 22 12" xfId="8100" xr:uid="{00000000-0005-0000-0000-0000481F0000}"/>
    <cellStyle name="40% - Accent2 3 22 13" xfId="8101" xr:uid="{00000000-0005-0000-0000-0000491F0000}"/>
    <cellStyle name="40% - Accent2 3 22 14" xfId="8102" xr:uid="{00000000-0005-0000-0000-00004A1F0000}"/>
    <cellStyle name="40% - Accent2 3 22 15" xfId="8103" xr:uid="{00000000-0005-0000-0000-00004B1F0000}"/>
    <cellStyle name="40% - Accent2 3 22 2" xfId="8104" xr:uid="{00000000-0005-0000-0000-00004C1F0000}"/>
    <cellStyle name="40% - Accent2 3 22 3" xfId="8105" xr:uid="{00000000-0005-0000-0000-00004D1F0000}"/>
    <cellStyle name="40% - Accent2 3 22 4" xfId="8106" xr:uid="{00000000-0005-0000-0000-00004E1F0000}"/>
    <cellStyle name="40% - Accent2 3 22 5" xfId="8107" xr:uid="{00000000-0005-0000-0000-00004F1F0000}"/>
    <cellStyle name="40% - Accent2 3 22 6" xfId="8108" xr:uid="{00000000-0005-0000-0000-0000501F0000}"/>
    <cellStyle name="40% - Accent2 3 22 7" xfId="8109" xr:uid="{00000000-0005-0000-0000-0000511F0000}"/>
    <cellStyle name="40% - Accent2 3 22 8" xfId="8110" xr:uid="{00000000-0005-0000-0000-0000521F0000}"/>
    <cellStyle name="40% - Accent2 3 22 9" xfId="8111" xr:uid="{00000000-0005-0000-0000-0000531F0000}"/>
    <cellStyle name="40% - Accent2 3 23" xfId="8112" xr:uid="{00000000-0005-0000-0000-0000541F0000}"/>
    <cellStyle name="40% - Accent2 3 23 10" xfId="8113" xr:uid="{00000000-0005-0000-0000-0000551F0000}"/>
    <cellStyle name="40% - Accent2 3 23 11" xfId="8114" xr:uid="{00000000-0005-0000-0000-0000561F0000}"/>
    <cellStyle name="40% - Accent2 3 23 12" xfId="8115" xr:uid="{00000000-0005-0000-0000-0000571F0000}"/>
    <cellStyle name="40% - Accent2 3 23 13" xfId="8116" xr:uid="{00000000-0005-0000-0000-0000581F0000}"/>
    <cellStyle name="40% - Accent2 3 23 14" xfId="8117" xr:uid="{00000000-0005-0000-0000-0000591F0000}"/>
    <cellStyle name="40% - Accent2 3 23 15" xfId="8118" xr:uid="{00000000-0005-0000-0000-00005A1F0000}"/>
    <cellStyle name="40% - Accent2 3 23 2" xfId="8119" xr:uid="{00000000-0005-0000-0000-00005B1F0000}"/>
    <cellStyle name="40% - Accent2 3 23 3" xfId="8120" xr:uid="{00000000-0005-0000-0000-00005C1F0000}"/>
    <cellStyle name="40% - Accent2 3 23 4" xfId="8121" xr:uid="{00000000-0005-0000-0000-00005D1F0000}"/>
    <cellStyle name="40% - Accent2 3 23 5" xfId="8122" xr:uid="{00000000-0005-0000-0000-00005E1F0000}"/>
    <cellStyle name="40% - Accent2 3 23 6" xfId="8123" xr:uid="{00000000-0005-0000-0000-00005F1F0000}"/>
    <cellStyle name="40% - Accent2 3 23 7" xfId="8124" xr:uid="{00000000-0005-0000-0000-0000601F0000}"/>
    <cellStyle name="40% - Accent2 3 23 8" xfId="8125" xr:uid="{00000000-0005-0000-0000-0000611F0000}"/>
    <cellStyle name="40% - Accent2 3 23 9" xfId="8126" xr:uid="{00000000-0005-0000-0000-0000621F0000}"/>
    <cellStyle name="40% - Accent2 3 24" xfId="8127" xr:uid="{00000000-0005-0000-0000-0000631F0000}"/>
    <cellStyle name="40% - Accent2 3 24 10" xfId="8128" xr:uid="{00000000-0005-0000-0000-0000641F0000}"/>
    <cellStyle name="40% - Accent2 3 24 11" xfId="8129" xr:uid="{00000000-0005-0000-0000-0000651F0000}"/>
    <cellStyle name="40% - Accent2 3 24 12" xfId="8130" xr:uid="{00000000-0005-0000-0000-0000661F0000}"/>
    <cellStyle name="40% - Accent2 3 24 13" xfId="8131" xr:uid="{00000000-0005-0000-0000-0000671F0000}"/>
    <cellStyle name="40% - Accent2 3 24 14" xfId="8132" xr:uid="{00000000-0005-0000-0000-0000681F0000}"/>
    <cellStyle name="40% - Accent2 3 24 15" xfId="8133" xr:uid="{00000000-0005-0000-0000-0000691F0000}"/>
    <cellStyle name="40% - Accent2 3 24 2" xfId="8134" xr:uid="{00000000-0005-0000-0000-00006A1F0000}"/>
    <cellStyle name="40% - Accent2 3 24 3" xfId="8135" xr:uid="{00000000-0005-0000-0000-00006B1F0000}"/>
    <cellStyle name="40% - Accent2 3 24 4" xfId="8136" xr:uid="{00000000-0005-0000-0000-00006C1F0000}"/>
    <cellStyle name="40% - Accent2 3 24 5" xfId="8137" xr:uid="{00000000-0005-0000-0000-00006D1F0000}"/>
    <cellStyle name="40% - Accent2 3 24 6" xfId="8138" xr:uid="{00000000-0005-0000-0000-00006E1F0000}"/>
    <cellStyle name="40% - Accent2 3 24 7" xfId="8139" xr:uid="{00000000-0005-0000-0000-00006F1F0000}"/>
    <cellStyle name="40% - Accent2 3 24 8" xfId="8140" xr:uid="{00000000-0005-0000-0000-0000701F0000}"/>
    <cellStyle name="40% - Accent2 3 24 9" xfId="8141" xr:uid="{00000000-0005-0000-0000-0000711F0000}"/>
    <cellStyle name="40% - Accent2 3 25" xfId="8142" xr:uid="{00000000-0005-0000-0000-0000721F0000}"/>
    <cellStyle name="40% - Accent2 3 25 10" xfId="8143" xr:uid="{00000000-0005-0000-0000-0000731F0000}"/>
    <cellStyle name="40% - Accent2 3 25 11" xfId="8144" xr:uid="{00000000-0005-0000-0000-0000741F0000}"/>
    <cellStyle name="40% - Accent2 3 25 12" xfId="8145" xr:uid="{00000000-0005-0000-0000-0000751F0000}"/>
    <cellStyle name="40% - Accent2 3 25 13" xfId="8146" xr:uid="{00000000-0005-0000-0000-0000761F0000}"/>
    <cellStyle name="40% - Accent2 3 25 14" xfId="8147" xr:uid="{00000000-0005-0000-0000-0000771F0000}"/>
    <cellStyle name="40% - Accent2 3 25 15" xfId="8148" xr:uid="{00000000-0005-0000-0000-0000781F0000}"/>
    <cellStyle name="40% - Accent2 3 25 2" xfId="8149" xr:uid="{00000000-0005-0000-0000-0000791F0000}"/>
    <cellStyle name="40% - Accent2 3 25 3" xfId="8150" xr:uid="{00000000-0005-0000-0000-00007A1F0000}"/>
    <cellStyle name="40% - Accent2 3 25 4" xfId="8151" xr:uid="{00000000-0005-0000-0000-00007B1F0000}"/>
    <cellStyle name="40% - Accent2 3 25 5" xfId="8152" xr:uid="{00000000-0005-0000-0000-00007C1F0000}"/>
    <cellStyle name="40% - Accent2 3 25 6" xfId="8153" xr:uid="{00000000-0005-0000-0000-00007D1F0000}"/>
    <cellStyle name="40% - Accent2 3 25 7" xfId="8154" xr:uid="{00000000-0005-0000-0000-00007E1F0000}"/>
    <cellStyle name="40% - Accent2 3 25 8" xfId="8155" xr:uid="{00000000-0005-0000-0000-00007F1F0000}"/>
    <cellStyle name="40% - Accent2 3 25 9" xfId="8156" xr:uid="{00000000-0005-0000-0000-0000801F0000}"/>
    <cellStyle name="40% - Accent2 3 26" xfId="8157" xr:uid="{00000000-0005-0000-0000-0000811F0000}"/>
    <cellStyle name="40% - Accent2 3 26 10" xfId="8158" xr:uid="{00000000-0005-0000-0000-0000821F0000}"/>
    <cellStyle name="40% - Accent2 3 26 11" xfId="8159" xr:uid="{00000000-0005-0000-0000-0000831F0000}"/>
    <cellStyle name="40% - Accent2 3 26 12" xfId="8160" xr:uid="{00000000-0005-0000-0000-0000841F0000}"/>
    <cellStyle name="40% - Accent2 3 26 13" xfId="8161" xr:uid="{00000000-0005-0000-0000-0000851F0000}"/>
    <cellStyle name="40% - Accent2 3 26 14" xfId="8162" xr:uid="{00000000-0005-0000-0000-0000861F0000}"/>
    <cellStyle name="40% - Accent2 3 26 15" xfId="8163" xr:uid="{00000000-0005-0000-0000-0000871F0000}"/>
    <cellStyle name="40% - Accent2 3 26 2" xfId="8164" xr:uid="{00000000-0005-0000-0000-0000881F0000}"/>
    <cellStyle name="40% - Accent2 3 26 3" xfId="8165" xr:uid="{00000000-0005-0000-0000-0000891F0000}"/>
    <cellStyle name="40% - Accent2 3 26 4" xfId="8166" xr:uid="{00000000-0005-0000-0000-00008A1F0000}"/>
    <cellStyle name="40% - Accent2 3 26 5" xfId="8167" xr:uid="{00000000-0005-0000-0000-00008B1F0000}"/>
    <cellStyle name="40% - Accent2 3 26 6" xfId="8168" xr:uid="{00000000-0005-0000-0000-00008C1F0000}"/>
    <cellStyle name="40% - Accent2 3 26 7" xfId="8169" xr:uid="{00000000-0005-0000-0000-00008D1F0000}"/>
    <cellStyle name="40% - Accent2 3 26 8" xfId="8170" xr:uid="{00000000-0005-0000-0000-00008E1F0000}"/>
    <cellStyle name="40% - Accent2 3 26 9" xfId="8171" xr:uid="{00000000-0005-0000-0000-00008F1F0000}"/>
    <cellStyle name="40% - Accent2 3 27" xfId="8172" xr:uid="{00000000-0005-0000-0000-0000901F0000}"/>
    <cellStyle name="40% - Accent2 3 27 10" xfId="8173" xr:uid="{00000000-0005-0000-0000-0000911F0000}"/>
    <cellStyle name="40% - Accent2 3 27 11" xfId="8174" xr:uid="{00000000-0005-0000-0000-0000921F0000}"/>
    <cellStyle name="40% - Accent2 3 27 12" xfId="8175" xr:uid="{00000000-0005-0000-0000-0000931F0000}"/>
    <cellStyle name="40% - Accent2 3 27 13" xfId="8176" xr:uid="{00000000-0005-0000-0000-0000941F0000}"/>
    <cellStyle name="40% - Accent2 3 27 14" xfId="8177" xr:uid="{00000000-0005-0000-0000-0000951F0000}"/>
    <cellStyle name="40% - Accent2 3 27 15" xfId="8178" xr:uid="{00000000-0005-0000-0000-0000961F0000}"/>
    <cellStyle name="40% - Accent2 3 27 2" xfId="8179" xr:uid="{00000000-0005-0000-0000-0000971F0000}"/>
    <cellStyle name="40% - Accent2 3 27 3" xfId="8180" xr:uid="{00000000-0005-0000-0000-0000981F0000}"/>
    <cellStyle name="40% - Accent2 3 27 4" xfId="8181" xr:uid="{00000000-0005-0000-0000-0000991F0000}"/>
    <cellStyle name="40% - Accent2 3 27 5" xfId="8182" xr:uid="{00000000-0005-0000-0000-00009A1F0000}"/>
    <cellStyle name="40% - Accent2 3 27 6" xfId="8183" xr:uid="{00000000-0005-0000-0000-00009B1F0000}"/>
    <cellStyle name="40% - Accent2 3 27 7" xfId="8184" xr:uid="{00000000-0005-0000-0000-00009C1F0000}"/>
    <cellStyle name="40% - Accent2 3 27 8" xfId="8185" xr:uid="{00000000-0005-0000-0000-00009D1F0000}"/>
    <cellStyle name="40% - Accent2 3 27 9" xfId="8186" xr:uid="{00000000-0005-0000-0000-00009E1F0000}"/>
    <cellStyle name="40% - Accent2 3 28" xfId="8187" xr:uid="{00000000-0005-0000-0000-00009F1F0000}"/>
    <cellStyle name="40% - Accent2 3 28 10" xfId="8188" xr:uid="{00000000-0005-0000-0000-0000A01F0000}"/>
    <cellStyle name="40% - Accent2 3 28 11" xfId="8189" xr:uid="{00000000-0005-0000-0000-0000A11F0000}"/>
    <cellStyle name="40% - Accent2 3 28 12" xfId="8190" xr:uid="{00000000-0005-0000-0000-0000A21F0000}"/>
    <cellStyle name="40% - Accent2 3 28 13" xfId="8191" xr:uid="{00000000-0005-0000-0000-0000A31F0000}"/>
    <cellStyle name="40% - Accent2 3 28 14" xfId="8192" xr:uid="{00000000-0005-0000-0000-0000A41F0000}"/>
    <cellStyle name="40% - Accent2 3 28 15" xfId="8193" xr:uid="{00000000-0005-0000-0000-0000A51F0000}"/>
    <cellStyle name="40% - Accent2 3 28 2" xfId="8194" xr:uid="{00000000-0005-0000-0000-0000A61F0000}"/>
    <cellStyle name="40% - Accent2 3 28 3" xfId="8195" xr:uid="{00000000-0005-0000-0000-0000A71F0000}"/>
    <cellStyle name="40% - Accent2 3 28 4" xfId="8196" xr:uid="{00000000-0005-0000-0000-0000A81F0000}"/>
    <cellStyle name="40% - Accent2 3 28 5" xfId="8197" xr:uid="{00000000-0005-0000-0000-0000A91F0000}"/>
    <cellStyle name="40% - Accent2 3 28 6" xfId="8198" xr:uid="{00000000-0005-0000-0000-0000AA1F0000}"/>
    <cellStyle name="40% - Accent2 3 28 7" xfId="8199" xr:uid="{00000000-0005-0000-0000-0000AB1F0000}"/>
    <cellStyle name="40% - Accent2 3 28 8" xfId="8200" xr:uid="{00000000-0005-0000-0000-0000AC1F0000}"/>
    <cellStyle name="40% - Accent2 3 28 9" xfId="8201" xr:uid="{00000000-0005-0000-0000-0000AD1F0000}"/>
    <cellStyle name="40% - Accent2 3 29" xfId="8202" xr:uid="{00000000-0005-0000-0000-0000AE1F0000}"/>
    <cellStyle name="40% - Accent2 3 29 10" xfId="8203" xr:uid="{00000000-0005-0000-0000-0000AF1F0000}"/>
    <cellStyle name="40% - Accent2 3 29 11" xfId="8204" xr:uid="{00000000-0005-0000-0000-0000B01F0000}"/>
    <cellStyle name="40% - Accent2 3 29 12" xfId="8205" xr:uid="{00000000-0005-0000-0000-0000B11F0000}"/>
    <cellStyle name="40% - Accent2 3 29 13" xfId="8206" xr:uid="{00000000-0005-0000-0000-0000B21F0000}"/>
    <cellStyle name="40% - Accent2 3 29 14" xfId="8207" xr:uid="{00000000-0005-0000-0000-0000B31F0000}"/>
    <cellStyle name="40% - Accent2 3 29 15" xfId="8208" xr:uid="{00000000-0005-0000-0000-0000B41F0000}"/>
    <cellStyle name="40% - Accent2 3 29 2" xfId="8209" xr:uid="{00000000-0005-0000-0000-0000B51F0000}"/>
    <cellStyle name="40% - Accent2 3 29 3" xfId="8210" xr:uid="{00000000-0005-0000-0000-0000B61F0000}"/>
    <cellStyle name="40% - Accent2 3 29 4" xfId="8211" xr:uid="{00000000-0005-0000-0000-0000B71F0000}"/>
    <cellStyle name="40% - Accent2 3 29 5" xfId="8212" xr:uid="{00000000-0005-0000-0000-0000B81F0000}"/>
    <cellStyle name="40% - Accent2 3 29 6" xfId="8213" xr:uid="{00000000-0005-0000-0000-0000B91F0000}"/>
    <cellStyle name="40% - Accent2 3 29 7" xfId="8214" xr:uid="{00000000-0005-0000-0000-0000BA1F0000}"/>
    <cellStyle name="40% - Accent2 3 29 8" xfId="8215" xr:uid="{00000000-0005-0000-0000-0000BB1F0000}"/>
    <cellStyle name="40% - Accent2 3 29 9" xfId="8216" xr:uid="{00000000-0005-0000-0000-0000BC1F0000}"/>
    <cellStyle name="40% - Accent2 3 3" xfId="8217" xr:uid="{00000000-0005-0000-0000-0000BD1F0000}"/>
    <cellStyle name="40% - Accent2 3 3 10" xfId="8218" xr:uid="{00000000-0005-0000-0000-0000BE1F0000}"/>
    <cellStyle name="40% - Accent2 3 3 11" xfId="8219" xr:uid="{00000000-0005-0000-0000-0000BF1F0000}"/>
    <cellStyle name="40% - Accent2 3 3 12" xfId="8220" xr:uid="{00000000-0005-0000-0000-0000C01F0000}"/>
    <cellStyle name="40% - Accent2 3 3 13" xfId="8221" xr:uid="{00000000-0005-0000-0000-0000C11F0000}"/>
    <cellStyle name="40% - Accent2 3 3 14" xfId="8222" xr:uid="{00000000-0005-0000-0000-0000C21F0000}"/>
    <cellStyle name="40% - Accent2 3 3 15" xfId="8223" xr:uid="{00000000-0005-0000-0000-0000C31F0000}"/>
    <cellStyle name="40% - Accent2 3 3 16" xfId="8224" xr:uid="{00000000-0005-0000-0000-0000C41F0000}"/>
    <cellStyle name="40% - Accent2 3 3 2" xfId="8225" xr:uid="{00000000-0005-0000-0000-0000C51F0000}"/>
    <cellStyle name="40% - Accent2 3 3 3" xfId="8226" xr:uid="{00000000-0005-0000-0000-0000C61F0000}"/>
    <cellStyle name="40% - Accent2 3 3 4" xfId="8227" xr:uid="{00000000-0005-0000-0000-0000C71F0000}"/>
    <cellStyle name="40% - Accent2 3 3 5" xfId="8228" xr:uid="{00000000-0005-0000-0000-0000C81F0000}"/>
    <cellStyle name="40% - Accent2 3 3 6" xfId="8229" xr:uid="{00000000-0005-0000-0000-0000C91F0000}"/>
    <cellStyle name="40% - Accent2 3 3 7" xfId="8230" xr:uid="{00000000-0005-0000-0000-0000CA1F0000}"/>
    <cellStyle name="40% - Accent2 3 3 8" xfId="8231" xr:uid="{00000000-0005-0000-0000-0000CB1F0000}"/>
    <cellStyle name="40% - Accent2 3 3 9" xfId="8232" xr:uid="{00000000-0005-0000-0000-0000CC1F0000}"/>
    <cellStyle name="40% - Accent2 3 30" xfId="8233" xr:uid="{00000000-0005-0000-0000-0000CD1F0000}"/>
    <cellStyle name="40% - Accent2 3 30 10" xfId="8234" xr:uid="{00000000-0005-0000-0000-0000CE1F0000}"/>
    <cellStyle name="40% - Accent2 3 30 11" xfId="8235" xr:uid="{00000000-0005-0000-0000-0000CF1F0000}"/>
    <cellStyle name="40% - Accent2 3 30 12" xfId="8236" xr:uid="{00000000-0005-0000-0000-0000D01F0000}"/>
    <cellStyle name="40% - Accent2 3 30 13" xfId="8237" xr:uid="{00000000-0005-0000-0000-0000D11F0000}"/>
    <cellStyle name="40% - Accent2 3 30 14" xfId="8238" xr:uid="{00000000-0005-0000-0000-0000D21F0000}"/>
    <cellStyle name="40% - Accent2 3 30 15" xfId="8239" xr:uid="{00000000-0005-0000-0000-0000D31F0000}"/>
    <cellStyle name="40% - Accent2 3 30 2" xfId="8240" xr:uid="{00000000-0005-0000-0000-0000D41F0000}"/>
    <cellStyle name="40% - Accent2 3 30 3" xfId="8241" xr:uid="{00000000-0005-0000-0000-0000D51F0000}"/>
    <cellStyle name="40% - Accent2 3 30 4" xfId="8242" xr:uid="{00000000-0005-0000-0000-0000D61F0000}"/>
    <cellStyle name="40% - Accent2 3 30 5" xfId="8243" xr:uid="{00000000-0005-0000-0000-0000D71F0000}"/>
    <cellStyle name="40% - Accent2 3 30 6" xfId="8244" xr:uid="{00000000-0005-0000-0000-0000D81F0000}"/>
    <cellStyle name="40% - Accent2 3 30 7" xfId="8245" xr:uid="{00000000-0005-0000-0000-0000D91F0000}"/>
    <cellStyle name="40% - Accent2 3 30 8" xfId="8246" xr:uid="{00000000-0005-0000-0000-0000DA1F0000}"/>
    <cellStyle name="40% - Accent2 3 30 9" xfId="8247" xr:uid="{00000000-0005-0000-0000-0000DB1F0000}"/>
    <cellStyle name="40% - Accent2 3 31" xfId="8248" xr:uid="{00000000-0005-0000-0000-0000DC1F0000}"/>
    <cellStyle name="40% - Accent2 3 31 10" xfId="8249" xr:uid="{00000000-0005-0000-0000-0000DD1F0000}"/>
    <cellStyle name="40% - Accent2 3 31 11" xfId="8250" xr:uid="{00000000-0005-0000-0000-0000DE1F0000}"/>
    <cellStyle name="40% - Accent2 3 31 12" xfId="8251" xr:uid="{00000000-0005-0000-0000-0000DF1F0000}"/>
    <cellStyle name="40% - Accent2 3 31 13" xfId="8252" xr:uid="{00000000-0005-0000-0000-0000E01F0000}"/>
    <cellStyle name="40% - Accent2 3 31 14" xfId="8253" xr:uid="{00000000-0005-0000-0000-0000E11F0000}"/>
    <cellStyle name="40% - Accent2 3 31 15" xfId="8254" xr:uid="{00000000-0005-0000-0000-0000E21F0000}"/>
    <cellStyle name="40% - Accent2 3 31 2" xfId="8255" xr:uid="{00000000-0005-0000-0000-0000E31F0000}"/>
    <cellStyle name="40% - Accent2 3 31 3" xfId="8256" xr:uid="{00000000-0005-0000-0000-0000E41F0000}"/>
    <cellStyle name="40% - Accent2 3 31 4" xfId="8257" xr:uid="{00000000-0005-0000-0000-0000E51F0000}"/>
    <cellStyle name="40% - Accent2 3 31 5" xfId="8258" xr:uid="{00000000-0005-0000-0000-0000E61F0000}"/>
    <cellStyle name="40% - Accent2 3 31 6" xfId="8259" xr:uid="{00000000-0005-0000-0000-0000E71F0000}"/>
    <cellStyle name="40% - Accent2 3 31 7" xfId="8260" xr:uid="{00000000-0005-0000-0000-0000E81F0000}"/>
    <cellStyle name="40% - Accent2 3 31 8" xfId="8261" xr:uid="{00000000-0005-0000-0000-0000E91F0000}"/>
    <cellStyle name="40% - Accent2 3 31 9" xfId="8262" xr:uid="{00000000-0005-0000-0000-0000EA1F0000}"/>
    <cellStyle name="40% - Accent2 3 32" xfId="8263" xr:uid="{00000000-0005-0000-0000-0000EB1F0000}"/>
    <cellStyle name="40% - Accent2 3 32 10" xfId="8264" xr:uid="{00000000-0005-0000-0000-0000EC1F0000}"/>
    <cellStyle name="40% - Accent2 3 32 11" xfId="8265" xr:uid="{00000000-0005-0000-0000-0000ED1F0000}"/>
    <cellStyle name="40% - Accent2 3 32 12" xfId="8266" xr:uid="{00000000-0005-0000-0000-0000EE1F0000}"/>
    <cellStyle name="40% - Accent2 3 32 13" xfId="8267" xr:uid="{00000000-0005-0000-0000-0000EF1F0000}"/>
    <cellStyle name="40% - Accent2 3 32 14" xfId="8268" xr:uid="{00000000-0005-0000-0000-0000F01F0000}"/>
    <cellStyle name="40% - Accent2 3 32 15" xfId="8269" xr:uid="{00000000-0005-0000-0000-0000F11F0000}"/>
    <cellStyle name="40% - Accent2 3 32 2" xfId="8270" xr:uid="{00000000-0005-0000-0000-0000F21F0000}"/>
    <cellStyle name="40% - Accent2 3 32 3" xfId="8271" xr:uid="{00000000-0005-0000-0000-0000F31F0000}"/>
    <cellStyle name="40% - Accent2 3 32 4" xfId="8272" xr:uid="{00000000-0005-0000-0000-0000F41F0000}"/>
    <cellStyle name="40% - Accent2 3 32 5" xfId="8273" xr:uid="{00000000-0005-0000-0000-0000F51F0000}"/>
    <cellStyle name="40% - Accent2 3 32 6" xfId="8274" xr:uid="{00000000-0005-0000-0000-0000F61F0000}"/>
    <cellStyle name="40% - Accent2 3 32 7" xfId="8275" xr:uid="{00000000-0005-0000-0000-0000F71F0000}"/>
    <cellStyle name="40% - Accent2 3 32 8" xfId="8276" xr:uid="{00000000-0005-0000-0000-0000F81F0000}"/>
    <cellStyle name="40% - Accent2 3 32 9" xfId="8277" xr:uid="{00000000-0005-0000-0000-0000F91F0000}"/>
    <cellStyle name="40% - Accent2 3 33" xfId="8278" xr:uid="{00000000-0005-0000-0000-0000FA1F0000}"/>
    <cellStyle name="40% - Accent2 3 34" xfId="8279" xr:uid="{00000000-0005-0000-0000-0000FB1F0000}"/>
    <cellStyle name="40% - Accent2 3 35" xfId="8280" xr:uid="{00000000-0005-0000-0000-0000FC1F0000}"/>
    <cellStyle name="40% - Accent2 3 36" xfId="8281" xr:uid="{00000000-0005-0000-0000-0000FD1F0000}"/>
    <cellStyle name="40% - Accent2 3 37" xfId="8282" xr:uid="{00000000-0005-0000-0000-0000FE1F0000}"/>
    <cellStyle name="40% - Accent2 3 38" xfId="8283" xr:uid="{00000000-0005-0000-0000-0000FF1F0000}"/>
    <cellStyle name="40% - Accent2 3 39" xfId="8284" xr:uid="{00000000-0005-0000-0000-000000200000}"/>
    <cellStyle name="40% - Accent2 3 4" xfId="8285" xr:uid="{00000000-0005-0000-0000-000001200000}"/>
    <cellStyle name="40% - Accent2 3 4 10" xfId="8286" xr:uid="{00000000-0005-0000-0000-000002200000}"/>
    <cellStyle name="40% - Accent2 3 4 11" xfId="8287" xr:uid="{00000000-0005-0000-0000-000003200000}"/>
    <cellStyle name="40% - Accent2 3 4 12" xfId="8288" xr:uid="{00000000-0005-0000-0000-000004200000}"/>
    <cellStyle name="40% - Accent2 3 4 13" xfId="8289" xr:uid="{00000000-0005-0000-0000-000005200000}"/>
    <cellStyle name="40% - Accent2 3 4 14" xfId="8290" xr:uid="{00000000-0005-0000-0000-000006200000}"/>
    <cellStyle name="40% - Accent2 3 4 15" xfId="8291" xr:uid="{00000000-0005-0000-0000-000007200000}"/>
    <cellStyle name="40% - Accent2 3 4 16" xfId="8292" xr:uid="{00000000-0005-0000-0000-000008200000}"/>
    <cellStyle name="40% - Accent2 3 4 2" xfId="8293" xr:uid="{00000000-0005-0000-0000-000009200000}"/>
    <cellStyle name="40% - Accent2 3 4 3" xfId="8294" xr:uid="{00000000-0005-0000-0000-00000A200000}"/>
    <cellStyle name="40% - Accent2 3 4 4" xfId="8295" xr:uid="{00000000-0005-0000-0000-00000B200000}"/>
    <cellStyle name="40% - Accent2 3 4 5" xfId="8296" xr:uid="{00000000-0005-0000-0000-00000C200000}"/>
    <cellStyle name="40% - Accent2 3 4 6" xfId="8297" xr:uid="{00000000-0005-0000-0000-00000D200000}"/>
    <cellStyle name="40% - Accent2 3 4 7" xfId="8298" xr:uid="{00000000-0005-0000-0000-00000E200000}"/>
    <cellStyle name="40% - Accent2 3 4 8" xfId="8299" xr:uid="{00000000-0005-0000-0000-00000F200000}"/>
    <cellStyle name="40% - Accent2 3 4 9" xfId="8300" xr:uid="{00000000-0005-0000-0000-000010200000}"/>
    <cellStyle name="40% - Accent2 3 40" xfId="8301" xr:uid="{00000000-0005-0000-0000-000011200000}"/>
    <cellStyle name="40% - Accent2 3 41" xfId="8302" xr:uid="{00000000-0005-0000-0000-000012200000}"/>
    <cellStyle name="40% - Accent2 3 42" xfId="8303" xr:uid="{00000000-0005-0000-0000-000013200000}"/>
    <cellStyle name="40% - Accent2 3 43" xfId="8304" xr:uid="{00000000-0005-0000-0000-000014200000}"/>
    <cellStyle name="40% - Accent2 3 44" xfId="8305" xr:uid="{00000000-0005-0000-0000-000015200000}"/>
    <cellStyle name="40% - Accent2 3 45" xfId="8306" xr:uid="{00000000-0005-0000-0000-000016200000}"/>
    <cellStyle name="40% - Accent2 3 46" xfId="8307" xr:uid="{00000000-0005-0000-0000-000017200000}"/>
    <cellStyle name="40% - Accent2 3 47" xfId="8308" xr:uid="{00000000-0005-0000-0000-000018200000}"/>
    <cellStyle name="40% - Accent2 3 48" xfId="8309" xr:uid="{00000000-0005-0000-0000-000019200000}"/>
    <cellStyle name="40% - Accent2 3 49" xfId="8310" xr:uid="{00000000-0005-0000-0000-00001A200000}"/>
    <cellStyle name="40% - Accent2 3 5" xfId="8311" xr:uid="{00000000-0005-0000-0000-00001B200000}"/>
    <cellStyle name="40% - Accent2 3 5 10" xfId="8312" xr:uid="{00000000-0005-0000-0000-00001C200000}"/>
    <cellStyle name="40% - Accent2 3 5 11" xfId="8313" xr:uid="{00000000-0005-0000-0000-00001D200000}"/>
    <cellStyle name="40% - Accent2 3 5 12" xfId="8314" xr:uid="{00000000-0005-0000-0000-00001E200000}"/>
    <cellStyle name="40% - Accent2 3 5 13" xfId="8315" xr:uid="{00000000-0005-0000-0000-00001F200000}"/>
    <cellStyle name="40% - Accent2 3 5 14" xfId="8316" xr:uid="{00000000-0005-0000-0000-000020200000}"/>
    <cellStyle name="40% - Accent2 3 5 15" xfId="8317" xr:uid="{00000000-0005-0000-0000-000021200000}"/>
    <cellStyle name="40% - Accent2 3 5 2" xfId="8318" xr:uid="{00000000-0005-0000-0000-000022200000}"/>
    <cellStyle name="40% - Accent2 3 5 3" xfId="8319" xr:uid="{00000000-0005-0000-0000-000023200000}"/>
    <cellStyle name="40% - Accent2 3 5 4" xfId="8320" xr:uid="{00000000-0005-0000-0000-000024200000}"/>
    <cellStyle name="40% - Accent2 3 5 5" xfId="8321" xr:uid="{00000000-0005-0000-0000-000025200000}"/>
    <cellStyle name="40% - Accent2 3 5 6" xfId="8322" xr:uid="{00000000-0005-0000-0000-000026200000}"/>
    <cellStyle name="40% - Accent2 3 5 7" xfId="8323" xr:uid="{00000000-0005-0000-0000-000027200000}"/>
    <cellStyle name="40% - Accent2 3 5 8" xfId="8324" xr:uid="{00000000-0005-0000-0000-000028200000}"/>
    <cellStyle name="40% - Accent2 3 5 9" xfId="8325" xr:uid="{00000000-0005-0000-0000-000029200000}"/>
    <cellStyle name="40% - Accent2 3 50" xfId="8326" xr:uid="{00000000-0005-0000-0000-00002A200000}"/>
    <cellStyle name="40% - Accent2 3 51" xfId="8327" xr:uid="{00000000-0005-0000-0000-00002B200000}"/>
    <cellStyle name="40% - Accent2 3 52" xfId="8328" xr:uid="{00000000-0005-0000-0000-00002C200000}"/>
    <cellStyle name="40% - Accent2 3 53" xfId="8329" xr:uid="{00000000-0005-0000-0000-00002D200000}"/>
    <cellStyle name="40% - Accent2 3 54" xfId="8330" xr:uid="{00000000-0005-0000-0000-00002E200000}"/>
    <cellStyle name="40% - Accent2 3 55" xfId="8331" xr:uid="{00000000-0005-0000-0000-00002F200000}"/>
    <cellStyle name="40% - Accent2 3 6" xfId="8332" xr:uid="{00000000-0005-0000-0000-000030200000}"/>
    <cellStyle name="40% - Accent2 3 6 10" xfId="8333" xr:uid="{00000000-0005-0000-0000-000031200000}"/>
    <cellStyle name="40% - Accent2 3 6 11" xfId="8334" xr:uid="{00000000-0005-0000-0000-000032200000}"/>
    <cellStyle name="40% - Accent2 3 6 12" xfId="8335" xr:uid="{00000000-0005-0000-0000-000033200000}"/>
    <cellStyle name="40% - Accent2 3 6 13" xfId="8336" xr:uid="{00000000-0005-0000-0000-000034200000}"/>
    <cellStyle name="40% - Accent2 3 6 14" xfId="8337" xr:uid="{00000000-0005-0000-0000-000035200000}"/>
    <cellStyle name="40% - Accent2 3 6 15" xfId="8338" xr:uid="{00000000-0005-0000-0000-000036200000}"/>
    <cellStyle name="40% - Accent2 3 6 2" xfId="8339" xr:uid="{00000000-0005-0000-0000-000037200000}"/>
    <cellStyle name="40% - Accent2 3 6 3" xfId="8340" xr:uid="{00000000-0005-0000-0000-000038200000}"/>
    <cellStyle name="40% - Accent2 3 6 4" xfId="8341" xr:uid="{00000000-0005-0000-0000-000039200000}"/>
    <cellStyle name="40% - Accent2 3 6 5" xfId="8342" xr:uid="{00000000-0005-0000-0000-00003A200000}"/>
    <cellStyle name="40% - Accent2 3 6 6" xfId="8343" xr:uid="{00000000-0005-0000-0000-00003B200000}"/>
    <cellStyle name="40% - Accent2 3 6 7" xfId="8344" xr:uid="{00000000-0005-0000-0000-00003C200000}"/>
    <cellStyle name="40% - Accent2 3 6 8" xfId="8345" xr:uid="{00000000-0005-0000-0000-00003D200000}"/>
    <cellStyle name="40% - Accent2 3 6 9" xfId="8346" xr:uid="{00000000-0005-0000-0000-00003E200000}"/>
    <cellStyle name="40% - Accent2 3 7" xfId="8347" xr:uid="{00000000-0005-0000-0000-00003F200000}"/>
    <cellStyle name="40% - Accent2 3 7 10" xfId="8348" xr:uid="{00000000-0005-0000-0000-000040200000}"/>
    <cellStyle name="40% - Accent2 3 7 11" xfId="8349" xr:uid="{00000000-0005-0000-0000-000041200000}"/>
    <cellStyle name="40% - Accent2 3 7 12" xfId="8350" xr:uid="{00000000-0005-0000-0000-000042200000}"/>
    <cellStyle name="40% - Accent2 3 7 13" xfId="8351" xr:uid="{00000000-0005-0000-0000-000043200000}"/>
    <cellStyle name="40% - Accent2 3 7 14" xfId="8352" xr:uid="{00000000-0005-0000-0000-000044200000}"/>
    <cellStyle name="40% - Accent2 3 7 15" xfId="8353" xr:uid="{00000000-0005-0000-0000-000045200000}"/>
    <cellStyle name="40% - Accent2 3 7 2" xfId="8354" xr:uid="{00000000-0005-0000-0000-000046200000}"/>
    <cellStyle name="40% - Accent2 3 7 3" xfId="8355" xr:uid="{00000000-0005-0000-0000-000047200000}"/>
    <cellStyle name="40% - Accent2 3 7 4" xfId="8356" xr:uid="{00000000-0005-0000-0000-000048200000}"/>
    <cellStyle name="40% - Accent2 3 7 5" xfId="8357" xr:uid="{00000000-0005-0000-0000-000049200000}"/>
    <cellStyle name="40% - Accent2 3 7 6" xfId="8358" xr:uid="{00000000-0005-0000-0000-00004A200000}"/>
    <cellStyle name="40% - Accent2 3 7 7" xfId="8359" xr:uid="{00000000-0005-0000-0000-00004B200000}"/>
    <cellStyle name="40% - Accent2 3 7 8" xfId="8360" xr:uid="{00000000-0005-0000-0000-00004C200000}"/>
    <cellStyle name="40% - Accent2 3 7 9" xfId="8361" xr:uid="{00000000-0005-0000-0000-00004D200000}"/>
    <cellStyle name="40% - Accent2 3 8" xfId="8362" xr:uid="{00000000-0005-0000-0000-00004E200000}"/>
    <cellStyle name="40% - Accent2 3 8 10" xfId="8363" xr:uid="{00000000-0005-0000-0000-00004F200000}"/>
    <cellStyle name="40% - Accent2 3 8 11" xfId="8364" xr:uid="{00000000-0005-0000-0000-000050200000}"/>
    <cellStyle name="40% - Accent2 3 8 12" xfId="8365" xr:uid="{00000000-0005-0000-0000-000051200000}"/>
    <cellStyle name="40% - Accent2 3 8 13" xfId="8366" xr:uid="{00000000-0005-0000-0000-000052200000}"/>
    <cellStyle name="40% - Accent2 3 8 14" xfId="8367" xr:uid="{00000000-0005-0000-0000-000053200000}"/>
    <cellStyle name="40% - Accent2 3 8 15" xfId="8368" xr:uid="{00000000-0005-0000-0000-000054200000}"/>
    <cellStyle name="40% - Accent2 3 8 2" xfId="8369" xr:uid="{00000000-0005-0000-0000-000055200000}"/>
    <cellStyle name="40% - Accent2 3 8 3" xfId="8370" xr:uid="{00000000-0005-0000-0000-000056200000}"/>
    <cellStyle name="40% - Accent2 3 8 4" xfId="8371" xr:uid="{00000000-0005-0000-0000-000057200000}"/>
    <cellStyle name="40% - Accent2 3 8 5" xfId="8372" xr:uid="{00000000-0005-0000-0000-000058200000}"/>
    <cellStyle name="40% - Accent2 3 8 6" xfId="8373" xr:uid="{00000000-0005-0000-0000-000059200000}"/>
    <cellStyle name="40% - Accent2 3 8 7" xfId="8374" xr:uid="{00000000-0005-0000-0000-00005A200000}"/>
    <cellStyle name="40% - Accent2 3 8 8" xfId="8375" xr:uid="{00000000-0005-0000-0000-00005B200000}"/>
    <cellStyle name="40% - Accent2 3 8 9" xfId="8376" xr:uid="{00000000-0005-0000-0000-00005C200000}"/>
    <cellStyle name="40% - Accent2 3 9" xfId="8377" xr:uid="{00000000-0005-0000-0000-00005D200000}"/>
    <cellStyle name="40% - Accent2 3 9 10" xfId="8378" xr:uid="{00000000-0005-0000-0000-00005E200000}"/>
    <cellStyle name="40% - Accent2 3 9 11" xfId="8379" xr:uid="{00000000-0005-0000-0000-00005F200000}"/>
    <cellStyle name="40% - Accent2 3 9 12" xfId="8380" xr:uid="{00000000-0005-0000-0000-000060200000}"/>
    <cellStyle name="40% - Accent2 3 9 13" xfId="8381" xr:uid="{00000000-0005-0000-0000-000061200000}"/>
    <cellStyle name="40% - Accent2 3 9 14" xfId="8382" xr:uid="{00000000-0005-0000-0000-000062200000}"/>
    <cellStyle name="40% - Accent2 3 9 15" xfId="8383" xr:uid="{00000000-0005-0000-0000-000063200000}"/>
    <cellStyle name="40% - Accent2 3 9 2" xfId="8384" xr:uid="{00000000-0005-0000-0000-000064200000}"/>
    <cellStyle name="40% - Accent2 3 9 3" xfId="8385" xr:uid="{00000000-0005-0000-0000-000065200000}"/>
    <cellStyle name="40% - Accent2 3 9 4" xfId="8386" xr:uid="{00000000-0005-0000-0000-000066200000}"/>
    <cellStyle name="40% - Accent2 3 9 5" xfId="8387" xr:uid="{00000000-0005-0000-0000-000067200000}"/>
    <cellStyle name="40% - Accent2 3 9 6" xfId="8388" xr:uid="{00000000-0005-0000-0000-000068200000}"/>
    <cellStyle name="40% - Accent2 3 9 7" xfId="8389" xr:uid="{00000000-0005-0000-0000-000069200000}"/>
    <cellStyle name="40% - Accent2 3 9 8" xfId="8390" xr:uid="{00000000-0005-0000-0000-00006A200000}"/>
    <cellStyle name="40% - Accent2 3 9 9" xfId="8391" xr:uid="{00000000-0005-0000-0000-00006B200000}"/>
    <cellStyle name="40% - Accent2 30" xfId="8392" xr:uid="{00000000-0005-0000-0000-00006C200000}"/>
    <cellStyle name="40% - Accent2 30 10" xfId="8393" xr:uid="{00000000-0005-0000-0000-00006D200000}"/>
    <cellStyle name="40% - Accent2 30 11" xfId="8394" xr:uid="{00000000-0005-0000-0000-00006E200000}"/>
    <cellStyle name="40% - Accent2 30 12" xfId="8395" xr:uid="{00000000-0005-0000-0000-00006F200000}"/>
    <cellStyle name="40% - Accent2 30 13" xfId="8396" xr:uid="{00000000-0005-0000-0000-000070200000}"/>
    <cellStyle name="40% - Accent2 30 14" xfId="8397" xr:uid="{00000000-0005-0000-0000-000071200000}"/>
    <cellStyle name="40% - Accent2 30 15" xfId="8398" xr:uid="{00000000-0005-0000-0000-000072200000}"/>
    <cellStyle name="40% - Accent2 30 16" xfId="8399" xr:uid="{00000000-0005-0000-0000-000073200000}"/>
    <cellStyle name="40% - Accent2 30 2" xfId="8400" xr:uid="{00000000-0005-0000-0000-000074200000}"/>
    <cellStyle name="40% - Accent2 30 3" xfId="8401" xr:uid="{00000000-0005-0000-0000-000075200000}"/>
    <cellStyle name="40% - Accent2 30 4" xfId="8402" xr:uid="{00000000-0005-0000-0000-000076200000}"/>
    <cellStyle name="40% - Accent2 30 5" xfId="8403" xr:uid="{00000000-0005-0000-0000-000077200000}"/>
    <cellStyle name="40% - Accent2 30 6" xfId="8404" xr:uid="{00000000-0005-0000-0000-000078200000}"/>
    <cellStyle name="40% - Accent2 30 7" xfId="8405" xr:uid="{00000000-0005-0000-0000-000079200000}"/>
    <cellStyle name="40% - Accent2 30 8" xfId="8406" xr:uid="{00000000-0005-0000-0000-00007A200000}"/>
    <cellStyle name="40% - Accent2 30 9" xfId="8407" xr:uid="{00000000-0005-0000-0000-00007B200000}"/>
    <cellStyle name="40% - Accent2 31" xfId="8408" xr:uid="{00000000-0005-0000-0000-00007C200000}"/>
    <cellStyle name="40% - Accent2 31 10" xfId="8409" xr:uid="{00000000-0005-0000-0000-00007D200000}"/>
    <cellStyle name="40% - Accent2 31 11" xfId="8410" xr:uid="{00000000-0005-0000-0000-00007E200000}"/>
    <cellStyle name="40% - Accent2 31 12" xfId="8411" xr:uid="{00000000-0005-0000-0000-00007F200000}"/>
    <cellStyle name="40% - Accent2 31 13" xfId="8412" xr:uid="{00000000-0005-0000-0000-000080200000}"/>
    <cellStyle name="40% - Accent2 31 14" xfId="8413" xr:uid="{00000000-0005-0000-0000-000081200000}"/>
    <cellStyle name="40% - Accent2 31 15" xfId="8414" xr:uid="{00000000-0005-0000-0000-000082200000}"/>
    <cellStyle name="40% - Accent2 31 16" xfId="8415" xr:uid="{00000000-0005-0000-0000-000083200000}"/>
    <cellStyle name="40% - Accent2 31 2" xfId="8416" xr:uid="{00000000-0005-0000-0000-000084200000}"/>
    <cellStyle name="40% - Accent2 31 3" xfId="8417" xr:uid="{00000000-0005-0000-0000-000085200000}"/>
    <cellStyle name="40% - Accent2 31 4" xfId="8418" xr:uid="{00000000-0005-0000-0000-000086200000}"/>
    <cellStyle name="40% - Accent2 31 5" xfId="8419" xr:uid="{00000000-0005-0000-0000-000087200000}"/>
    <cellStyle name="40% - Accent2 31 6" xfId="8420" xr:uid="{00000000-0005-0000-0000-000088200000}"/>
    <cellStyle name="40% - Accent2 31 7" xfId="8421" xr:uid="{00000000-0005-0000-0000-000089200000}"/>
    <cellStyle name="40% - Accent2 31 8" xfId="8422" xr:uid="{00000000-0005-0000-0000-00008A200000}"/>
    <cellStyle name="40% - Accent2 31 9" xfId="8423" xr:uid="{00000000-0005-0000-0000-00008B200000}"/>
    <cellStyle name="40% - Accent2 32" xfId="8424" xr:uid="{00000000-0005-0000-0000-00008C200000}"/>
    <cellStyle name="40% - Accent2 32 10" xfId="8425" xr:uid="{00000000-0005-0000-0000-00008D200000}"/>
    <cellStyle name="40% - Accent2 32 11" xfId="8426" xr:uid="{00000000-0005-0000-0000-00008E200000}"/>
    <cellStyle name="40% - Accent2 32 12" xfId="8427" xr:uid="{00000000-0005-0000-0000-00008F200000}"/>
    <cellStyle name="40% - Accent2 32 13" xfId="8428" xr:uid="{00000000-0005-0000-0000-000090200000}"/>
    <cellStyle name="40% - Accent2 32 14" xfId="8429" xr:uid="{00000000-0005-0000-0000-000091200000}"/>
    <cellStyle name="40% - Accent2 32 15" xfId="8430" xr:uid="{00000000-0005-0000-0000-000092200000}"/>
    <cellStyle name="40% - Accent2 32 2" xfId="8431" xr:uid="{00000000-0005-0000-0000-000093200000}"/>
    <cellStyle name="40% - Accent2 32 3" xfId="8432" xr:uid="{00000000-0005-0000-0000-000094200000}"/>
    <cellStyle name="40% - Accent2 32 4" xfId="8433" xr:uid="{00000000-0005-0000-0000-000095200000}"/>
    <cellStyle name="40% - Accent2 32 5" xfId="8434" xr:uid="{00000000-0005-0000-0000-000096200000}"/>
    <cellStyle name="40% - Accent2 32 6" xfId="8435" xr:uid="{00000000-0005-0000-0000-000097200000}"/>
    <cellStyle name="40% - Accent2 32 7" xfId="8436" xr:uid="{00000000-0005-0000-0000-000098200000}"/>
    <cellStyle name="40% - Accent2 32 8" xfId="8437" xr:uid="{00000000-0005-0000-0000-000099200000}"/>
    <cellStyle name="40% - Accent2 32 9" xfId="8438" xr:uid="{00000000-0005-0000-0000-00009A200000}"/>
    <cellStyle name="40% - Accent2 33" xfId="8439" xr:uid="{00000000-0005-0000-0000-00009B200000}"/>
    <cellStyle name="40% - Accent2 33 10" xfId="8440" xr:uid="{00000000-0005-0000-0000-00009C200000}"/>
    <cellStyle name="40% - Accent2 33 11" xfId="8441" xr:uid="{00000000-0005-0000-0000-00009D200000}"/>
    <cellStyle name="40% - Accent2 33 12" xfId="8442" xr:uid="{00000000-0005-0000-0000-00009E200000}"/>
    <cellStyle name="40% - Accent2 33 13" xfId="8443" xr:uid="{00000000-0005-0000-0000-00009F200000}"/>
    <cellStyle name="40% - Accent2 33 14" xfId="8444" xr:uid="{00000000-0005-0000-0000-0000A0200000}"/>
    <cellStyle name="40% - Accent2 33 15" xfId="8445" xr:uid="{00000000-0005-0000-0000-0000A1200000}"/>
    <cellStyle name="40% - Accent2 33 16" xfId="8446" xr:uid="{00000000-0005-0000-0000-0000A2200000}"/>
    <cellStyle name="40% - Accent2 33 2" xfId="8447" xr:uid="{00000000-0005-0000-0000-0000A3200000}"/>
    <cellStyle name="40% - Accent2 33 3" xfId="8448" xr:uid="{00000000-0005-0000-0000-0000A4200000}"/>
    <cellStyle name="40% - Accent2 33 4" xfId="8449" xr:uid="{00000000-0005-0000-0000-0000A5200000}"/>
    <cellStyle name="40% - Accent2 33 5" xfId="8450" xr:uid="{00000000-0005-0000-0000-0000A6200000}"/>
    <cellStyle name="40% - Accent2 33 6" xfId="8451" xr:uid="{00000000-0005-0000-0000-0000A7200000}"/>
    <cellStyle name="40% - Accent2 33 7" xfId="8452" xr:uid="{00000000-0005-0000-0000-0000A8200000}"/>
    <cellStyle name="40% - Accent2 33 8" xfId="8453" xr:uid="{00000000-0005-0000-0000-0000A9200000}"/>
    <cellStyle name="40% - Accent2 33 9" xfId="8454" xr:uid="{00000000-0005-0000-0000-0000AA200000}"/>
    <cellStyle name="40% - Accent2 34" xfId="8455" xr:uid="{00000000-0005-0000-0000-0000AB200000}"/>
    <cellStyle name="40% - Accent2 34 10" xfId="8456" xr:uid="{00000000-0005-0000-0000-0000AC200000}"/>
    <cellStyle name="40% - Accent2 34 11" xfId="8457" xr:uid="{00000000-0005-0000-0000-0000AD200000}"/>
    <cellStyle name="40% - Accent2 34 12" xfId="8458" xr:uid="{00000000-0005-0000-0000-0000AE200000}"/>
    <cellStyle name="40% - Accent2 34 13" xfId="8459" xr:uid="{00000000-0005-0000-0000-0000AF200000}"/>
    <cellStyle name="40% - Accent2 34 14" xfId="8460" xr:uid="{00000000-0005-0000-0000-0000B0200000}"/>
    <cellStyle name="40% - Accent2 34 15" xfId="8461" xr:uid="{00000000-0005-0000-0000-0000B1200000}"/>
    <cellStyle name="40% - Accent2 34 16" xfId="8462" xr:uid="{00000000-0005-0000-0000-0000B2200000}"/>
    <cellStyle name="40% - Accent2 34 2" xfId="8463" xr:uid="{00000000-0005-0000-0000-0000B3200000}"/>
    <cellStyle name="40% - Accent2 34 3" xfId="8464" xr:uid="{00000000-0005-0000-0000-0000B4200000}"/>
    <cellStyle name="40% - Accent2 34 4" xfId="8465" xr:uid="{00000000-0005-0000-0000-0000B5200000}"/>
    <cellStyle name="40% - Accent2 34 5" xfId="8466" xr:uid="{00000000-0005-0000-0000-0000B6200000}"/>
    <cellStyle name="40% - Accent2 34 6" xfId="8467" xr:uid="{00000000-0005-0000-0000-0000B7200000}"/>
    <cellStyle name="40% - Accent2 34 7" xfId="8468" xr:uid="{00000000-0005-0000-0000-0000B8200000}"/>
    <cellStyle name="40% - Accent2 34 8" xfId="8469" xr:uid="{00000000-0005-0000-0000-0000B9200000}"/>
    <cellStyle name="40% - Accent2 34 9" xfId="8470" xr:uid="{00000000-0005-0000-0000-0000BA200000}"/>
    <cellStyle name="40% - Accent2 35" xfId="8471" xr:uid="{00000000-0005-0000-0000-0000BB200000}"/>
    <cellStyle name="40% - Accent2 35 10" xfId="8472" xr:uid="{00000000-0005-0000-0000-0000BC200000}"/>
    <cellStyle name="40% - Accent2 35 11" xfId="8473" xr:uid="{00000000-0005-0000-0000-0000BD200000}"/>
    <cellStyle name="40% - Accent2 35 12" xfId="8474" xr:uid="{00000000-0005-0000-0000-0000BE200000}"/>
    <cellStyle name="40% - Accent2 35 13" xfId="8475" xr:uid="{00000000-0005-0000-0000-0000BF200000}"/>
    <cellStyle name="40% - Accent2 35 14" xfId="8476" xr:uid="{00000000-0005-0000-0000-0000C0200000}"/>
    <cellStyle name="40% - Accent2 35 15" xfId="8477" xr:uid="{00000000-0005-0000-0000-0000C1200000}"/>
    <cellStyle name="40% - Accent2 35 16" xfId="8478" xr:uid="{00000000-0005-0000-0000-0000C2200000}"/>
    <cellStyle name="40% - Accent2 35 2" xfId="8479" xr:uid="{00000000-0005-0000-0000-0000C3200000}"/>
    <cellStyle name="40% - Accent2 35 3" xfId="8480" xr:uid="{00000000-0005-0000-0000-0000C4200000}"/>
    <cellStyle name="40% - Accent2 35 4" xfId="8481" xr:uid="{00000000-0005-0000-0000-0000C5200000}"/>
    <cellStyle name="40% - Accent2 35 5" xfId="8482" xr:uid="{00000000-0005-0000-0000-0000C6200000}"/>
    <cellStyle name="40% - Accent2 35 6" xfId="8483" xr:uid="{00000000-0005-0000-0000-0000C7200000}"/>
    <cellStyle name="40% - Accent2 35 7" xfId="8484" xr:uid="{00000000-0005-0000-0000-0000C8200000}"/>
    <cellStyle name="40% - Accent2 35 8" xfId="8485" xr:uid="{00000000-0005-0000-0000-0000C9200000}"/>
    <cellStyle name="40% - Accent2 35 9" xfId="8486" xr:uid="{00000000-0005-0000-0000-0000CA200000}"/>
    <cellStyle name="40% - Accent2 36" xfId="8487" xr:uid="{00000000-0005-0000-0000-0000CB200000}"/>
    <cellStyle name="40% - Accent2 36 10" xfId="8488" xr:uid="{00000000-0005-0000-0000-0000CC200000}"/>
    <cellStyle name="40% - Accent2 36 11" xfId="8489" xr:uid="{00000000-0005-0000-0000-0000CD200000}"/>
    <cellStyle name="40% - Accent2 36 12" xfId="8490" xr:uid="{00000000-0005-0000-0000-0000CE200000}"/>
    <cellStyle name="40% - Accent2 36 13" xfId="8491" xr:uid="{00000000-0005-0000-0000-0000CF200000}"/>
    <cellStyle name="40% - Accent2 36 14" xfId="8492" xr:uid="{00000000-0005-0000-0000-0000D0200000}"/>
    <cellStyle name="40% - Accent2 36 15" xfId="8493" xr:uid="{00000000-0005-0000-0000-0000D1200000}"/>
    <cellStyle name="40% - Accent2 36 16" xfId="8494" xr:uid="{00000000-0005-0000-0000-0000D2200000}"/>
    <cellStyle name="40% - Accent2 36 2" xfId="8495" xr:uid="{00000000-0005-0000-0000-0000D3200000}"/>
    <cellStyle name="40% - Accent2 36 3" xfId="8496" xr:uid="{00000000-0005-0000-0000-0000D4200000}"/>
    <cellStyle name="40% - Accent2 36 4" xfId="8497" xr:uid="{00000000-0005-0000-0000-0000D5200000}"/>
    <cellStyle name="40% - Accent2 36 5" xfId="8498" xr:uid="{00000000-0005-0000-0000-0000D6200000}"/>
    <cellStyle name="40% - Accent2 36 6" xfId="8499" xr:uid="{00000000-0005-0000-0000-0000D7200000}"/>
    <cellStyle name="40% - Accent2 36 7" xfId="8500" xr:uid="{00000000-0005-0000-0000-0000D8200000}"/>
    <cellStyle name="40% - Accent2 36 8" xfId="8501" xr:uid="{00000000-0005-0000-0000-0000D9200000}"/>
    <cellStyle name="40% - Accent2 36 9" xfId="8502" xr:uid="{00000000-0005-0000-0000-0000DA200000}"/>
    <cellStyle name="40% - Accent2 37" xfId="8503" xr:uid="{00000000-0005-0000-0000-0000DB200000}"/>
    <cellStyle name="40% - Accent2 37 10" xfId="8504" xr:uid="{00000000-0005-0000-0000-0000DC200000}"/>
    <cellStyle name="40% - Accent2 37 11" xfId="8505" xr:uid="{00000000-0005-0000-0000-0000DD200000}"/>
    <cellStyle name="40% - Accent2 37 12" xfId="8506" xr:uid="{00000000-0005-0000-0000-0000DE200000}"/>
    <cellStyle name="40% - Accent2 37 13" xfId="8507" xr:uid="{00000000-0005-0000-0000-0000DF200000}"/>
    <cellStyle name="40% - Accent2 37 14" xfId="8508" xr:uid="{00000000-0005-0000-0000-0000E0200000}"/>
    <cellStyle name="40% - Accent2 37 15" xfId="8509" xr:uid="{00000000-0005-0000-0000-0000E1200000}"/>
    <cellStyle name="40% - Accent2 37 2" xfId="8510" xr:uid="{00000000-0005-0000-0000-0000E2200000}"/>
    <cellStyle name="40% - Accent2 37 3" xfId="8511" xr:uid="{00000000-0005-0000-0000-0000E3200000}"/>
    <cellStyle name="40% - Accent2 37 4" xfId="8512" xr:uid="{00000000-0005-0000-0000-0000E4200000}"/>
    <cellStyle name="40% - Accent2 37 5" xfId="8513" xr:uid="{00000000-0005-0000-0000-0000E5200000}"/>
    <cellStyle name="40% - Accent2 37 6" xfId="8514" xr:uid="{00000000-0005-0000-0000-0000E6200000}"/>
    <cellStyle name="40% - Accent2 37 7" xfId="8515" xr:uid="{00000000-0005-0000-0000-0000E7200000}"/>
    <cellStyle name="40% - Accent2 37 8" xfId="8516" xr:uid="{00000000-0005-0000-0000-0000E8200000}"/>
    <cellStyle name="40% - Accent2 37 9" xfId="8517" xr:uid="{00000000-0005-0000-0000-0000E9200000}"/>
    <cellStyle name="40% - Accent2 38" xfId="8518" xr:uid="{00000000-0005-0000-0000-0000EA200000}"/>
    <cellStyle name="40% - Accent2 38 10" xfId="8519" xr:uid="{00000000-0005-0000-0000-0000EB200000}"/>
    <cellStyle name="40% - Accent2 38 11" xfId="8520" xr:uid="{00000000-0005-0000-0000-0000EC200000}"/>
    <cellStyle name="40% - Accent2 38 12" xfId="8521" xr:uid="{00000000-0005-0000-0000-0000ED200000}"/>
    <cellStyle name="40% - Accent2 38 13" xfId="8522" xr:uid="{00000000-0005-0000-0000-0000EE200000}"/>
    <cellStyle name="40% - Accent2 38 14" xfId="8523" xr:uid="{00000000-0005-0000-0000-0000EF200000}"/>
    <cellStyle name="40% - Accent2 38 15" xfId="8524" xr:uid="{00000000-0005-0000-0000-0000F0200000}"/>
    <cellStyle name="40% - Accent2 38 2" xfId="8525" xr:uid="{00000000-0005-0000-0000-0000F1200000}"/>
    <cellStyle name="40% - Accent2 38 3" xfId="8526" xr:uid="{00000000-0005-0000-0000-0000F2200000}"/>
    <cellStyle name="40% - Accent2 38 4" xfId="8527" xr:uid="{00000000-0005-0000-0000-0000F3200000}"/>
    <cellStyle name="40% - Accent2 38 5" xfId="8528" xr:uid="{00000000-0005-0000-0000-0000F4200000}"/>
    <cellStyle name="40% - Accent2 38 6" xfId="8529" xr:uid="{00000000-0005-0000-0000-0000F5200000}"/>
    <cellStyle name="40% - Accent2 38 7" xfId="8530" xr:uid="{00000000-0005-0000-0000-0000F6200000}"/>
    <cellStyle name="40% - Accent2 38 8" xfId="8531" xr:uid="{00000000-0005-0000-0000-0000F7200000}"/>
    <cellStyle name="40% - Accent2 38 9" xfId="8532" xr:uid="{00000000-0005-0000-0000-0000F8200000}"/>
    <cellStyle name="40% - Accent2 39" xfId="8533" xr:uid="{00000000-0005-0000-0000-0000F9200000}"/>
    <cellStyle name="40% - Accent2 39 10" xfId="8534" xr:uid="{00000000-0005-0000-0000-0000FA200000}"/>
    <cellStyle name="40% - Accent2 39 11" xfId="8535" xr:uid="{00000000-0005-0000-0000-0000FB200000}"/>
    <cellStyle name="40% - Accent2 39 12" xfId="8536" xr:uid="{00000000-0005-0000-0000-0000FC200000}"/>
    <cellStyle name="40% - Accent2 39 13" xfId="8537" xr:uid="{00000000-0005-0000-0000-0000FD200000}"/>
    <cellStyle name="40% - Accent2 39 14" xfId="8538" xr:uid="{00000000-0005-0000-0000-0000FE200000}"/>
    <cellStyle name="40% - Accent2 39 15" xfId="8539" xr:uid="{00000000-0005-0000-0000-0000FF200000}"/>
    <cellStyle name="40% - Accent2 39 2" xfId="8540" xr:uid="{00000000-0005-0000-0000-000000210000}"/>
    <cellStyle name="40% - Accent2 39 3" xfId="8541" xr:uid="{00000000-0005-0000-0000-000001210000}"/>
    <cellStyle name="40% - Accent2 39 4" xfId="8542" xr:uid="{00000000-0005-0000-0000-000002210000}"/>
    <cellStyle name="40% - Accent2 39 5" xfId="8543" xr:uid="{00000000-0005-0000-0000-000003210000}"/>
    <cellStyle name="40% - Accent2 39 6" xfId="8544" xr:uid="{00000000-0005-0000-0000-000004210000}"/>
    <cellStyle name="40% - Accent2 39 7" xfId="8545" xr:uid="{00000000-0005-0000-0000-000005210000}"/>
    <cellStyle name="40% - Accent2 39 8" xfId="8546" xr:uid="{00000000-0005-0000-0000-000006210000}"/>
    <cellStyle name="40% - Accent2 39 9" xfId="8547" xr:uid="{00000000-0005-0000-0000-000007210000}"/>
    <cellStyle name="40% - Accent2 4" xfId="8548" xr:uid="{00000000-0005-0000-0000-000008210000}"/>
    <cellStyle name="40% - Accent2 4 2" xfId="8549" xr:uid="{00000000-0005-0000-0000-000009210000}"/>
    <cellStyle name="40% - Accent2 4 2 2" xfId="8550" xr:uid="{00000000-0005-0000-0000-00000A210000}"/>
    <cellStyle name="40% - Accent2 4 2 3" xfId="8551" xr:uid="{00000000-0005-0000-0000-00000B210000}"/>
    <cellStyle name="40% - Accent2 4 2 4" xfId="8552" xr:uid="{00000000-0005-0000-0000-00000C210000}"/>
    <cellStyle name="40% - Accent2 4 2 5" xfId="8553" xr:uid="{00000000-0005-0000-0000-00000D210000}"/>
    <cellStyle name="40% - Accent2 4 3" xfId="8554" xr:uid="{00000000-0005-0000-0000-00000E210000}"/>
    <cellStyle name="40% - Accent2 4 3 2" xfId="8555" xr:uid="{00000000-0005-0000-0000-00000F210000}"/>
    <cellStyle name="40% - Accent2 4 4" xfId="8556" xr:uid="{00000000-0005-0000-0000-000010210000}"/>
    <cellStyle name="40% - Accent2 4 4 2" xfId="8557" xr:uid="{00000000-0005-0000-0000-000011210000}"/>
    <cellStyle name="40% - Accent2 4 5" xfId="8558" xr:uid="{00000000-0005-0000-0000-000012210000}"/>
    <cellStyle name="40% - Accent2 4 5 2" xfId="8559" xr:uid="{00000000-0005-0000-0000-000013210000}"/>
    <cellStyle name="40% - Accent2 4 6" xfId="8560" xr:uid="{00000000-0005-0000-0000-000014210000}"/>
    <cellStyle name="40% - Accent2 4 6 2" xfId="8561" xr:uid="{00000000-0005-0000-0000-000015210000}"/>
    <cellStyle name="40% - Accent2 4 7" xfId="8562" xr:uid="{00000000-0005-0000-0000-000016210000}"/>
    <cellStyle name="40% - Accent2 40" xfId="8563" xr:uid="{00000000-0005-0000-0000-000017210000}"/>
    <cellStyle name="40% - Accent2 41" xfId="8564" xr:uid="{00000000-0005-0000-0000-000018210000}"/>
    <cellStyle name="40% - Accent2 42" xfId="8565" xr:uid="{00000000-0005-0000-0000-000019210000}"/>
    <cellStyle name="40% - Accent2 43" xfId="8566" xr:uid="{00000000-0005-0000-0000-00001A210000}"/>
    <cellStyle name="40% - Accent2 44" xfId="8567" xr:uid="{00000000-0005-0000-0000-00001B210000}"/>
    <cellStyle name="40% - Accent2 45" xfId="8568" xr:uid="{00000000-0005-0000-0000-00001C210000}"/>
    <cellStyle name="40% - Accent2 46" xfId="8569" xr:uid="{00000000-0005-0000-0000-00001D210000}"/>
    <cellStyle name="40% - Accent2 47" xfId="8570" xr:uid="{00000000-0005-0000-0000-00001E210000}"/>
    <cellStyle name="40% - Accent2 48" xfId="8571" xr:uid="{00000000-0005-0000-0000-00001F210000}"/>
    <cellStyle name="40% - Accent2 49" xfId="8572" xr:uid="{00000000-0005-0000-0000-000020210000}"/>
    <cellStyle name="40% - Accent2 5" xfId="8573" xr:uid="{00000000-0005-0000-0000-000021210000}"/>
    <cellStyle name="40% - Accent2 5 2" xfId="8574" xr:uid="{00000000-0005-0000-0000-000022210000}"/>
    <cellStyle name="40% - Accent2 5 2 2" xfId="8575" xr:uid="{00000000-0005-0000-0000-000023210000}"/>
    <cellStyle name="40% - Accent2 5 2 3" xfId="8576" xr:uid="{00000000-0005-0000-0000-000024210000}"/>
    <cellStyle name="40% - Accent2 5 2 4" xfId="8577" xr:uid="{00000000-0005-0000-0000-000025210000}"/>
    <cellStyle name="40% - Accent2 5 2 5" xfId="8578" xr:uid="{00000000-0005-0000-0000-000026210000}"/>
    <cellStyle name="40% - Accent2 5 3" xfId="8579" xr:uid="{00000000-0005-0000-0000-000027210000}"/>
    <cellStyle name="40% - Accent2 5 3 2" xfId="8580" xr:uid="{00000000-0005-0000-0000-000028210000}"/>
    <cellStyle name="40% - Accent2 5 3 3" xfId="8581" xr:uid="{00000000-0005-0000-0000-000029210000}"/>
    <cellStyle name="40% - Accent2 5 4" xfId="8582" xr:uid="{00000000-0005-0000-0000-00002A210000}"/>
    <cellStyle name="40% - Accent2 5 4 2" xfId="8583" xr:uid="{00000000-0005-0000-0000-00002B210000}"/>
    <cellStyle name="40% - Accent2 5 5" xfId="8584" xr:uid="{00000000-0005-0000-0000-00002C210000}"/>
    <cellStyle name="40% - Accent2 5 6" xfId="8585" xr:uid="{00000000-0005-0000-0000-00002D210000}"/>
    <cellStyle name="40% - Accent2 50" xfId="8586" xr:uid="{00000000-0005-0000-0000-00002E210000}"/>
    <cellStyle name="40% - Accent2 51" xfId="8587" xr:uid="{00000000-0005-0000-0000-00002F210000}"/>
    <cellStyle name="40% - Accent2 52" xfId="8588" xr:uid="{00000000-0005-0000-0000-000030210000}"/>
    <cellStyle name="40% - Accent2 53" xfId="8589" xr:uid="{00000000-0005-0000-0000-000031210000}"/>
    <cellStyle name="40% - Accent2 54" xfId="8590" xr:uid="{00000000-0005-0000-0000-000032210000}"/>
    <cellStyle name="40% - Accent2 55" xfId="8591" xr:uid="{00000000-0005-0000-0000-000033210000}"/>
    <cellStyle name="40% - Accent2 56" xfId="8592" xr:uid="{00000000-0005-0000-0000-000034210000}"/>
    <cellStyle name="40% - Accent2 57" xfId="8593" xr:uid="{00000000-0005-0000-0000-000035210000}"/>
    <cellStyle name="40% - Accent2 58" xfId="8594" xr:uid="{00000000-0005-0000-0000-000036210000}"/>
    <cellStyle name="40% - Accent2 59" xfId="8595" xr:uid="{00000000-0005-0000-0000-000037210000}"/>
    <cellStyle name="40% - Accent2 6" xfId="8596" xr:uid="{00000000-0005-0000-0000-000038210000}"/>
    <cellStyle name="40% - Accent2 6 2" xfId="8597" xr:uid="{00000000-0005-0000-0000-000039210000}"/>
    <cellStyle name="40% - Accent2 6 2 2" xfId="8598" xr:uid="{00000000-0005-0000-0000-00003A210000}"/>
    <cellStyle name="40% - Accent2 6 2 3" xfId="8599" xr:uid="{00000000-0005-0000-0000-00003B210000}"/>
    <cellStyle name="40% - Accent2 6 2 4" xfId="8600" xr:uid="{00000000-0005-0000-0000-00003C210000}"/>
    <cellStyle name="40% - Accent2 6 3" xfId="8601" xr:uid="{00000000-0005-0000-0000-00003D210000}"/>
    <cellStyle name="40% - Accent2 6 4" xfId="8602" xr:uid="{00000000-0005-0000-0000-00003E210000}"/>
    <cellStyle name="40% - Accent2 6 5" xfId="8603" xr:uid="{00000000-0005-0000-0000-00003F210000}"/>
    <cellStyle name="40% - Accent2 60" xfId="8604" xr:uid="{00000000-0005-0000-0000-000040210000}"/>
    <cellStyle name="40% - Accent2 61" xfId="8605" xr:uid="{00000000-0005-0000-0000-000041210000}"/>
    <cellStyle name="40% - Accent2 62" xfId="8606" xr:uid="{00000000-0005-0000-0000-000042210000}"/>
    <cellStyle name="40% - Accent2 63" xfId="8607" xr:uid="{00000000-0005-0000-0000-000043210000}"/>
    <cellStyle name="40% - Accent2 64" xfId="8608" xr:uid="{00000000-0005-0000-0000-000044210000}"/>
    <cellStyle name="40% - Accent2 65" xfId="8609" xr:uid="{00000000-0005-0000-0000-000045210000}"/>
    <cellStyle name="40% - Accent2 66" xfId="8610" xr:uid="{00000000-0005-0000-0000-000046210000}"/>
    <cellStyle name="40% - Accent2 67" xfId="8611" xr:uid="{00000000-0005-0000-0000-000047210000}"/>
    <cellStyle name="40% - Accent2 68" xfId="8612" xr:uid="{00000000-0005-0000-0000-000048210000}"/>
    <cellStyle name="40% - Accent2 69" xfId="8613" xr:uid="{00000000-0005-0000-0000-000049210000}"/>
    <cellStyle name="40% - Accent2 7" xfId="8614" xr:uid="{00000000-0005-0000-0000-00004A210000}"/>
    <cellStyle name="40% - Accent2 7 2" xfId="8615" xr:uid="{00000000-0005-0000-0000-00004B210000}"/>
    <cellStyle name="40% - Accent2 7 2 2" xfId="8616" xr:uid="{00000000-0005-0000-0000-00004C210000}"/>
    <cellStyle name="40% - Accent2 7 2 3" xfId="8617" xr:uid="{00000000-0005-0000-0000-00004D210000}"/>
    <cellStyle name="40% - Accent2 7 2 4" xfId="8618" xr:uid="{00000000-0005-0000-0000-00004E210000}"/>
    <cellStyle name="40% - Accent2 7 3" xfId="8619" xr:uid="{00000000-0005-0000-0000-00004F210000}"/>
    <cellStyle name="40% - Accent2 7 4" xfId="8620" xr:uid="{00000000-0005-0000-0000-000050210000}"/>
    <cellStyle name="40% - Accent2 7 5" xfId="8621" xr:uid="{00000000-0005-0000-0000-000051210000}"/>
    <cellStyle name="40% - Accent2 70" xfId="8622" xr:uid="{00000000-0005-0000-0000-000052210000}"/>
    <cellStyle name="40% - Accent2 71" xfId="8623" xr:uid="{00000000-0005-0000-0000-000053210000}"/>
    <cellStyle name="40% - Accent2 72" xfId="8624" xr:uid="{00000000-0005-0000-0000-000054210000}"/>
    <cellStyle name="40% - Accent2 73" xfId="8625" xr:uid="{00000000-0005-0000-0000-000055210000}"/>
    <cellStyle name="40% - Accent2 74" xfId="8626" xr:uid="{00000000-0005-0000-0000-000056210000}"/>
    <cellStyle name="40% - Accent2 75" xfId="8627" xr:uid="{00000000-0005-0000-0000-000057210000}"/>
    <cellStyle name="40% - Accent2 76" xfId="8628" xr:uid="{00000000-0005-0000-0000-000058210000}"/>
    <cellStyle name="40% - Accent2 77" xfId="8629" xr:uid="{00000000-0005-0000-0000-000059210000}"/>
    <cellStyle name="40% - Accent2 78" xfId="8630" xr:uid="{00000000-0005-0000-0000-00005A210000}"/>
    <cellStyle name="40% - Accent2 79" xfId="8631" xr:uid="{00000000-0005-0000-0000-00005B210000}"/>
    <cellStyle name="40% - Accent2 79 2" xfId="8632" xr:uid="{00000000-0005-0000-0000-00005C210000}"/>
    <cellStyle name="40% - Accent2 8" xfId="8633" xr:uid="{00000000-0005-0000-0000-00005D210000}"/>
    <cellStyle name="40% - Accent2 8 2" xfId="8634" xr:uid="{00000000-0005-0000-0000-00005E210000}"/>
    <cellStyle name="40% - Accent2 8 2 2" xfId="8635" xr:uid="{00000000-0005-0000-0000-00005F210000}"/>
    <cellStyle name="40% - Accent2 8 2 3" xfId="8636" xr:uid="{00000000-0005-0000-0000-000060210000}"/>
    <cellStyle name="40% - Accent2 8 2 4" xfId="8637" xr:uid="{00000000-0005-0000-0000-000061210000}"/>
    <cellStyle name="40% - Accent2 8 3" xfId="8638" xr:uid="{00000000-0005-0000-0000-000062210000}"/>
    <cellStyle name="40% - Accent2 8 4" xfId="8639" xr:uid="{00000000-0005-0000-0000-000063210000}"/>
    <cellStyle name="40% - Accent2 8 5" xfId="8640" xr:uid="{00000000-0005-0000-0000-000064210000}"/>
    <cellStyle name="40% - Accent2 80" xfId="8641" xr:uid="{00000000-0005-0000-0000-000065210000}"/>
    <cellStyle name="40% - Accent2 80 2" xfId="8642" xr:uid="{00000000-0005-0000-0000-000066210000}"/>
    <cellStyle name="40% - Accent2 81" xfId="8643" xr:uid="{00000000-0005-0000-0000-000067210000}"/>
    <cellStyle name="40% - Accent2 81 2" xfId="8644" xr:uid="{00000000-0005-0000-0000-000068210000}"/>
    <cellStyle name="40% - Accent2 82" xfId="8645" xr:uid="{00000000-0005-0000-0000-000069210000}"/>
    <cellStyle name="40% - Accent2 82 2" xfId="8646" xr:uid="{00000000-0005-0000-0000-00006A210000}"/>
    <cellStyle name="40% - Accent2 83" xfId="8647" xr:uid="{00000000-0005-0000-0000-00006B210000}"/>
    <cellStyle name="40% - Accent2 83 2" xfId="8648" xr:uid="{00000000-0005-0000-0000-00006C210000}"/>
    <cellStyle name="40% - Accent2 84" xfId="8649" xr:uid="{00000000-0005-0000-0000-00006D210000}"/>
    <cellStyle name="40% - Accent2 84 2" xfId="8650" xr:uid="{00000000-0005-0000-0000-00006E210000}"/>
    <cellStyle name="40% - Accent2 85" xfId="8651" xr:uid="{00000000-0005-0000-0000-00006F210000}"/>
    <cellStyle name="40% - Accent2 85 2" xfId="8652" xr:uid="{00000000-0005-0000-0000-000070210000}"/>
    <cellStyle name="40% - Accent2 86" xfId="8653" xr:uid="{00000000-0005-0000-0000-000071210000}"/>
    <cellStyle name="40% - Accent2 86 2" xfId="8654" xr:uid="{00000000-0005-0000-0000-000072210000}"/>
    <cellStyle name="40% - Accent2 87" xfId="8655" xr:uid="{00000000-0005-0000-0000-000073210000}"/>
    <cellStyle name="40% - Accent2 87 2" xfId="8656" xr:uid="{00000000-0005-0000-0000-000074210000}"/>
    <cellStyle name="40% - Accent2 88" xfId="8657" xr:uid="{00000000-0005-0000-0000-000075210000}"/>
    <cellStyle name="40% - Accent2 88 2" xfId="8658" xr:uid="{00000000-0005-0000-0000-000076210000}"/>
    <cellStyle name="40% - Accent2 89" xfId="8659" xr:uid="{00000000-0005-0000-0000-000077210000}"/>
    <cellStyle name="40% - Accent2 89 2" xfId="8660" xr:uid="{00000000-0005-0000-0000-000078210000}"/>
    <cellStyle name="40% - Accent2 9" xfId="8661" xr:uid="{00000000-0005-0000-0000-000079210000}"/>
    <cellStyle name="40% - Accent2 9 2" xfId="8662" xr:uid="{00000000-0005-0000-0000-00007A210000}"/>
    <cellStyle name="40% - Accent2 9 2 2" xfId="8663" xr:uid="{00000000-0005-0000-0000-00007B210000}"/>
    <cellStyle name="40% - Accent2 9 2 3" xfId="8664" xr:uid="{00000000-0005-0000-0000-00007C210000}"/>
    <cellStyle name="40% - Accent2 9 2 4" xfId="8665" xr:uid="{00000000-0005-0000-0000-00007D210000}"/>
    <cellStyle name="40% - Accent2 9 3" xfId="8666" xr:uid="{00000000-0005-0000-0000-00007E210000}"/>
    <cellStyle name="40% - Accent2 9 4" xfId="8667" xr:uid="{00000000-0005-0000-0000-00007F210000}"/>
    <cellStyle name="40% - Accent2 9 5" xfId="8668" xr:uid="{00000000-0005-0000-0000-000080210000}"/>
    <cellStyle name="40% - Accent2 90" xfId="8669" xr:uid="{00000000-0005-0000-0000-000081210000}"/>
    <cellStyle name="40% - Accent2 91" xfId="8670" xr:uid="{00000000-0005-0000-0000-000082210000}"/>
    <cellStyle name="40% - Accent2 92" xfId="8671" xr:uid="{00000000-0005-0000-0000-000083210000}"/>
    <cellStyle name="40% - Accent2 93" xfId="8672" xr:uid="{00000000-0005-0000-0000-000084210000}"/>
    <cellStyle name="40% - Accent2 94" xfId="8673" xr:uid="{00000000-0005-0000-0000-000085210000}"/>
    <cellStyle name="40% - Accent2 95" xfId="8674" xr:uid="{00000000-0005-0000-0000-000086210000}"/>
    <cellStyle name="40% - Accent2 96" xfId="8675" xr:uid="{00000000-0005-0000-0000-000087210000}"/>
    <cellStyle name="40% - Accent2 97" xfId="8676" xr:uid="{00000000-0005-0000-0000-000088210000}"/>
    <cellStyle name="40% - Accent2 98" xfId="8677" xr:uid="{00000000-0005-0000-0000-000089210000}"/>
    <cellStyle name="40% - Accent2 99" xfId="8678" xr:uid="{00000000-0005-0000-0000-00008A210000}"/>
    <cellStyle name="40% - Accent3" xfId="28" builtinId="39" customBuiltin="1"/>
    <cellStyle name="40% - Accent3 10" xfId="8679" xr:uid="{00000000-0005-0000-0000-00008C210000}"/>
    <cellStyle name="40% - Accent3 10 2" xfId="8680" xr:uid="{00000000-0005-0000-0000-00008D210000}"/>
    <cellStyle name="40% - Accent3 10 2 2" xfId="8681" xr:uid="{00000000-0005-0000-0000-00008E210000}"/>
    <cellStyle name="40% - Accent3 10 2 3" xfId="8682" xr:uid="{00000000-0005-0000-0000-00008F210000}"/>
    <cellStyle name="40% - Accent3 10 2 4" xfId="8683" xr:uid="{00000000-0005-0000-0000-000090210000}"/>
    <cellStyle name="40% - Accent3 10 3" xfId="8684" xr:uid="{00000000-0005-0000-0000-000091210000}"/>
    <cellStyle name="40% - Accent3 10 4" xfId="8685" xr:uid="{00000000-0005-0000-0000-000092210000}"/>
    <cellStyle name="40% - Accent3 10 5" xfId="8686" xr:uid="{00000000-0005-0000-0000-000093210000}"/>
    <cellStyle name="40% - Accent3 100" xfId="8687" xr:uid="{00000000-0005-0000-0000-000094210000}"/>
    <cellStyle name="40% - Accent3 101" xfId="8688" xr:uid="{00000000-0005-0000-0000-000095210000}"/>
    <cellStyle name="40% - Accent3 102" xfId="8689" xr:uid="{00000000-0005-0000-0000-000096210000}"/>
    <cellStyle name="40% - Accent3 103" xfId="8690" xr:uid="{00000000-0005-0000-0000-000097210000}"/>
    <cellStyle name="40% - Accent3 104" xfId="8691" xr:uid="{00000000-0005-0000-0000-000098210000}"/>
    <cellStyle name="40% - Accent3 105" xfId="8692" xr:uid="{00000000-0005-0000-0000-000099210000}"/>
    <cellStyle name="40% - Accent3 106" xfId="8693" xr:uid="{00000000-0005-0000-0000-00009A210000}"/>
    <cellStyle name="40% - Accent3 107" xfId="8694" xr:uid="{00000000-0005-0000-0000-00009B210000}"/>
    <cellStyle name="40% - Accent3 108" xfId="8695" xr:uid="{00000000-0005-0000-0000-00009C210000}"/>
    <cellStyle name="40% - Accent3 109" xfId="8696" xr:uid="{00000000-0005-0000-0000-00009D210000}"/>
    <cellStyle name="40% - Accent3 11" xfId="8697" xr:uid="{00000000-0005-0000-0000-00009E210000}"/>
    <cellStyle name="40% - Accent3 11 2" xfId="8698" xr:uid="{00000000-0005-0000-0000-00009F210000}"/>
    <cellStyle name="40% - Accent3 11 2 2" xfId="8699" xr:uid="{00000000-0005-0000-0000-0000A0210000}"/>
    <cellStyle name="40% - Accent3 11 2 3" xfId="8700" xr:uid="{00000000-0005-0000-0000-0000A1210000}"/>
    <cellStyle name="40% - Accent3 11 2 4" xfId="8701" xr:uid="{00000000-0005-0000-0000-0000A2210000}"/>
    <cellStyle name="40% - Accent3 11 3" xfId="8702" xr:uid="{00000000-0005-0000-0000-0000A3210000}"/>
    <cellStyle name="40% - Accent3 11 4" xfId="8703" xr:uid="{00000000-0005-0000-0000-0000A4210000}"/>
    <cellStyle name="40% - Accent3 11 5" xfId="8704" xr:uid="{00000000-0005-0000-0000-0000A5210000}"/>
    <cellStyle name="40% - Accent3 110" xfId="8705" xr:uid="{00000000-0005-0000-0000-0000A6210000}"/>
    <cellStyle name="40% - Accent3 111" xfId="8706" xr:uid="{00000000-0005-0000-0000-0000A7210000}"/>
    <cellStyle name="40% - Accent3 112" xfId="8707" xr:uid="{00000000-0005-0000-0000-0000A8210000}"/>
    <cellStyle name="40% - Accent3 113" xfId="8708" xr:uid="{00000000-0005-0000-0000-0000A9210000}"/>
    <cellStyle name="40% - Accent3 114" xfId="8709" xr:uid="{00000000-0005-0000-0000-0000AA210000}"/>
    <cellStyle name="40% - Accent3 115" xfId="8710" xr:uid="{00000000-0005-0000-0000-0000AB210000}"/>
    <cellStyle name="40% - Accent3 116" xfId="8711" xr:uid="{00000000-0005-0000-0000-0000AC210000}"/>
    <cellStyle name="40% - Accent3 117" xfId="8712" xr:uid="{00000000-0005-0000-0000-0000AD210000}"/>
    <cellStyle name="40% - Accent3 118" xfId="8713" xr:uid="{00000000-0005-0000-0000-0000AE210000}"/>
    <cellStyle name="40% - Accent3 119" xfId="8714" xr:uid="{00000000-0005-0000-0000-0000AF210000}"/>
    <cellStyle name="40% - Accent3 12" xfId="8715" xr:uid="{00000000-0005-0000-0000-0000B0210000}"/>
    <cellStyle name="40% - Accent3 12 2" xfId="8716" xr:uid="{00000000-0005-0000-0000-0000B1210000}"/>
    <cellStyle name="40% - Accent3 12 2 2" xfId="8717" xr:uid="{00000000-0005-0000-0000-0000B2210000}"/>
    <cellStyle name="40% - Accent3 12 2 3" xfId="8718" xr:uid="{00000000-0005-0000-0000-0000B3210000}"/>
    <cellStyle name="40% - Accent3 12 2 4" xfId="8719" xr:uid="{00000000-0005-0000-0000-0000B4210000}"/>
    <cellStyle name="40% - Accent3 12 3" xfId="8720" xr:uid="{00000000-0005-0000-0000-0000B5210000}"/>
    <cellStyle name="40% - Accent3 12 4" xfId="8721" xr:uid="{00000000-0005-0000-0000-0000B6210000}"/>
    <cellStyle name="40% - Accent3 12 5" xfId="8722" xr:uid="{00000000-0005-0000-0000-0000B7210000}"/>
    <cellStyle name="40% - Accent3 120" xfId="8723" xr:uid="{00000000-0005-0000-0000-0000B8210000}"/>
    <cellStyle name="40% - Accent3 121" xfId="8724" xr:uid="{00000000-0005-0000-0000-0000B9210000}"/>
    <cellStyle name="40% - Accent3 122" xfId="8725" xr:uid="{00000000-0005-0000-0000-0000BA210000}"/>
    <cellStyle name="40% - Accent3 123" xfId="8726" xr:uid="{00000000-0005-0000-0000-0000BB210000}"/>
    <cellStyle name="40% - Accent3 124" xfId="8727" xr:uid="{00000000-0005-0000-0000-0000BC210000}"/>
    <cellStyle name="40% - Accent3 125" xfId="8728" xr:uid="{00000000-0005-0000-0000-0000BD210000}"/>
    <cellStyle name="40% - Accent3 126" xfId="8729" xr:uid="{00000000-0005-0000-0000-0000BE210000}"/>
    <cellStyle name="40% - Accent3 127" xfId="8730" xr:uid="{00000000-0005-0000-0000-0000BF210000}"/>
    <cellStyle name="40% - Accent3 128" xfId="8731" xr:uid="{00000000-0005-0000-0000-0000C0210000}"/>
    <cellStyle name="40% - Accent3 129" xfId="8732" xr:uid="{00000000-0005-0000-0000-0000C1210000}"/>
    <cellStyle name="40% - Accent3 13" xfId="8733" xr:uid="{00000000-0005-0000-0000-0000C2210000}"/>
    <cellStyle name="40% - Accent3 13 2" xfId="8734" xr:uid="{00000000-0005-0000-0000-0000C3210000}"/>
    <cellStyle name="40% - Accent3 13 2 2" xfId="8735" xr:uid="{00000000-0005-0000-0000-0000C4210000}"/>
    <cellStyle name="40% - Accent3 13 2 3" xfId="8736" xr:uid="{00000000-0005-0000-0000-0000C5210000}"/>
    <cellStyle name="40% - Accent3 13 2 4" xfId="8737" xr:uid="{00000000-0005-0000-0000-0000C6210000}"/>
    <cellStyle name="40% - Accent3 13 3" xfId="8738" xr:uid="{00000000-0005-0000-0000-0000C7210000}"/>
    <cellStyle name="40% - Accent3 13 4" xfId="8739" xr:uid="{00000000-0005-0000-0000-0000C8210000}"/>
    <cellStyle name="40% - Accent3 13 5" xfId="8740" xr:uid="{00000000-0005-0000-0000-0000C9210000}"/>
    <cellStyle name="40% - Accent3 130" xfId="8741" xr:uid="{00000000-0005-0000-0000-0000CA210000}"/>
    <cellStyle name="40% - Accent3 131" xfId="8742" xr:uid="{00000000-0005-0000-0000-0000CB210000}"/>
    <cellStyle name="40% - Accent3 132" xfId="8743" xr:uid="{00000000-0005-0000-0000-0000CC210000}"/>
    <cellStyle name="40% - Accent3 133" xfId="8744" xr:uid="{00000000-0005-0000-0000-0000CD210000}"/>
    <cellStyle name="40% - Accent3 134" xfId="8745" xr:uid="{00000000-0005-0000-0000-0000CE210000}"/>
    <cellStyle name="40% - Accent3 135" xfId="8746" xr:uid="{00000000-0005-0000-0000-0000CF210000}"/>
    <cellStyle name="40% - Accent3 136" xfId="8747" xr:uid="{00000000-0005-0000-0000-0000D0210000}"/>
    <cellStyle name="40% - Accent3 137" xfId="8748" xr:uid="{00000000-0005-0000-0000-0000D1210000}"/>
    <cellStyle name="40% - Accent3 138" xfId="8749" xr:uid="{00000000-0005-0000-0000-0000D2210000}"/>
    <cellStyle name="40% - Accent3 139" xfId="8750" xr:uid="{00000000-0005-0000-0000-0000D3210000}"/>
    <cellStyle name="40% - Accent3 14" xfId="8751" xr:uid="{00000000-0005-0000-0000-0000D4210000}"/>
    <cellStyle name="40% - Accent3 14 2" xfId="8752" xr:uid="{00000000-0005-0000-0000-0000D5210000}"/>
    <cellStyle name="40% - Accent3 14 2 2" xfId="8753" xr:uid="{00000000-0005-0000-0000-0000D6210000}"/>
    <cellStyle name="40% - Accent3 14 2 3" xfId="8754" xr:uid="{00000000-0005-0000-0000-0000D7210000}"/>
    <cellStyle name="40% - Accent3 14 2 4" xfId="8755" xr:uid="{00000000-0005-0000-0000-0000D8210000}"/>
    <cellStyle name="40% - Accent3 14 3" xfId="8756" xr:uid="{00000000-0005-0000-0000-0000D9210000}"/>
    <cellStyle name="40% - Accent3 14 4" xfId="8757" xr:uid="{00000000-0005-0000-0000-0000DA210000}"/>
    <cellStyle name="40% - Accent3 14 5" xfId="8758" xr:uid="{00000000-0005-0000-0000-0000DB210000}"/>
    <cellStyle name="40% - Accent3 140" xfId="8759" xr:uid="{00000000-0005-0000-0000-0000DC210000}"/>
    <cellStyle name="40% - Accent3 141" xfId="8760" xr:uid="{00000000-0005-0000-0000-0000DD210000}"/>
    <cellStyle name="40% - Accent3 142" xfId="8761" xr:uid="{00000000-0005-0000-0000-0000DE210000}"/>
    <cellStyle name="40% - Accent3 143" xfId="8762" xr:uid="{00000000-0005-0000-0000-0000DF210000}"/>
    <cellStyle name="40% - Accent3 144" xfId="8763" xr:uid="{00000000-0005-0000-0000-0000E0210000}"/>
    <cellStyle name="40% - Accent3 145" xfId="8764" xr:uid="{00000000-0005-0000-0000-0000E1210000}"/>
    <cellStyle name="40% - Accent3 146" xfId="8765" xr:uid="{00000000-0005-0000-0000-0000E2210000}"/>
    <cellStyle name="40% - Accent3 147" xfId="8766" xr:uid="{00000000-0005-0000-0000-0000E3210000}"/>
    <cellStyle name="40% - Accent3 148" xfId="8767" xr:uid="{00000000-0005-0000-0000-0000E4210000}"/>
    <cellStyle name="40% - Accent3 149" xfId="8768" xr:uid="{00000000-0005-0000-0000-0000E5210000}"/>
    <cellStyle name="40% - Accent3 15" xfId="8769" xr:uid="{00000000-0005-0000-0000-0000E6210000}"/>
    <cellStyle name="40% - Accent3 15 2" xfId="8770" xr:uid="{00000000-0005-0000-0000-0000E7210000}"/>
    <cellStyle name="40% - Accent3 15 2 2" xfId="8771" xr:uid="{00000000-0005-0000-0000-0000E8210000}"/>
    <cellStyle name="40% - Accent3 15 2 3" xfId="8772" xr:uid="{00000000-0005-0000-0000-0000E9210000}"/>
    <cellStyle name="40% - Accent3 15 2 4" xfId="8773" xr:uid="{00000000-0005-0000-0000-0000EA210000}"/>
    <cellStyle name="40% - Accent3 15 3" xfId="8774" xr:uid="{00000000-0005-0000-0000-0000EB210000}"/>
    <cellStyle name="40% - Accent3 15 4" xfId="8775" xr:uid="{00000000-0005-0000-0000-0000EC210000}"/>
    <cellStyle name="40% - Accent3 15 5" xfId="8776" xr:uid="{00000000-0005-0000-0000-0000ED210000}"/>
    <cellStyle name="40% - Accent3 150" xfId="8777" xr:uid="{00000000-0005-0000-0000-0000EE210000}"/>
    <cellStyle name="40% - Accent3 151" xfId="8778" xr:uid="{00000000-0005-0000-0000-0000EF210000}"/>
    <cellStyle name="40% - Accent3 152" xfId="8779" xr:uid="{00000000-0005-0000-0000-0000F0210000}"/>
    <cellStyle name="40% - Accent3 153" xfId="8780" xr:uid="{00000000-0005-0000-0000-0000F1210000}"/>
    <cellStyle name="40% - Accent3 154" xfId="8781" xr:uid="{00000000-0005-0000-0000-0000F2210000}"/>
    <cellStyle name="40% - Accent3 155" xfId="8782" xr:uid="{00000000-0005-0000-0000-0000F3210000}"/>
    <cellStyle name="40% - Accent3 156" xfId="8783" xr:uid="{00000000-0005-0000-0000-0000F4210000}"/>
    <cellStyle name="40% - Accent3 157" xfId="8784" xr:uid="{00000000-0005-0000-0000-0000F5210000}"/>
    <cellStyle name="40% - Accent3 158" xfId="8785" xr:uid="{00000000-0005-0000-0000-0000F6210000}"/>
    <cellStyle name="40% - Accent3 159" xfId="8786" xr:uid="{00000000-0005-0000-0000-0000F7210000}"/>
    <cellStyle name="40% - Accent3 16" xfId="8787" xr:uid="{00000000-0005-0000-0000-0000F8210000}"/>
    <cellStyle name="40% - Accent3 16 2" xfId="8788" xr:uid="{00000000-0005-0000-0000-0000F9210000}"/>
    <cellStyle name="40% - Accent3 16 2 2" xfId="8789" xr:uid="{00000000-0005-0000-0000-0000FA210000}"/>
    <cellStyle name="40% - Accent3 16 3" xfId="8790" xr:uid="{00000000-0005-0000-0000-0000FB210000}"/>
    <cellStyle name="40% - Accent3 16 4" xfId="8791" xr:uid="{00000000-0005-0000-0000-0000FC210000}"/>
    <cellStyle name="40% - Accent3 16 5" xfId="8792" xr:uid="{00000000-0005-0000-0000-0000FD210000}"/>
    <cellStyle name="40% - Accent3 160" xfId="8793" xr:uid="{00000000-0005-0000-0000-0000FE210000}"/>
    <cellStyle name="40% - Accent3 161" xfId="8794" xr:uid="{00000000-0005-0000-0000-0000FF210000}"/>
    <cellStyle name="40% - Accent3 162" xfId="8795" xr:uid="{00000000-0005-0000-0000-000000220000}"/>
    <cellStyle name="40% - Accent3 163" xfId="8796" xr:uid="{00000000-0005-0000-0000-000001220000}"/>
    <cellStyle name="40% - Accent3 164" xfId="8797" xr:uid="{00000000-0005-0000-0000-000002220000}"/>
    <cellStyle name="40% - Accent3 165" xfId="8798" xr:uid="{00000000-0005-0000-0000-000003220000}"/>
    <cellStyle name="40% - Accent3 166" xfId="8799" xr:uid="{00000000-0005-0000-0000-000004220000}"/>
    <cellStyle name="40% - Accent3 167" xfId="8800" xr:uid="{00000000-0005-0000-0000-000005220000}"/>
    <cellStyle name="40% - Accent3 168" xfId="8801" xr:uid="{00000000-0005-0000-0000-000006220000}"/>
    <cellStyle name="40% - Accent3 169" xfId="8802" xr:uid="{00000000-0005-0000-0000-000007220000}"/>
    <cellStyle name="40% - Accent3 17" xfId="8803" xr:uid="{00000000-0005-0000-0000-000008220000}"/>
    <cellStyle name="40% - Accent3 17 2" xfId="8804" xr:uid="{00000000-0005-0000-0000-000009220000}"/>
    <cellStyle name="40% - Accent3 17 2 2" xfId="8805" xr:uid="{00000000-0005-0000-0000-00000A220000}"/>
    <cellStyle name="40% - Accent3 17 3" xfId="8806" xr:uid="{00000000-0005-0000-0000-00000B220000}"/>
    <cellStyle name="40% - Accent3 17 4" xfId="8807" xr:uid="{00000000-0005-0000-0000-00000C220000}"/>
    <cellStyle name="40% - Accent3 17 5" xfId="8808" xr:uid="{00000000-0005-0000-0000-00000D220000}"/>
    <cellStyle name="40% - Accent3 18" xfId="8809" xr:uid="{00000000-0005-0000-0000-00000E220000}"/>
    <cellStyle name="40% - Accent3 18 2" xfId="8810" xr:uid="{00000000-0005-0000-0000-00000F220000}"/>
    <cellStyle name="40% - Accent3 18 2 2" xfId="8811" xr:uid="{00000000-0005-0000-0000-000010220000}"/>
    <cellStyle name="40% - Accent3 18 3" xfId="8812" xr:uid="{00000000-0005-0000-0000-000011220000}"/>
    <cellStyle name="40% - Accent3 18 4" xfId="8813" xr:uid="{00000000-0005-0000-0000-000012220000}"/>
    <cellStyle name="40% - Accent3 18 5" xfId="8814" xr:uid="{00000000-0005-0000-0000-000013220000}"/>
    <cellStyle name="40% - Accent3 19" xfId="8815" xr:uid="{00000000-0005-0000-0000-000014220000}"/>
    <cellStyle name="40% - Accent3 19 2" xfId="8816" xr:uid="{00000000-0005-0000-0000-000015220000}"/>
    <cellStyle name="40% - Accent3 19 2 2" xfId="8817" xr:uid="{00000000-0005-0000-0000-000016220000}"/>
    <cellStyle name="40% - Accent3 19 3" xfId="8818" xr:uid="{00000000-0005-0000-0000-000017220000}"/>
    <cellStyle name="40% - Accent3 19 4" xfId="8819" xr:uid="{00000000-0005-0000-0000-000018220000}"/>
    <cellStyle name="40% - Accent3 19 5" xfId="8820" xr:uid="{00000000-0005-0000-0000-000019220000}"/>
    <cellStyle name="40% - Accent3 2" xfId="8821" xr:uid="{00000000-0005-0000-0000-00001A220000}"/>
    <cellStyle name="40% - Accent3 2 10" xfId="8822" xr:uid="{00000000-0005-0000-0000-00001B220000}"/>
    <cellStyle name="40% - Accent3 2 11" xfId="8823" xr:uid="{00000000-0005-0000-0000-00001C220000}"/>
    <cellStyle name="40% - Accent3 2 12" xfId="8824" xr:uid="{00000000-0005-0000-0000-00001D220000}"/>
    <cellStyle name="40% - Accent3 2 13" xfId="8825" xr:uid="{00000000-0005-0000-0000-00001E220000}"/>
    <cellStyle name="40% - Accent3 2 14" xfId="8826" xr:uid="{00000000-0005-0000-0000-00001F220000}"/>
    <cellStyle name="40% - Accent3 2 15" xfId="8827" xr:uid="{00000000-0005-0000-0000-000020220000}"/>
    <cellStyle name="40% - Accent3 2 16" xfId="8828" xr:uid="{00000000-0005-0000-0000-000021220000}"/>
    <cellStyle name="40% - Accent3 2 17" xfId="8829" xr:uid="{00000000-0005-0000-0000-000022220000}"/>
    <cellStyle name="40% - Accent3 2 18" xfId="8830" xr:uid="{00000000-0005-0000-0000-000023220000}"/>
    <cellStyle name="40% - Accent3 2 19" xfId="8831" xr:uid="{00000000-0005-0000-0000-000024220000}"/>
    <cellStyle name="40% - Accent3 2 2" xfId="8832" xr:uid="{00000000-0005-0000-0000-000025220000}"/>
    <cellStyle name="40% - Accent3 2 2 2" xfId="8833" xr:uid="{00000000-0005-0000-0000-000026220000}"/>
    <cellStyle name="40% - Accent3 2 20" xfId="8834" xr:uid="{00000000-0005-0000-0000-000027220000}"/>
    <cellStyle name="40% - Accent3 2 21" xfId="8835" xr:uid="{00000000-0005-0000-0000-000028220000}"/>
    <cellStyle name="40% - Accent3 2 22" xfId="8836" xr:uid="{00000000-0005-0000-0000-000029220000}"/>
    <cellStyle name="40% - Accent3 2 23" xfId="8837" xr:uid="{00000000-0005-0000-0000-00002A220000}"/>
    <cellStyle name="40% - Accent3 2 24" xfId="8838" xr:uid="{00000000-0005-0000-0000-00002B220000}"/>
    <cellStyle name="40% - Accent3 2 25" xfId="8839" xr:uid="{00000000-0005-0000-0000-00002C220000}"/>
    <cellStyle name="40% - Accent3 2 26" xfId="8840" xr:uid="{00000000-0005-0000-0000-00002D220000}"/>
    <cellStyle name="40% - Accent3 2 27" xfId="8841" xr:uid="{00000000-0005-0000-0000-00002E220000}"/>
    <cellStyle name="40% - Accent3 2 28" xfId="8842" xr:uid="{00000000-0005-0000-0000-00002F220000}"/>
    <cellStyle name="40% - Accent3 2 29" xfId="8843" xr:uid="{00000000-0005-0000-0000-000030220000}"/>
    <cellStyle name="40% - Accent3 2 3" xfId="8844" xr:uid="{00000000-0005-0000-0000-000031220000}"/>
    <cellStyle name="40% - Accent3 2 30" xfId="8845" xr:uid="{00000000-0005-0000-0000-000032220000}"/>
    <cellStyle name="40% - Accent3 2 31" xfId="8846" xr:uid="{00000000-0005-0000-0000-000033220000}"/>
    <cellStyle name="40% - Accent3 2 32" xfId="8847" xr:uid="{00000000-0005-0000-0000-000034220000}"/>
    <cellStyle name="40% - Accent3 2 33" xfId="8848" xr:uid="{00000000-0005-0000-0000-000035220000}"/>
    <cellStyle name="40% - Accent3 2 34" xfId="8849" xr:uid="{00000000-0005-0000-0000-000036220000}"/>
    <cellStyle name="40% - Accent3 2 35" xfId="8850" xr:uid="{00000000-0005-0000-0000-000037220000}"/>
    <cellStyle name="40% - Accent3 2 36" xfId="8851" xr:uid="{00000000-0005-0000-0000-000038220000}"/>
    <cellStyle name="40% - Accent3 2 37" xfId="8852" xr:uid="{00000000-0005-0000-0000-000039220000}"/>
    <cellStyle name="40% - Accent3 2 4" xfId="8853" xr:uid="{00000000-0005-0000-0000-00003A220000}"/>
    <cellStyle name="40% - Accent3 2 4 2" xfId="8854" xr:uid="{00000000-0005-0000-0000-00003B220000}"/>
    <cellStyle name="40% - Accent3 2 4 2 2" xfId="8855" xr:uid="{00000000-0005-0000-0000-00003C220000}"/>
    <cellStyle name="40% - Accent3 2 4 3" xfId="8856" xr:uid="{00000000-0005-0000-0000-00003D220000}"/>
    <cellStyle name="40% - Accent3 2 4 3 2" xfId="8857" xr:uid="{00000000-0005-0000-0000-00003E220000}"/>
    <cellStyle name="40% - Accent3 2 4 4" xfId="8858" xr:uid="{00000000-0005-0000-0000-00003F220000}"/>
    <cellStyle name="40% - Accent3 2 5" xfId="8859" xr:uid="{00000000-0005-0000-0000-000040220000}"/>
    <cellStyle name="40% - Accent3 2 6" xfId="8860" xr:uid="{00000000-0005-0000-0000-000041220000}"/>
    <cellStyle name="40% - Accent3 2 7" xfId="8861" xr:uid="{00000000-0005-0000-0000-000042220000}"/>
    <cellStyle name="40% - Accent3 2 8" xfId="8862" xr:uid="{00000000-0005-0000-0000-000043220000}"/>
    <cellStyle name="40% - Accent3 2 9" xfId="8863" xr:uid="{00000000-0005-0000-0000-000044220000}"/>
    <cellStyle name="40% - Accent3 2_ERDF Losses" xfId="8864" xr:uid="{00000000-0005-0000-0000-000045220000}"/>
    <cellStyle name="40% - Accent3 20" xfId="8865" xr:uid="{00000000-0005-0000-0000-000046220000}"/>
    <cellStyle name="40% - Accent3 20 10" xfId="8866" xr:uid="{00000000-0005-0000-0000-000047220000}"/>
    <cellStyle name="40% - Accent3 20 11" xfId="8867" xr:uid="{00000000-0005-0000-0000-000048220000}"/>
    <cellStyle name="40% - Accent3 20 12" xfId="8868" xr:uid="{00000000-0005-0000-0000-000049220000}"/>
    <cellStyle name="40% - Accent3 20 13" xfId="8869" xr:uid="{00000000-0005-0000-0000-00004A220000}"/>
    <cellStyle name="40% - Accent3 20 14" xfId="8870" xr:uid="{00000000-0005-0000-0000-00004B220000}"/>
    <cellStyle name="40% - Accent3 20 15" xfId="8871" xr:uid="{00000000-0005-0000-0000-00004C220000}"/>
    <cellStyle name="40% - Accent3 20 16" xfId="8872" xr:uid="{00000000-0005-0000-0000-00004D220000}"/>
    <cellStyle name="40% - Accent3 20 17" xfId="8873" xr:uid="{00000000-0005-0000-0000-00004E220000}"/>
    <cellStyle name="40% - Accent3 20 18" xfId="8874" xr:uid="{00000000-0005-0000-0000-00004F220000}"/>
    <cellStyle name="40% - Accent3 20 2" xfId="8875" xr:uid="{00000000-0005-0000-0000-000050220000}"/>
    <cellStyle name="40% - Accent3 20 2 2" xfId="8876" xr:uid="{00000000-0005-0000-0000-000051220000}"/>
    <cellStyle name="40% - Accent3 20 2 3" xfId="8877" xr:uid="{00000000-0005-0000-0000-000052220000}"/>
    <cellStyle name="40% - Accent3 20 2 4" xfId="8878" xr:uid="{00000000-0005-0000-0000-000053220000}"/>
    <cellStyle name="40% - Accent3 20 3" xfId="8879" xr:uid="{00000000-0005-0000-0000-000054220000}"/>
    <cellStyle name="40% - Accent3 20 4" xfId="8880" xr:uid="{00000000-0005-0000-0000-000055220000}"/>
    <cellStyle name="40% - Accent3 20 5" xfId="8881" xr:uid="{00000000-0005-0000-0000-000056220000}"/>
    <cellStyle name="40% - Accent3 20 6" xfId="8882" xr:uid="{00000000-0005-0000-0000-000057220000}"/>
    <cellStyle name="40% - Accent3 20 7" xfId="8883" xr:uid="{00000000-0005-0000-0000-000058220000}"/>
    <cellStyle name="40% - Accent3 20 8" xfId="8884" xr:uid="{00000000-0005-0000-0000-000059220000}"/>
    <cellStyle name="40% - Accent3 20 9" xfId="8885" xr:uid="{00000000-0005-0000-0000-00005A220000}"/>
    <cellStyle name="40% - Accent3 21" xfId="8886" xr:uid="{00000000-0005-0000-0000-00005B220000}"/>
    <cellStyle name="40% - Accent3 21 2" xfId="8887" xr:uid="{00000000-0005-0000-0000-00005C220000}"/>
    <cellStyle name="40% - Accent3 21 2 2" xfId="8888" xr:uid="{00000000-0005-0000-0000-00005D220000}"/>
    <cellStyle name="40% - Accent3 21 2 3" xfId="8889" xr:uid="{00000000-0005-0000-0000-00005E220000}"/>
    <cellStyle name="40% - Accent3 21 3" xfId="8890" xr:uid="{00000000-0005-0000-0000-00005F220000}"/>
    <cellStyle name="40% - Accent3 21 4" xfId="8891" xr:uid="{00000000-0005-0000-0000-000060220000}"/>
    <cellStyle name="40% - Accent3 21 5" xfId="8892" xr:uid="{00000000-0005-0000-0000-000061220000}"/>
    <cellStyle name="40% - Accent3 21 6" xfId="8893" xr:uid="{00000000-0005-0000-0000-000062220000}"/>
    <cellStyle name="40% - Accent3 22" xfId="8894" xr:uid="{00000000-0005-0000-0000-000063220000}"/>
    <cellStyle name="40% - Accent3 22 2" xfId="8895" xr:uid="{00000000-0005-0000-0000-000064220000}"/>
    <cellStyle name="40% - Accent3 22 3" xfId="8896" xr:uid="{00000000-0005-0000-0000-000065220000}"/>
    <cellStyle name="40% - Accent3 23" xfId="8897" xr:uid="{00000000-0005-0000-0000-000066220000}"/>
    <cellStyle name="40% - Accent3 23 2" xfId="8898" xr:uid="{00000000-0005-0000-0000-000067220000}"/>
    <cellStyle name="40% - Accent3 23 3" xfId="8899" xr:uid="{00000000-0005-0000-0000-000068220000}"/>
    <cellStyle name="40% - Accent3 24" xfId="8900" xr:uid="{00000000-0005-0000-0000-000069220000}"/>
    <cellStyle name="40% - Accent3 24 2" xfId="8901" xr:uid="{00000000-0005-0000-0000-00006A220000}"/>
    <cellStyle name="40% - Accent3 24 3" xfId="8902" xr:uid="{00000000-0005-0000-0000-00006B220000}"/>
    <cellStyle name="40% - Accent3 25" xfId="8903" xr:uid="{00000000-0005-0000-0000-00006C220000}"/>
    <cellStyle name="40% - Accent3 25 2" xfId="8904" xr:uid="{00000000-0005-0000-0000-00006D220000}"/>
    <cellStyle name="40% - Accent3 25 3" xfId="8905" xr:uid="{00000000-0005-0000-0000-00006E220000}"/>
    <cellStyle name="40% - Accent3 26" xfId="8906" xr:uid="{00000000-0005-0000-0000-00006F220000}"/>
    <cellStyle name="40% - Accent3 26 2" xfId="8907" xr:uid="{00000000-0005-0000-0000-000070220000}"/>
    <cellStyle name="40% - Accent3 26 3" xfId="8908" xr:uid="{00000000-0005-0000-0000-000071220000}"/>
    <cellStyle name="40% - Accent3 27" xfId="8909" xr:uid="{00000000-0005-0000-0000-000072220000}"/>
    <cellStyle name="40% - Accent3 27 2" xfId="8910" xr:uid="{00000000-0005-0000-0000-000073220000}"/>
    <cellStyle name="40% - Accent3 27 3" xfId="8911" xr:uid="{00000000-0005-0000-0000-000074220000}"/>
    <cellStyle name="40% - Accent3 28" xfId="8912" xr:uid="{00000000-0005-0000-0000-000075220000}"/>
    <cellStyle name="40% - Accent3 28 2" xfId="8913" xr:uid="{00000000-0005-0000-0000-000076220000}"/>
    <cellStyle name="40% - Accent3 28 3" xfId="8914" xr:uid="{00000000-0005-0000-0000-000077220000}"/>
    <cellStyle name="40% - Accent3 29" xfId="8915" xr:uid="{00000000-0005-0000-0000-000078220000}"/>
    <cellStyle name="40% - Accent3 29 2" xfId="8916" xr:uid="{00000000-0005-0000-0000-000079220000}"/>
    <cellStyle name="40% - Accent3 29 3" xfId="8917" xr:uid="{00000000-0005-0000-0000-00007A220000}"/>
    <cellStyle name="40% - Accent3 3" xfId="8918" xr:uid="{00000000-0005-0000-0000-00007B220000}"/>
    <cellStyle name="40% - Accent3 3 10" xfId="8919" xr:uid="{00000000-0005-0000-0000-00007C220000}"/>
    <cellStyle name="40% - Accent3 3 10 10" xfId="8920" xr:uid="{00000000-0005-0000-0000-00007D220000}"/>
    <cellStyle name="40% - Accent3 3 10 11" xfId="8921" xr:uid="{00000000-0005-0000-0000-00007E220000}"/>
    <cellStyle name="40% - Accent3 3 10 12" xfId="8922" xr:uid="{00000000-0005-0000-0000-00007F220000}"/>
    <cellStyle name="40% - Accent3 3 10 13" xfId="8923" xr:uid="{00000000-0005-0000-0000-000080220000}"/>
    <cellStyle name="40% - Accent3 3 10 14" xfId="8924" xr:uid="{00000000-0005-0000-0000-000081220000}"/>
    <cellStyle name="40% - Accent3 3 10 15" xfId="8925" xr:uid="{00000000-0005-0000-0000-000082220000}"/>
    <cellStyle name="40% - Accent3 3 10 2" xfId="8926" xr:uid="{00000000-0005-0000-0000-000083220000}"/>
    <cellStyle name="40% - Accent3 3 10 3" xfId="8927" xr:uid="{00000000-0005-0000-0000-000084220000}"/>
    <cellStyle name="40% - Accent3 3 10 4" xfId="8928" xr:uid="{00000000-0005-0000-0000-000085220000}"/>
    <cellStyle name="40% - Accent3 3 10 5" xfId="8929" xr:uid="{00000000-0005-0000-0000-000086220000}"/>
    <cellStyle name="40% - Accent3 3 10 6" xfId="8930" xr:uid="{00000000-0005-0000-0000-000087220000}"/>
    <cellStyle name="40% - Accent3 3 10 7" xfId="8931" xr:uid="{00000000-0005-0000-0000-000088220000}"/>
    <cellStyle name="40% - Accent3 3 10 8" xfId="8932" xr:uid="{00000000-0005-0000-0000-000089220000}"/>
    <cellStyle name="40% - Accent3 3 10 9" xfId="8933" xr:uid="{00000000-0005-0000-0000-00008A220000}"/>
    <cellStyle name="40% - Accent3 3 11" xfId="8934" xr:uid="{00000000-0005-0000-0000-00008B220000}"/>
    <cellStyle name="40% - Accent3 3 11 10" xfId="8935" xr:uid="{00000000-0005-0000-0000-00008C220000}"/>
    <cellStyle name="40% - Accent3 3 11 11" xfId="8936" xr:uid="{00000000-0005-0000-0000-00008D220000}"/>
    <cellStyle name="40% - Accent3 3 11 12" xfId="8937" xr:uid="{00000000-0005-0000-0000-00008E220000}"/>
    <cellStyle name="40% - Accent3 3 11 13" xfId="8938" xr:uid="{00000000-0005-0000-0000-00008F220000}"/>
    <cellStyle name="40% - Accent3 3 11 14" xfId="8939" xr:uid="{00000000-0005-0000-0000-000090220000}"/>
    <cellStyle name="40% - Accent3 3 11 15" xfId="8940" xr:uid="{00000000-0005-0000-0000-000091220000}"/>
    <cellStyle name="40% - Accent3 3 11 2" xfId="8941" xr:uid="{00000000-0005-0000-0000-000092220000}"/>
    <cellStyle name="40% - Accent3 3 11 3" xfId="8942" xr:uid="{00000000-0005-0000-0000-000093220000}"/>
    <cellStyle name="40% - Accent3 3 11 4" xfId="8943" xr:uid="{00000000-0005-0000-0000-000094220000}"/>
    <cellStyle name="40% - Accent3 3 11 5" xfId="8944" xr:uid="{00000000-0005-0000-0000-000095220000}"/>
    <cellStyle name="40% - Accent3 3 11 6" xfId="8945" xr:uid="{00000000-0005-0000-0000-000096220000}"/>
    <cellStyle name="40% - Accent3 3 11 7" xfId="8946" xr:uid="{00000000-0005-0000-0000-000097220000}"/>
    <cellStyle name="40% - Accent3 3 11 8" xfId="8947" xr:uid="{00000000-0005-0000-0000-000098220000}"/>
    <cellStyle name="40% - Accent3 3 11 9" xfId="8948" xr:uid="{00000000-0005-0000-0000-000099220000}"/>
    <cellStyle name="40% - Accent3 3 12" xfId="8949" xr:uid="{00000000-0005-0000-0000-00009A220000}"/>
    <cellStyle name="40% - Accent3 3 12 10" xfId="8950" xr:uid="{00000000-0005-0000-0000-00009B220000}"/>
    <cellStyle name="40% - Accent3 3 12 11" xfId="8951" xr:uid="{00000000-0005-0000-0000-00009C220000}"/>
    <cellStyle name="40% - Accent3 3 12 12" xfId="8952" xr:uid="{00000000-0005-0000-0000-00009D220000}"/>
    <cellStyle name="40% - Accent3 3 12 13" xfId="8953" xr:uid="{00000000-0005-0000-0000-00009E220000}"/>
    <cellStyle name="40% - Accent3 3 12 14" xfId="8954" xr:uid="{00000000-0005-0000-0000-00009F220000}"/>
    <cellStyle name="40% - Accent3 3 12 15" xfId="8955" xr:uid="{00000000-0005-0000-0000-0000A0220000}"/>
    <cellStyle name="40% - Accent3 3 12 2" xfId="8956" xr:uid="{00000000-0005-0000-0000-0000A1220000}"/>
    <cellStyle name="40% - Accent3 3 12 3" xfId="8957" xr:uid="{00000000-0005-0000-0000-0000A2220000}"/>
    <cellStyle name="40% - Accent3 3 12 4" xfId="8958" xr:uid="{00000000-0005-0000-0000-0000A3220000}"/>
    <cellStyle name="40% - Accent3 3 12 5" xfId="8959" xr:uid="{00000000-0005-0000-0000-0000A4220000}"/>
    <cellStyle name="40% - Accent3 3 12 6" xfId="8960" xr:uid="{00000000-0005-0000-0000-0000A5220000}"/>
    <cellStyle name="40% - Accent3 3 12 7" xfId="8961" xr:uid="{00000000-0005-0000-0000-0000A6220000}"/>
    <cellStyle name="40% - Accent3 3 12 8" xfId="8962" xr:uid="{00000000-0005-0000-0000-0000A7220000}"/>
    <cellStyle name="40% - Accent3 3 12 9" xfId="8963" xr:uid="{00000000-0005-0000-0000-0000A8220000}"/>
    <cellStyle name="40% - Accent3 3 13" xfId="8964" xr:uid="{00000000-0005-0000-0000-0000A9220000}"/>
    <cellStyle name="40% - Accent3 3 13 10" xfId="8965" xr:uid="{00000000-0005-0000-0000-0000AA220000}"/>
    <cellStyle name="40% - Accent3 3 13 11" xfId="8966" xr:uid="{00000000-0005-0000-0000-0000AB220000}"/>
    <cellStyle name="40% - Accent3 3 13 12" xfId="8967" xr:uid="{00000000-0005-0000-0000-0000AC220000}"/>
    <cellStyle name="40% - Accent3 3 13 13" xfId="8968" xr:uid="{00000000-0005-0000-0000-0000AD220000}"/>
    <cellStyle name="40% - Accent3 3 13 14" xfId="8969" xr:uid="{00000000-0005-0000-0000-0000AE220000}"/>
    <cellStyle name="40% - Accent3 3 13 15" xfId="8970" xr:uid="{00000000-0005-0000-0000-0000AF220000}"/>
    <cellStyle name="40% - Accent3 3 13 2" xfId="8971" xr:uid="{00000000-0005-0000-0000-0000B0220000}"/>
    <cellStyle name="40% - Accent3 3 13 3" xfId="8972" xr:uid="{00000000-0005-0000-0000-0000B1220000}"/>
    <cellStyle name="40% - Accent3 3 13 4" xfId="8973" xr:uid="{00000000-0005-0000-0000-0000B2220000}"/>
    <cellStyle name="40% - Accent3 3 13 5" xfId="8974" xr:uid="{00000000-0005-0000-0000-0000B3220000}"/>
    <cellStyle name="40% - Accent3 3 13 6" xfId="8975" xr:uid="{00000000-0005-0000-0000-0000B4220000}"/>
    <cellStyle name="40% - Accent3 3 13 7" xfId="8976" xr:uid="{00000000-0005-0000-0000-0000B5220000}"/>
    <cellStyle name="40% - Accent3 3 13 8" xfId="8977" xr:uid="{00000000-0005-0000-0000-0000B6220000}"/>
    <cellStyle name="40% - Accent3 3 13 9" xfId="8978" xr:uid="{00000000-0005-0000-0000-0000B7220000}"/>
    <cellStyle name="40% - Accent3 3 14" xfId="8979" xr:uid="{00000000-0005-0000-0000-0000B8220000}"/>
    <cellStyle name="40% - Accent3 3 14 10" xfId="8980" xr:uid="{00000000-0005-0000-0000-0000B9220000}"/>
    <cellStyle name="40% - Accent3 3 14 11" xfId="8981" xr:uid="{00000000-0005-0000-0000-0000BA220000}"/>
    <cellStyle name="40% - Accent3 3 14 12" xfId="8982" xr:uid="{00000000-0005-0000-0000-0000BB220000}"/>
    <cellStyle name="40% - Accent3 3 14 13" xfId="8983" xr:uid="{00000000-0005-0000-0000-0000BC220000}"/>
    <cellStyle name="40% - Accent3 3 14 14" xfId="8984" xr:uid="{00000000-0005-0000-0000-0000BD220000}"/>
    <cellStyle name="40% - Accent3 3 14 15" xfId="8985" xr:uid="{00000000-0005-0000-0000-0000BE220000}"/>
    <cellStyle name="40% - Accent3 3 14 2" xfId="8986" xr:uid="{00000000-0005-0000-0000-0000BF220000}"/>
    <cellStyle name="40% - Accent3 3 14 3" xfId="8987" xr:uid="{00000000-0005-0000-0000-0000C0220000}"/>
    <cellStyle name="40% - Accent3 3 14 4" xfId="8988" xr:uid="{00000000-0005-0000-0000-0000C1220000}"/>
    <cellStyle name="40% - Accent3 3 14 5" xfId="8989" xr:uid="{00000000-0005-0000-0000-0000C2220000}"/>
    <cellStyle name="40% - Accent3 3 14 6" xfId="8990" xr:uid="{00000000-0005-0000-0000-0000C3220000}"/>
    <cellStyle name="40% - Accent3 3 14 7" xfId="8991" xr:uid="{00000000-0005-0000-0000-0000C4220000}"/>
    <cellStyle name="40% - Accent3 3 14 8" xfId="8992" xr:uid="{00000000-0005-0000-0000-0000C5220000}"/>
    <cellStyle name="40% - Accent3 3 14 9" xfId="8993" xr:uid="{00000000-0005-0000-0000-0000C6220000}"/>
    <cellStyle name="40% - Accent3 3 15" xfId="8994" xr:uid="{00000000-0005-0000-0000-0000C7220000}"/>
    <cellStyle name="40% - Accent3 3 15 10" xfId="8995" xr:uid="{00000000-0005-0000-0000-0000C8220000}"/>
    <cellStyle name="40% - Accent3 3 15 11" xfId="8996" xr:uid="{00000000-0005-0000-0000-0000C9220000}"/>
    <cellStyle name="40% - Accent3 3 15 12" xfId="8997" xr:uid="{00000000-0005-0000-0000-0000CA220000}"/>
    <cellStyle name="40% - Accent3 3 15 13" xfId="8998" xr:uid="{00000000-0005-0000-0000-0000CB220000}"/>
    <cellStyle name="40% - Accent3 3 15 14" xfId="8999" xr:uid="{00000000-0005-0000-0000-0000CC220000}"/>
    <cellStyle name="40% - Accent3 3 15 15" xfId="9000" xr:uid="{00000000-0005-0000-0000-0000CD220000}"/>
    <cellStyle name="40% - Accent3 3 15 2" xfId="9001" xr:uid="{00000000-0005-0000-0000-0000CE220000}"/>
    <cellStyle name="40% - Accent3 3 15 3" xfId="9002" xr:uid="{00000000-0005-0000-0000-0000CF220000}"/>
    <cellStyle name="40% - Accent3 3 15 4" xfId="9003" xr:uid="{00000000-0005-0000-0000-0000D0220000}"/>
    <cellStyle name="40% - Accent3 3 15 5" xfId="9004" xr:uid="{00000000-0005-0000-0000-0000D1220000}"/>
    <cellStyle name="40% - Accent3 3 15 6" xfId="9005" xr:uid="{00000000-0005-0000-0000-0000D2220000}"/>
    <cellStyle name="40% - Accent3 3 15 7" xfId="9006" xr:uid="{00000000-0005-0000-0000-0000D3220000}"/>
    <cellStyle name="40% - Accent3 3 15 8" xfId="9007" xr:uid="{00000000-0005-0000-0000-0000D4220000}"/>
    <cellStyle name="40% - Accent3 3 15 9" xfId="9008" xr:uid="{00000000-0005-0000-0000-0000D5220000}"/>
    <cellStyle name="40% - Accent3 3 16" xfId="9009" xr:uid="{00000000-0005-0000-0000-0000D6220000}"/>
    <cellStyle name="40% - Accent3 3 16 10" xfId="9010" xr:uid="{00000000-0005-0000-0000-0000D7220000}"/>
    <cellStyle name="40% - Accent3 3 16 11" xfId="9011" xr:uid="{00000000-0005-0000-0000-0000D8220000}"/>
    <cellStyle name="40% - Accent3 3 16 12" xfId="9012" xr:uid="{00000000-0005-0000-0000-0000D9220000}"/>
    <cellStyle name="40% - Accent3 3 16 13" xfId="9013" xr:uid="{00000000-0005-0000-0000-0000DA220000}"/>
    <cellStyle name="40% - Accent3 3 16 14" xfId="9014" xr:uid="{00000000-0005-0000-0000-0000DB220000}"/>
    <cellStyle name="40% - Accent3 3 16 15" xfId="9015" xr:uid="{00000000-0005-0000-0000-0000DC220000}"/>
    <cellStyle name="40% - Accent3 3 16 2" xfId="9016" xr:uid="{00000000-0005-0000-0000-0000DD220000}"/>
    <cellStyle name="40% - Accent3 3 16 3" xfId="9017" xr:uid="{00000000-0005-0000-0000-0000DE220000}"/>
    <cellStyle name="40% - Accent3 3 16 4" xfId="9018" xr:uid="{00000000-0005-0000-0000-0000DF220000}"/>
    <cellStyle name="40% - Accent3 3 16 5" xfId="9019" xr:uid="{00000000-0005-0000-0000-0000E0220000}"/>
    <cellStyle name="40% - Accent3 3 16 6" xfId="9020" xr:uid="{00000000-0005-0000-0000-0000E1220000}"/>
    <cellStyle name="40% - Accent3 3 16 7" xfId="9021" xr:uid="{00000000-0005-0000-0000-0000E2220000}"/>
    <cellStyle name="40% - Accent3 3 16 8" xfId="9022" xr:uid="{00000000-0005-0000-0000-0000E3220000}"/>
    <cellStyle name="40% - Accent3 3 16 9" xfId="9023" xr:uid="{00000000-0005-0000-0000-0000E4220000}"/>
    <cellStyle name="40% - Accent3 3 17" xfId="9024" xr:uid="{00000000-0005-0000-0000-0000E5220000}"/>
    <cellStyle name="40% - Accent3 3 17 10" xfId="9025" xr:uid="{00000000-0005-0000-0000-0000E6220000}"/>
    <cellStyle name="40% - Accent3 3 17 11" xfId="9026" xr:uid="{00000000-0005-0000-0000-0000E7220000}"/>
    <cellStyle name="40% - Accent3 3 17 12" xfId="9027" xr:uid="{00000000-0005-0000-0000-0000E8220000}"/>
    <cellStyle name="40% - Accent3 3 17 13" xfId="9028" xr:uid="{00000000-0005-0000-0000-0000E9220000}"/>
    <cellStyle name="40% - Accent3 3 17 14" xfId="9029" xr:uid="{00000000-0005-0000-0000-0000EA220000}"/>
    <cellStyle name="40% - Accent3 3 17 15" xfId="9030" xr:uid="{00000000-0005-0000-0000-0000EB220000}"/>
    <cellStyle name="40% - Accent3 3 17 2" xfId="9031" xr:uid="{00000000-0005-0000-0000-0000EC220000}"/>
    <cellStyle name="40% - Accent3 3 17 3" xfId="9032" xr:uid="{00000000-0005-0000-0000-0000ED220000}"/>
    <cellStyle name="40% - Accent3 3 17 4" xfId="9033" xr:uid="{00000000-0005-0000-0000-0000EE220000}"/>
    <cellStyle name="40% - Accent3 3 17 5" xfId="9034" xr:uid="{00000000-0005-0000-0000-0000EF220000}"/>
    <cellStyle name="40% - Accent3 3 17 6" xfId="9035" xr:uid="{00000000-0005-0000-0000-0000F0220000}"/>
    <cellStyle name="40% - Accent3 3 17 7" xfId="9036" xr:uid="{00000000-0005-0000-0000-0000F1220000}"/>
    <cellStyle name="40% - Accent3 3 17 8" xfId="9037" xr:uid="{00000000-0005-0000-0000-0000F2220000}"/>
    <cellStyle name="40% - Accent3 3 17 9" xfId="9038" xr:uid="{00000000-0005-0000-0000-0000F3220000}"/>
    <cellStyle name="40% - Accent3 3 18" xfId="9039" xr:uid="{00000000-0005-0000-0000-0000F4220000}"/>
    <cellStyle name="40% - Accent3 3 18 10" xfId="9040" xr:uid="{00000000-0005-0000-0000-0000F5220000}"/>
    <cellStyle name="40% - Accent3 3 18 11" xfId="9041" xr:uid="{00000000-0005-0000-0000-0000F6220000}"/>
    <cellStyle name="40% - Accent3 3 18 12" xfId="9042" xr:uid="{00000000-0005-0000-0000-0000F7220000}"/>
    <cellStyle name="40% - Accent3 3 18 13" xfId="9043" xr:uid="{00000000-0005-0000-0000-0000F8220000}"/>
    <cellStyle name="40% - Accent3 3 18 14" xfId="9044" xr:uid="{00000000-0005-0000-0000-0000F9220000}"/>
    <cellStyle name="40% - Accent3 3 18 15" xfId="9045" xr:uid="{00000000-0005-0000-0000-0000FA220000}"/>
    <cellStyle name="40% - Accent3 3 18 2" xfId="9046" xr:uid="{00000000-0005-0000-0000-0000FB220000}"/>
    <cellStyle name="40% - Accent3 3 18 3" xfId="9047" xr:uid="{00000000-0005-0000-0000-0000FC220000}"/>
    <cellStyle name="40% - Accent3 3 18 4" xfId="9048" xr:uid="{00000000-0005-0000-0000-0000FD220000}"/>
    <cellStyle name="40% - Accent3 3 18 5" xfId="9049" xr:uid="{00000000-0005-0000-0000-0000FE220000}"/>
    <cellStyle name="40% - Accent3 3 18 6" xfId="9050" xr:uid="{00000000-0005-0000-0000-0000FF220000}"/>
    <cellStyle name="40% - Accent3 3 18 7" xfId="9051" xr:uid="{00000000-0005-0000-0000-000000230000}"/>
    <cellStyle name="40% - Accent3 3 18 8" xfId="9052" xr:uid="{00000000-0005-0000-0000-000001230000}"/>
    <cellStyle name="40% - Accent3 3 18 9" xfId="9053" xr:uid="{00000000-0005-0000-0000-000002230000}"/>
    <cellStyle name="40% - Accent3 3 19" xfId="9054" xr:uid="{00000000-0005-0000-0000-000003230000}"/>
    <cellStyle name="40% - Accent3 3 19 10" xfId="9055" xr:uid="{00000000-0005-0000-0000-000004230000}"/>
    <cellStyle name="40% - Accent3 3 19 11" xfId="9056" xr:uid="{00000000-0005-0000-0000-000005230000}"/>
    <cellStyle name="40% - Accent3 3 19 12" xfId="9057" xr:uid="{00000000-0005-0000-0000-000006230000}"/>
    <cellStyle name="40% - Accent3 3 19 13" xfId="9058" xr:uid="{00000000-0005-0000-0000-000007230000}"/>
    <cellStyle name="40% - Accent3 3 19 14" xfId="9059" xr:uid="{00000000-0005-0000-0000-000008230000}"/>
    <cellStyle name="40% - Accent3 3 19 15" xfId="9060" xr:uid="{00000000-0005-0000-0000-000009230000}"/>
    <cellStyle name="40% - Accent3 3 19 2" xfId="9061" xr:uid="{00000000-0005-0000-0000-00000A230000}"/>
    <cellStyle name="40% - Accent3 3 19 3" xfId="9062" xr:uid="{00000000-0005-0000-0000-00000B230000}"/>
    <cellStyle name="40% - Accent3 3 19 4" xfId="9063" xr:uid="{00000000-0005-0000-0000-00000C230000}"/>
    <cellStyle name="40% - Accent3 3 19 5" xfId="9064" xr:uid="{00000000-0005-0000-0000-00000D230000}"/>
    <cellStyle name="40% - Accent3 3 19 6" xfId="9065" xr:uid="{00000000-0005-0000-0000-00000E230000}"/>
    <cellStyle name="40% - Accent3 3 19 7" xfId="9066" xr:uid="{00000000-0005-0000-0000-00000F230000}"/>
    <cellStyle name="40% - Accent3 3 19 8" xfId="9067" xr:uid="{00000000-0005-0000-0000-000010230000}"/>
    <cellStyle name="40% - Accent3 3 19 9" xfId="9068" xr:uid="{00000000-0005-0000-0000-000011230000}"/>
    <cellStyle name="40% - Accent3 3 2" xfId="9069" xr:uid="{00000000-0005-0000-0000-000012230000}"/>
    <cellStyle name="40% - Accent3 3 2 10" xfId="9070" xr:uid="{00000000-0005-0000-0000-000013230000}"/>
    <cellStyle name="40% - Accent3 3 2 11" xfId="9071" xr:uid="{00000000-0005-0000-0000-000014230000}"/>
    <cellStyle name="40% - Accent3 3 2 12" xfId="9072" xr:uid="{00000000-0005-0000-0000-000015230000}"/>
    <cellStyle name="40% - Accent3 3 2 13" xfId="9073" xr:uid="{00000000-0005-0000-0000-000016230000}"/>
    <cellStyle name="40% - Accent3 3 2 14" xfId="9074" xr:uid="{00000000-0005-0000-0000-000017230000}"/>
    <cellStyle name="40% - Accent3 3 2 15" xfId="9075" xr:uid="{00000000-0005-0000-0000-000018230000}"/>
    <cellStyle name="40% - Accent3 3 2 16" xfId="9076" xr:uid="{00000000-0005-0000-0000-000019230000}"/>
    <cellStyle name="40% - Accent3 3 2 17" xfId="9077" xr:uid="{00000000-0005-0000-0000-00001A230000}"/>
    <cellStyle name="40% - Accent3 3 2 18" xfId="9078" xr:uid="{00000000-0005-0000-0000-00001B230000}"/>
    <cellStyle name="40% - Accent3 3 2 19" xfId="9079" xr:uid="{00000000-0005-0000-0000-00001C230000}"/>
    <cellStyle name="40% - Accent3 3 2 2" xfId="9080" xr:uid="{00000000-0005-0000-0000-00001D230000}"/>
    <cellStyle name="40% - Accent3 3 2 20" xfId="9081" xr:uid="{00000000-0005-0000-0000-00001E230000}"/>
    <cellStyle name="40% - Accent3 3 2 21" xfId="9082" xr:uid="{00000000-0005-0000-0000-00001F230000}"/>
    <cellStyle name="40% - Accent3 3 2 22" xfId="9083" xr:uid="{00000000-0005-0000-0000-000020230000}"/>
    <cellStyle name="40% - Accent3 3 2 23" xfId="9084" xr:uid="{00000000-0005-0000-0000-000021230000}"/>
    <cellStyle name="40% - Accent3 3 2 24" xfId="9085" xr:uid="{00000000-0005-0000-0000-000022230000}"/>
    <cellStyle name="40% - Accent3 3 2 25" xfId="9086" xr:uid="{00000000-0005-0000-0000-000023230000}"/>
    <cellStyle name="40% - Accent3 3 2 26" xfId="9087" xr:uid="{00000000-0005-0000-0000-000024230000}"/>
    <cellStyle name="40% - Accent3 3 2 27" xfId="9088" xr:uid="{00000000-0005-0000-0000-000025230000}"/>
    <cellStyle name="40% - Accent3 3 2 28" xfId="9089" xr:uid="{00000000-0005-0000-0000-000026230000}"/>
    <cellStyle name="40% - Accent3 3 2 29" xfId="9090" xr:uid="{00000000-0005-0000-0000-000027230000}"/>
    <cellStyle name="40% - Accent3 3 2 3" xfId="9091" xr:uid="{00000000-0005-0000-0000-000028230000}"/>
    <cellStyle name="40% - Accent3 3 2 30" xfId="9092" xr:uid="{00000000-0005-0000-0000-000029230000}"/>
    <cellStyle name="40% - Accent3 3 2 31" xfId="9093" xr:uid="{00000000-0005-0000-0000-00002A230000}"/>
    <cellStyle name="40% - Accent3 3 2 32" xfId="9094" xr:uid="{00000000-0005-0000-0000-00002B230000}"/>
    <cellStyle name="40% - Accent3 3 2 33" xfId="9095" xr:uid="{00000000-0005-0000-0000-00002C230000}"/>
    <cellStyle name="40% - Accent3 3 2 34" xfId="9096" xr:uid="{00000000-0005-0000-0000-00002D230000}"/>
    <cellStyle name="40% - Accent3 3 2 35" xfId="9097" xr:uid="{00000000-0005-0000-0000-00002E230000}"/>
    <cellStyle name="40% - Accent3 3 2 36" xfId="9098" xr:uid="{00000000-0005-0000-0000-00002F230000}"/>
    <cellStyle name="40% - Accent3 3 2 37" xfId="9099" xr:uid="{00000000-0005-0000-0000-000030230000}"/>
    <cellStyle name="40% - Accent3 3 2 38" xfId="9100" xr:uid="{00000000-0005-0000-0000-000031230000}"/>
    <cellStyle name="40% - Accent3 3 2 39" xfId="9101" xr:uid="{00000000-0005-0000-0000-000032230000}"/>
    <cellStyle name="40% - Accent3 3 2 4" xfId="9102" xr:uid="{00000000-0005-0000-0000-000033230000}"/>
    <cellStyle name="40% - Accent3 3 2 40" xfId="9103" xr:uid="{00000000-0005-0000-0000-000034230000}"/>
    <cellStyle name="40% - Accent3 3 2 41" xfId="9104" xr:uid="{00000000-0005-0000-0000-000035230000}"/>
    <cellStyle name="40% - Accent3 3 2 42" xfId="9105" xr:uid="{00000000-0005-0000-0000-000036230000}"/>
    <cellStyle name="40% - Accent3 3 2 43" xfId="9106" xr:uid="{00000000-0005-0000-0000-000037230000}"/>
    <cellStyle name="40% - Accent3 3 2 44" xfId="9107" xr:uid="{00000000-0005-0000-0000-000038230000}"/>
    <cellStyle name="40% - Accent3 3 2 45" xfId="9108" xr:uid="{00000000-0005-0000-0000-000039230000}"/>
    <cellStyle name="40% - Accent3 3 2 46" xfId="9109" xr:uid="{00000000-0005-0000-0000-00003A230000}"/>
    <cellStyle name="40% - Accent3 3 2 47" xfId="9110" xr:uid="{00000000-0005-0000-0000-00003B230000}"/>
    <cellStyle name="40% - Accent3 3 2 48" xfId="9111" xr:uid="{00000000-0005-0000-0000-00003C230000}"/>
    <cellStyle name="40% - Accent3 3 2 49" xfId="9112" xr:uid="{00000000-0005-0000-0000-00003D230000}"/>
    <cellStyle name="40% - Accent3 3 2 5" xfId="9113" xr:uid="{00000000-0005-0000-0000-00003E230000}"/>
    <cellStyle name="40% - Accent3 3 2 50" xfId="9114" xr:uid="{00000000-0005-0000-0000-00003F230000}"/>
    <cellStyle name="40% - Accent3 3 2 51" xfId="9115" xr:uid="{00000000-0005-0000-0000-000040230000}"/>
    <cellStyle name="40% - Accent3 3 2 52" xfId="9116" xr:uid="{00000000-0005-0000-0000-000041230000}"/>
    <cellStyle name="40% - Accent3 3 2 53" xfId="9117" xr:uid="{00000000-0005-0000-0000-000042230000}"/>
    <cellStyle name="40% - Accent3 3 2 54" xfId="9118" xr:uid="{00000000-0005-0000-0000-000043230000}"/>
    <cellStyle name="40% - Accent3 3 2 6" xfId="9119" xr:uid="{00000000-0005-0000-0000-000044230000}"/>
    <cellStyle name="40% - Accent3 3 2 7" xfId="9120" xr:uid="{00000000-0005-0000-0000-000045230000}"/>
    <cellStyle name="40% - Accent3 3 2 8" xfId="9121" xr:uid="{00000000-0005-0000-0000-000046230000}"/>
    <cellStyle name="40% - Accent3 3 2 9" xfId="9122" xr:uid="{00000000-0005-0000-0000-000047230000}"/>
    <cellStyle name="40% - Accent3 3 20" xfId="9123" xr:uid="{00000000-0005-0000-0000-000048230000}"/>
    <cellStyle name="40% - Accent3 3 20 10" xfId="9124" xr:uid="{00000000-0005-0000-0000-000049230000}"/>
    <cellStyle name="40% - Accent3 3 20 11" xfId="9125" xr:uid="{00000000-0005-0000-0000-00004A230000}"/>
    <cellStyle name="40% - Accent3 3 20 12" xfId="9126" xr:uid="{00000000-0005-0000-0000-00004B230000}"/>
    <cellStyle name="40% - Accent3 3 20 13" xfId="9127" xr:uid="{00000000-0005-0000-0000-00004C230000}"/>
    <cellStyle name="40% - Accent3 3 20 14" xfId="9128" xr:uid="{00000000-0005-0000-0000-00004D230000}"/>
    <cellStyle name="40% - Accent3 3 20 15" xfId="9129" xr:uid="{00000000-0005-0000-0000-00004E230000}"/>
    <cellStyle name="40% - Accent3 3 20 2" xfId="9130" xr:uid="{00000000-0005-0000-0000-00004F230000}"/>
    <cellStyle name="40% - Accent3 3 20 3" xfId="9131" xr:uid="{00000000-0005-0000-0000-000050230000}"/>
    <cellStyle name="40% - Accent3 3 20 4" xfId="9132" xr:uid="{00000000-0005-0000-0000-000051230000}"/>
    <cellStyle name="40% - Accent3 3 20 5" xfId="9133" xr:uid="{00000000-0005-0000-0000-000052230000}"/>
    <cellStyle name="40% - Accent3 3 20 6" xfId="9134" xr:uid="{00000000-0005-0000-0000-000053230000}"/>
    <cellStyle name="40% - Accent3 3 20 7" xfId="9135" xr:uid="{00000000-0005-0000-0000-000054230000}"/>
    <cellStyle name="40% - Accent3 3 20 8" xfId="9136" xr:uid="{00000000-0005-0000-0000-000055230000}"/>
    <cellStyle name="40% - Accent3 3 20 9" xfId="9137" xr:uid="{00000000-0005-0000-0000-000056230000}"/>
    <cellStyle name="40% - Accent3 3 21" xfId="9138" xr:uid="{00000000-0005-0000-0000-000057230000}"/>
    <cellStyle name="40% - Accent3 3 21 10" xfId="9139" xr:uid="{00000000-0005-0000-0000-000058230000}"/>
    <cellStyle name="40% - Accent3 3 21 11" xfId="9140" xr:uid="{00000000-0005-0000-0000-000059230000}"/>
    <cellStyle name="40% - Accent3 3 21 12" xfId="9141" xr:uid="{00000000-0005-0000-0000-00005A230000}"/>
    <cellStyle name="40% - Accent3 3 21 13" xfId="9142" xr:uid="{00000000-0005-0000-0000-00005B230000}"/>
    <cellStyle name="40% - Accent3 3 21 14" xfId="9143" xr:uid="{00000000-0005-0000-0000-00005C230000}"/>
    <cellStyle name="40% - Accent3 3 21 15" xfId="9144" xr:uid="{00000000-0005-0000-0000-00005D230000}"/>
    <cellStyle name="40% - Accent3 3 21 2" xfId="9145" xr:uid="{00000000-0005-0000-0000-00005E230000}"/>
    <cellStyle name="40% - Accent3 3 21 3" xfId="9146" xr:uid="{00000000-0005-0000-0000-00005F230000}"/>
    <cellStyle name="40% - Accent3 3 21 4" xfId="9147" xr:uid="{00000000-0005-0000-0000-000060230000}"/>
    <cellStyle name="40% - Accent3 3 21 5" xfId="9148" xr:uid="{00000000-0005-0000-0000-000061230000}"/>
    <cellStyle name="40% - Accent3 3 21 6" xfId="9149" xr:uid="{00000000-0005-0000-0000-000062230000}"/>
    <cellStyle name="40% - Accent3 3 21 7" xfId="9150" xr:uid="{00000000-0005-0000-0000-000063230000}"/>
    <cellStyle name="40% - Accent3 3 21 8" xfId="9151" xr:uid="{00000000-0005-0000-0000-000064230000}"/>
    <cellStyle name="40% - Accent3 3 21 9" xfId="9152" xr:uid="{00000000-0005-0000-0000-000065230000}"/>
    <cellStyle name="40% - Accent3 3 22" xfId="9153" xr:uid="{00000000-0005-0000-0000-000066230000}"/>
    <cellStyle name="40% - Accent3 3 22 10" xfId="9154" xr:uid="{00000000-0005-0000-0000-000067230000}"/>
    <cellStyle name="40% - Accent3 3 22 11" xfId="9155" xr:uid="{00000000-0005-0000-0000-000068230000}"/>
    <cellStyle name="40% - Accent3 3 22 12" xfId="9156" xr:uid="{00000000-0005-0000-0000-000069230000}"/>
    <cellStyle name="40% - Accent3 3 22 13" xfId="9157" xr:uid="{00000000-0005-0000-0000-00006A230000}"/>
    <cellStyle name="40% - Accent3 3 22 14" xfId="9158" xr:uid="{00000000-0005-0000-0000-00006B230000}"/>
    <cellStyle name="40% - Accent3 3 22 15" xfId="9159" xr:uid="{00000000-0005-0000-0000-00006C230000}"/>
    <cellStyle name="40% - Accent3 3 22 2" xfId="9160" xr:uid="{00000000-0005-0000-0000-00006D230000}"/>
    <cellStyle name="40% - Accent3 3 22 3" xfId="9161" xr:uid="{00000000-0005-0000-0000-00006E230000}"/>
    <cellStyle name="40% - Accent3 3 22 4" xfId="9162" xr:uid="{00000000-0005-0000-0000-00006F230000}"/>
    <cellStyle name="40% - Accent3 3 22 5" xfId="9163" xr:uid="{00000000-0005-0000-0000-000070230000}"/>
    <cellStyle name="40% - Accent3 3 22 6" xfId="9164" xr:uid="{00000000-0005-0000-0000-000071230000}"/>
    <cellStyle name="40% - Accent3 3 22 7" xfId="9165" xr:uid="{00000000-0005-0000-0000-000072230000}"/>
    <cellStyle name="40% - Accent3 3 22 8" xfId="9166" xr:uid="{00000000-0005-0000-0000-000073230000}"/>
    <cellStyle name="40% - Accent3 3 22 9" xfId="9167" xr:uid="{00000000-0005-0000-0000-000074230000}"/>
    <cellStyle name="40% - Accent3 3 23" xfId="9168" xr:uid="{00000000-0005-0000-0000-000075230000}"/>
    <cellStyle name="40% - Accent3 3 23 10" xfId="9169" xr:uid="{00000000-0005-0000-0000-000076230000}"/>
    <cellStyle name="40% - Accent3 3 23 11" xfId="9170" xr:uid="{00000000-0005-0000-0000-000077230000}"/>
    <cellStyle name="40% - Accent3 3 23 12" xfId="9171" xr:uid="{00000000-0005-0000-0000-000078230000}"/>
    <cellStyle name="40% - Accent3 3 23 13" xfId="9172" xr:uid="{00000000-0005-0000-0000-000079230000}"/>
    <cellStyle name="40% - Accent3 3 23 14" xfId="9173" xr:uid="{00000000-0005-0000-0000-00007A230000}"/>
    <cellStyle name="40% - Accent3 3 23 15" xfId="9174" xr:uid="{00000000-0005-0000-0000-00007B230000}"/>
    <cellStyle name="40% - Accent3 3 23 2" xfId="9175" xr:uid="{00000000-0005-0000-0000-00007C230000}"/>
    <cellStyle name="40% - Accent3 3 23 3" xfId="9176" xr:uid="{00000000-0005-0000-0000-00007D230000}"/>
    <cellStyle name="40% - Accent3 3 23 4" xfId="9177" xr:uid="{00000000-0005-0000-0000-00007E230000}"/>
    <cellStyle name="40% - Accent3 3 23 5" xfId="9178" xr:uid="{00000000-0005-0000-0000-00007F230000}"/>
    <cellStyle name="40% - Accent3 3 23 6" xfId="9179" xr:uid="{00000000-0005-0000-0000-000080230000}"/>
    <cellStyle name="40% - Accent3 3 23 7" xfId="9180" xr:uid="{00000000-0005-0000-0000-000081230000}"/>
    <cellStyle name="40% - Accent3 3 23 8" xfId="9181" xr:uid="{00000000-0005-0000-0000-000082230000}"/>
    <cellStyle name="40% - Accent3 3 23 9" xfId="9182" xr:uid="{00000000-0005-0000-0000-000083230000}"/>
    <cellStyle name="40% - Accent3 3 24" xfId="9183" xr:uid="{00000000-0005-0000-0000-000084230000}"/>
    <cellStyle name="40% - Accent3 3 24 10" xfId="9184" xr:uid="{00000000-0005-0000-0000-000085230000}"/>
    <cellStyle name="40% - Accent3 3 24 11" xfId="9185" xr:uid="{00000000-0005-0000-0000-000086230000}"/>
    <cellStyle name="40% - Accent3 3 24 12" xfId="9186" xr:uid="{00000000-0005-0000-0000-000087230000}"/>
    <cellStyle name="40% - Accent3 3 24 13" xfId="9187" xr:uid="{00000000-0005-0000-0000-000088230000}"/>
    <cellStyle name="40% - Accent3 3 24 14" xfId="9188" xr:uid="{00000000-0005-0000-0000-000089230000}"/>
    <cellStyle name="40% - Accent3 3 24 15" xfId="9189" xr:uid="{00000000-0005-0000-0000-00008A230000}"/>
    <cellStyle name="40% - Accent3 3 24 2" xfId="9190" xr:uid="{00000000-0005-0000-0000-00008B230000}"/>
    <cellStyle name="40% - Accent3 3 24 3" xfId="9191" xr:uid="{00000000-0005-0000-0000-00008C230000}"/>
    <cellStyle name="40% - Accent3 3 24 4" xfId="9192" xr:uid="{00000000-0005-0000-0000-00008D230000}"/>
    <cellStyle name="40% - Accent3 3 24 5" xfId="9193" xr:uid="{00000000-0005-0000-0000-00008E230000}"/>
    <cellStyle name="40% - Accent3 3 24 6" xfId="9194" xr:uid="{00000000-0005-0000-0000-00008F230000}"/>
    <cellStyle name="40% - Accent3 3 24 7" xfId="9195" xr:uid="{00000000-0005-0000-0000-000090230000}"/>
    <cellStyle name="40% - Accent3 3 24 8" xfId="9196" xr:uid="{00000000-0005-0000-0000-000091230000}"/>
    <cellStyle name="40% - Accent3 3 24 9" xfId="9197" xr:uid="{00000000-0005-0000-0000-000092230000}"/>
    <cellStyle name="40% - Accent3 3 25" xfId="9198" xr:uid="{00000000-0005-0000-0000-000093230000}"/>
    <cellStyle name="40% - Accent3 3 25 10" xfId="9199" xr:uid="{00000000-0005-0000-0000-000094230000}"/>
    <cellStyle name="40% - Accent3 3 25 11" xfId="9200" xr:uid="{00000000-0005-0000-0000-000095230000}"/>
    <cellStyle name="40% - Accent3 3 25 12" xfId="9201" xr:uid="{00000000-0005-0000-0000-000096230000}"/>
    <cellStyle name="40% - Accent3 3 25 13" xfId="9202" xr:uid="{00000000-0005-0000-0000-000097230000}"/>
    <cellStyle name="40% - Accent3 3 25 14" xfId="9203" xr:uid="{00000000-0005-0000-0000-000098230000}"/>
    <cellStyle name="40% - Accent3 3 25 15" xfId="9204" xr:uid="{00000000-0005-0000-0000-000099230000}"/>
    <cellStyle name="40% - Accent3 3 25 2" xfId="9205" xr:uid="{00000000-0005-0000-0000-00009A230000}"/>
    <cellStyle name="40% - Accent3 3 25 3" xfId="9206" xr:uid="{00000000-0005-0000-0000-00009B230000}"/>
    <cellStyle name="40% - Accent3 3 25 4" xfId="9207" xr:uid="{00000000-0005-0000-0000-00009C230000}"/>
    <cellStyle name="40% - Accent3 3 25 5" xfId="9208" xr:uid="{00000000-0005-0000-0000-00009D230000}"/>
    <cellStyle name="40% - Accent3 3 25 6" xfId="9209" xr:uid="{00000000-0005-0000-0000-00009E230000}"/>
    <cellStyle name="40% - Accent3 3 25 7" xfId="9210" xr:uid="{00000000-0005-0000-0000-00009F230000}"/>
    <cellStyle name="40% - Accent3 3 25 8" xfId="9211" xr:uid="{00000000-0005-0000-0000-0000A0230000}"/>
    <cellStyle name="40% - Accent3 3 25 9" xfId="9212" xr:uid="{00000000-0005-0000-0000-0000A1230000}"/>
    <cellStyle name="40% - Accent3 3 26" xfId="9213" xr:uid="{00000000-0005-0000-0000-0000A2230000}"/>
    <cellStyle name="40% - Accent3 3 26 10" xfId="9214" xr:uid="{00000000-0005-0000-0000-0000A3230000}"/>
    <cellStyle name="40% - Accent3 3 26 11" xfId="9215" xr:uid="{00000000-0005-0000-0000-0000A4230000}"/>
    <cellStyle name="40% - Accent3 3 26 12" xfId="9216" xr:uid="{00000000-0005-0000-0000-0000A5230000}"/>
    <cellStyle name="40% - Accent3 3 26 13" xfId="9217" xr:uid="{00000000-0005-0000-0000-0000A6230000}"/>
    <cellStyle name="40% - Accent3 3 26 14" xfId="9218" xr:uid="{00000000-0005-0000-0000-0000A7230000}"/>
    <cellStyle name="40% - Accent3 3 26 15" xfId="9219" xr:uid="{00000000-0005-0000-0000-0000A8230000}"/>
    <cellStyle name="40% - Accent3 3 26 2" xfId="9220" xr:uid="{00000000-0005-0000-0000-0000A9230000}"/>
    <cellStyle name="40% - Accent3 3 26 3" xfId="9221" xr:uid="{00000000-0005-0000-0000-0000AA230000}"/>
    <cellStyle name="40% - Accent3 3 26 4" xfId="9222" xr:uid="{00000000-0005-0000-0000-0000AB230000}"/>
    <cellStyle name="40% - Accent3 3 26 5" xfId="9223" xr:uid="{00000000-0005-0000-0000-0000AC230000}"/>
    <cellStyle name="40% - Accent3 3 26 6" xfId="9224" xr:uid="{00000000-0005-0000-0000-0000AD230000}"/>
    <cellStyle name="40% - Accent3 3 26 7" xfId="9225" xr:uid="{00000000-0005-0000-0000-0000AE230000}"/>
    <cellStyle name="40% - Accent3 3 26 8" xfId="9226" xr:uid="{00000000-0005-0000-0000-0000AF230000}"/>
    <cellStyle name="40% - Accent3 3 26 9" xfId="9227" xr:uid="{00000000-0005-0000-0000-0000B0230000}"/>
    <cellStyle name="40% - Accent3 3 27" xfId="9228" xr:uid="{00000000-0005-0000-0000-0000B1230000}"/>
    <cellStyle name="40% - Accent3 3 27 10" xfId="9229" xr:uid="{00000000-0005-0000-0000-0000B2230000}"/>
    <cellStyle name="40% - Accent3 3 27 11" xfId="9230" xr:uid="{00000000-0005-0000-0000-0000B3230000}"/>
    <cellStyle name="40% - Accent3 3 27 12" xfId="9231" xr:uid="{00000000-0005-0000-0000-0000B4230000}"/>
    <cellStyle name="40% - Accent3 3 27 13" xfId="9232" xr:uid="{00000000-0005-0000-0000-0000B5230000}"/>
    <cellStyle name="40% - Accent3 3 27 14" xfId="9233" xr:uid="{00000000-0005-0000-0000-0000B6230000}"/>
    <cellStyle name="40% - Accent3 3 27 15" xfId="9234" xr:uid="{00000000-0005-0000-0000-0000B7230000}"/>
    <cellStyle name="40% - Accent3 3 27 2" xfId="9235" xr:uid="{00000000-0005-0000-0000-0000B8230000}"/>
    <cellStyle name="40% - Accent3 3 27 3" xfId="9236" xr:uid="{00000000-0005-0000-0000-0000B9230000}"/>
    <cellStyle name="40% - Accent3 3 27 4" xfId="9237" xr:uid="{00000000-0005-0000-0000-0000BA230000}"/>
    <cellStyle name="40% - Accent3 3 27 5" xfId="9238" xr:uid="{00000000-0005-0000-0000-0000BB230000}"/>
    <cellStyle name="40% - Accent3 3 27 6" xfId="9239" xr:uid="{00000000-0005-0000-0000-0000BC230000}"/>
    <cellStyle name="40% - Accent3 3 27 7" xfId="9240" xr:uid="{00000000-0005-0000-0000-0000BD230000}"/>
    <cellStyle name="40% - Accent3 3 27 8" xfId="9241" xr:uid="{00000000-0005-0000-0000-0000BE230000}"/>
    <cellStyle name="40% - Accent3 3 27 9" xfId="9242" xr:uid="{00000000-0005-0000-0000-0000BF230000}"/>
    <cellStyle name="40% - Accent3 3 28" xfId="9243" xr:uid="{00000000-0005-0000-0000-0000C0230000}"/>
    <cellStyle name="40% - Accent3 3 28 10" xfId="9244" xr:uid="{00000000-0005-0000-0000-0000C1230000}"/>
    <cellStyle name="40% - Accent3 3 28 11" xfId="9245" xr:uid="{00000000-0005-0000-0000-0000C2230000}"/>
    <cellStyle name="40% - Accent3 3 28 12" xfId="9246" xr:uid="{00000000-0005-0000-0000-0000C3230000}"/>
    <cellStyle name="40% - Accent3 3 28 13" xfId="9247" xr:uid="{00000000-0005-0000-0000-0000C4230000}"/>
    <cellStyle name="40% - Accent3 3 28 14" xfId="9248" xr:uid="{00000000-0005-0000-0000-0000C5230000}"/>
    <cellStyle name="40% - Accent3 3 28 15" xfId="9249" xr:uid="{00000000-0005-0000-0000-0000C6230000}"/>
    <cellStyle name="40% - Accent3 3 28 2" xfId="9250" xr:uid="{00000000-0005-0000-0000-0000C7230000}"/>
    <cellStyle name="40% - Accent3 3 28 3" xfId="9251" xr:uid="{00000000-0005-0000-0000-0000C8230000}"/>
    <cellStyle name="40% - Accent3 3 28 4" xfId="9252" xr:uid="{00000000-0005-0000-0000-0000C9230000}"/>
    <cellStyle name="40% - Accent3 3 28 5" xfId="9253" xr:uid="{00000000-0005-0000-0000-0000CA230000}"/>
    <cellStyle name="40% - Accent3 3 28 6" xfId="9254" xr:uid="{00000000-0005-0000-0000-0000CB230000}"/>
    <cellStyle name="40% - Accent3 3 28 7" xfId="9255" xr:uid="{00000000-0005-0000-0000-0000CC230000}"/>
    <cellStyle name="40% - Accent3 3 28 8" xfId="9256" xr:uid="{00000000-0005-0000-0000-0000CD230000}"/>
    <cellStyle name="40% - Accent3 3 28 9" xfId="9257" xr:uid="{00000000-0005-0000-0000-0000CE230000}"/>
    <cellStyle name="40% - Accent3 3 29" xfId="9258" xr:uid="{00000000-0005-0000-0000-0000CF230000}"/>
    <cellStyle name="40% - Accent3 3 29 10" xfId="9259" xr:uid="{00000000-0005-0000-0000-0000D0230000}"/>
    <cellStyle name="40% - Accent3 3 29 11" xfId="9260" xr:uid="{00000000-0005-0000-0000-0000D1230000}"/>
    <cellStyle name="40% - Accent3 3 29 12" xfId="9261" xr:uid="{00000000-0005-0000-0000-0000D2230000}"/>
    <cellStyle name="40% - Accent3 3 29 13" xfId="9262" xr:uid="{00000000-0005-0000-0000-0000D3230000}"/>
    <cellStyle name="40% - Accent3 3 29 14" xfId="9263" xr:uid="{00000000-0005-0000-0000-0000D4230000}"/>
    <cellStyle name="40% - Accent3 3 29 15" xfId="9264" xr:uid="{00000000-0005-0000-0000-0000D5230000}"/>
    <cellStyle name="40% - Accent3 3 29 2" xfId="9265" xr:uid="{00000000-0005-0000-0000-0000D6230000}"/>
    <cellStyle name="40% - Accent3 3 29 3" xfId="9266" xr:uid="{00000000-0005-0000-0000-0000D7230000}"/>
    <cellStyle name="40% - Accent3 3 29 4" xfId="9267" xr:uid="{00000000-0005-0000-0000-0000D8230000}"/>
    <cellStyle name="40% - Accent3 3 29 5" xfId="9268" xr:uid="{00000000-0005-0000-0000-0000D9230000}"/>
    <cellStyle name="40% - Accent3 3 29 6" xfId="9269" xr:uid="{00000000-0005-0000-0000-0000DA230000}"/>
    <cellStyle name="40% - Accent3 3 29 7" xfId="9270" xr:uid="{00000000-0005-0000-0000-0000DB230000}"/>
    <cellStyle name="40% - Accent3 3 29 8" xfId="9271" xr:uid="{00000000-0005-0000-0000-0000DC230000}"/>
    <cellStyle name="40% - Accent3 3 29 9" xfId="9272" xr:uid="{00000000-0005-0000-0000-0000DD230000}"/>
    <cellStyle name="40% - Accent3 3 3" xfId="9273" xr:uid="{00000000-0005-0000-0000-0000DE230000}"/>
    <cellStyle name="40% - Accent3 3 3 10" xfId="9274" xr:uid="{00000000-0005-0000-0000-0000DF230000}"/>
    <cellStyle name="40% - Accent3 3 3 11" xfId="9275" xr:uid="{00000000-0005-0000-0000-0000E0230000}"/>
    <cellStyle name="40% - Accent3 3 3 12" xfId="9276" xr:uid="{00000000-0005-0000-0000-0000E1230000}"/>
    <cellStyle name="40% - Accent3 3 3 13" xfId="9277" xr:uid="{00000000-0005-0000-0000-0000E2230000}"/>
    <cellStyle name="40% - Accent3 3 3 14" xfId="9278" xr:uid="{00000000-0005-0000-0000-0000E3230000}"/>
    <cellStyle name="40% - Accent3 3 3 15" xfId="9279" xr:uid="{00000000-0005-0000-0000-0000E4230000}"/>
    <cellStyle name="40% - Accent3 3 3 16" xfId="9280" xr:uid="{00000000-0005-0000-0000-0000E5230000}"/>
    <cellStyle name="40% - Accent3 3 3 2" xfId="9281" xr:uid="{00000000-0005-0000-0000-0000E6230000}"/>
    <cellStyle name="40% - Accent3 3 3 3" xfId="9282" xr:uid="{00000000-0005-0000-0000-0000E7230000}"/>
    <cellStyle name="40% - Accent3 3 3 4" xfId="9283" xr:uid="{00000000-0005-0000-0000-0000E8230000}"/>
    <cellStyle name="40% - Accent3 3 3 5" xfId="9284" xr:uid="{00000000-0005-0000-0000-0000E9230000}"/>
    <cellStyle name="40% - Accent3 3 3 6" xfId="9285" xr:uid="{00000000-0005-0000-0000-0000EA230000}"/>
    <cellStyle name="40% - Accent3 3 3 7" xfId="9286" xr:uid="{00000000-0005-0000-0000-0000EB230000}"/>
    <cellStyle name="40% - Accent3 3 3 8" xfId="9287" xr:uid="{00000000-0005-0000-0000-0000EC230000}"/>
    <cellStyle name="40% - Accent3 3 3 9" xfId="9288" xr:uid="{00000000-0005-0000-0000-0000ED230000}"/>
    <cellStyle name="40% - Accent3 3 30" xfId="9289" xr:uid="{00000000-0005-0000-0000-0000EE230000}"/>
    <cellStyle name="40% - Accent3 3 30 10" xfId="9290" xr:uid="{00000000-0005-0000-0000-0000EF230000}"/>
    <cellStyle name="40% - Accent3 3 30 11" xfId="9291" xr:uid="{00000000-0005-0000-0000-0000F0230000}"/>
    <cellStyle name="40% - Accent3 3 30 12" xfId="9292" xr:uid="{00000000-0005-0000-0000-0000F1230000}"/>
    <cellStyle name="40% - Accent3 3 30 13" xfId="9293" xr:uid="{00000000-0005-0000-0000-0000F2230000}"/>
    <cellStyle name="40% - Accent3 3 30 14" xfId="9294" xr:uid="{00000000-0005-0000-0000-0000F3230000}"/>
    <cellStyle name="40% - Accent3 3 30 15" xfId="9295" xr:uid="{00000000-0005-0000-0000-0000F4230000}"/>
    <cellStyle name="40% - Accent3 3 30 2" xfId="9296" xr:uid="{00000000-0005-0000-0000-0000F5230000}"/>
    <cellStyle name="40% - Accent3 3 30 3" xfId="9297" xr:uid="{00000000-0005-0000-0000-0000F6230000}"/>
    <cellStyle name="40% - Accent3 3 30 4" xfId="9298" xr:uid="{00000000-0005-0000-0000-0000F7230000}"/>
    <cellStyle name="40% - Accent3 3 30 5" xfId="9299" xr:uid="{00000000-0005-0000-0000-0000F8230000}"/>
    <cellStyle name="40% - Accent3 3 30 6" xfId="9300" xr:uid="{00000000-0005-0000-0000-0000F9230000}"/>
    <cellStyle name="40% - Accent3 3 30 7" xfId="9301" xr:uid="{00000000-0005-0000-0000-0000FA230000}"/>
    <cellStyle name="40% - Accent3 3 30 8" xfId="9302" xr:uid="{00000000-0005-0000-0000-0000FB230000}"/>
    <cellStyle name="40% - Accent3 3 30 9" xfId="9303" xr:uid="{00000000-0005-0000-0000-0000FC230000}"/>
    <cellStyle name="40% - Accent3 3 31" xfId="9304" xr:uid="{00000000-0005-0000-0000-0000FD230000}"/>
    <cellStyle name="40% - Accent3 3 31 10" xfId="9305" xr:uid="{00000000-0005-0000-0000-0000FE230000}"/>
    <cellStyle name="40% - Accent3 3 31 11" xfId="9306" xr:uid="{00000000-0005-0000-0000-0000FF230000}"/>
    <cellStyle name="40% - Accent3 3 31 12" xfId="9307" xr:uid="{00000000-0005-0000-0000-000000240000}"/>
    <cellStyle name="40% - Accent3 3 31 13" xfId="9308" xr:uid="{00000000-0005-0000-0000-000001240000}"/>
    <cellStyle name="40% - Accent3 3 31 14" xfId="9309" xr:uid="{00000000-0005-0000-0000-000002240000}"/>
    <cellStyle name="40% - Accent3 3 31 15" xfId="9310" xr:uid="{00000000-0005-0000-0000-000003240000}"/>
    <cellStyle name="40% - Accent3 3 31 2" xfId="9311" xr:uid="{00000000-0005-0000-0000-000004240000}"/>
    <cellStyle name="40% - Accent3 3 31 3" xfId="9312" xr:uid="{00000000-0005-0000-0000-000005240000}"/>
    <cellStyle name="40% - Accent3 3 31 4" xfId="9313" xr:uid="{00000000-0005-0000-0000-000006240000}"/>
    <cellStyle name="40% - Accent3 3 31 5" xfId="9314" xr:uid="{00000000-0005-0000-0000-000007240000}"/>
    <cellStyle name="40% - Accent3 3 31 6" xfId="9315" xr:uid="{00000000-0005-0000-0000-000008240000}"/>
    <cellStyle name="40% - Accent3 3 31 7" xfId="9316" xr:uid="{00000000-0005-0000-0000-000009240000}"/>
    <cellStyle name="40% - Accent3 3 31 8" xfId="9317" xr:uid="{00000000-0005-0000-0000-00000A240000}"/>
    <cellStyle name="40% - Accent3 3 31 9" xfId="9318" xr:uid="{00000000-0005-0000-0000-00000B240000}"/>
    <cellStyle name="40% - Accent3 3 32" xfId="9319" xr:uid="{00000000-0005-0000-0000-00000C240000}"/>
    <cellStyle name="40% - Accent3 3 32 10" xfId="9320" xr:uid="{00000000-0005-0000-0000-00000D240000}"/>
    <cellStyle name="40% - Accent3 3 32 11" xfId="9321" xr:uid="{00000000-0005-0000-0000-00000E240000}"/>
    <cellStyle name="40% - Accent3 3 32 12" xfId="9322" xr:uid="{00000000-0005-0000-0000-00000F240000}"/>
    <cellStyle name="40% - Accent3 3 32 13" xfId="9323" xr:uid="{00000000-0005-0000-0000-000010240000}"/>
    <cellStyle name="40% - Accent3 3 32 14" xfId="9324" xr:uid="{00000000-0005-0000-0000-000011240000}"/>
    <cellStyle name="40% - Accent3 3 32 15" xfId="9325" xr:uid="{00000000-0005-0000-0000-000012240000}"/>
    <cellStyle name="40% - Accent3 3 32 2" xfId="9326" xr:uid="{00000000-0005-0000-0000-000013240000}"/>
    <cellStyle name="40% - Accent3 3 32 3" xfId="9327" xr:uid="{00000000-0005-0000-0000-000014240000}"/>
    <cellStyle name="40% - Accent3 3 32 4" xfId="9328" xr:uid="{00000000-0005-0000-0000-000015240000}"/>
    <cellStyle name="40% - Accent3 3 32 5" xfId="9329" xr:uid="{00000000-0005-0000-0000-000016240000}"/>
    <cellStyle name="40% - Accent3 3 32 6" xfId="9330" xr:uid="{00000000-0005-0000-0000-000017240000}"/>
    <cellStyle name="40% - Accent3 3 32 7" xfId="9331" xr:uid="{00000000-0005-0000-0000-000018240000}"/>
    <cellStyle name="40% - Accent3 3 32 8" xfId="9332" xr:uid="{00000000-0005-0000-0000-000019240000}"/>
    <cellStyle name="40% - Accent3 3 32 9" xfId="9333" xr:uid="{00000000-0005-0000-0000-00001A240000}"/>
    <cellStyle name="40% - Accent3 3 33" xfId="9334" xr:uid="{00000000-0005-0000-0000-00001B240000}"/>
    <cellStyle name="40% - Accent3 3 34" xfId="9335" xr:uid="{00000000-0005-0000-0000-00001C240000}"/>
    <cellStyle name="40% - Accent3 3 35" xfId="9336" xr:uid="{00000000-0005-0000-0000-00001D240000}"/>
    <cellStyle name="40% - Accent3 3 36" xfId="9337" xr:uid="{00000000-0005-0000-0000-00001E240000}"/>
    <cellStyle name="40% - Accent3 3 37" xfId="9338" xr:uid="{00000000-0005-0000-0000-00001F240000}"/>
    <cellStyle name="40% - Accent3 3 38" xfId="9339" xr:uid="{00000000-0005-0000-0000-000020240000}"/>
    <cellStyle name="40% - Accent3 3 39" xfId="9340" xr:uid="{00000000-0005-0000-0000-000021240000}"/>
    <cellStyle name="40% - Accent3 3 4" xfId="9341" xr:uid="{00000000-0005-0000-0000-000022240000}"/>
    <cellStyle name="40% - Accent3 3 4 10" xfId="9342" xr:uid="{00000000-0005-0000-0000-000023240000}"/>
    <cellStyle name="40% - Accent3 3 4 11" xfId="9343" xr:uid="{00000000-0005-0000-0000-000024240000}"/>
    <cellStyle name="40% - Accent3 3 4 12" xfId="9344" xr:uid="{00000000-0005-0000-0000-000025240000}"/>
    <cellStyle name="40% - Accent3 3 4 13" xfId="9345" xr:uid="{00000000-0005-0000-0000-000026240000}"/>
    <cellStyle name="40% - Accent3 3 4 14" xfId="9346" xr:uid="{00000000-0005-0000-0000-000027240000}"/>
    <cellStyle name="40% - Accent3 3 4 15" xfId="9347" xr:uid="{00000000-0005-0000-0000-000028240000}"/>
    <cellStyle name="40% - Accent3 3 4 16" xfId="9348" xr:uid="{00000000-0005-0000-0000-000029240000}"/>
    <cellStyle name="40% - Accent3 3 4 2" xfId="9349" xr:uid="{00000000-0005-0000-0000-00002A240000}"/>
    <cellStyle name="40% - Accent3 3 4 3" xfId="9350" xr:uid="{00000000-0005-0000-0000-00002B240000}"/>
    <cellStyle name="40% - Accent3 3 4 4" xfId="9351" xr:uid="{00000000-0005-0000-0000-00002C240000}"/>
    <cellStyle name="40% - Accent3 3 4 5" xfId="9352" xr:uid="{00000000-0005-0000-0000-00002D240000}"/>
    <cellStyle name="40% - Accent3 3 4 6" xfId="9353" xr:uid="{00000000-0005-0000-0000-00002E240000}"/>
    <cellStyle name="40% - Accent3 3 4 7" xfId="9354" xr:uid="{00000000-0005-0000-0000-00002F240000}"/>
    <cellStyle name="40% - Accent3 3 4 8" xfId="9355" xr:uid="{00000000-0005-0000-0000-000030240000}"/>
    <cellStyle name="40% - Accent3 3 4 9" xfId="9356" xr:uid="{00000000-0005-0000-0000-000031240000}"/>
    <cellStyle name="40% - Accent3 3 40" xfId="9357" xr:uid="{00000000-0005-0000-0000-000032240000}"/>
    <cellStyle name="40% - Accent3 3 41" xfId="9358" xr:uid="{00000000-0005-0000-0000-000033240000}"/>
    <cellStyle name="40% - Accent3 3 42" xfId="9359" xr:uid="{00000000-0005-0000-0000-000034240000}"/>
    <cellStyle name="40% - Accent3 3 43" xfId="9360" xr:uid="{00000000-0005-0000-0000-000035240000}"/>
    <cellStyle name="40% - Accent3 3 44" xfId="9361" xr:uid="{00000000-0005-0000-0000-000036240000}"/>
    <cellStyle name="40% - Accent3 3 45" xfId="9362" xr:uid="{00000000-0005-0000-0000-000037240000}"/>
    <cellStyle name="40% - Accent3 3 46" xfId="9363" xr:uid="{00000000-0005-0000-0000-000038240000}"/>
    <cellStyle name="40% - Accent3 3 47" xfId="9364" xr:uid="{00000000-0005-0000-0000-000039240000}"/>
    <cellStyle name="40% - Accent3 3 48" xfId="9365" xr:uid="{00000000-0005-0000-0000-00003A240000}"/>
    <cellStyle name="40% - Accent3 3 49" xfId="9366" xr:uid="{00000000-0005-0000-0000-00003B240000}"/>
    <cellStyle name="40% - Accent3 3 5" xfId="9367" xr:uid="{00000000-0005-0000-0000-00003C240000}"/>
    <cellStyle name="40% - Accent3 3 5 10" xfId="9368" xr:uid="{00000000-0005-0000-0000-00003D240000}"/>
    <cellStyle name="40% - Accent3 3 5 11" xfId="9369" xr:uid="{00000000-0005-0000-0000-00003E240000}"/>
    <cellStyle name="40% - Accent3 3 5 12" xfId="9370" xr:uid="{00000000-0005-0000-0000-00003F240000}"/>
    <cellStyle name="40% - Accent3 3 5 13" xfId="9371" xr:uid="{00000000-0005-0000-0000-000040240000}"/>
    <cellStyle name="40% - Accent3 3 5 14" xfId="9372" xr:uid="{00000000-0005-0000-0000-000041240000}"/>
    <cellStyle name="40% - Accent3 3 5 15" xfId="9373" xr:uid="{00000000-0005-0000-0000-000042240000}"/>
    <cellStyle name="40% - Accent3 3 5 2" xfId="9374" xr:uid="{00000000-0005-0000-0000-000043240000}"/>
    <cellStyle name="40% - Accent3 3 5 3" xfId="9375" xr:uid="{00000000-0005-0000-0000-000044240000}"/>
    <cellStyle name="40% - Accent3 3 5 4" xfId="9376" xr:uid="{00000000-0005-0000-0000-000045240000}"/>
    <cellStyle name="40% - Accent3 3 5 5" xfId="9377" xr:uid="{00000000-0005-0000-0000-000046240000}"/>
    <cellStyle name="40% - Accent3 3 5 6" xfId="9378" xr:uid="{00000000-0005-0000-0000-000047240000}"/>
    <cellStyle name="40% - Accent3 3 5 7" xfId="9379" xr:uid="{00000000-0005-0000-0000-000048240000}"/>
    <cellStyle name="40% - Accent3 3 5 8" xfId="9380" xr:uid="{00000000-0005-0000-0000-000049240000}"/>
    <cellStyle name="40% - Accent3 3 5 9" xfId="9381" xr:uid="{00000000-0005-0000-0000-00004A240000}"/>
    <cellStyle name="40% - Accent3 3 50" xfId="9382" xr:uid="{00000000-0005-0000-0000-00004B240000}"/>
    <cellStyle name="40% - Accent3 3 51" xfId="9383" xr:uid="{00000000-0005-0000-0000-00004C240000}"/>
    <cellStyle name="40% - Accent3 3 52" xfId="9384" xr:uid="{00000000-0005-0000-0000-00004D240000}"/>
    <cellStyle name="40% - Accent3 3 53" xfId="9385" xr:uid="{00000000-0005-0000-0000-00004E240000}"/>
    <cellStyle name="40% - Accent3 3 54" xfId="9386" xr:uid="{00000000-0005-0000-0000-00004F240000}"/>
    <cellStyle name="40% - Accent3 3 55" xfId="9387" xr:uid="{00000000-0005-0000-0000-000050240000}"/>
    <cellStyle name="40% - Accent3 3 6" xfId="9388" xr:uid="{00000000-0005-0000-0000-000051240000}"/>
    <cellStyle name="40% - Accent3 3 6 10" xfId="9389" xr:uid="{00000000-0005-0000-0000-000052240000}"/>
    <cellStyle name="40% - Accent3 3 6 11" xfId="9390" xr:uid="{00000000-0005-0000-0000-000053240000}"/>
    <cellStyle name="40% - Accent3 3 6 12" xfId="9391" xr:uid="{00000000-0005-0000-0000-000054240000}"/>
    <cellStyle name="40% - Accent3 3 6 13" xfId="9392" xr:uid="{00000000-0005-0000-0000-000055240000}"/>
    <cellStyle name="40% - Accent3 3 6 14" xfId="9393" xr:uid="{00000000-0005-0000-0000-000056240000}"/>
    <cellStyle name="40% - Accent3 3 6 15" xfId="9394" xr:uid="{00000000-0005-0000-0000-000057240000}"/>
    <cellStyle name="40% - Accent3 3 6 2" xfId="9395" xr:uid="{00000000-0005-0000-0000-000058240000}"/>
    <cellStyle name="40% - Accent3 3 6 3" xfId="9396" xr:uid="{00000000-0005-0000-0000-000059240000}"/>
    <cellStyle name="40% - Accent3 3 6 4" xfId="9397" xr:uid="{00000000-0005-0000-0000-00005A240000}"/>
    <cellStyle name="40% - Accent3 3 6 5" xfId="9398" xr:uid="{00000000-0005-0000-0000-00005B240000}"/>
    <cellStyle name="40% - Accent3 3 6 6" xfId="9399" xr:uid="{00000000-0005-0000-0000-00005C240000}"/>
    <cellStyle name="40% - Accent3 3 6 7" xfId="9400" xr:uid="{00000000-0005-0000-0000-00005D240000}"/>
    <cellStyle name="40% - Accent3 3 6 8" xfId="9401" xr:uid="{00000000-0005-0000-0000-00005E240000}"/>
    <cellStyle name="40% - Accent3 3 6 9" xfId="9402" xr:uid="{00000000-0005-0000-0000-00005F240000}"/>
    <cellStyle name="40% - Accent3 3 7" xfId="9403" xr:uid="{00000000-0005-0000-0000-000060240000}"/>
    <cellStyle name="40% - Accent3 3 7 10" xfId="9404" xr:uid="{00000000-0005-0000-0000-000061240000}"/>
    <cellStyle name="40% - Accent3 3 7 11" xfId="9405" xr:uid="{00000000-0005-0000-0000-000062240000}"/>
    <cellStyle name="40% - Accent3 3 7 12" xfId="9406" xr:uid="{00000000-0005-0000-0000-000063240000}"/>
    <cellStyle name="40% - Accent3 3 7 13" xfId="9407" xr:uid="{00000000-0005-0000-0000-000064240000}"/>
    <cellStyle name="40% - Accent3 3 7 14" xfId="9408" xr:uid="{00000000-0005-0000-0000-000065240000}"/>
    <cellStyle name="40% - Accent3 3 7 15" xfId="9409" xr:uid="{00000000-0005-0000-0000-000066240000}"/>
    <cellStyle name="40% - Accent3 3 7 2" xfId="9410" xr:uid="{00000000-0005-0000-0000-000067240000}"/>
    <cellStyle name="40% - Accent3 3 7 3" xfId="9411" xr:uid="{00000000-0005-0000-0000-000068240000}"/>
    <cellStyle name="40% - Accent3 3 7 4" xfId="9412" xr:uid="{00000000-0005-0000-0000-000069240000}"/>
    <cellStyle name="40% - Accent3 3 7 5" xfId="9413" xr:uid="{00000000-0005-0000-0000-00006A240000}"/>
    <cellStyle name="40% - Accent3 3 7 6" xfId="9414" xr:uid="{00000000-0005-0000-0000-00006B240000}"/>
    <cellStyle name="40% - Accent3 3 7 7" xfId="9415" xr:uid="{00000000-0005-0000-0000-00006C240000}"/>
    <cellStyle name="40% - Accent3 3 7 8" xfId="9416" xr:uid="{00000000-0005-0000-0000-00006D240000}"/>
    <cellStyle name="40% - Accent3 3 7 9" xfId="9417" xr:uid="{00000000-0005-0000-0000-00006E240000}"/>
    <cellStyle name="40% - Accent3 3 8" xfId="9418" xr:uid="{00000000-0005-0000-0000-00006F240000}"/>
    <cellStyle name="40% - Accent3 3 8 10" xfId="9419" xr:uid="{00000000-0005-0000-0000-000070240000}"/>
    <cellStyle name="40% - Accent3 3 8 11" xfId="9420" xr:uid="{00000000-0005-0000-0000-000071240000}"/>
    <cellStyle name="40% - Accent3 3 8 12" xfId="9421" xr:uid="{00000000-0005-0000-0000-000072240000}"/>
    <cellStyle name="40% - Accent3 3 8 13" xfId="9422" xr:uid="{00000000-0005-0000-0000-000073240000}"/>
    <cellStyle name="40% - Accent3 3 8 14" xfId="9423" xr:uid="{00000000-0005-0000-0000-000074240000}"/>
    <cellStyle name="40% - Accent3 3 8 15" xfId="9424" xr:uid="{00000000-0005-0000-0000-000075240000}"/>
    <cellStyle name="40% - Accent3 3 8 2" xfId="9425" xr:uid="{00000000-0005-0000-0000-000076240000}"/>
    <cellStyle name="40% - Accent3 3 8 3" xfId="9426" xr:uid="{00000000-0005-0000-0000-000077240000}"/>
    <cellStyle name="40% - Accent3 3 8 4" xfId="9427" xr:uid="{00000000-0005-0000-0000-000078240000}"/>
    <cellStyle name="40% - Accent3 3 8 5" xfId="9428" xr:uid="{00000000-0005-0000-0000-000079240000}"/>
    <cellStyle name="40% - Accent3 3 8 6" xfId="9429" xr:uid="{00000000-0005-0000-0000-00007A240000}"/>
    <cellStyle name="40% - Accent3 3 8 7" xfId="9430" xr:uid="{00000000-0005-0000-0000-00007B240000}"/>
    <cellStyle name="40% - Accent3 3 8 8" xfId="9431" xr:uid="{00000000-0005-0000-0000-00007C240000}"/>
    <cellStyle name="40% - Accent3 3 8 9" xfId="9432" xr:uid="{00000000-0005-0000-0000-00007D240000}"/>
    <cellStyle name="40% - Accent3 3 9" xfId="9433" xr:uid="{00000000-0005-0000-0000-00007E240000}"/>
    <cellStyle name="40% - Accent3 3 9 10" xfId="9434" xr:uid="{00000000-0005-0000-0000-00007F240000}"/>
    <cellStyle name="40% - Accent3 3 9 11" xfId="9435" xr:uid="{00000000-0005-0000-0000-000080240000}"/>
    <cellStyle name="40% - Accent3 3 9 12" xfId="9436" xr:uid="{00000000-0005-0000-0000-000081240000}"/>
    <cellStyle name="40% - Accent3 3 9 13" xfId="9437" xr:uid="{00000000-0005-0000-0000-000082240000}"/>
    <cellStyle name="40% - Accent3 3 9 14" xfId="9438" xr:uid="{00000000-0005-0000-0000-000083240000}"/>
    <cellStyle name="40% - Accent3 3 9 15" xfId="9439" xr:uid="{00000000-0005-0000-0000-000084240000}"/>
    <cellStyle name="40% - Accent3 3 9 2" xfId="9440" xr:uid="{00000000-0005-0000-0000-000085240000}"/>
    <cellStyle name="40% - Accent3 3 9 3" xfId="9441" xr:uid="{00000000-0005-0000-0000-000086240000}"/>
    <cellStyle name="40% - Accent3 3 9 4" xfId="9442" xr:uid="{00000000-0005-0000-0000-000087240000}"/>
    <cellStyle name="40% - Accent3 3 9 5" xfId="9443" xr:uid="{00000000-0005-0000-0000-000088240000}"/>
    <cellStyle name="40% - Accent3 3 9 6" xfId="9444" xr:uid="{00000000-0005-0000-0000-000089240000}"/>
    <cellStyle name="40% - Accent3 3 9 7" xfId="9445" xr:uid="{00000000-0005-0000-0000-00008A240000}"/>
    <cellStyle name="40% - Accent3 3 9 8" xfId="9446" xr:uid="{00000000-0005-0000-0000-00008B240000}"/>
    <cellStyle name="40% - Accent3 3 9 9" xfId="9447" xr:uid="{00000000-0005-0000-0000-00008C240000}"/>
    <cellStyle name="40% - Accent3 30" xfId="9448" xr:uid="{00000000-0005-0000-0000-00008D240000}"/>
    <cellStyle name="40% - Accent3 30 10" xfId="9449" xr:uid="{00000000-0005-0000-0000-00008E240000}"/>
    <cellStyle name="40% - Accent3 30 11" xfId="9450" xr:uid="{00000000-0005-0000-0000-00008F240000}"/>
    <cellStyle name="40% - Accent3 30 12" xfId="9451" xr:uid="{00000000-0005-0000-0000-000090240000}"/>
    <cellStyle name="40% - Accent3 30 13" xfId="9452" xr:uid="{00000000-0005-0000-0000-000091240000}"/>
    <cellStyle name="40% - Accent3 30 14" xfId="9453" xr:uid="{00000000-0005-0000-0000-000092240000}"/>
    <cellStyle name="40% - Accent3 30 15" xfId="9454" xr:uid="{00000000-0005-0000-0000-000093240000}"/>
    <cellStyle name="40% - Accent3 30 16" xfId="9455" xr:uid="{00000000-0005-0000-0000-000094240000}"/>
    <cellStyle name="40% - Accent3 30 2" xfId="9456" xr:uid="{00000000-0005-0000-0000-000095240000}"/>
    <cellStyle name="40% - Accent3 30 3" xfId="9457" xr:uid="{00000000-0005-0000-0000-000096240000}"/>
    <cellStyle name="40% - Accent3 30 4" xfId="9458" xr:uid="{00000000-0005-0000-0000-000097240000}"/>
    <cellStyle name="40% - Accent3 30 5" xfId="9459" xr:uid="{00000000-0005-0000-0000-000098240000}"/>
    <cellStyle name="40% - Accent3 30 6" xfId="9460" xr:uid="{00000000-0005-0000-0000-000099240000}"/>
    <cellStyle name="40% - Accent3 30 7" xfId="9461" xr:uid="{00000000-0005-0000-0000-00009A240000}"/>
    <cellStyle name="40% - Accent3 30 8" xfId="9462" xr:uid="{00000000-0005-0000-0000-00009B240000}"/>
    <cellStyle name="40% - Accent3 30 9" xfId="9463" xr:uid="{00000000-0005-0000-0000-00009C240000}"/>
    <cellStyle name="40% - Accent3 31" xfId="9464" xr:uid="{00000000-0005-0000-0000-00009D240000}"/>
    <cellStyle name="40% - Accent3 31 10" xfId="9465" xr:uid="{00000000-0005-0000-0000-00009E240000}"/>
    <cellStyle name="40% - Accent3 31 11" xfId="9466" xr:uid="{00000000-0005-0000-0000-00009F240000}"/>
    <cellStyle name="40% - Accent3 31 12" xfId="9467" xr:uid="{00000000-0005-0000-0000-0000A0240000}"/>
    <cellStyle name="40% - Accent3 31 13" xfId="9468" xr:uid="{00000000-0005-0000-0000-0000A1240000}"/>
    <cellStyle name="40% - Accent3 31 14" xfId="9469" xr:uid="{00000000-0005-0000-0000-0000A2240000}"/>
    <cellStyle name="40% - Accent3 31 15" xfId="9470" xr:uid="{00000000-0005-0000-0000-0000A3240000}"/>
    <cellStyle name="40% - Accent3 31 16" xfId="9471" xr:uid="{00000000-0005-0000-0000-0000A4240000}"/>
    <cellStyle name="40% - Accent3 31 2" xfId="9472" xr:uid="{00000000-0005-0000-0000-0000A5240000}"/>
    <cellStyle name="40% - Accent3 31 3" xfId="9473" xr:uid="{00000000-0005-0000-0000-0000A6240000}"/>
    <cellStyle name="40% - Accent3 31 4" xfId="9474" xr:uid="{00000000-0005-0000-0000-0000A7240000}"/>
    <cellStyle name="40% - Accent3 31 5" xfId="9475" xr:uid="{00000000-0005-0000-0000-0000A8240000}"/>
    <cellStyle name="40% - Accent3 31 6" xfId="9476" xr:uid="{00000000-0005-0000-0000-0000A9240000}"/>
    <cellStyle name="40% - Accent3 31 7" xfId="9477" xr:uid="{00000000-0005-0000-0000-0000AA240000}"/>
    <cellStyle name="40% - Accent3 31 8" xfId="9478" xr:uid="{00000000-0005-0000-0000-0000AB240000}"/>
    <cellStyle name="40% - Accent3 31 9" xfId="9479" xr:uid="{00000000-0005-0000-0000-0000AC240000}"/>
    <cellStyle name="40% - Accent3 32" xfId="9480" xr:uid="{00000000-0005-0000-0000-0000AD240000}"/>
    <cellStyle name="40% - Accent3 32 10" xfId="9481" xr:uid="{00000000-0005-0000-0000-0000AE240000}"/>
    <cellStyle name="40% - Accent3 32 11" xfId="9482" xr:uid="{00000000-0005-0000-0000-0000AF240000}"/>
    <cellStyle name="40% - Accent3 32 12" xfId="9483" xr:uid="{00000000-0005-0000-0000-0000B0240000}"/>
    <cellStyle name="40% - Accent3 32 13" xfId="9484" xr:uid="{00000000-0005-0000-0000-0000B1240000}"/>
    <cellStyle name="40% - Accent3 32 14" xfId="9485" xr:uid="{00000000-0005-0000-0000-0000B2240000}"/>
    <cellStyle name="40% - Accent3 32 15" xfId="9486" xr:uid="{00000000-0005-0000-0000-0000B3240000}"/>
    <cellStyle name="40% - Accent3 32 2" xfId="9487" xr:uid="{00000000-0005-0000-0000-0000B4240000}"/>
    <cellStyle name="40% - Accent3 32 3" xfId="9488" xr:uid="{00000000-0005-0000-0000-0000B5240000}"/>
    <cellStyle name="40% - Accent3 32 4" xfId="9489" xr:uid="{00000000-0005-0000-0000-0000B6240000}"/>
    <cellStyle name="40% - Accent3 32 5" xfId="9490" xr:uid="{00000000-0005-0000-0000-0000B7240000}"/>
    <cellStyle name="40% - Accent3 32 6" xfId="9491" xr:uid="{00000000-0005-0000-0000-0000B8240000}"/>
    <cellStyle name="40% - Accent3 32 7" xfId="9492" xr:uid="{00000000-0005-0000-0000-0000B9240000}"/>
    <cellStyle name="40% - Accent3 32 8" xfId="9493" xr:uid="{00000000-0005-0000-0000-0000BA240000}"/>
    <cellStyle name="40% - Accent3 32 9" xfId="9494" xr:uid="{00000000-0005-0000-0000-0000BB240000}"/>
    <cellStyle name="40% - Accent3 33" xfId="9495" xr:uid="{00000000-0005-0000-0000-0000BC240000}"/>
    <cellStyle name="40% - Accent3 33 10" xfId="9496" xr:uid="{00000000-0005-0000-0000-0000BD240000}"/>
    <cellStyle name="40% - Accent3 33 11" xfId="9497" xr:uid="{00000000-0005-0000-0000-0000BE240000}"/>
    <cellStyle name="40% - Accent3 33 12" xfId="9498" xr:uid="{00000000-0005-0000-0000-0000BF240000}"/>
    <cellStyle name="40% - Accent3 33 13" xfId="9499" xr:uid="{00000000-0005-0000-0000-0000C0240000}"/>
    <cellStyle name="40% - Accent3 33 14" xfId="9500" xr:uid="{00000000-0005-0000-0000-0000C1240000}"/>
    <cellStyle name="40% - Accent3 33 15" xfId="9501" xr:uid="{00000000-0005-0000-0000-0000C2240000}"/>
    <cellStyle name="40% - Accent3 33 16" xfId="9502" xr:uid="{00000000-0005-0000-0000-0000C3240000}"/>
    <cellStyle name="40% - Accent3 33 2" xfId="9503" xr:uid="{00000000-0005-0000-0000-0000C4240000}"/>
    <cellStyle name="40% - Accent3 33 3" xfId="9504" xr:uid="{00000000-0005-0000-0000-0000C5240000}"/>
    <cellStyle name="40% - Accent3 33 4" xfId="9505" xr:uid="{00000000-0005-0000-0000-0000C6240000}"/>
    <cellStyle name="40% - Accent3 33 5" xfId="9506" xr:uid="{00000000-0005-0000-0000-0000C7240000}"/>
    <cellStyle name="40% - Accent3 33 6" xfId="9507" xr:uid="{00000000-0005-0000-0000-0000C8240000}"/>
    <cellStyle name="40% - Accent3 33 7" xfId="9508" xr:uid="{00000000-0005-0000-0000-0000C9240000}"/>
    <cellStyle name="40% - Accent3 33 8" xfId="9509" xr:uid="{00000000-0005-0000-0000-0000CA240000}"/>
    <cellStyle name="40% - Accent3 33 9" xfId="9510" xr:uid="{00000000-0005-0000-0000-0000CB240000}"/>
    <cellStyle name="40% - Accent3 34" xfId="9511" xr:uid="{00000000-0005-0000-0000-0000CC240000}"/>
    <cellStyle name="40% - Accent3 34 10" xfId="9512" xr:uid="{00000000-0005-0000-0000-0000CD240000}"/>
    <cellStyle name="40% - Accent3 34 11" xfId="9513" xr:uid="{00000000-0005-0000-0000-0000CE240000}"/>
    <cellStyle name="40% - Accent3 34 12" xfId="9514" xr:uid="{00000000-0005-0000-0000-0000CF240000}"/>
    <cellStyle name="40% - Accent3 34 13" xfId="9515" xr:uid="{00000000-0005-0000-0000-0000D0240000}"/>
    <cellStyle name="40% - Accent3 34 14" xfId="9516" xr:uid="{00000000-0005-0000-0000-0000D1240000}"/>
    <cellStyle name="40% - Accent3 34 15" xfId="9517" xr:uid="{00000000-0005-0000-0000-0000D2240000}"/>
    <cellStyle name="40% - Accent3 34 16" xfId="9518" xr:uid="{00000000-0005-0000-0000-0000D3240000}"/>
    <cellStyle name="40% - Accent3 34 2" xfId="9519" xr:uid="{00000000-0005-0000-0000-0000D4240000}"/>
    <cellStyle name="40% - Accent3 34 3" xfId="9520" xr:uid="{00000000-0005-0000-0000-0000D5240000}"/>
    <cellStyle name="40% - Accent3 34 4" xfId="9521" xr:uid="{00000000-0005-0000-0000-0000D6240000}"/>
    <cellStyle name="40% - Accent3 34 5" xfId="9522" xr:uid="{00000000-0005-0000-0000-0000D7240000}"/>
    <cellStyle name="40% - Accent3 34 6" xfId="9523" xr:uid="{00000000-0005-0000-0000-0000D8240000}"/>
    <cellStyle name="40% - Accent3 34 7" xfId="9524" xr:uid="{00000000-0005-0000-0000-0000D9240000}"/>
    <cellStyle name="40% - Accent3 34 8" xfId="9525" xr:uid="{00000000-0005-0000-0000-0000DA240000}"/>
    <cellStyle name="40% - Accent3 34 9" xfId="9526" xr:uid="{00000000-0005-0000-0000-0000DB240000}"/>
    <cellStyle name="40% - Accent3 35" xfId="9527" xr:uid="{00000000-0005-0000-0000-0000DC240000}"/>
    <cellStyle name="40% - Accent3 35 10" xfId="9528" xr:uid="{00000000-0005-0000-0000-0000DD240000}"/>
    <cellStyle name="40% - Accent3 35 11" xfId="9529" xr:uid="{00000000-0005-0000-0000-0000DE240000}"/>
    <cellStyle name="40% - Accent3 35 12" xfId="9530" xr:uid="{00000000-0005-0000-0000-0000DF240000}"/>
    <cellStyle name="40% - Accent3 35 13" xfId="9531" xr:uid="{00000000-0005-0000-0000-0000E0240000}"/>
    <cellStyle name="40% - Accent3 35 14" xfId="9532" xr:uid="{00000000-0005-0000-0000-0000E1240000}"/>
    <cellStyle name="40% - Accent3 35 15" xfId="9533" xr:uid="{00000000-0005-0000-0000-0000E2240000}"/>
    <cellStyle name="40% - Accent3 35 16" xfId="9534" xr:uid="{00000000-0005-0000-0000-0000E3240000}"/>
    <cellStyle name="40% - Accent3 35 2" xfId="9535" xr:uid="{00000000-0005-0000-0000-0000E4240000}"/>
    <cellStyle name="40% - Accent3 35 3" xfId="9536" xr:uid="{00000000-0005-0000-0000-0000E5240000}"/>
    <cellStyle name="40% - Accent3 35 4" xfId="9537" xr:uid="{00000000-0005-0000-0000-0000E6240000}"/>
    <cellStyle name="40% - Accent3 35 5" xfId="9538" xr:uid="{00000000-0005-0000-0000-0000E7240000}"/>
    <cellStyle name="40% - Accent3 35 6" xfId="9539" xr:uid="{00000000-0005-0000-0000-0000E8240000}"/>
    <cellStyle name="40% - Accent3 35 7" xfId="9540" xr:uid="{00000000-0005-0000-0000-0000E9240000}"/>
    <cellStyle name="40% - Accent3 35 8" xfId="9541" xr:uid="{00000000-0005-0000-0000-0000EA240000}"/>
    <cellStyle name="40% - Accent3 35 9" xfId="9542" xr:uid="{00000000-0005-0000-0000-0000EB240000}"/>
    <cellStyle name="40% - Accent3 36" xfId="9543" xr:uid="{00000000-0005-0000-0000-0000EC240000}"/>
    <cellStyle name="40% - Accent3 36 10" xfId="9544" xr:uid="{00000000-0005-0000-0000-0000ED240000}"/>
    <cellStyle name="40% - Accent3 36 11" xfId="9545" xr:uid="{00000000-0005-0000-0000-0000EE240000}"/>
    <cellStyle name="40% - Accent3 36 12" xfId="9546" xr:uid="{00000000-0005-0000-0000-0000EF240000}"/>
    <cellStyle name="40% - Accent3 36 13" xfId="9547" xr:uid="{00000000-0005-0000-0000-0000F0240000}"/>
    <cellStyle name="40% - Accent3 36 14" xfId="9548" xr:uid="{00000000-0005-0000-0000-0000F1240000}"/>
    <cellStyle name="40% - Accent3 36 15" xfId="9549" xr:uid="{00000000-0005-0000-0000-0000F2240000}"/>
    <cellStyle name="40% - Accent3 36 16" xfId="9550" xr:uid="{00000000-0005-0000-0000-0000F3240000}"/>
    <cellStyle name="40% - Accent3 36 2" xfId="9551" xr:uid="{00000000-0005-0000-0000-0000F4240000}"/>
    <cellStyle name="40% - Accent3 36 3" xfId="9552" xr:uid="{00000000-0005-0000-0000-0000F5240000}"/>
    <cellStyle name="40% - Accent3 36 4" xfId="9553" xr:uid="{00000000-0005-0000-0000-0000F6240000}"/>
    <cellStyle name="40% - Accent3 36 5" xfId="9554" xr:uid="{00000000-0005-0000-0000-0000F7240000}"/>
    <cellStyle name="40% - Accent3 36 6" xfId="9555" xr:uid="{00000000-0005-0000-0000-0000F8240000}"/>
    <cellStyle name="40% - Accent3 36 7" xfId="9556" xr:uid="{00000000-0005-0000-0000-0000F9240000}"/>
    <cellStyle name="40% - Accent3 36 8" xfId="9557" xr:uid="{00000000-0005-0000-0000-0000FA240000}"/>
    <cellStyle name="40% - Accent3 36 9" xfId="9558" xr:uid="{00000000-0005-0000-0000-0000FB240000}"/>
    <cellStyle name="40% - Accent3 37" xfId="9559" xr:uid="{00000000-0005-0000-0000-0000FC240000}"/>
    <cellStyle name="40% - Accent3 37 10" xfId="9560" xr:uid="{00000000-0005-0000-0000-0000FD240000}"/>
    <cellStyle name="40% - Accent3 37 11" xfId="9561" xr:uid="{00000000-0005-0000-0000-0000FE240000}"/>
    <cellStyle name="40% - Accent3 37 12" xfId="9562" xr:uid="{00000000-0005-0000-0000-0000FF240000}"/>
    <cellStyle name="40% - Accent3 37 13" xfId="9563" xr:uid="{00000000-0005-0000-0000-000000250000}"/>
    <cellStyle name="40% - Accent3 37 14" xfId="9564" xr:uid="{00000000-0005-0000-0000-000001250000}"/>
    <cellStyle name="40% - Accent3 37 15" xfId="9565" xr:uid="{00000000-0005-0000-0000-000002250000}"/>
    <cellStyle name="40% - Accent3 37 2" xfId="9566" xr:uid="{00000000-0005-0000-0000-000003250000}"/>
    <cellStyle name="40% - Accent3 37 3" xfId="9567" xr:uid="{00000000-0005-0000-0000-000004250000}"/>
    <cellStyle name="40% - Accent3 37 4" xfId="9568" xr:uid="{00000000-0005-0000-0000-000005250000}"/>
    <cellStyle name="40% - Accent3 37 5" xfId="9569" xr:uid="{00000000-0005-0000-0000-000006250000}"/>
    <cellStyle name="40% - Accent3 37 6" xfId="9570" xr:uid="{00000000-0005-0000-0000-000007250000}"/>
    <cellStyle name="40% - Accent3 37 7" xfId="9571" xr:uid="{00000000-0005-0000-0000-000008250000}"/>
    <cellStyle name="40% - Accent3 37 8" xfId="9572" xr:uid="{00000000-0005-0000-0000-000009250000}"/>
    <cellStyle name="40% - Accent3 37 9" xfId="9573" xr:uid="{00000000-0005-0000-0000-00000A250000}"/>
    <cellStyle name="40% - Accent3 38" xfId="9574" xr:uid="{00000000-0005-0000-0000-00000B250000}"/>
    <cellStyle name="40% - Accent3 38 10" xfId="9575" xr:uid="{00000000-0005-0000-0000-00000C250000}"/>
    <cellStyle name="40% - Accent3 38 11" xfId="9576" xr:uid="{00000000-0005-0000-0000-00000D250000}"/>
    <cellStyle name="40% - Accent3 38 12" xfId="9577" xr:uid="{00000000-0005-0000-0000-00000E250000}"/>
    <cellStyle name="40% - Accent3 38 13" xfId="9578" xr:uid="{00000000-0005-0000-0000-00000F250000}"/>
    <cellStyle name="40% - Accent3 38 14" xfId="9579" xr:uid="{00000000-0005-0000-0000-000010250000}"/>
    <cellStyle name="40% - Accent3 38 15" xfId="9580" xr:uid="{00000000-0005-0000-0000-000011250000}"/>
    <cellStyle name="40% - Accent3 38 2" xfId="9581" xr:uid="{00000000-0005-0000-0000-000012250000}"/>
    <cellStyle name="40% - Accent3 38 3" xfId="9582" xr:uid="{00000000-0005-0000-0000-000013250000}"/>
    <cellStyle name="40% - Accent3 38 4" xfId="9583" xr:uid="{00000000-0005-0000-0000-000014250000}"/>
    <cellStyle name="40% - Accent3 38 5" xfId="9584" xr:uid="{00000000-0005-0000-0000-000015250000}"/>
    <cellStyle name="40% - Accent3 38 6" xfId="9585" xr:uid="{00000000-0005-0000-0000-000016250000}"/>
    <cellStyle name="40% - Accent3 38 7" xfId="9586" xr:uid="{00000000-0005-0000-0000-000017250000}"/>
    <cellStyle name="40% - Accent3 38 8" xfId="9587" xr:uid="{00000000-0005-0000-0000-000018250000}"/>
    <cellStyle name="40% - Accent3 38 9" xfId="9588" xr:uid="{00000000-0005-0000-0000-000019250000}"/>
    <cellStyle name="40% - Accent3 39" xfId="9589" xr:uid="{00000000-0005-0000-0000-00001A250000}"/>
    <cellStyle name="40% - Accent3 39 10" xfId="9590" xr:uid="{00000000-0005-0000-0000-00001B250000}"/>
    <cellStyle name="40% - Accent3 39 11" xfId="9591" xr:uid="{00000000-0005-0000-0000-00001C250000}"/>
    <cellStyle name="40% - Accent3 39 12" xfId="9592" xr:uid="{00000000-0005-0000-0000-00001D250000}"/>
    <cellStyle name="40% - Accent3 39 13" xfId="9593" xr:uid="{00000000-0005-0000-0000-00001E250000}"/>
    <cellStyle name="40% - Accent3 39 14" xfId="9594" xr:uid="{00000000-0005-0000-0000-00001F250000}"/>
    <cellStyle name="40% - Accent3 39 15" xfId="9595" xr:uid="{00000000-0005-0000-0000-000020250000}"/>
    <cellStyle name="40% - Accent3 39 2" xfId="9596" xr:uid="{00000000-0005-0000-0000-000021250000}"/>
    <cellStyle name="40% - Accent3 39 3" xfId="9597" xr:uid="{00000000-0005-0000-0000-000022250000}"/>
    <cellStyle name="40% - Accent3 39 4" xfId="9598" xr:uid="{00000000-0005-0000-0000-000023250000}"/>
    <cellStyle name="40% - Accent3 39 5" xfId="9599" xr:uid="{00000000-0005-0000-0000-000024250000}"/>
    <cellStyle name="40% - Accent3 39 6" xfId="9600" xr:uid="{00000000-0005-0000-0000-000025250000}"/>
    <cellStyle name="40% - Accent3 39 7" xfId="9601" xr:uid="{00000000-0005-0000-0000-000026250000}"/>
    <cellStyle name="40% - Accent3 39 8" xfId="9602" xr:uid="{00000000-0005-0000-0000-000027250000}"/>
    <cellStyle name="40% - Accent3 39 9" xfId="9603" xr:uid="{00000000-0005-0000-0000-000028250000}"/>
    <cellStyle name="40% - Accent3 4" xfId="9604" xr:uid="{00000000-0005-0000-0000-000029250000}"/>
    <cellStyle name="40% - Accent3 4 2" xfId="9605" xr:uid="{00000000-0005-0000-0000-00002A250000}"/>
    <cellStyle name="40% - Accent3 4 2 2" xfId="9606" xr:uid="{00000000-0005-0000-0000-00002B250000}"/>
    <cellStyle name="40% - Accent3 4 2 3" xfId="9607" xr:uid="{00000000-0005-0000-0000-00002C250000}"/>
    <cellStyle name="40% - Accent3 4 2 4" xfId="9608" xr:uid="{00000000-0005-0000-0000-00002D250000}"/>
    <cellStyle name="40% - Accent3 4 2 5" xfId="9609" xr:uid="{00000000-0005-0000-0000-00002E250000}"/>
    <cellStyle name="40% - Accent3 4 3" xfId="9610" xr:uid="{00000000-0005-0000-0000-00002F250000}"/>
    <cellStyle name="40% - Accent3 4 3 2" xfId="9611" xr:uid="{00000000-0005-0000-0000-000030250000}"/>
    <cellStyle name="40% - Accent3 4 4" xfId="9612" xr:uid="{00000000-0005-0000-0000-000031250000}"/>
    <cellStyle name="40% - Accent3 4 4 2" xfId="9613" xr:uid="{00000000-0005-0000-0000-000032250000}"/>
    <cellStyle name="40% - Accent3 4 5" xfId="9614" xr:uid="{00000000-0005-0000-0000-000033250000}"/>
    <cellStyle name="40% - Accent3 4 5 2" xfId="9615" xr:uid="{00000000-0005-0000-0000-000034250000}"/>
    <cellStyle name="40% - Accent3 4 6" xfId="9616" xr:uid="{00000000-0005-0000-0000-000035250000}"/>
    <cellStyle name="40% - Accent3 4 6 2" xfId="9617" xr:uid="{00000000-0005-0000-0000-000036250000}"/>
    <cellStyle name="40% - Accent3 4 7" xfId="9618" xr:uid="{00000000-0005-0000-0000-000037250000}"/>
    <cellStyle name="40% - Accent3 40" xfId="9619" xr:uid="{00000000-0005-0000-0000-000038250000}"/>
    <cellStyle name="40% - Accent3 41" xfId="9620" xr:uid="{00000000-0005-0000-0000-000039250000}"/>
    <cellStyle name="40% - Accent3 42" xfId="9621" xr:uid="{00000000-0005-0000-0000-00003A250000}"/>
    <cellStyle name="40% - Accent3 43" xfId="9622" xr:uid="{00000000-0005-0000-0000-00003B250000}"/>
    <cellStyle name="40% - Accent3 44" xfId="9623" xr:uid="{00000000-0005-0000-0000-00003C250000}"/>
    <cellStyle name="40% - Accent3 45" xfId="9624" xr:uid="{00000000-0005-0000-0000-00003D250000}"/>
    <cellStyle name="40% - Accent3 46" xfId="9625" xr:uid="{00000000-0005-0000-0000-00003E250000}"/>
    <cellStyle name="40% - Accent3 47" xfId="9626" xr:uid="{00000000-0005-0000-0000-00003F250000}"/>
    <cellStyle name="40% - Accent3 48" xfId="9627" xr:uid="{00000000-0005-0000-0000-000040250000}"/>
    <cellStyle name="40% - Accent3 49" xfId="9628" xr:uid="{00000000-0005-0000-0000-000041250000}"/>
    <cellStyle name="40% - Accent3 5" xfId="9629" xr:uid="{00000000-0005-0000-0000-000042250000}"/>
    <cellStyle name="40% - Accent3 5 2" xfId="9630" xr:uid="{00000000-0005-0000-0000-000043250000}"/>
    <cellStyle name="40% - Accent3 5 2 2" xfId="9631" xr:uid="{00000000-0005-0000-0000-000044250000}"/>
    <cellStyle name="40% - Accent3 5 2 3" xfId="9632" xr:uid="{00000000-0005-0000-0000-000045250000}"/>
    <cellStyle name="40% - Accent3 5 2 4" xfId="9633" xr:uid="{00000000-0005-0000-0000-000046250000}"/>
    <cellStyle name="40% - Accent3 5 2 5" xfId="9634" xr:uid="{00000000-0005-0000-0000-000047250000}"/>
    <cellStyle name="40% - Accent3 5 3" xfId="9635" xr:uid="{00000000-0005-0000-0000-000048250000}"/>
    <cellStyle name="40% - Accent3 5 3 2" xfId="9636" xr:uid="{00000000-0005-0000-0000-000049250000}"/>
    <cellStyle name="40% - Accent3 5 3 3" xfId="9637" xr:uid="{00000000-0005-0000-0000-00004A250000}"/>
    <cellStyle name="40% - Accent3 5 4" xfId="9638" xr:uid="{00000000-0005-0000-0000-00004B250000}"/>
    <cellStyle name="40% - Accent3 5 4 2" xfId="9639" xr:uid="{00000000-0005-0000-0000-00004C250000}"/>
    <cellStyle name="40% - Accent3 5 5" xfId="9640" xr:uid="{00000000-0005-0000-0000-00004D250000}"/>
    <cellStyle name="40% - Accent3 5 6" xfId="9641" xr:uid="{00000000-0005-0000-0000-00004E250000}"/>
    <cellStyle name="40% - Accent3 50" xfId="9642" xr:uid="{00000000-0005-0000-0000-00004F250000}"/>
    <cellStyle name="40% - Accent3 51" xfId="9643" xr:uid="{00000000-0005-0000-0000-000050250000}"/>
    <cellStyle name="40% - Accent3 52" xfId="9644" xr:uid="{00000000-0005-0000-0000-000051250000}"/>
    <cellStyle name="40% - Accent3 53" xfId="9645" xr:uid="{00000000-0005-0000-0000-000052250000}"/>
    <cellStyle name="40% - Accent3 54" xfId="9646" xr:uid="{00000000-0005-0000-0000-000053250000}"/>
    <cellStyle name="40% - Accent3 55" xfId="9647" xr:uid="{00000000-0005-0000-0000-000054250000}"/>
    <cellStyle name="40% - Accent3 56" xfId="9648" xr:uid="{00000000-0005-0000-0000-000055250000}"/>
    <cellStyle name="40% - Accent3 57" xfId="9649" xr:uid="{00000000-0005-0000-0000-000056250000}"/>
    <cellStyle name="40% - Accent3 58" xfId="9650" xr:uid="{00000000-0005-0000-0000-000057250000}"/>
    <cellStyle name="40% - Accent3 59" xfId="9651" xr:uid="{00000000-0005-0000-0000-000058250000}"/>
    <cellStyle name="40% - Accent3 6" xfId="9652" xr:uid="{00000000-0005-0000-0000-000059250000}"/>
    <cellStyle name="40% - Accent3 6 2" xfId="9653" xr:uid="{00000000-0005-0000-0000-00005A250000}"/>
    <cellStyle name="40% - Accent3 6 2 2" xfId="9654" xr:uid="{00000000-0005-0000-0000-00005B250000}"/>
    <cellStyle name="40% - Accent3 6 2 3" xfId="9655" xr:uid="{00000000-0005-0000-0000-00005C250000}"/>
    <cellStyle name="40% - Accent3 6 2 4" xfId="9656" xr:uid="{00000000-0005-0000-0000-00005D250000}"/>
    <cellStyle name="40% - Accent3 6 3" xfId="9657" xr:uid="{00000000-0005-0000-0000-00005E250000}"/>
    <cellStyle name="40% - Accent3 6 4" xfId="9658" xr:uid="{00000000-0005-0000-0000-00005F250000}"/>
    <cellStyle name="40% - Accent3 6 5" xfId="9659" xr:uid="{00000000-0005-0000-0000-000060250000}"/>
    <cellStyle name="40% - Accent3 60" xfId="9660" xr:uid="{00000000-0005-0000-0000-000061250000}"/>
    <cellStyle name="40% - Accent3 61" xfId="9661" xr:uid="{00000000-0005-0000-0000-000062250000}"/>
    <cellStyle name="40% - Accent3 62" xfId="9662" xr:uid="{00000000-0005-0000-0000-000063250000}"/>
    <cellStyle name="40% - Accent3 63" xfId="9663" xr:uid="{00000000-0005-0000-0000-000064250000}"/>
    <cellStyle name="40% - Accent3 64" xfId="9664" xr:uid="{00000000-0005-0000-0000-000065250000}"/>
    <cellStyle name="40% - Accent3 65" xfId="9665" xr:uid="{00000000-0005-0000-0000-000066250000}"/>
    <cellStyle name="40% - Accent3 66" xfId="9666" xr:uid="{00000000-0005-0000-0000-000067250000}"/>
    <cellStyle name="40% - Accent3 67" xfId="9667" xr:uid="{00000000-0005-0000-0000-000068250000}"/>
    <cellStyle name="40% - Accent3 68" xfId="9668" xr:uid="{00000000-0005-0000-0000-000069250000}"/>
    <cellStyle name="40% - Accent3 69" xfId="9669" xr:uid="{00000000-0005-0000-0000-00006A250000}"/>
    <cellStyle name="40% - Accent3 7" xfId="9670" xr:uid="{00000000-0005-0000-0000-00006B250000}"/>
    <cellStyle name="40% - Accent3 7 2" xfId="9671" xr:uid="{00000000-0005-0000-0000-00006C250000}"/>
    <cellStyle name="40% - Accent3 7 2 2" xfId="9672" xr:uid="{00000000-0005-0000-0000-00006D250000}"/>
    <cellStyle name="40% - Accent3 7 2 3" xfId="9673" xr:uid="{00000000-0005-0000-0000-00006E250000}"/>
    <cellStyle name="40% - Accent3 7 2 4" xfId="9674" xr:uid="{00000000-0005-0000-0000-00006F250000}"/>
    <cellStyle name="40% - Accent3 7 3" xfId="9675" xr:uid="{00000000-0005-0000-0000-000070250000}"/>
    <cellStyle name="40% - Accent3 7 4" xfId="9676" xr:uid="{00000000-0005-0000-0000-000071250000}"/>
    <cellStyle name="40% - Accent3 7 5" xfId="9677" xr:uid="{00000000-0005-0000-0000-000072250000}"/>
    <cellStyle name="40% - Accent3 70" xfId="9678" xr:uid="{00000000-0005-0000-0000-000073250000}"/>
    <cellStyle name="40% - Accent3 71" xfId="9679" xr:uid="{00000000-0005-0000-0000-000074250000}"/>
    <cellStyle name="40% - Accent3 72" xfId="9680" xr:uid="{00000000-0005-0000-0000-000075250000}"/>
    <cellStyle name="40% - Accent3 73" xfId="9681" xr:uid="{00000000-0005-0000-0000-000076250000}"/>
    <cellStyle name="40% - Accent3 74" xfId="9682" xr:uid="{00000000-0005-0000-0000-000077250000}"/>
    <cellStyle name="40% - Accent3 75" xfId="9683" xr:uid="{00000000-0005-0000-0000-000078250000}"/>
    <cellStyle name="40% - Accent3 76" xfId="9684" xr:uid="{00000000-0005-0000-0000-000079250000}"/>
    <cellStyle name="40% - Accent3 77" xfId="9685" xr:uid="{00000000-0005-0000-0000-00007A250000}"/>
    <cellStyle name="40% - Accent3 78" xfId="9686" xr:uid="{00000000-0005-0000-0000-00007B250000}"/>
    <cellStyle name="40% - Accent3 79" xfId="9687" xr:uid="{00000000-0005-0000-0000-00007C250000}"/>
    <cellStyle name="40% - Accent3 79 2" xfId="9688" xr:uid="{00000000-0005-0000-0000-00007D250000}"/>
    <cellStyle name="40% - Accent3 8" xfId="9689" xr:uid="{00000000-0005-0000-0000-00007E250000}"/>
    <cellStyle name="40% - Accent3 8 2" xfId="9690" xr:uid="{00000000-0005-0000-0000-00007F250000}"/>
    <cellStyle name="40% - Accent3 8 2 2" xfId="9691" xr:uid="{00000000-0005-0000-0000-000080250000}"/>
    <cellStyle name="40% - Accent3 8 2 3" xfId="9692" xr:uid="{00000000-0005-0000-0000-000081250000}"/>
    <cellStyle name="40% - Accent3 8 2 4" xfId="9693" xr:uid="{00000000-0005-0000-0000-000082250000}"/>
    <cellStyle name="40% - Accent3 8 3" xfId="9694" xr:uid="{00000000-0005-0000-0000-000083250000}"/>
    <cellStyle name="40% - Accent3 8 4" xfId="9695" xr:uid="{00000000-0005-0000-0000-000084250000}"/>
    <cellStyle name="40% - Accent3 8 5" xfId="9696" xr:uid="{00000000-0005-0000-0000-000085250000}"/>
    <cellStyle name="40% - Accent3 80" xfId="9697" xr:uid="{00000000-0005-0000-0000-000086250000}"/>
    <cellStyle name="40% - Accent3 80 2" xfId="9698" xr:uid="{00000000-0005-0000-0000-000087250000}"/>
    <cellStyle name="40% - Accent3 81" xfId="9699" xr:uid="{00000000-0005-0000-0000-000088250000}"/>
    <cellStyle name="40% - Accent3 81 2" xfId="9700" xr:uid="{00000000-0005-0000-0000-000089250000}"/>
    <cellStyle name="40% - Accent3 82" xfId="9701" xr:uid="{00000000-0005-0000-0000-00008A250000}"/>
    <cellStyle name="40% - Accent3 82 2" xfId="9702" xr:uid="{00000000-0005-0000-0000-00008B250000}"/>
    <cellStyle name="40% - Accent3 83" xfId="9703" xr:uid="{00000000-0005-0000-0000-00008C250000}"/>
    <cellStyle name="40% - Accent3 83 2" xfId="9704" xr:uid="{00000000-0005-0000-0000-00008D250000}"/>
    <cellStyle name="40% - Accent3 84" xfId="9705" xr:uid="{00000000-0005-0000-0000-00008E250000}"/>
    <cellStyle name="40% - Accent3 84 2" xfId="9706" xr:uid="{00000000-0005-0000-0000-00008F250000}"/>
    <cellStyle name="40% - Accent3 85" xfId="9707" xr:uid="{00000000-0005-0000-0000-000090250000}"/>
    <cellStyle name="40% - Accent3 85 2" xfId="9708" xr:uid="{00000000-0005-0000-0000-000091250000}"/>
    <cellStyle name="40% - Accent3 86" xfId="9709" xr:uid="{00000000-0005-0000-0000-000092250000}"/>
    <cellStyle name="40% - Accent3 86 2" xfId="9710" xr:uid="{00000000-0005-0000-0000-000093250000}"/>
    <cellStyle name="40% - Accent3 87" xfId="9711" xr:uid="{00000000-0005-0000-0000-000094250000}"/>
    <cellStyle name="40% - Accent3 87 2" xfId="9712" xr:uid="{00000000-0005-0000-0000-000095250000}"/>
    <cellStyle name="40% - Accent3 88" xfId="9713" xr:uid="{00000000-0005-0000-0000-000096250000}"/>
    <cellStyle name="40% - Accent3 88 2" xfId="9714" xr:uid="{00000000-0005-0000-0000-000097250000}"/>
    <cellStyle name="40% - Accent3 89" xfId="9715" xr:uid="{00000000-0005-0000-0000-000098250000}"/>
    <cellStyle name="40% - Accent3 89 2" xfId="9716" xr:uid="{00000000-0005-0000-0000-000099250000}"/>
    <cellStyle name="40% - Accent3 9" xfId="9717" xr:uid="{00000000-0005-0000-0000-00009A250000}"/>
    <cellStyle name="40% - Accent3 9 2" xfId="9718" xr:uid="{00000000-0005-0000-0000-00009B250000}"/>
    <cellStyle name="40% - Accent3 9 2 2" xfId="9719" xr:uid="{00000000-0005-0000-0000-00009C250000}"/>
    <cellStyle name="40% - Accent3 9 2 3" xfId="9720" xr:uid="{00000000-0005-0000-0000-00009D250000}"/>
    <cellStyle name="40% - Accent3 9 2 4" xfId="9721" xr:uid="{00000000-0005-0000-0000-00009E250000}"/>
    <cellStyle name="40% - Accent3 9 3" xfId="9722" xr:uid="{00000000-0005-0000-0000-00009F250000}"/>
    <cellStyle name="40% - Accent3 9 4" xfId="9723" xr:uid="{00000000-0005-0000-0000-0000A0250000}"/>
    <cellStyle name="40% - Accent3 9 5" xfId="9724" xr:uid="{00000000-0005-0000-0000-0000A1250000}"/>
    <cellStyle name="40% - Accent3 90" xfId="9725" xr:uid="{00000000-0005-0000-0000-0000A2250000}"/>
    <cellStyle name="40% - Accent3 91" xfId="9726" xr:uid="{00000000-0005-0000-0000-0000A3250000}"/>
    <cellStyle name="40% - Accent3 92" xfId="9727" xr:uid="{00000000-0005-0000-0000-0000A4250000}"/>
    <cellStyle name="40% - Accent3 93" xfId="9728" xr:uid="{00000000-0005-0000-0000-0000A5250000}"/>
    <cellStyle name="40% - Accent3 94" xfId="9729" xr:uid="{00000000-0005-0000-0000-0000A6250000}"/>
    <cellStyle name="40% - Accent3 95" xfId="9730" xr:uid="{00000000-0005-0000-0000-0000A7250000}"/>
    <cellStyle name="40% - Accent3 96" xfId="9731" xr:uid="{00000000-0005-0000-0000-0000A8250000}"/>
    <cellStyle name="40% - Accent3 97" xfId="9732" xr:uid="{00000000-0005-0000-0000-0000A9250000}"/>
    <cellStyle name="40% - Accent3 98" xfId="9733" xr:uid="{00000000-0005-0000-0000-0000AA250000}"/>
    <cellStyle name="40% - Accent3 99" xfId="9734" xr:uid="{00000000-0005-0000-0000-0000AB250000}"/>
    <cellStyle name="40% - Accent4" xfId="32" builtinId="43" customBuiltin="1"/>
    <cellStyle name="40% - Accent4 10" xfId="9735" xr:uid="{00000000-0005-0000-0000-0000AD250000}"/>
    <cellStyle name="40% - Accent4 10 2" xfId="9736" xr:uid="{00000000-0005-0000-0000-0000AE250000}"/>
    <cellStyle name="40% - Accent4 10 2 2" xfId="9737" xr:uid="{00000000-0005-0000-0000-0000AF250000}"/>
    <cellStyle name="40% - Accent4 10 2 3" xfId="9738" xr:uid="{00000000-0005-0000-0000-0000B0250000}"/>
    <cellStyle name="40% - Accent4 10 2 4" xfId="9739" xr:uid="{00000000-0005-0000-0000-0000B1250000}"/>
    <cellStyle name="40% - Accent4 10 3" xfId="9740" xr:uid="{00000000-0005-0000-0000-0000B2250000}"/>
    <cellStyle name="40% - Accent4 10 4" xfId="9741" xr:uid="{00000000-0005-0000-0000-0000B3250000}"/>
    <cellStyle name="40% - Accent4 10 5" xfId="9742" xr:uid="{00000000-0005-0000-0000-0000B4250000}"/>
    <cellStyle name="40% - Accent4 100" xfId="9743" xr:uid="{00000000-0005-0000-0000-0000B5250000}"/>
    <cellStyle name="40% - Accent4 101" xfId="9744" xr:uid="{00000000-0005-0000-0000-0000B6250000}"/>
    <cellStyle name="40% - Accent4 102" xfId="9745" xr:uid="{00000000-0005-0000-0000-0000B7250000}"/>
    <cellStyle name="40% - Accent4 103" xfId="9746" xr:uid="{00000000-0005-0000-0000-0000B8250000}"/>
    <cellStyle name="40% - Accent4 104" xfId="9747" xr:uid="{00000000-0005-0000-0000-0000B9250000}"/>
    <cellStyle name="40% - Accent4 105" xfId="9748" xr:uid="{00000000-0005-0000-0000-0000BA250000}"/>
    <cellStyle name="40% - Accent4 106" xfId="9749" xr:uid="{00000000-0005-0000-0000-0000BB250000}"/>
    <cellStyle name="40% - Accent4 107" xfId="9750" xr:uid="{00000000-0005-0000-0000-0000BC250000}"/>
    <cellStyle name="40% - Accent4 108" xfId="9751" xr:uid="{00000000-0005-0000-0000-0000BD250000}"/>
    <cellStyle name="40% - Accent4 109" xfId="9752" xr:uid="{00000000-0005-0000-0000-0000BE250000}"/>
    <cellStyle name="40% - Accent4 11" xfId="9753" xr:uid="{00000000-0005-0000-0000-0000BF250000}"/>
    <cellStyle name="40% - Accent4 11 2" xfId="9754" xr:uid="{00000000-0005-0000-0000-0000C0250000}"/>
    <cellStyle name="40% - Accent4 11 2 2" xfId="9755" xr:uid="{00000000-0005-0000-0000-0000C1250000}"/>
    <cellStyle name="40% - Accent4 11 2 3" xfId="9756" xr:uid="{00000000-0005-0000-0000-0000C2250000}"/>
    <cellStyle name="40% - Accent4 11 2 4" xfId="9757" xr:uid="{00000000-0005-0000-0000-0000C3250000}"/>
    <cellStyle name="40% - Accent4 11 3" xfId="9758" xr:uid="{00000000-0005-0000-0000-0000C4250000}"/>
    <cellStyle name="40% - Accent4 11 4" xfId="9759" xr:uid="{00000000-0005-0000-0000-0000C5250000}"/>
    <cellStyle name="40% - Accent4 11 5" xfId="9760" xr:uid="{00000000-0005-0000-0000-0000C6250000}"/>
    <cellStyle name="40% - Accent4 110" xfId="9761" xr:uid="{00000000-0005-0000-0000-0000C7250000}"/>
    <cellStyle name="40% - Accent4 111" xfId="9762" xr:uid="{00000000-0005-0000-0000-0000C8250000}"/>
    <cellStyle name="40% - Accent4 112" xfId="9763" xr:uid="{00000000-0005-0000-0000-0000C9250000}"/>
    <cellStyle name="40% - Accent4 113" xfId="9764" xr:uid="{00000000-0005-0000-0000-0000CA250000}"/>
    <cellStyle name="40% - Accent4 114" xfId="9765" xr:uid="{00000000-0005-0000-0000-0000CB250000}"/>
    <cellStyle name="40% - Accent4 115" xfId="9766" xr:uid="{00000000-0005-0000-0000-0000CC250000}"/>
    <cellStyle name="40% - Accent4 116" xfId="9767" xr:uid="{00000000-0005-0000-0000-0000CD250000}"/>
    <cellStyle name="40% - Accent4 117" xfId="9768" xr:uid="{00000000-0005-0000-0000-0000CE250000}"/>
    <cellStyle name="40% - Accent4 118" xfId="9769" xr:uid="{00000000-0005-0000-0000-0000CF250000}"/>
    <cellStyle name="40% - Accent4 119" xfId="9770" xr:uid="{00000000-0005-0000-0000-0000D0250000}"/>
    <cellStyle name="40% - Accent4 12" xfId="9771" xr:uid="{00000000-0005-0000-0000-0000D1250000}"/>
    <cellStyle name="40% - Accent4 12 2" xfId="9772" xr:uid="{00000000-0005-0000-0000-0000D2250000}"/>
    <cellStyle name="40% - Accent4 12 2 2" xfId="9773" xr:uid="{00000000-0005-0000-0000-0000D3250000}"/>
    <cellStyle name="40% - Accent4 12 2 3" xfId="9774" xr:uid="{00000000-0005-0000-0000-0000D4250000}"/>
    <cellStyle name="40% - Accent4 12 2 4" xfId="9775" xr:uid="{00000000-0005-0000-0000-0000D5250000}"/>
    <cellStyle name="40% - Accent4 12 3" xfId="9776" xr:uid="{00000000-0005-0000-0000-0000D6250000}"/>
    <cellStyle name="40% - Accent4 12 4" xfId="9777" xr:uid="{00000000-0005-0000-0000-0000D7250000}"/>
    <cellStyle name="40% - Accent4 12 5" xfId="9778" xr:uid="{00000000-0005-0000-0000-0000D8250000}"/>
    <cellStyle name="40% - Accent4 120" xfId="9779" xr:uid="{00000000-0005-0000-0000-0000D9250000}"/>
    <cellStyle name="40% - Accent4 121" xfId="9780" xr:uid="{00000000-0005-0000-0000-0000DA250000}"/>
    <cellStyle name="40% - Accent4 122" xfId="9781" xr:uid="{00000000-0005-0000-0000-0000DB250000}"/>
    <cellStyle name="40% - Accent4 123" xfId="9782" xr:uid="{00000000-0005-0000-0000-0000DC250000}"/>
    <cellStyle name="40% - Accent4 124" xfId="9783" xr:uid="{00000000-0005-0000-0000-0000DD250000}"/>
    <cellStyle name="40% - Accent4 125" xfId="9784" xr:uid="{00000000-0005-0000-0000-0000DE250000}"/>
    <cellStyle name="40% - Accent4 126" xfId="9785" xr:uid="{00000000-0005-0000-0000-0000DF250000}"/>
    <cellStyle name="40% - Accent4 127" xfId="9786" xr:uid="{00000000-0005-0000-0000-0000E0250000}"/>
    <cellStyle name="40% - Accent4 128" xfId="9787" xr:uid="{00000000-0005-0000-0000-0000E1250000}"/>
    <cellStyle name="40% - Accent4 129" xfId="9788" xr:uid="{00000000-0005-0000-0000-0000E2250000}"/>
    <cellStyle name="40% - Accent4 13" xfId="9789" xr:uid="{00000000-0005-0000-0000-0000E3250000}"/>
    <cellStyle name="40% - Accent4 13 2" xfId="9790" xr:uid="{00000000-0005-0000-0000-0000E4250000}"/>
    <cellStyle name="40% - Accent4 13 2 2" xfId="9791" xr:uid="{00000000-0005-0000-0000-0000E5250000}"/>
    <cellStyle name="40% - Accent4 13 2 3" xfId="9792" xr:uid="{00000000-0005-0000-0000-0000E6250000}"/>
    <cellStyle name="40% - Accent4 13 2 4" xfId="9793" xr:uid="{00000000-0005-0000-0000-0000E7250000}"/>
    <cellStyle name="40% - Accent4 13 3" xfId="9794" xr:uid="{00000000-0005-0000-0000-0000E8250000}"/>
    <cellStyle name="40% - Accent4 13 4" xfId="9795" xr:uid="{00000000-0005-0000-0000-0000E9250000}"/>
    <cellStyle name="40% - Accent4 13 5" xfId="9796" xr:uid="{00000000-0005-0000-0000-0000EA250000}"/>
    <cellStyle name="40% - Accent4 130" xfId="9797" xr:uid="{00000000-0005-0000-0000-0000EB250000}"/>
    <cellStyle name="40% - Accent4 131" xfId="9798" xr:uid="{00000000-0005-0000-0000-0000EC250000}"/>
    <cellStyle name="40% - Accent4 132" xfId="9799" xr:uid="{00000000-0005-0000-0000-0000ED250000}"/>
    <cellStyle name="40% - Accent4 133" xfId="9800" xr:uid="{00000000-0005-0000-0000-0000EE250000}"/>
    <cellStyle name="40% - Accent4 134" xfId="9801" xr:uid="{00000000-0005-0000-0000-0000EF250000}"/>
    <cellStyle name="40% - Accent4 135" xfId="9802" xr:uid="{00000000-0005-0000-0000-0000F0250000}"/>
    <cellStyle name="40% - Accent4 136" xfId="9803" xr:uid="{00000000-0005-0000-0000-0000F1250000}"/>
    <cellStyle name="40% - Accent4 137" xfId="9804" xr:uid="{00000000-0005-0000-0000-0000F2250000}"/>
    <cellStyle name="40% - Accent4 138" xfId="9805" xr:uid="{00000000-0005-0000-0000-0000F3250000}"/>
    <cellStyle name="40% - Accent4 139" xfId="9806" xr:uid="{00000000-0005-0000-0000-0000F4250000}"/>
    <cellStyle name="40% - Accent4 14" xfId="9807" xr:uid="{00000000-0005-0000-0000-0000F5250000}"/>
    <cellStyle name="40% - Accent4 14 2" xfId="9808" xr:uid="{00000000-0005-0000-0000-0000F6250000}"/>
    <cellStyle name="40% - Accent4 14 2 2" xfId="9809" xr:uid="{00000000-0005-0000-0000-0000F7250000}"/>
    <cellStyle name="40% - Accent4 14 2 3" xfId="9810" xr:uid="{00000000-0005-0000-0000-0000F8250000}"/>
    <cellStyle name="40% - Accent4 14 2 4" xfId="9811" xr:uid="{00000000-0005-0000-0000-0000F9250000}"/>
    <cellStyle name="40% - Accent4 14 3" xfId="9812" xr:uid="{00000000-0005-0000-0000-0000FA250000}"/>
    <cellStyle name="40% - Accent4 14 4" xfId="9813" xr:uid="{00000000-0005-0000-0000-0000FB250000}"/>
    <cellStyle name="40% - Accent4 14 5" xfId="9814" xr:uid="{00000000-0005-0000-0000-0000FC250000}"/>
    <cellStyle name="40% - Accent4 140" xfId="9815" xr:uid="{00000000-0005-0000-0000-0000FD250000}"/>
    <cellStyle name="40% - Accent4 141" xfId="9816" xr:uid="{00000000-0005-0000-0000-0000FE250000}"/>
    <cellStyle name="40% - Accent4 142" xfId="9817" xr:uid="{00000000-0005-0000-0000-0000FF250000}"/>
    <cellStyle name="40% - Accent4 143" xfId="9818" xr:uid="{00000000-0005-0000-0000-000000260000}"/>
    <cellStyle name="40% - Accent4 144" xfId="9819" xr:uid="{00000000-0005-0000-0000-000001260000}"/>
    <cellStyle name="40% - Accent4 145" xfId="9820" xr:uid="{00000000-0005-0000-0000-000002260000}"/>
    <cellStyle name="40% - Accent4 146" xfId="9821" xr:uid="{00000000-0005-0000-0000-000003260000}"/>
    <cellStyle name="40% - Accent4 147" xfId="9822" xr:uid="{00000000-0005-0000-0000-000004260000}"/>
    <cellStyle name="40% - Accent4 148" xfId="9823" xr:uid="{00000000-0005-0000-0000-000005260000}"/>
    <cellStyle name="40% - Accent4 149" xfId="9824" xr:uid="{00000000-0005-0000-0000-000006260000}"/>
    <cellStyle name="40% - Accent4 15" xfId="9825" xr:uid="{00000000-0005-0000-0000-000007260000}"/>
    <cellStyle name="40% - Accent4 15 2" xfId="9826" xr:uid="{00000000-0005-0000-0000-000008260000}"/>
    <cellStyle name="40% - Accent4 15 2 2" xfId="9827" xr:uid="{00000000-0005-0000-0000-000009260000}"/>
    <cellStyle name="40% - Accent4 15 2 3" xfId="9828" xr:uid="{00000000-0005-0000-0000-00000A260000}"/>
    <cellStyle name="40% - Accent4 15 2 4" xfId="9829" xr:uid="{00000000-0005-0000-0000-00000B260000}"/>
    <cellStyle name="40% - Accent4 15 3" xfId="9830" xr:uid="{00000000-0005-0000-0000-00000C260000}"/>
    <cellStyle name="40% - Accent4 15 4" xfId="9831" xr:uid="{00000000-0005-0000-0000-00000D260000}"/>
    <cellStyle name="40% - Accent4 15 5" xfId="9832" xr:uid="{00000000-0005-0000-0000-00000E260000}"/>
    <cellStyle name="40% - Accent4 150" xfId="9833" xr:uid="{00000000-0005-0000-0000-00000F260000}"/>
    <cellStyle name="40% - Accent4 151" xfId="9834" xr:uid="{00000000-0005-0000-0000-000010260000}"/>
    <cellStyle name="40% - Accent4 152" xfId="9835" xr:uid="{00000000-0005-0000-0000-000011260000}"/>
    <cellStyle name="40% - Accent4 153" xfId="9836" xr:uid="{00000000-0005-0000-0000-000012260000}"/>
    <cellStyle name="40% - Accent4 154" xfId="9837" xr:uid="{00000000-0005-0000-0000-000013260000}"/>
    <cellStyle name="40% - Accent4 155" xfId="9838" xr:uid="{00000000-0005-0000-0000-000014260000}"/>
    <cellStyle name="40% - Accent4 156" xfId="9839" xr:uid="{00000000-0005-0000-0000-000015260000}"/>
    <cellStyle name="40% - Accent4 157" xfId="9840" xr:uid="{00000000-0005-0000-0000-000016260000}"/>
    <cellStyle name="40% - Accent4 158" xfId="9841" xr:uid="{00000000-0005-0000-0000-000017260000}"/>
    <cellStyle name="40% - Accent4 159" xfId="9842" xr:uid="{00000000-0005-0000-0000-000018260000}"/>
    <cellStyle name="40% - Accent4 16" xfId="9843" xr:uid="{00000000-0005-0000-0000-000019260000}"/>
    <cellStyle name="40% - Accent4 16 2" xfId="9844" xr:uid="{00000000-0005-0000-0000-00001A260000}"/>
    <cellStyle name="40% - Accent4 16 2 2" xfId="9845" xr:uid="{00000000-0005-0000-0000-00001B260000}"/>
    <cellStyle name="40% - Accent4 16 3" xfId="9846" xr:uid="{00000000-0005-0000-0000-00001C260000}"/>
    <cellStyle name="40% - Accent4 16 4" xfId="9847" xr:uid="{00000000-0005-0000-0000-00001D260000}"/>
    <cellStyle name="40% - Accent4 16 5" xfId="9848" xr:uid="{00000000-0005-0000-0000-00001E260000}"/>
    <cellStyle name="40% - Accent4 160" xfId="9849" xr:uid="{00000000-0005-0000-0000-00001F260000}"/>
    <cellStyle name="40% - Accent4 161" xfId="9850" xr:uid="{00000000-0005-0000-0000-000020260000}"/>
    <cellStyle name="40% - Accent4 162" xfId="9851" xr:uid="{00000000-0005-0000-0000-000021260000}"/>
    <cellStyle name="40% - Accent4 163" xfId="9852" xr:uid="{00000000-0005-0000-0000-000022260000}"/>
    <cellStyle name="40% - Accent4 164" xfId="9853" xr:uid="{00000000-0005-0000-0000-000023260000}"/>
    <cellStyle name="40% - Accent4 165" xfId="9854" xr:uid="{00000000-0005-0000-0000-000024260000}"/>
    <cellStyle name="40% - Accent4 166" xfId="9855" xr:uid="{00000000-0005-0000-0000-000025260000}"/>
    <cellStyle name="40% - Accent4 167" xfId="9856" xr:uid="{00000000-0005-0000-0000-000026260000}"/>
    <cellStyle name="40% - Accent4 168" xfId="9857" xr:uid="{00000000-0005-0000-0000-000027260000}"/>
    <cellStyle name="40% - Accent4 169" xfId="9858" xr:uid="{00000000-0005-0000-0000-000028260000}"/>
    <cellStyle name="40% - Accent4 17" xfId="9859" xr:uid="{00000000-0005-0000-0000-000029260000}"/>
    <cellStyle name="40% - Accent4 17 2" xfId="9860" xr:uid="{00000000-0005-0000-0000-00002A260000}"/>
    <cellStyle name="40% - Accent4 17 2 2" xfId="9861" xr:uid="{00000000-0005-0000-0000-00002B260000}"/>
    <cellStyle name="40% - Accent4 17 3" xfId="9862" xr:uid="{00000000-0005-0000-0000-00002C260000}"/>
    <cellStyle name="40% - Accent4 17 4" xfId="9863" xr:uid="{00000000-0005-0000-0000-00002D260000}"/>
    <cellStyle name="40% - Accent4 17 5" xfId="9864" xr:uid="{00000000-0005-0000-0000-00002E260000}"/>
    <cellStyle name="40% - Accent4 18" xfId="9865" xr:uid="{00000000-0005-0000-0000-00002F260000}"/>
    <cellStyle name="40% - Accent4 18 2" xfId="9866" xr:uid="{00000000-0005-0000-0000-000030260000}"/>
    <cellStyle name="40% - Accent4 18 2 2" xfId="9867" xr:uid="{00000000-0005-0000-0000-000031260000}"/>
    <cellStyle name="40% - Accent4 18 3" xfId="9868" xr:uid="{00000000-0005-0000-0000-000032260000}"/>
    <cellStyle name="40% - Accent4 18 4" xfId="9869" xr:uid="{00000000-0005-0000-0000-000033260000}"/>
    <cellStyle name="40% - Accent4 18 5" xfId="9870" xr:uid="{00000000-0005-0000-0000-000034260000}"/>
    <cellStyle name="40% - Accent4 19" xfId="9871" xr:uid="{00000000-0005-0000-0000-000035260000}"/>
    <cellStyle name="40% - Accent4 19 2" xfId="9872" xr:uid="{00000000-0005-0000-0000-000036260000}"/>
    <cellStyle name="40% - Accent4 19 2 2" xfId="9873" xr:uid="{00000000-0005-0000-0000-000037260000}"/>
    <cellStyle name="40% - Accent4 19 3" xfId="9874" xr:uid="{00000000-0005-0000-0000-000038260000}"/>
    <cellStyle name="40% - Accent4 19 4" xfId="9875" xr:uid="{00000000-0005-0000-0000-000039260000}"/>
    <cellStyle name="40% - Accent4 19 5" xfId="9876" xr:uid="{00000000-0005-0000-0000-00003A260000}"/>
    <cellStyle name="40% - Accent4 2" xfId="9877" xr:uid="{00000000-0005-0000-0000-00003B260000}"/>
    <cellStyle name="40% - Accent4 2 10" xfId="9878" xr:uid="{00000000-0005-0000-0000-00003C260000}"/>
    <cellStyle name="40% - Accent4 2 11" xfId="9879" xr:uid="{00000000-0005-0000-0000-00003D260000}"/>
    <cellStyle name="40% - Accent4 2 12" xfId="9880" xr:uid="{00000000-0005-0000-0000-00003E260000}"/>
    <cellStyle name="40% - Accent4 2 13" xfId="9881" xr:uid="{00000000-0005-0000-0000-00003F260000}"/>
    <cellStyle name="40% - Accent4 2 14" xfId="9882" xr:uid="{00000000-0005-0000-0000-000040260000}"/>
    <cellStyle name="40% - Accent4 2 15" xfId="9883" xr:uid="{00000000-0005-0000-0000-000041260000}"/>
    <cellStyle name="40% - Accent4 2 16" xfId="9884" xr:uid="{00000000-0005-0000-0000-000042260000}"/>
    <cellStyle name="40% - Accent4 2 17" xfId="9885" xr:uid="{00000000-0005-0000-0000-000043260000}"/>
    <cellStyle name="40% - Accent4 2 18" xfId="9886" xr:uid="{00000000-0005-0000-0000-000044260000}"/>
    <cellStyle name="40% - Accent4 2 19" xfId="9887" xr:uid="{00000000-0005-0000-0000-000045260000}"/>
    <cellStyle name="40% - Accent4 2 2" xfId="9888" xr:uid="{00000000-0005-0000-0000-000046260000}"/>
    <cellStyle name="40% - Accent4 2 2 2" xfId="9889" xr:uid="{00000000-0005-0000-0000-000047260000}"/>
    <cellStyle name="40% - Accent4 2 20" xfId="9890" xr:uid="{00000000-0005-0000-0000-000048260000}"/>
    <cellStyle name="40% - Accent4 2 21" xfId="9891" xr:uid="{00000000-0005-0000-0000-000049260000}"/>
    <cellStyle name="40% - Accent4 2 22" xfId="9892" xr:uid="{00000000-0005-0000-0000-00004A260000}"/>
    <cellStyle name="40% - Accent4 2 23" xfId="9893" xr:uid="{00000000-0005-0000-0000-00004B260000}"/>
    <cellStyle name="40% - Accent4 2 24" xfId="9894" xr:uid="{00000000-0005-0000-0000-00004C260000}"/>
    <cellStyle name="40% - Accent4 2 25" xfId="9895" xr:uid="{00000000-0005-0000-0000-00004D260000}"/>
    <cellStyle name="40% - Accent4 2 26" xfId="9896" xr:uid="{00000000-0005-0000-0000-00004E260000}"/>
    <cellStyle name="40% - Accent4 2 27" xfId="9897" xr:uid="{00000000-0005-0000-0000-00004F260000}"/>
    <cellStyle name="40% - Accent4 2 28" xfId="9898" xr:uid="{00000000-0005-0000-0000-000050260000}"/>
    <cellStyle name="40% - Accent4 2 29" xfId="9899" xr:uid="{00000000-0005-0000-0000-000051260000}"/>
    <cellStyle name="40% - Accent4 2 3" xfId="9900" xr:uid="{00000000-0005-0000-0000-000052260000}"/>
    <cellStyle name="40% - Accent4 2 30" xfId="9901" xr:uid="{00000000-0005-0000-0000-000053260000}"/>
    <cellStyle name="40% - Accent4 2 31" xfId="9902" xr:uid="{00000000-0005-0000-0000-000054260000}"/>
    <cellStyle name="40% - Accent4 2 32" xfId="9903" xr:uid="{00000000-0005-0000-0000-000055260000}"/>
    <cellStyle name="40% - Accent4 2 33" xfId="9904" xr:uid="{00000000-0005-0000-0000-000056260000}"/>
    <cellStyle name="40% - Accent4 2 34" xfId="9905" xr:uid="{00000000-0005-0000-0000-000057260000}"/>
    <cellStyle name="40% - Accent4 2 35" xfId="9906" xr:uid="{00000000-0005-0000-0000-000058260000}"/>
    <cellStyle name="40% - Accent4 2 36" xfId="9907" xr:uid="{00000000-0005-0000-0000-000059260000}"/>
    <cellStyle name="40% - Accent4 2 37" xfId="9908" xr:uid="{00000000-0005-0000-0000-00005A260000}"/>
    <cellStyle name="40% - Accent4 2 4" xfId="9909" xr:uid="{00000000-0005-0000-0000-00005B260000}"/>
    <cellStyle name="40% - Accent4 2 4 2" xfId="9910" xr:uid="{00000000-0005-0000-0000-00005C260000}"/>
    <cellStyle name="40% - Accent4 2 4 2 2" xfId="9911" xr:uid="{00000000-0005-0000-0000-00005D260000}"/>
    <cellStyle name="40% - Accent4 2 4 3" xfId="9912" xr:uid="{00000000-0005-0000-0000-00005E260000}"/>
    <cellStyle name="40% - Accent4 2 4 3 2" xfId="9913" xr:uid="{00000000-0005-0000-0000-00005F260000}"/>
    <cellStyle name="40% - Accent4 2 4 4" xfId="9914" xr:uid="{00000000-0005-0000-0000-000060260000}"/>
    <cellStyle name="40% - Accent4 2 5" xfId="9915" xr:uid="{00000000-0005-0000-0000-000061260000}"/>
    <cellStyle name="40% - Accent4 2 6" xfId="9916" xr:uid="{00000000-0005-0000-0000-000062260000}"/>
    <cellStyle name="40% - Accent4 2 7" xfId="9917" xr:uid="{00000000-0005-0000-0000-000063260000}"/>
    <cellStyle name="40% - Accent4 2 8" xfId="9918" xr:uid="{00000000-0005-0000-0000-000064260000}"/>
    <cellStyle name="40% - Accent4 2 9" xfId="9919" xr:uid="{00000000-0005-0000-0000-000065260000}"/>
    <cellStyle name="40% - Accent4 2_ERDF Losses" xfId="9920" xr:uid="{00000000-0005-0000-0000-000066260000}"/>
    <cellStyle name="40% - Accent4 20" xfId="9921" xr:uid="{00000000-0005-0000-0000-000067260000}"/>
    <cellStyle name="40% - Accent4 20 10" xfId="9922" xr:uid="{00000000-0005-0000-0000-000068260000}"/>
    <cellStyle name="40% - Accent4 20 11" xfId="9923" xr:uid="{00000000-0005-0000-0000-000069260000}"/>
    <cellStyle name="40% - Accent4 20 12" xfId="9924" xr:uid="{00000000-0005-0000-0000-00006A260000}"/>
    <cellStyle name="40% - Accent4 20 13" xfId="9925" xr:uid="{00000000-0005-0000-0000-00006B260000}"/>
    <cellStyle name="40% - Accent4 20 14" xfId="9926" xr:uid="{00000000-0005-0000-0000-00006C260000}"/>
    <cellStyle name="40% - Accent4 20 15" xfId="9927" xr:uid="{00000000-0005-0000-0000-00006D260000}"/>
    <cellStyle name="40% - Accent4 20 16" xfId="9928" xr:uid="{00000000-0005-0000-0000-00006E260000}"/>
    <cellStyle name="40% - Accent4 20 17" xfId="9929" xr:uid="{00000000-0005-0000-0000-00006F260000}"/>
    <cellStyle name="40% - Accent4 20 18" xfId="9930" xr:uid="{00000000-0005-0000-0000-000070260000}"/>
    <cellStyle name="40% - Accent4 20 2" xfId="9931" xr:uid="{00000000-0005-0000-0000-000071260000}"/>
    <cellStyle name="40% - Accent4 20 2 2" xfId="9932" xr:uid="{00000000-0005-0000-0000-000072260000}"/>
    <cellStyle name="40% - Accent4 20 2 3" xfId="9933" xr:uid="{00000000-0005-0000-0000-000073260000}"/>
    <cellStyle name="40% - Accent4 20 2 4" xfId="9934" xr:uid="{00000000-0005-0000-0000-000074260000}"/>
    <cellStyle name="40% - Accent4 20 3" xfId="9935" xr:uid="{00000000-0005-0000-0000-000075260000}"/>
    <cellStyle name="40% - Accent4 20 4" xfId="9936" xr:uid="{00000000-0005-0000-0000-000076260000}"/>
    <cellStyle name="40% - Accent4 20 5" xfId="9937" xr:uid="{00000000-0005-0000-0000-000077260000}"/>
    <cellStyle name="40% - Accent4 20 6" xfId="9938" xr:uid="{00000000-0005-0000-0000-000078260000}"/>
    <cellStyle name="40% - Accent4 20 7" xfId="9939" xr:uid="{00000000-0005-0000-0000-000079260000}"/>
    <cellStyle name="40% - Accent4 20 8" xfId="9940" xr:uid="{00000000-0005-0000-0000-00007A260000}"/>
    <cellStyle name="40% - Accent4 20 9" xfId="9941" xr:uid="{00000000-0005-0000-0000-00007B260000}"/>
    <cellStyle name="40% - Accent4 21" xfId="9942" xr:uid="{00000000-0005-0000-0000-00007C260000}"/>
    <cellStyle name="40% - Accent4 21 2" xfId="9943" xr:uid="{00000000-0005-0000-0000-00007D260000}"/>
    <cellStyle name="40% - Accent4 21 2 2" xfId="9944" xr:uid="{00000000-0005-0000-0000-00007E260000}"/>
    <cellStyle name="40% - Accent4 21 2 3" xfId="9945" xr:uid="{00000000-0005-0000-0000-00007F260000}"/>
    <cellStyle name="40% - Accent4 21 3" xfId="9946" xr:uid="{00000000-0005-0000-0000-000080260000}"/>
    <cellStyle name="40% - Accent4 21 4" xfId="9947" xr:uid="{00000000-0005-0000-0000-000081260000}"/>
    <cellStyle name="40% - Accent4 21 5" xfId="9948" xr:uid="{00000000-0005-0000-0000-000082260000}"/>
    <cellStyle name="40% - Accent4 21 6" xfId="9949" xr:uid="{00000000-0005-0000-0000-000083260000}"/>
    <cellStyle name="40% - Accent4 22" xfId="9950" xr:uid="{00000000-0005-0000-0000-000084260000}"/>
    <cellStyle name="40% - Accent4 22 2" xfId="9951" xr:uid="{00000000-0005-0000-0000-000085260000}"/>
    <cellStyle name="40% - Accent4 22 3" xfId="9952" xr:uid="{00000000-0005-0000-0000-000086260000}"/>
    <cellStyle name="40% - Accent4 23" xfId="9953" xr:uid="{00000000-0005-0000-0000-000087260000}"/>
    <cellStyle name="40% - Accent4 23 2" xfId="9954" xr:uid="{00000000-0005-0000-0000-000088260000}"/>
    <cellStyle name="40% - Accent4 23 3" xfId="9955" xr:uid="{00000000-0005-0000-0000-000089260000}"/>
    <cellStyle name="40% - Accent4 24" xfId="9956" xr:uid="{00000000-0005-0000-0000-00008A260000}"/>
    <cellStyle name="40% - Accent4 24 2" xfId="9957" xr:uid="{00000000-0005-0000-0000-00008B260000}"/>
    <cellStyle name="40% - Accent4 24 3" xfId="9958" xr:uid="{00000000-0005-0000-0000-00008C260000}"/>
    <cellStyle name="40% - Accent4 25" xfId="9959" xr:uid="{00000000-0005-0000-0000-00008D260000}"/>
    <cellStyle name="40% - Accent4 25 2" xfId="9960" xr:uid="{00000000-0005-0000-0000-00008E260000}"/>
    <cellStyle name="40% - Accent4 25 3" xfId="9961" xr:uid="{00000000-0005-0000-0000-00008F260000}"/>
    <cellStyle name="40% - Accent4 26" xfId="9962" xr:uid="{00000000-0005-0000-0000-000090260000}"/>
    <cellStyle name="40% - Accent4 26 2" xfId="9963" xr:uid="{00000000-0005-0000-0000-000091260000}"/>
    <cellStyle name="40% - Accent4 26 3" xfId="9964" xr:uid="{00000000-0005-0000-0000-000092260000}"/>
    <cellStyle name="40% - Accent4 27" xfId="9965" xr:uid="{00000000-0005-0000-0000-000093260000}"/>
    <cellStyle name="40% - Accent4 27 2" xfId="9966" xr:uid="{00000000-0005-0000-0000-000094260000}"/>
    <cellStyle name="40% - Accent4 27 3" xfId="9967" xr:uid="{00000000-0005-0000-0000-000095260000}"/>
    <cellStyle name="40% - Accent4 28" xfId="9968" xr:uid="{00000000-0005-0000-0000-000096260000}"/>
    <cellStyle name="40% - Accent4 28 2" xfId="9969" xr:uid="{00000000-0005-0000-0000-000097260000}"/>
    <cellStyle name="40% - Accent4 28 3" xfId="9970" xr:uid="{00000000-0005-0000-0000-000098260000}"/>
    <cellStyle name="40% - Accent4 29" xfId="9971" xr:uid="{00000000-0005-0000-0000-000099260000}"/>
    <cellStyle name="40% - Accent4 29 2" xfId="9972" xr:uid="{00000000-0005-0000-0000-00009A260000}"/>
    <cellStyle name="40% - Accent4 29 3" xfId="9973" xr:uid="{00000000-0005-0000-0000-00009B260000}"/>
    <cellStyle name="40% - Accent4 3" xfId="9974" xr:uid="{00000000-0005-0000-0000-00009C260000}"/>
    <cellStyle name="40% - Accent4 3 10" xfId="9975" xr:uid="{00000000-0005-0000-0000-00009D260000}"/>
    <cellStyle name="40% - Accent4 3 10 10" xfId="9976" xr:uid="{00000000-0005-0000-0000-00009E260000}"/>
    <cellStyle name="40% - Accent4 3 10 11" xfId="9977" xr:uid="{00000000-0005-0000-0000-00009F260000}"/>
    <cellStyle name="40% - Accent4 3 10 12" xfId="9978" xr:uid="{00000000-0005-0000-0000-0000A0260000}"/>
    <cellStyle name="40% - Accent4 3 10 13" xfId="9979" xr:uid="{00000000-0005-0000-0000-0000A1260000}"/>
    <cellStyle name="40% - Accent4 3 10 14" xfId="9980" xr:uid="{00000000-0005-0000-0000-0000A2260000}"/>
    <cellStyle name="40% - Accent4 3 10 15" xfId="9981" xr:uid="{00000000-0005-0000-0000-0000A3260000}"/>
    <cellStyle name="40% - Accent4 3 10 2" xfId="9982" xr:uid="{00000000-0005-0000-0000-0000A4260000}"/>
    <cellStyle name="40% - Accent4 3 10 3" xfId="9983" xr:uid="{00000000-0005-0000-0000-0000A5260000}"/>
    <cellStyle name="40% - Accent4 3 10 4" xfId="9984" xr:uid="{00000000-0005-0000-0000-0000A6260000}"/>
    <cellStyle name="40% - Accent4 3 10 5" xfId="9985" xr:uid="{00000000-0005-0000-0000-0000A7260000}"/>
    <cellStyle name="40% - Accent4 3 10 6" xfId="9986" xr:uid="{00000000-0005-0000-0000-0000A8260000}"/>
    <cellStyle name="40% - Accent4 3 10 7" xfId="9987" xr:uid="{00000000-0005-0000-0000-0000A9260000}"/>
    <cellStyle name="40% - Accent4 3 10 8" xfId="9988" xr:uid="{00000000-0005-0000-0000-0000AA260000}"/>
    <cellStyle name="40% - Accent4 3 10 9" xfId="9989" xr:uid="{00000000-0005-0000-0000-0000AB260000}"/>
    <cellStyle name="40% - Accent4 3 11" xfId="9990" xr:uid="{00000000-0005-0000-0000-0000AC260000}"/>
    <cellStyle name="40% - Accent4 3 11 10" xfId="9991" xr:uid="{00000000-0005-0000-0000-0000AD260000}"/>
    <cellStyle name="40% - Accent4 3 11 11" xfId="9992" xr:uid="{00000000-0005-0000-0000-0000AE260000}"/>
    <cellStyle name="40% - Accent4 3 11 12" xfId="9993" xr:uid="{00000000-0005-0000-0000-0000AF260000}"/>
    <cellStyle name="40% - Accent4 3 11 13" xfId="9994" xr:uid="{00000000-0005-0000-0000-0000B0260000}"/>
    <cellStyle name="40% - Accent4 3 11 14" xfId="9995" xr:uid="{00000000-0005-0000-0000-0000B1260000}"/>
    <cellStyle name="40% - Accent4 3 11 15" xfId="9996" xr:uid="{00000000-0005-0000-0000-0000B2260000}"/>
    <cellStyle name="40% - Accent4 3 11 2" xfId="9997" xr:uid="{00000000-0005-0000-0000-0000B3260000}"/>
    <cellStyle name="40% - Accent4 3 11 3" xfId="9998" xr:uid="{00000000-0005-0000-0000-0000B4260000}"/>
    <cellStyle name="40% - Accent4 3 11 4" xfId="9999" xr:uid="{00000000-0005-0000-0000-0000B5260000}"/>
    <cellStyle name="40% - Accent4 3 11 5" xfId="10000" xr:uid="{00000000-0005-0000-0000-0000B6260000}"/>
    <cellStyle name="40% - Accent4 3 11 6" xfId="10001" xr:uid="{00000000-0005-0000-0000-0000B7260000}"/>
    <cellStyle name="40% - Accent4 3 11 7" xfId="10002" xr:uid="{00000000-0005-0000-0000-0000B8260000}"/>
    <cellStyle name="40% - Accent4 3 11 8" xfId="10003" xr:uid="{00000000-0005-0000-0000-0000B9260000}"/>
    <cellStyle name="40% - Accent4 3 11 9" xfId="10004" xr:uid="{00000000-0005-0000-0000-0000BA260000}"/>
    <cellStyle name="40% - Accent4 3 12" xfId="10005" xr:uid="{00000000-0005-0000-0000-0000BB260000}"/>
    <cellStyle name="40% - Accent4 3 12 10" xfId="10006" xr:uid="{00000000-0005-0000-0000-0000BC260000}"/>
    <cellStyle name="40% - Accent4 3 12 11" xfId="10007" xr:uid="{00000000-0005-0000-0000-0000BD260000}"/>
    <cellStyle name="40% - Accent4 3 12 12" xfId="10008" xr:uid="{00000000-0005-0000-0000-0000BE260000}"/>
    <cellStyle name="40% - Accent4 3 12 13" xfId="10009" xr:uid="{00000000-0005-0000-0000-0000BF260000}"/>
    <cellStyle name="40% - Accent4 3 12 14" xfId="10010" xr:uid="{00000000-0005-0000-0000-0000C0260000}"/>
    <cellStyle name="40% - Accent4 3 12 15" xfId="10011" xr:uid="{00000000-0005-0000-0000-0000C1260000}"/>
    <cellStyle name="40% - Accent4 3 12 2" xfId="10012" xr:uid="{00000000-0005-0000-0000-0000C2260000}"/>
    <cellStyle name="40% - Accent4 3 12 3" xfId="10013" xr:uid="{00000000-0005-0000-0000-0000C3260000}"/>
    <cellStyle name="40% - Accent4 3 12 4" xfId="10014" xr:uid="{00000000-0005-0000-0000-0000C4260000}"/>
    <cellStyle name="40% - Accent4 3 12 5" xfId="10015" xr:uid="{00000000-0005-0000-0000-0000C5260000}"/>
    <cellStyle name="40% - Accent4 3 12 6" xfId="10016" xr:uid="{00000000-0005-0000-0000-0000C6260000}"/>
    <cellStyle name="40% - Accent4 3 12 7" xfId="10017" xr:uid="{00000000-0005-0000-0000-0000C7260000}"/>
    <cellStyle name="40% - Accent4 3 12 8" xfId="10018" xr:uid="{00000000-0005-0000-0000-0000C8260000}"/>
    <cellStyle name="40% - Accent4 3 12 9" xfId="10019" xr:uid="{00000000-0005-0000-0000-0000C9260000}"/>
    <cellStyle name="40% - Accent4 3 13" xfId="10020" xr:uid="{00000000-0005-0000-0000-0000CA260000}"/>
    <cellStyle name="40% - Accent4 3 13 10" xfId="10021" xr:uid="{00000000-0005-0000-0000-0000CB260000}"/>
    <cellStyle name="40% - Accent4 3 13 11" xfId="10022" xr:uid="{00000000-0005-0000-0000-0000CC260000}"/>
    <cellStyle name="40% - Accent4 3 13 12" xfId="10023" xr:uid="{00000000-0005-0000-0000-0000CD260000}"/>
    <cellStyle name="40% - Accent4 3 13 13" xfId="10024" xr:uid="{00000000-0005-0000-0000-0000CE260000}"/>
    <cellStyle name="40% - Accent4 3 13 14" xfId="10025" xr:uid="{00000000-0005-0000-0000-0000CF260000}"/>
    <cellStyle name="40% - Accent4 3 13 15" xfId="10026" xr:uid="{00000000-0005-0000-0000-0000D0260000}"/>
    <cellStyle name="40% - Accent4 3 13 2" xfId="10027" xr:uid="{00000000-0005-0000-0000-0000D1260000}"/>
    <cellStyle name="40% - Accent4 3 13 3" xfId="10028" xr:uid="{00000000-0005-0000-0000-0000D2260000}"/>
    <cellStyle name="40% - Accent4 3 13 4" xfId="10029" xr:uid="{00000000-0005-0000-0000-0000D3260000}"/>
    <cellStyle name="40% - Accent4 3 13 5" xfId="10030" xr:uid="{00000000-0005-0000-0000-0000D4260000}"/>
    <cellStyle name="40% - Accent4 3 13 6" xfId="10031" xr:uid="{00000000-0005-0000-0000-0000D5260000}"/>
    <cellStyle name="40% - Accent4 3 13 7" xfId="10032" xr:uid="{00000000-0005-0000-0000-0000D6260000}"/>
    <cellStyle name="40% - Accent4 3 13 8" xfId="10033" xr:uid="{00000000-0005-0000-0000-0000D7260000}"/>
    <cellStyle name="40% - Accent4 3 13 9" xfId="10034" xr:uid="{00000000-0005-0000-0000-0000D8260000}"/>
    <cellStyle name="40% - Accent4 3 14" xfId="10035" xr:uid="{00000000-0005-0000-0000-0000D9260000}"/>
    <cellStyle name="40% - Accent4 3 14 10" xfId="10036" xr:uid="{00000000-0005-0000-0000-0000DA260000}"/>
    <cellStyle name="40% - Accent4 3 14 11" xfId="10037" xr:uid="{00000000-0005-0000-0000-0000DB260000}"/>
    <cellStyle name="40% - Accent4 3 14 12" xfId="10038" xr:uid="{00000000-0005-0000-0000-0000DC260000}"/>
    <cellStyle name="40% - Accent4 3 14 13" xfId="10039" xr:uid="{00000000-0005-0000-0000-0000DD260000}"/>
    <cellStyle name="40% - Accent4 3 14 14" xfId="10040" xr:uid="{00000000-0005-0000-0000-0000DE260000}"/>
    <cellStyle name="40% - Accent4 3 14 15" xfId="10041" xr:uid="{00000000-0005-0000-0000-0000DF260000}"/>
    <cellStyle name="40% - Accent4 3 14 2" xfId="10042" xr:uid="{00000000-0005-0000-0000-0000E0260000}"/>
    <cellStyle name="40% - Accent4 3 14 3" xfId="10043" xr:uid="{00000000-0005-0000-0000-0000E1260000}"/>
    <cellStyle name="40% - Accent4 3 14 4" xfId="10044" xr:uid="{00000000-0005-0000-0000-0000E2260000}"/>
    <cellStyle name="40% - Accent4 3 14 5" xfId="10045" xr:uid="{00000000-0005-0000-0000-0000E3260000}"/>
    <cellStyle name="40% - Accent4 3 14 6" xfId="10046" xr:uid="{00000000-0005-0000-0000-0000E4260000}"/>
    <cellStyle name="40% - Accent4 3 14 7" xfId="10047" xr:uid="{00000000-0005-0000-0000-0000E5260000}"/>
    <cellStyle name="40% - Accent4 3 14 8" xfId="10048" xr:uid="{00000000-0005-0000-0000-0000E6260000}"/>
    <cellStyle name="40% - Accent4 3 14 9" xfId="10049" xr:uid="{00000000-0005-0000-0000-0000E7260000}"/>
    <cellStyle name="40% - Accent4 3 15" xfId="10050" xr:uid="{00000000-0005-0000-0000-0000E8260000}"/>
    <cellStyle name="40% - Accent4 3 15 10" xfId="10051" xr:uid="{00000000-0005-0000-0000-0000E9260000}"/>
    <cellStyle name="40% - Accent4 3 15 11" xfId="10052" xr:uid="{00000000-0005-0000-0000-0000EA260000}"/>
    <cellStyle name="40% - Accent4 3 15 12" xfId="10053" xr:uid="{00000000-0005-0000-0000-0000EB260000}"/>
    <cellStyle name="40% - Accent4 3 15 13" xfId="10054" xr:uid="{00000000-0005-0000-0000-0000EC260000}"/>
    <cellStyle name="40% - Accent4 3 15 14" xfId="10055" xr:uid="{00000000-0005-0000-0000-0000ED260000}"/>
    <cellStyle name="40% - Accent4 3 15 15" xfId="10056" xr:uid="{00000000-0005-0000-0000-0000EE260000}"/>
    <cellStyle name="40% - Accent4 3 15 2" xfId="10057" xr:uid="{00000000-0005-0000-0000-0000EF260000}"/>
    <cellStyle name="40% - Accent4 3 15 3" xfId="10058" xr:uid="{00000000-0005-0000-0000-0000F0260000}"/>
    <cellStyle name="40% - Accent4 3 15 4" xfId="10059" xr:uid="{00000000-0005-0000-0000-0000F1260000}"/>
    <cellStyle name="40% - Accent4 3 15 5" xfId="10060" xr:uid="{00000000-0005-0000-0000-0000F2260000}"/>
    <cellStyle name="40% - Accent4 3 15 6" xfId="10061" xr:uid="{00000000-0005-0000-0000-0000F3260000}"/>
    <cellStyle name="40% - Accent4 3 15 7" xfId="10062" xr:uid="{00000000-0005-0000-0000-0000F4260000}"/>
    <cellStyle name="40% - Accent4 3 15 8" xfId="10063" xr:uid="{00000000-0005-0000-0000-0000F5260000}"/>
    <cellStyle name="40% - Accent4 3 15 9" xfId="10064" xr:uid="{00000000-0005-0000-0000-0000F6260000}"/>
    <cellStyle name="40% - Accent4 3 16" xfId="10065" xr:uid="{00000000-0005-0000-0000-0000F7260000}"/>
    <cellStyle name="40% - Accent4 3 16 10" xfId="10066" xr:uid="{00000000-0005-0000-0000-0000F8260000}"/>
    <cellStyle name="40% - Accent4 3 16 11" xfId="10067" xr:uid="{00000000-0005-0000-0000-0000F9260000}"/>
    <cellStyle name="40% - Accent4 3 16 12" xfId="10068" xr:uid="{00000000-0005-0000-0000-0000FA260000}"/>
    <cellStyle name="40% - Accent4 3 16 13" xfId="10069" xr:uid="{00000000-0005-0000-0000-0000FB260000}"/>
    <cellStyle name="40% - Accent4 3 16 14" xfId="10070" xr:uid="{00000000-0005-0000-0000-0000FC260000}"/>
    <cellStyle name="40% - Accent4 3 16 15" xfId="10071" xr:uid="{00000000-0005-0000-0000-0000FD260000}"/>
    <cellStyle name="40% - Accent4 3 16 2" xfId="10072" xr:uid="{00000000-0005-0000-0000-0000FE260000}"/>
    <cellStyle name="40% - Accent4 3 16 3" xfId="10073" xr:uid="{00000000-0005-0000-0000-0000FF260000}"/>
    <cellStyle name="40% - Accent4 3 16 4" xfId="10074" xr:uid="{00000000-0005-0000-0000-000000270000}"/>
    <cellStyle name="40% - Accent4 3 16 5" xfId="10075" xr:uid="{00000000-0005-0000-0000-000001270000}"/>
    <cellStyle name="40% - Accent4 3 16 6" xfId="10076" xr:uid="{00000000-0005-0000-0000-000002270000}"/>
    <cellStyle name="40% - Accent4 3 16 7" xfId="10077" xr:uid="{00000000-0005-0000-0000-000003270000}"/>
    <cellStyle name="40% - Accent4 3 16 8" xfId="10078" xr:uid="{00000000-0005-0000-0000-000004270000}"/>
    <cellStyle name="40% - Accent4 3 16 9" xfId="10079" xr:uid="{00000000-0005-0000-0000-000005270000}"/>
    <cellStyle name="40% - Accent4 3 17" xfId="10080" xr:uid="{00000000-0005-0000-0000-000006270000}"/>
    <cellStyle name="40% - Accent4 3 17 10" xfId="10081" xr:uid="{00000000-0005-0000-0000-000007270000}"/>
    <cellStyle name="40% - Accent4 3 17 11" xfId="10082" xr:uid="{00000000-0005-0000-0000-000008270000}"/>
    <cellStyle name="40% - Accent4 3 17 12" xfId="10083" xr:uid="{00000000-0005-0000-0000-000009270000}"/>
    <cellStyle name="40% - Accent4 3 17 13" xfId="10084" xr:uid="{00000000-0005-0000-0000-00000A270000}"/>
    <cellStyle name="40% - Accent4 3 17 14" xfId="10085" xr:uid="{00000000-0005-0000-0000-00000B270000}"/>
    <cellStyle name="40% - Accent4 3 17 15" xfId="10086" xr:uid="{00000000-0005-0000-0000-00000C270000}"/>
    <cellStyle name="40% - Accent4 3 17 2" xfId="10087" xr:uid="{00000000-0005-0000-0000-00000D270000}"/>
    <cellStyle name="40% - Accent4 3 17 3" xfId="10088" xr:uid="{00000000-0005-0000-0000-00000E270000}"/>
    <cellStyle name="40% - Accent4 3 17 4" xfId="10089" xr:uid="{00000000-0005-0000-0000-00000F270000}"/>
    <cellStyle name="40% - Accent4 3 17 5" xfId="10090" xr:uid="{00000000-0005-0000-0000-000010270000}"/>
    <cellStyle name="40% - Accent4 3 17 6" xfId="10091" xr:uid="{00000000-0005-0000-0000-000011270000}"/>
    <cellStyle name="40% - Accent4 3 17 7" xfId="10092" xr:uid="{00000000-0005-0000-0000-000012270000}"/>
    <cellStyle name="40% - Accent4 3 17 8" xfId="10093" xr:uid="{00000000-0005-0000-0000-000013270000}"/>
    <cellStyle name="40% - Accent4 3 17 9" xfId="10094" xr:uid="{00000000-0005-0000-0000-000014270000}"/>
    <cellStyle name="40% - Accent4 3 18" xfId="10095" xr:uid="{00000000-0005-0000-0000-000015270000}"/>
    <cellStyle name="40% - Accent4 3 18 10" xfId="10096" xr:uid="{00000000-0005-0000-0000-000016270000}"/>
    <cellStyle name="40% - Accent4 3 18 11" xfId="10097" xr:uid="{00000000-0005-0000-0000-000017270000}"/>
    <cellStyle name="40% - Accent4 3 18 12" xfId="10098" xr:uid="{00000000-0005-0000-0000-000018270000}"/>
    <cellStyle name="40% - Accent4 3 18 13" xfId="10099" xr:uid="{00000000-0005-0000-0000-000019270000}"/>
    <cellStyle name="40% - Accent4 3 18 14" xfId="10100" xr:uid="{00000000-0005-0000-0000-00001A270000}"/>
    <cellStyle name="40% - Accent4 3 18 15" xfId="10101" xr:uid="{00000000-0005-0000-0000-00001B270000}"/>
    <cellStyle name="40% - Accent4 3 18 2" xfId="10102" xr:uid="{00000000-0005-0000-0000-00001C270000}"/>
    <cellStyle name="40% - Accent4 3 18 3" xfId="10103" xr:uid="{00000000-0005-0000-0000-00001D270000}"/>
    <cellStyle name="40% - Accent4 3 18 4" xfId="10104" xr:uid="{00000000-0005-0000-0000-00001E270000}"/>
    <cellStyle name="40% - Accent4 3 18 5" xfId="10105" xr:uid="{00000000-0005-0000-0000-00001F270000}"/>
    <cellStyle name="40% - Accent4 3 18 6" xfId="10106" xr:uid="{00000000-0005-0000-0000-000020270000}"/>
    <cellStyle name="40% - Accent4 3 18 7" xfId="10107" xr:uid="{00000000-0005-0000-0000-000021270000}"/>
    <cellStyle name="40% - Accent4 3 18 8" xfId="10108" xr:uid="{00000000-0005-0000-0000-000022270000}"/>
    <cellStyle name="40% - Accent4 3 18 9" xfId="10109" xr:uid="{00000000-0005-0000-0000-000023270000}"/>
    <cellStyle name="40% - Accent4 3 19" xfId="10110" xr:uid="{00000000-0005-0000-0000-000024270000}"/>
    <cellStyle name="40% - Accent4 3 19 10" xfId="10111" xr:uid="{00000000-0005-0000-0000-000025270000}"/>
    <cellStyle name="40% - Accent4 3 19 11" xfId="10112" xr:uid="{00000000-0005-0000-0000-000026270000}"/>
    <cellStyle name="40% - Accent4 3 19 12" xfId="10113" xr:uid="{00000000-0005-0000-0000-000027270000}"/>
    <cellStyle name="40% - Accent4 3 19 13" xfId="10114" xr:uid="{00000000-0005-0000-0000-000028270000}"/>
    <cellStyle name="40% - Accent4 3 19 14" xfId="10115" xr:uid="{00000000-0005-0000-0000-000029270000}"/>
    <cellStyle name="40% - Accent4 3 19 15" xfId="10116" xr:uid="{00000000-0005-0000-0000-00002A270000}"/>
    <cellStyle name="40% - Accent4 3 19 2" xfId="10117" xr:uid="{00000000-0005-0000-0000-00002B270000}"/>
    <cellStyle name="40% - Accent4 3 19 3" xfId="10118" xr:uid="{00000000-0005-0000-0000-00002C270000}"/>
    <cellStyle name="40% - Accent4 3 19 4" xfId="10119" xr:uid="{00000000-0005-0000-0000-00002D270000}"/>
    <cellStyle name="40% - Accent4 3 19 5" xfId="10120" xr:uid="{00000000-0005-0000-0000-00002E270000}"/>
    <cellStyle name="40% - Accent4 3 19 6" xfId="10121" xr:uid="{00000000-0005-0000-0000-00002F270000}"/>
    <cellStyle name="40% - Accent4 3 19 7" xfId="10122" xr:uid="{00000000-0005-0000-0000-000030270000}"/>
    <cellStyle name="40% - Accent4 3 19 8" xfId="10123" xr:uid="{00000000-0005-0000-0000-000031270000}"/>
    <cellStyle name="40% - Accent4 3 19 9" xfId="10124" xr:uid="{00000000-0005-0000-0000-000032270000}"/>
    <cellStyle name="40% - Accent4 3 2" xfId="10125" xr:uid="{00000000-0005-0000-0000-000033270000}"/>
    <cellStyle name="40% - Accent4 3 2 10" xfId="10126" xr:uid="{00000000-0005-0000-0000-000034270000}"/>
    <cellStyle name="40% - Accent4 3 2 11" xfId="10127" xr:uid="{00000000-0005-0000-0000-000035270000}"/>
    <cellStyle name="40% - Accent4 3 2 12" xfId="10128" xr:uid="{00000000-0005-0000-0000-000036270000}"/>
    <cellStyle name="40% - Accent4 3 2 13" xfId="10129" xr:uid="{00000000-0005-0000-0000-000037270000}"/>
    <cellStyle name="40% - Accent4 3 2 14" xfId="10130" xr:uid="{00000000-0005-0000-0000-000038270000}"/>
    <cellStyle name="40% - Accent4 3 2 15" xfId="10131" xr:uid="{00000000-0005-0000-0000-000039270000}"/>
    <cellStyle name="40% - Accent4 3 2 16" xfId="10132" xr:uid="{00000000-0005-0000-0000-00003A270000}"/>
    <cellStyle name="40% - Accent4 3 2 17" xfId="10133" xr:uid="{00000000-0005-0000-0000-00003B270000}"/>
    <cellStyle name="40% - Accent4 3 2 18" xfId="10134" xr:uid="{00000000-0005-0000-0000-00003C270000}"/>
    <cellStyle name="40% - Accent4 3 2 19" xfId="10135" xr:uid="{00000000-0005-0000-0000-00003D270000}"/>
    <cellStyle name="40% - Accent4 3 2 2" xfId="10136" xr:uid="{00000000-0005-0000-0000-00003E270000}"/>
    <cellStyle name="40% - Accent4 3 2 20" xfId="10137" xr:uid="{00000000-0005-0000-0000-00003F270000}"/>
    <cellStyle name="40% - Accent4 3 2 21" xfId="10138" xr:uid="{00000000-0005-0000-0000-000040270000}"/>
    <cellStyle name="40% - Accent4 3 2 22" xfId="10139" xr:uid="{00000000-0005-0000-0000-000041270000}"/>
    <cellStyle name="40% - Accent4 3 2 23" xfId="10140" xr:uid="{00000000-0005-0000-0000-000042270000}"/>
    <cellStyle name="40% - Accent4 3 2 24" xfId="10141" xr:uid="{00000000-0005-0000-0000-000043270000}"/>
    <cellStyle name="40% - Accent4 3 2 25" xfId="10142" xr:uid="{00000000-0005-0000-0000-000044270000}"/>
    <cellStyle name="40% - Accent4 3 2 26" xfId="10143" xr:uid="{00000000-0005-0000-0000-000045270000}"/>
    <cellStyle name="40% - Accent4 3 2 27" xfId="10144" xr:uid="{00000000-0005-0000-0000-000046270000}"/>
    <cellStyle name="40% - Accent4 3 2 28" xfId="10145" xr:uid="{00000000-0005-0000-0000-000047270000}"/>
    <cellStyle name="40% - Accent4 3 2 29" xfId="10146" xr:uid="{00000000-0005-0000-0000-000048270000}"/>
    <cellStyle name="40% - Accent4 3 2 3" xfId="10147" xr:uid="{00000000-0005-0000-0000-000049270000}"/>
    <cellStyle name="40% - Accent4 3 2 30" xfId="10148" xr:uid="{00000000-0005-0000-0000-00004A270000}"/>
    <cellStyle name="40% - Accent4 3 2 31" xfId="10149" xr:uid="{00000000-0005-0000-0000-00004B270000}"/>
    <cellStyle name="40% - Accent4 3 2 32" xfId="10150" xr:uid="{00000000-0005-0000-0000-00004C270000}"/>
    <cellStyle name="40% - Accent4 3 2 33" xfId="10151" xr:uid="{00000000-0005-0000-0000-00004D270000}"/>
    <cellStyle name="40% - Accent4 3 2 34" xfId="10152" xr:uid="{00000000-0005-0000-0000-00004E270000}"/>
    <cellStyle name="40% - Accent4 3 2 35" xfId="10153" xr:uid="{00000000-0005-0000-0000-00004F270000}"/>
    <cellStyle name="40% - Accent4 3 2 36" xfId="10154" xr:uid="{00000000-0005-0000-0000-000050270000}"/>
    <cellStyle name="40% - Accent4 3 2 37" xfId="10155" xr:uid="{00000000-0005-0000-0000-000051270000}"/>
    <cellStyle name="40% - Accent4 3 2 38" xfId="10156" xr:uid="{00000000-0005-0000-0000-000052270000}"/>
    <cellStyle name="40% - Accent4 3 2 39" xfId="10157" xr:uid="{00000000-0005-0000-0000-000053270000}"/>
    <cellStyle name="40% - Accent4 3 2 4" xfId="10158" xr:uid="{00000000-0005-0000-0000-000054270000}"/>
    <cellStyle name="40% - Accent4 3 2 40" xfId="10159" xr:uid="{00000000-0005-0000-0000-000055270000}"/>
    <cellStyle name="40% - Accent4 3 2 41" xfId="10160" xr:uid="{00000000-0005-0000-0000-000056270000}"/>
    <cellStyle name="40% - Accent4 3 2 42" xfId="10161" xr:uid="{00000000-0005-0000-0000-000057270000}"/>
    <cellStyle name="40% - Accent4 3 2 43" xfId="10162" xr:uid="{00000000-0005-0000-0000-000058270000}"/>
    <cellStyle name="40% - Accent4 3 2 44" xfId="10163" xr:uid="{00000000-0005-0000-0000-000059270000}"/>
    <cellStyle name="40% - Accent4 3 2 45" xfId="10164" xr:uid="{00000000-0005-0000-0000-00005A270000}"/>
    <cellStyle name="40% - Accent4 3 2 46" xfId="10165" xr:uid="{00000000-0005-0000-0000-00005B270000}"/>
    <cellStyle name="40% - Accent4 3 2 47" xfId="10166" xr:uid="{00000000-0005-0000-0000-00005C270000}"/>
    <cellStyle name="40% - Accent4 3 2 48" xfId="10167" xr:uid="{00000000-0005-0000-0000-00005D270000}"/>
    <cellStyle name="40% - Accent4 3 2 49" xfId="10168" xr:uid="{00000000-0005-0000-0000-00005E270000}"/>
    <cellStyle name="40% - Accent4 3 2 5" xfId="10169" xr:uid="{00000000-0005-0000-0000-00005F270000}"/>
    <cellStyle name="40% - Accent4 3 2 50" xfId="10170" xr:uid="{00000000-0005-0000-0000-000060270000}"/>
    <cellStyle name="40% - Accent4 3 2 51" xfId="10171" xr:uid="{00000000-0005-0000-0000-000061270000}"/>
    <cellStyle name="40% - Accent4 3 2 52" xfId="10172" xr:uid="{00000000-0005-0000-0000-000062270000}"/>
    <cellStyle name="40% - Accent4 3 2 53" xfId="10173" xr:uid="{00000000-0005-0000-0000-000063270000}"/>
    <cellStyle name="40% - Accent4 3 2 54" xfId="10174" xr:uid="{00000000-0005-0000-0000-000064270000}"/>
    <cellStyle name="40% - Accent4 3 2 6" xfId="10175" xr:uid="{00000000-0005-0000-0000-000065270000}"/>
    <cellStyle name="40% - Accent4 3 2 7" xfId="10176" xr:uid="{00000000-0005-0000-0000-000066270000}"/>
    <cellStyle name="40% - Accent4 3 2 8" xfId="10177" xr:uid="{00000000-0005-0000-0000-000067270000}"/>
    <cellStyle name="40% - Accent4 3 2 9" xfId="10178" xr:uid="{00000000-0005-0000-0000-000068270000}"/>
    <cellStyle name="40% - Accent4 3 20" xfId="10179" xr:uid="{00000000-0005-0000-0000-000069270000}"/>
    <cellStyle name="40% - Accent4 3 20 10" xfId="10180" xr:uid="{00000000-0005-0000-0000-00006A270000}"/>
    <cellStyle name="40% - Accent4 3 20 11" xfId="10181" xr:uid="{00000000-0005-0000-0000-00006B270000}"/>
    <cellStyle name="40% - Accent4 3 20 12" xfId="10182" xr:uid="{00000000-0005-0000-0000-00006C270000}"/>
    <cellStyle name="40% - Accent4 3 20 13" xfId="10183" xr:uid="{00000000-0005-0000-0000-00006D270000}"/>
    <cellStyle name="40% - Accent4 3 20 14" xfId="10184" xr:uid="{00000000-0005-0000-0000-00006E270000}"/>
    <cellStyle name="40% - Accent4 3 20 15" xfId="10185" xr:uid="{00000000-0005-0000-0000-00006F270000}"/>
    <cellStyle name="40% - Accent4 3 20 2" xfId="10186" xr:uid="{00000000-0005-0000-0000-000070270000}"/>
    <cellStyle name="40% - Accent4 3 20 3" xfId="10187" xr:uid="{00000000-0005-0000-0000-000071270000}"/>
    <cellStyle name="40% - Accent4 3 20 4" xfId="10188" xr:uid="{00000000-0005-0000-0000-000072270000}"/>
    <cellStyle name="40% - Accent4 3 20 5" xfId="10189" xr:uid="{00000000-0005-0000-0000-000073270000}"/>
    <cellStyle name="40% - Accent4 3 20 6" xfId="10190" xr:uid="{00000000-0005-0000-0000-000074270000}"/>
    <cellStyle name="40% - Accent4 3 20 7" xfId="10191" xr:uid="{00000000-0005-0000-0000-000075270000}"/>
    <cellStyle name="40% - Accent4 3 20 8" xfId="10192" xr:uid="{00000000-0005-0000-0000-000076270000}"/>
    <cellStyle name="40% - Accent4 3 20 9" xfId="10193" xr:uid="{00000000-0005-0000-0000-000077270000}"/>
    <cellStyle name="40% - Accent4 3 21" xfId="10194" xr:uid="{00000000-0005-0000-0000-000078270000}"/>
    <cellStyle name="40% - Accent4 3 21 10" xfId="10195" xr:uid="{00000000-0005-0000-0000-000079270000}"/>
    <cellStyle name="40% - Accent4 3 21 11" xfId="10196" xr:uid="{00000000-0005-0000-0000-00007A270000}"/>
    <cellStyle name="40% - Accent4 3 21 12" xfId="10197" xr:uid="{00000000-0005-0000-0000-00007B270000}"/>
    <cellStyle name="40% - Accent4 3 21 13" xfId="10198" xr:uid="{00000000-0005-0000-0000-00007C270000}"/>
    <cellStyle name="40% - Accent4 3 21 14" xfId="10199" xr:uid="{00000000-0005-0000-0000-00007D270000}"/>
    <cellStyle name="40% - Accent4 3 21 15" xfId="10200" xr:uid="{00000000-0005-0000-0000-00007E270000}"/>
    <cellStyle name="40% - Accent4 3 21 2" xfId="10201" xr:uid="{00000000-0005-0000-0000-00007F270000}"/>
    <cellStyle name="40% - Accent4 3 21 3" xfId="10202" xr:uid="{00000000-0005-0000-0000-000080270000}"/>
    <cellStyle name="40% - Accent4 3 21 4" xfId="10203" xr:uid="{00000000-0005-0000-0000-000081270000}"/>
    <cellStyle name="40% - Accent4 3 21 5" xfId="10204" xr:uid="{00000000-0005-0000-0000-000082270000}"/>
    <cellStyle name="40% - Accent4 3 21 6" xfId="10205" xr:uid="{00000000-0005-0000-0000-000083270000}"/>
    <cellStyle name="40% - Accent4 3 21 7" xfId="10206" xr:uid="{00000000-0005-0000-0000-000084270000}"/>
    <cellStyle name="40% - Accent4 3 21 8" xfId="10207" xr:uid="{00000000-0005-0000-0000-000085270000}"/>
    <cellStyle name="40% - Accent4 3 21 9" xfId="10208" xr:uid="{00000000-0005-0000-0000-000086270000}"/>
    <cellStyle name="40% - Accent4 3 22" xfId="10209" xr:uid="{00000000-0005-0000-0000-000087270000}"/>
    <cellStyle name="40% - Accent4 3 22 10" xfId="10210" xr:uid="{00000000-0005-0000-0000-000088270000}"/>
    <cellStyle name="40% - Accent4 3 22 11" xfId="10211" xr:uid="{00000000-0005-0000-0000-000089270000}"/>
    <cellStyle name="40% - Accent4 3 22 12" xfId="10212" xr:uid="{00000000-0005-0000-0000-00008A270000}"/>
    <cellStyle name="40% - Accent4 3 22 13" xfId="10213" xr:uid="{00000000-0005-0000-0000-00008B270000}"/>
    <cellStyle name="40% - Accent4 3 22 14" xfId="10214" xr:uid="{00000000-0005-0000-0000-00008C270000}"/>
    <cellStyle name="40% - Accent4 3 22 15" xfId="10215" xr:uid="{00000000-0005-0000-0000-00008D270000}"/>
    <cellStyle name="40% - Accent4 3 22 2" xfId="10216" xr:uid="{00000000-0005-0000-0000-00008E270000}"/>
    <cellStyle name="40% - Accent4 3 22 3" xfId="10217" xr:uid="{00000000-0005-0000-0000-00008F270000}"/>
    <cellStyle name="40% - Accent4 3 22 4" xfId="10218" xr:uid="{00000000-0005-0000-0000-000090270000}"/>
    <cellStyle name="40% - Accent4 3 22 5" xfId="10219" xr:uid="{00000000-0005-0000-0000-000091270000}"/>
    <cellStyle name="40% - Accent4 3 22 6" xfId="10220" xr:uid="{00000000-0005-0000-0000-000092270000}"/>
    <cellStyle name="40% - Accent4 3 22 7" xfId="10221" xr:uid="{00000000-0005-0000-0000-000093270000}"/>
    <cellStyle name="40% - Accent4 3 22 8" xfId="10222" xr:uid="{00000000-0005-0000-0000-000094270000}"/>
    <cellStyle name="40% - Accent4 3 22 9" xfId="10223" xr:uid="{00000000-0005-0000-0000-000095270000}"/>
    <cellStyle name="40% - Accent4 3 23" xfId="10224" xr:uid="{00000000-0005-0000-0000-000096270000}"/>
    <cellStyle name="40% - Accent4 3 23 10" xfId="10225" xr:uid="{00000000-0005-0000-0000-000097270000}"/>
    <cellStyle name="40% - Accent4 3 23 11" xfId="10226" xr:uid="{00000000-0005-0000-0000-000098270000}"/>
    <cellStyle name="40% - Accent4 3 23 12" xfId="10227" xr:uid="{00000000-0005-0000-0000-000099270000}"/>
    <cellStyle name="40% - Accent4 3 23 13" xfId="10228" xr:uid="{00000000-0005-0000-0000-00009A270000}"/>
    <cellStyle name="40% - Accent4 3 23 14" xfId="10229" xr:uid="{00000000-0005-0000-0000-00009B270000}"/>
    <cellStyle name="40% - Accent4 3 23 15" xfId="10230" xr:uid="{00000000-0005-0000-0000-00009C270000}"/>
    <cellStyle name="40% - Accent4 3 23 2" xfId="10231" xr:uid="{00000000-0005-0000-0000-00009D270000}"/>
    <cellStyle name="40% - Accent4 3 23 3" xfId="10232" xr:uid="{00000000-0005-0000-0000-00009E270000}"/>
    <cellStyle name="40% - Accent4 3 23 4" xfId="10233" xr:uid="{00000000-0005-0000-0000-00009F270000}"/>
    <cellStyle name="40% - Accent4 3 23 5" xfId="10234" xr:uid="{00000000-0005-0000-0000-0000A0270000}"/>
    <cellStyle name="40% - Accent4 3 23 6" xfId="10235" xr:uid="{00000000-0005-0000-0000-0000A1270000}"/>
    <cellStyle name="40% - Accent4 3 23 7" xfId="10236" xr:uid="{00000000-0005-0000-0000-0000A2270000}"/>
    <cellStyle name="40% - Accent4 3 23 8" xfId="10237" xr:uid="{00000000-0005-0000-0000-0000A3270000}"/>
    <cellStyle name="40% - Accent4 3 23 9" xfId="10238" xr:uid="{00000000-0005-0000-0000-0000A4270000}"/>
    <cellStyle name="40% - Accent4 3 24" xfId="10239" xr:uid="{00000000-0005-0000-0000-0000A5270000}"/>
    <cellStyle name="40% - Accent4 3 24 10" xfId="10240" xr:uid="{00000000-0005-0000-0000-0000A6270000}"/>
    <cellStyle name="40% - Accent4 3 24 11" xfId="10241" xr:uid="{00000000-0005-0000-0000-0000A7270000}"/>
    <cellStyle name="40% - Accent4 3 24 12" xfId="10242" xr:uid="{00000000-0005-0000-0000-0000A8270000}"/>
    <cellStyle name="40% - Accent4 3 24 13" xfId="10243" xr:uid="{00000000-0005-0000-0000-0000A9270000}"/>
    <cellStyle name="40% - Accent4 3 24 14" xfId="10244" xr:uid="{00000000-0005-0000-0000-0000AA270000}"/>
    <cellStyle name="40% - Accent4 3 24 15" xfId="10245" xr:uid="{00000000-0005-0000-0000-0000AB270000}"/>
    <cellStyle name="40% - Accent4 3 24 2" xfId="10246" xr:uid="{00000000-0005-0000-0000-0000AC270000}"/>
    <cellStyle name="40% - Accent4 3 24 3" xfId="10247" xr:uid="{00000000-0005-0000-0000-0000AD270000}"/>
    <cellStyle name="40% - Accent4 3 24 4" xfId="10248" xr:uid="{00000000-0005-0000-0000-0000AE270000}"/>
    <cellStyle name="40% - Accent4 3 24 5" xfId="10249" xr:uid="{00000000-0005-0000-0000-0000AF270000}"/>
    <cellStyle name="40% - Accent4 3 24 6" xfId="10250" xr:uid="{00000000-0005-0000-0000-0000B0270000}"/>
    <cellStyle name="40% - Accent4 3 24 7" xfId="10251" xr:uid="{00000000-0005-0000-0000-0000B1270000}"/>
    <cellStyle name="40% - Accent4 3 24 8" xfId="10252" xr:uid="{00000000-0005-0000-0000-0000B2270000}"/>
    <cellStyle name="40% - Accent4 3 24 9" xfId="10253" xr:uid="{00000000-0005-0000-0000-0000B3270000}"/>
    <cellStyle name="40% - Accent4 3 25" xfId="10254" xr:uid="{00000000-0005-0000-0000-0000B4270000}"/>
    <cellStyle name="40% - Accent4 3 25 10" xfId="10255" xr:uid="{00000000-0005-0000-0000-0000B5270000}"/>
    <cellStyle name="40% - Accent4 3 25 11" xfId="10256" xr:uid="{00000000-0005-0000-0000-0000B6270000}"/>
    <cellStyle name="40% - Accent4 3 25 12" xfId="10257" xr:uid="{00000000-0005-0000-0000-0000B7270000}"/>
    <cellStyle name="40% - Accent4 3 25 13" xfId="10258" xr:uid="{00000000-0005-0000-0000-0000B8270000}"/>
    <cellStyle name="40% - Accent4 3 25 14" xfId="10259" xr:uid="{00000000-0005-0000-0000-0000B9270000}"/>
    <cellStyle name="40% - Accent4 3 25 15" xfId="10260" xr:uid="{00000000-0005-0000-0000-0000BA270000}"/>
    <cellStyle name="40% - Accent4 3 25 2" xfId="10261" xr:uid="{00000000-0005-0000-0000-0000BB270000}"/>
    <cellStyle name="40% - Accent4 3 25 3" xfId="10262" xr:uid="{00000000-0005-0000-0000-0000BC270000}"/>
    <cellStyle name="40% - Accent4 3 25 4" xfId="10263" xr:uid="{00000000-0005-0000-0000-0000BD270000}"/>
    <cellStyle name="40% - Accent4 3 25 5" xfId="10264" xr:uid="{00000000-0005-0000-0000-0000BE270000}"/>
    <cellStyle name="40% - Accent4 3 25 6" xfId="10265" xr:uid="{00000000-0005-0000-0000-0000BF270000}"/>
    <cellStyle name="40% - Accent4 3 25 7" xfId="10266" xr:uid="{00000000-0005-0000-0000-0000C0270000}"/>
    <cellStyle name="40% - Accent4 3 25 8" xfId="10267" xr:uid="{00000000-0005-0000-0000-0000C1270000}"/>
    <cellStyle name="40% - Accent4 3 25 9" xfId="10268" xr:uid="{00000000-0005-0000-0000-0000C2270000}"/>
    <cellStyle name="40% - Accent4 3 26" xfId="10269" xr:uid="{00000000-0005-0000-0000-0000C3270000}"/>
    <cellStyle name="40% - Accent4 3 26 10" xfId="10270" xr:uid="{00000000-0005-0000-0000-0000C4270000}"/>
    <cellStyle name="40% - Accent4 3 26 11" xfId="10271" xr:uid="{00000000-0005-0000-0000-0000C5270000}"/>
    <cellStyle name="40% - Accent4 3 26 12" xfId="10272" xr:uid="{00000000-0005-0000-0000-0000C6270000}"/>
    <cellStyle name="40% - Accent4 3 26 13" xfId="10273" xr:uid="{00000000-0005-0000-0000-0000C7270000}"/>
    <cellStyle name="40% - Accent4 3 26 14" xfId="10274" xr:uid="{00000000-0005-0000-0000-0000C8270000}"/>
    <cellStyle name="40% - Accent4 3 26 15" xfId="10275" xr:uid="{00000000-0005-0000-0000-0000C9270000}"/>
    <cellStyle name="40% - Accent4 3 26 2" xfId="10276" xr:uid="{00000000-0005-0000-0000-0000CA270000}"/>
    <cellStyle name="40% - Accent4 3 26 3" xfId="10277" xr:uid="{00000000-0005-0000-0000-0000CB270000}"/>
    <cellStyle name="40% - Accent4 3 26 4" xfId="10278" xr:uid="{00000000-0005-0000-0000-0000CC270000}"/>
    <cellStyle name="40% - Accent4 3 26 5" xfId="10279" xr:uid="{00000000-0005-0000-0000-0000CD270000}"/>
    <cellStyle name="40% - Accent4 3 26 6" xfId="10280" xr:uid="{00000000-0005-0000-0000-0000CE270000}"/>
    <cellStyle name="40% - Accent4 3 26 7" xfId="10281" xr:uid="{00000000-0005-0000-0000-0000CF270000}"/>
    <cellStyle name="40% - Accent4 3 26 8" xfId="10282" xr:uid="{00000000-0005-0000-0000-0000D0270000}"/>
    <cellStyle name="40% - Accent4 3 26 9" xfId="10283" xr:uid="{00000000-0005-0000-0000-0000D1270000}"/>
    <cellStyle name="40% - Accent4 3 27" xfId="10284" xr:uid="{00000000-0005-0000-0000-0000D2270000}"/>
    <cellStyle name="40% - Accent4 3 27 10" xfId="10285" xr:uid="{00000000-0005-0000-0000-0000D3270000}"/>
    <cellStyle name="40% - Accent4 3 27 11" xfId="10286" xr:uid="{00000000-0005-0000-0000-0000D4270000}"/>
    <cellStyle name="40% - Accent4 3 27 12" xfId="10287" xr:uid="{00000000-0005-0000-0000-0000D5270000}"/>
    <cellStyle name="40% - Accent4 3 27 13" xfId="10288" xr:uid="{00000000-0005-0000-0000-0000D6270000}"/>
    <cellStyle name="40% - Accent4 3 27 14" xfId="10289" xr:uid="{00000000-0005-0000-0000-0000D7270000}"/>
    <cellStyle name="40% - Accent4 3 27 15" xfId="10290" xr:uid="{00000000-0005-0000-0000-0000D8270000}"/>
    <cellStyle name="40% - Accent4 3 27 2" xfId="10291" xr:uid="{00000000-0005-0000-0000-0000D9270000}"/>
    <cellStyle name="40% - Accent4 3 27 3" xfId="10292" xr:uid="{00000000-0005-0000-0000-0000DA270000}"/>
    <cellStyle name="40% - Accent4 3 27 4" xfId="10293" xr:uid="{00000000-0005-0000-0000-0000DB270000}"/>
    <cellStyle name="40% - Accent4 3 27 5" xfId="10294" xr:uid="{00000000-0005-0000-0000-0000DC270000}"/>
    <cellStyle name="40% - Accent4 3 27 6" xfId="10295" xr:uid="{00000000-0005-0000-0000-0000DD270000}"/>
    <cellStyle name="40% - Accent4 3 27 7" xfId="10296" xr:uid="{00000000-0005-0000-0000-0000DE270000}"/>
    <cellStyle name="40% - Accent4 3 27 8" xfId="10297" xr:uid="{00000000-0005-0000-0000-0000DF270000}"/>
    <cellStyle name="40% - Accent4 3 27 9" xfId="10298" xr:uid="{00000000-0005-0000-0000-0000E0270000}"/>
    <cellStyle name="40% - Accent4 3 28" xfId="10299" xr:uid="{00000000-0005-0000-0000-0000E1270000}"/>
    <cellStyle name="40% - Accent4 3 28 10" xfId="10300" xr:uid="{00000000-0005-0000-0000-0000E2270000}"/>
    <cellStyle name="40% - Accent4 3 28 11" xfId="10301" xr:uid="{00000000-0005-0000-0000-0000E3270000}"/>
    <cellStyle name="40% - Accent4 3 28 12" xfId="10302" xr:uid="{00000000-0005-0000-0000-0000E4270000}"/>
    <cellStyle name="40% - Accent4 3 28 13" xfId="10303" xr:uid="{00000000-0005-0000-0000-0000E5270000}"/>
    <cellStyle name="40% - Accent4 3 28 14" xfId="10304" xr:uid="{00000000-0005-0000-0000-0000E6270000}"/>
    <cellStyle name="40% - Accent4 3 28 15" xfId="10305" xr:uid="{00000000-0005-0000-0000-0000E7270000}"/>
    <cellStyle name="40% - Accent4 3 28 2" xfId="10306" xr:uid="{00000000-0005-0000-0000-0000E8270000}"/>
    <cellStyle name="40% - Accent4 3 28 3" xfId="10307" xr:uid="{00000000-0005-0000-0000-0000E9270000}"/>
    <cellStyle name="40% - Accent4 3 28 4" xfId="10308" xr:uid="{00000000-0005-0000-0000-0000EA270000}"/>
    <cellStyle name="40% - Accent4 3 28 5" xfId="10309" xr:uid="{00000000-0005-0000-0000-0000EB270000}"/>
    <cellStyle name="40% - Accent4 3 28 6" xfId="10310" xr:uid="{00000000-0005-0000-0000-0000EC270000}"/>
    <cellStyle name="40% - Accent4 3 28 7" xfId="10311" xr:uid="{00000000-0005-0000-0000-0000ED270000}"/>
    <cellStyle name="40% - Accent4 3 28 8" xfId="10312" xr:uid="{00000000-0005-0000-0000-0000EE270000}"/>
    <cellStyle name="40% - Accent4 3 28 9" xfId="10313" xr:uid="{00000000-0005-0000-0000-0000EF270000}"/>
    <cellStyle name="40% - Accent4 3 29" xfId="10314" xr:uid="{00000000-0005-0000-0000-0000F0270000}"/>
    <cellStyle name="40% - Accent4 3 29 10" xfId="10315" xr:uid="{00000000-0005-0000-0000-0000F1270000}"/>
    <cellStyle name="40% - Accent4 3 29 11" xfId="10316" xr:uid="{00000000-0005-0000-0000-0000F2270000}"/>
    <cellStyle name="40% - Accent4 3 29 12" xfId="10317" xr:uid="{00000000-0005-0000-0000-0000F3270000}"/>
    <cellStyle name="40% - Accent4 3 29 13" xfId="10318" xr:uid="{00000000-0005-0000-0000-0000F4270000}"/>
    <cellStyle name="40% - Accent4 3 29 14" xfId="10319" xr:uid="{00000000-0005-0000-0000-0000F5270000}"/>
    <cellStyle name="40% - Accent4 3 29 15" xfId="10320" xr:uid="{00000000-0005-0000-0000-0000F6270000}"/>
    <cellStyle name="40% - Accent4 3 29 2" xfId="10321" xr:uid="{00000000-0005-0000-0000-0000F7270000}"/>
    <cellStyle name="40% - Accent4 3 29 3" xfId="10322" xr:uid="{00000000-0005-0000-0000-0000F8270000}"/>
    <cellStyle name="40% - Accent4 3 29 4" xfId="10323" xr:uid="{00000000-0005-0000-0000-0000F9270000}"/>
    <cellStyle name="40% - Accent4 3 29 5" xfId="10324" xr:uid="{00000000-0005-0000-0000-0000FA270000}"/>
    <cellStyle name="40% - Accent4 3 29 6" xfId="10325" xr:uid="{00000000-0005-0000-0000-0000FB270000}"/>
    <cellStyle name="40% - Accent4 3 29 7" xfId="10326" xr:uid="{00000000-0005-0000-0000-0000FC270000}"/>
    <cellStyle name="40% - Accent4 3 29 8" xfId="10327" xr:uid="{00000000-0005-0000-0000-0000FD270000}"/>
    <cellStyle name="40% - Accent4 3 29 9" xfId="10328" xr:uid="{00000000-0005-0000-0000-0000FE270000}"/>
    <cellStyle name="40% - Accent4 3 3" xfId="10329" xr:uid="{00000000-0005-0000-0000-0000FF270000}"/>
    <cellStyle name="40% - Accent4 3 3 10" xfId="10330" xr:uid="{00000000-0005-0000-0000-000000280000}"/>
    <cellStyle name="40% - Accent4 3 3 11" xfId="10331" xr:uid="{00000000-0005-0000-0000-000001280000}"/>
    <cellStyle name="40% - Accent4 3 3 12" xfId="10332" xr:uid="{00000000-0005-0000-0000-000002280000}"/>
    <cellStyle name="40% - Accent4 3 3 13" xfId="10333" xr:uid="{00000000-0005-0000-0000-000003280000}"/>
    <cellStyle name="40% - Accent4 3 3 14" xfId="10334" xr:uid="{00000000-0005-0000-0000-000004280000}"/>
    <cellStyle name="40% - Accent4 3 3 15" xfId="10335" xr:uid="{00000000-0005-0000-0000-000005280000}"/>
    <cellStyle name="40% - Accent4 3 3 16" xfId="10336" xr:uid="{00000000-0005-0000-0000-000006280000}"/>
    <cellStyle name="40% - Accent4 3 3 2" xfId="10337" xr:uid="{00000000-0005-0000-0000-000007280000}"/>
    <cellStyle name="40% - Accent4 3 3 3" xfId="10338" xr:uid="{00000000-0005-0000-0000-000008280000}"/>
    <cellStyle name="40% - Accent4 3 3 4" xfId="10339" xr:uid="{00000000-0005-0000-0000-000009280000}"/>
    <cellStyle name="40% - Accent4 3 3 5" xfId="10340" xr:uid="{00000000-0005-0000-0000-00000A280000}"/>
    <cellStyle name="40% - Accent4 3 3 6" xfId="10341" xr:uid="{00000000-0005-0000-0000-00000B280000}"/>
    <cellStyle name="40% - Accent4 3 3 7" xfId="10342" xr:uid="{00000000-0005-0000-0000-00000C280000}"/>
    <cellStyle name="40% - Accent4 3 3 8" xfId="10343" xr:uid="{00000000-0005-0000-0000-00000D280000}"/>
    <cellStyle name="40% - Accent4 3 3 9" xfId="10344" xr:uid="{00000000-0005-0000-0000-00000E280000}"/>
    <cellStyle name="40% - Accent4 3 30" xfId="10345" xr:uid="{00000000-0005-0000-0000-00000F280000}"/>
    <cellStyle name="40% - Accent4 3 30 10" xfId="10346" xr:uid="{00000000-0005-0000-0000-000010280000}"/>
    <cellStyle name="40% - Accent4 3 30 11" xfId="10347" xr:uid="{00000000-0005-0000-0000-000011280000}"/>
    <cellStyle name="40% - Accent4 3 30 12" xfId="10348" xr:uid="{00000000-0005-0000-0000-000012280000}"/>
    <cellStyle name="40% - Accent4 3 30 13" xfId="10349" xr:uid="{00000000-0005-0000-0000-000013280000}"/>
    <cellStyle name="40% - Accent4 3 30 14" xfId="10350" xr:uid="{00000000-0005-0000-0000-000014280000}"/>
    <cellStyle name="40% - Accent4 3 30 15" xfId="10351" xr:uid="{00000000-0005-0000-0000-000015280000}"/>
    <cellStyle name="40% - Accent4 3 30 2" xfId="10352" xr:uid="{00000000-0005-0000-0000-000016280000}"/>
    <cellStyle name="40% - Accent4 3 30 3" xfId="10353" xr:uid="{00000000-0005-0000-0000-000017280000}"/>
    <cellStyle name="40% - Accent4 3 30 4" xfId="10354" xr:uid="{00000000-0005-0000-0000-000018280000}"/>
    <cellStyle name="40% - Accent4 3 30 5" xfId="10355" xr:uid="{00000000-0005-0000-0000-000019280000}"/>
    <cellStyle name="40% - Accent4 3 30 6" xfId="10356" xr:uid="{00000000-0005-0000-0000-00001A280000}"/>
    <cellStyle name="40% - Accent4 3 30 7" xfId="10357" xr:uid="{00000000-0005-0000-0000-00001B280000}"/>
    <cellStyle name="40% - Accent4 3 30 8" xfId="10358" xr:uid="{00000000-0005-0000-0000-00001C280000}"/>
    <cellStyle name="40% - Accent4 3 30 9" xfId="10359" xr:uid="{00000000-0005-0000-0000-00001D280000}"/>
    <cellStyle name="40% - Accent4 3 31" xfId="10360" xr:uid="{00000000-0005-0000-0000-00001E280000}"/>
    <cellStyle name="40% - Accent4 3 31 10" xfId="10361" xr:uid="{00000000-0005-0000-0000-00001F280000}"/>
    <cellStyle name="40% - Accent4 3 31 11" xfId="10362" xr:uid="{00000000-0005-0000-0000-000020280000}"/>
    <cellStyle name="40% - Accent4 3 31 12" xfId="10363" xr:uid="{00000000-0005-0000-0000-000021280000}"/>
    <cellStyle name="40% - Accent4 3 31 13" xfId="10364" xr:uid="{00000000-0005-0000-0000-000022280000}"/>
    <cellStyle name="40% - Accent4 3 31 14" xfId="10365" xr:uid="{00000000-0005-0000-0000-000023280000}"/>
    <cellStyle name="40% - Accent4 3 31 15" xfId="10366" xr:uid="{00000000-0005-0000-0000-000024280000}"/>
    <cellStyle name="40% - Accent4 3 31 2" xfId="10367" xr:uid="{00000000-0005-0000-0000-000025280000}"/>
    <cellStyle name="40% - Accent4 3 31 3" xfId="10368" xr:uid="{00000000-0005-0000-0000-000026280000}"/>
    <cellStyle name="40% - Accent4 3 31 4" xfId="10369" xr:uid="{00000000-0005-0000-0000-000027280000}"/>
    <cellStyle name="40% - Accent4 3 31 5" xfId="10370" xr:uid="{00000000-0005-0000-0000-000028280000}"/>
    <cellStyle name="40% - Accent4 3 31 6" xfId="10371" xr:uid="{00000000-0005-0000-0000-000029280000}"/>
    <cellStyle name="40% - Accent4 3 31 7" xfId="10372" xr:uid="{00000000-0005-0000-0000-00002A280000}"/>
    <cellStyle name="40% - Accent4 3 31 8" xfId="10373" xr:uid="{00000000-0005-0000-0000-00002B280000}"/>
    <cellStyle name="40% - Accent4 3 31 9" xfId="10374" xr:uid="{00000000-0005-0000-0000-00002C280000}"/>
    <cellStyle name="40% - Accent4 3 32" xfId="10375" xr:uid="{00000000-0005-0000-0000-00002D280000}"/>
    <cellStyle name="40% - Accent4 3 32 10" xfId="10376" xr:uid="{00000000-0005-0000-0000-00002E280000}"/>
    <cellStyle name="40% - Accent4 3 32 11" xfId="10377" xr:uid="{00000000-0005-0000-0000-00002F280000}"/>
    <cellStyle name="40% - Accent4 3 32 12" xfId="10378" xr:uid="{00000000-0005-0000-0000-000030280000}"/>
    <cellStyle name="40% - Accent4 3 32 13" xfId="10379" xr:uid="{00000000-0005-0000-0000-000031280000}"/>
    <cellStyle name="40% - Accent4 3 32 14" xfId="10380" xr:uid="{00000000-0005-0000-0000-000032280000}"/>
    <cellStyle name="40% - Accent4 3 32 15" xfId="10381" xr:uid="{00000000-0005-0000-0000-000033280000}"/>
    <cellStyle name="40% - Accent4 3 32 2" xfId="10382" xr:uid="{00000000-0005-0000-0000-000034280000}"/>
    <cellStyle name="40% - Accent4 3 32 3" xfId="10383" xr:uid="{00000000-0005-0000-0000-000035280000}"/>
    <cellStyle name="40% - Accent4 3 32 4" xfId="10384" xr:uid="{00000000-0005-0000-0000-000036280000}"/>
    <cellStyle name="40% - Accent4 3 32 5" xfId="10385" xr:uid="{00000000-0005-0000-0000-000037280000}"/>
    <cellStyle name="40% - Accent4 3 32 6" xfId="10386" xr:uid="{00000000-0005-0000-0000-000038280000}"/>
    <cellStyle name="40% - Accent4 3 32 7" xfId="10387" xr:uid="{00000000-0005-0000-0000-000039280000}"/>
    <cellStyle name="40% - Accent4 3 32 8" xfId="10388" xr:uid="{00000000-0005-0000-0000-00003A280000}"/>
    <cellStyle name="40% - Accent4 3 32 9" xfId="10389" xr:uid="{00000000-0005-0000-0000-00003B280000}"/>
    <cellStyle name="40% - Accent4 3 33" xfId="10390" xr:uid="{00000000-0005-0000-0000-00003C280000}"/>
    <cellStyle name="40% - Accent4 3 34" xfId="10391" xr:uid="{00000000-0005-0000-0000-00003D280000}"/>
    <cellStyle name="40% - Accent4 3 35" xfId="10392" xr:uid="{00000000-0005-0000-0000-00003E280000}"/>
    <cellStyle name="40% - Accent4 3 36" xfId="10393" xr:uid="{00000000-0005-0000-0000-00003F280000}"/>
    <cellStyle name="40% - Accent4 3 37" xfId="10394" xr:uid="{00000000-0005-0000-0000-000040280000}"/>
    <cellStyle name="40% - Accent4 3 38" xfId="10395" xr:uid="{00000000-0005-0000-0000-000041280000}"/>
    <cellStyle name="40% - Accent4 3 39" xfId="10396" xr:uid="{00000000-0005-0000-0000-000042280000}"/>
    <cellStyle name="40% - Accent4 3 4" xfId="10397" xr:uid="{00000000-0005-0000-0000-000043280000}"/>
    <cellStyle name="40% - Accent4 3 4 10" xfId="10398" xr:uid="{00000000-0005-0000-0000-000044280000}"/>
    <cellStyle name="40% - Accent4 3 4 11" xfId="10399" xr:uid="{00000000-0005-0000-0000-000045280000}"/>
    <cellStyle name="40% - Accent4 3 4 12" xfId="10400" xr:uid="{00000000-0005-0000-0000-000046280000}"/>
    <cellStyle name="40% - Accent4 3 4 13" xfId="10401" xr:uid="{00000000-0005-0000-0000-000047280000}"/>
    <cellStyle name="40% - Accent4 3 4 14" xfId="10402" xr:uid="{00000000-0005-0000-0000-000048280000}"/>
    <cellStyle name="40% - Accent4 3 4 15" xfId="10403" xr:uid="{00000000-0005-0000-0000-000049280000}"/>
    <cellStyle name="40% - Accent4 3 4 16" xfId="10404" xr:uid="{00000000-0005-0000-0000-00004A280000}"/>
    <cellStyle name="40% - Accent4 3 4 2" xfId="10405" xr:uid="{00000000-0005-0000-0000-00004B280000}"/>
    <cellStyle name="40% - Accent4 3 4 3" xfId="10406" xr:uid="{00000000-0005-0000-0000-00004C280000}"/>
    <cellStyle name="40% - Accent4 3 4 4" xfId="10407" xr:uid="{00000000-0005-0000-0000-00004D280000}"/>
    <cellStyle name="40% - Accent4 3 4 5" xfId="10408" xr:uid="{00000000-0005-0000-0000-00004E280000}"/>
    <cellStyle name="40% - Accent4 3 4 6" xfId="10409" xr:uid="{00000000-0005-0000-0000-00004F280000}"/>
    <cellStyle name="40% - Accent4 3 4 7" xfId="10410" xr:uid="{00000000-0005-0000-0000-000050280000}"/>
    <cellStyle name="40% - Accent4 3 4 8" xfId="10411" xr:uid="{00000000-0005-0000-0000-000051280000}"/>
    <cellStyle name="40% - Accent4 3 4 9" xfId="10412" xr:uid="{00000000-0005-0000-0000-000052280000}"/>
    <cellStyle name="40% - Accent4 3 40" xfId="10413" xr:uid="{00000000-0005-0000-0000-000053280000}"/>
    <cellStyle name="40% - Accent4 3 41" xfId="10414" xr:uid="{00000000-0005-0000-0000-000054280000}"/>
    <cellStyle name="40% - Accent4 3 42" xfId="10415" xr:uid="{00000000-0005-0000-0000-000055280000}"/>
    <cellStyle name="40% - Accent4 3 43" xfId="10416" xr:uid="{00000000-0005-0000-0000-000056280000}"/>
    <cellStyle name="40% - Accent4 3 44" xfId="10417" xr:uid="{00000000-0005-0000-0000-000057280000}"/>
    <cellStyle name="40% - Accent4 3 45" xfId="10418" xr:uid="{00000000-0005-0000-0000-000058280000}"/>
    <cellStyle name="40% - Accent4 3 46" xfId="10419" xr:uid="{00000000-0005-0000-0000-000059280000}"/>
    <cellStyle name="40% - Accent4 3 47" xfId="10420" xr:uid="{00000000-0005-0000-0000-00005A280000}"/>
    <cellStyle name="40% - Accent4 3 48" xfId="10421" xr:uid="{00000000-0005-0000-0000-00005B280000}"/>
    <cellStyle name="40% - Accent4 3 49" xfId="10422" xr:uid="{00000000-0005-0000-0000-00005C280000}"/>
    <cellStyle name="40% - Accent4 3 5" xfId="10423" xr:uid="{00000000-0005-0000-0000-00005D280000}"/>
    <cellStyle name="40% - Accent4 3 5 10" xfId="10424" xr:uid="{00000000-0005-0000-0000-00005E280000}"/>
    <cellStyle name="40% - Accent4 3 5 11" xfId="10425" xr:uid="{00000000-0005-0000-0000-00005F280000}"/>
    <cellStyle name="40% - Accent4 3 5 12" xfId="10426" xr:uid="{00000000-0005-0000-0000-000060280000}"/>
    <cellStyle name="40% - Accent4 3 5 13" xfId="10427" xr:uid="{00000000-0005-0000-0000-000061280000}"/>
    <cellStyle name="40% - Accent4 3 5 14" xfId="10428" xr:uid="{00000000-0005-0000-0000-000062280000}"/>
    <cellStyle name="40% - Accent4 3 5 15" xfId="10429" xr:uid="{00000000-0005-0000-0000-000063280000}"/>
    <cellStyle name="40% - Accent4 3 5 2" xfId="10430" xr:uid="{00000000-0005-0000-0000-000064280000}"/>
    <cellStyle name="40% - Accent4 3 5 3" xfId="10431" xr:uid="{00000000-0005-0000-0000-000065280000}"/>
    <cellStyle name="40% - Accent4 3 5 4" xfId="10432" xr:uid="{00000000-0005-0000-0000-000066280000}"/>
    <cellStyle name="40% - Accent4 3 5 5" xfId="10433" xr:uid="{00000000-0005-0000-0000-000067280000}"/>
    <cellStyle name="40% - Accent4 3 5 6" xfId="10434" xr:uid="{00000000-0005-0000-0000-000068280000}"/>
    <cellStyle name="40% - Accent4 3 5 7" xfId="10435" xr:uid="{00000000-0005-0000-0000-000069280000}"/>
    <cellStyle name="40% - Accent4 3 5 8" xfId="10436" xr:uid="{00000000-0005-0000-0000-00006A280000}"/>
    <cellStyle name="40% - Accent4 3 5 9" xfId="10437" xr:uid="{00000000-0005-0000-0000-00006B280000}"/>
    <cellStyle name="40% - Accent4 3 50" xfId="10438" xr:uid="{00000000-0005-0000-0000-00006C280000}"/>
    <cellStyle name="40% - Accent4 3 51" xfId="10439" xr:uid="{00000000-0005-0000-0000-00006D280000}"/>
    <cellStyle name="40% - Accent4 3 52" xfId="10440" xr:uid="{00000000-0005-0000-0000-00006E280000}"/>
    <cellStyle name="40% - Accent4 3 53" xfId="10441" xr:uid="{00000000-0005-0000-0000-00006F280000}"/>
    <cellStyle name="40% - Accent4 3 54" xfId="10442" xr:uid="{00000000-0005-0000-0000-000070280000}"/>
    <cellStyle name="40% - Accent4 3 55" xfId="10443" xr:uid="{00000000-0005-0000-0000-000071280000}"/>
    <cellStyle name="40% - Accent4 3 6" xfId="10444" xr:uid="{00000000-0005-0000-0000-000072280000}"/>
    <cellStyle name="40% - Accent4 3 6 10" xfId="10445" xr:uid="{00000000-0005-0000-0000-000073280000}"/>
    <cellStyle name="40% - Accent4 3 6 11" xfId="10446" xr:uid="{00000000-0005-0000-0000-000074280000}"/>
    <cellStyle name="40% - Accent4 3 6 12" xfId="10447" xr:uid="{00000000-0005-0000-0000-000075280000}"/>
    <cellStyle name="40% - Accent4 3 6 13" xfId="10448" xr:uid="{00000000-0005-0000-0000-000076280000}"/>
    <cellStyle name="40% - Accent4 3 6 14" xfId="10449" xr:uid="{00000000-0005-0000-0000-000077280000}"/>
    <cellStyle name="40% - Accent4 3 6 15" xfId="10450" xr:uid="{00000000-0005-0000-0000-000078280000}"/>
    <cellStyle name="40% - Accent4 3 6 2" xfId="10451" xr:uid="{00000000-0005-0000-0000-000079280000}"/>
    <cellStyle name="40% - Accent4 3 6 3" xfId="10452" xr:uid="{00000000-0005-0000-0000-00007A280000}"/>
    <cellStyle name="40% - Accent4 3 6 4" xfId="10453" xr:uid="{00000000-0005-0000-0000-00007B280000}"/>
    <cellStyle name="40% - Accent4 3 6 5" xfId="10454" xr:uid="{00000000-0005-0000-0000-00007C280000}"/>
    <cellStyle name="40% - Accent4 3 6 6" xfId="10455" xr:uid="{00000000-0005-0000-0000-00007D280000}"/>
    <cellStyle name="40% - Accent4 3 6 7" xfId="10456" xr:uid="{00000000-0005-0000-0000-00007E280000}"/>
    <cellStyle name="40% - Accent4 3 6 8" xfId="10457" xr:uid="{00000000-0005-0000-0000-00007F280000}"/>
    <cellStyle name="40% - Accent4 3 6 9" xfId="10458" xr:uid="{00000000-0005-0000-0000-000080280000}"/>
    <cellStyle name="40% - Accent4 3 7" xfId="10459" xr:uid="{00000000-0005-0000-0000-000081280000}"/>
    <cellStyle name="40% - Accent4 3 7 10" xfId="10460" xr:uid="{00000000-0005-0000-0000-000082280000}"/>
    <cellStyle name="40% - Accent4 3 7 11" xfId="10461" xr:uid="{00000000-0005-0000-0000-000083280000}"/>
    <cellStyle name="40% - Accent4 3 7 12" xfId="10462" xr:uid="{00000000-0005-0000-0000-000084280000}"/>
    <cellStyle name="40% - Accent4 3 7 13" xfId="10463" xr:uid="{00000000-0005-0000-0000-000085280000}"/>
    <cellStyle name="40% - Accent4 3 7 14" xfId="10464" xr:uid="{00000000-0005-0000-0000-000086280000}"/>
    <cellStyle name="40% - Accent4 3 7 15" xfId="10465" xr:uid="{00000000-0005-0000-0000-000087280000}"/>
    <cellStyle name="40% - Accent4 3 7 2" xfId="10466" xr:uid="{00000000-0005-0000-0000-000088280000}"/>
    <cellStyle name="40% - Accent4 3 7 3" xfId="10467" xr:uid="{00000000-0005-0000-0000-000089280000}"/>
    <cellStyle name="40% - Accent4 3 7 4" xfId="10468" xr:uid="{00000000-0005-0000-0000-00008A280000}"/>
    <cellStyle name="40% - Accent4 3 7 5" xfId="10469" xr:uid="{00000000-0005-0000-0000-00008B280000}"/>
    <cellStyle name="40% - Accent4 3 7 6" xfId="10470" xr:uid="{00000000-0005-0000-0000-00008C280000}"/>
    <cellStyle name="40% - Accent4 3 7 7" xfId="10471" xr:uid="{00000000-0005-0000-0000-00008D280000}"/>
    <cellStyle name="40% - Accent4 3 7 8" xfId="10472" xr:uid="{00000000-0005-0000-0000-00008E280000}"/>
    <cellStyle name="40% - Accent4 3 7 9" xfId="10473" xr:uid="{00000000-0005-0000-0000-00008F280000}"/>
    <cellStyle name="40% - Accent4 3 8" xfId="10474" xr:uid="{00000000-0005-0000-0000-000090280000}"/>
    <cellStyle name="40% - Accent4 3 8 10" xfId="10475" xr:uid="{00000000-0005-0000-0000-000091280000}"/>
    <cellStyle name="40% - Accent4 3 8 11" xfId="10476" xr:uid="{00000000-0005-0000-0000-000092280000}"/>
    <cellStyle name="40% - Accent4 3 8 12" xfId="10477" xr:uid="{00000000-0005-0000-0000-000093280000}"/>
    <cellStyle name="40% - Accent4 3 8 13" xfId="10478" xr:uid="{00000000-0005-0000-0000-000094280000}"/>
    <cellStyle name="40% - Accent4 3 8 14" xfId="10479" xr:uid="{00000000-0005-0000-0000-000095280000}"/>
    <cellStyle name="40% - Accent4 3 8 15" xfId="10480" xr:uid="{00000000-0005-0000-0000-000096280000}"/>
    <cellStyle name="40% - Accent4 3 8 2" xfId="10481" xr:uid="{00000000-0005-0000-0000-000097280000}"/>
    <cellStyle name="40% - Accent4 3 8 3" xfId="10482" xr:uid="{00000000-0005-0000-0000-000098280000}"/>
    <cellStyle name="40% - Accent4 3 8 4" xfId="10483" xr:uid="{00000000-0005-0000-0000-000099280000}"/>
    <cellStyle name="40% - Accent4 3 8 5" xfId="10484" xr:uid="{00000000-0005-0000-0000-00009A280000}"/>
    <cellStyle name="40% - Accent4 3 8 6" xfId="10485" xr:uid="{00000000-0005-0000-0000-00009B280000}"/>
    <cellStyle name="40% - Accent4 3 8 7" xfId="10486" xr:uid="{00000000-0005-0000-0000-00009C280000}"/>
    <cellStyle name="40% - Accent4 3 8 8" xfId="10487" xr:uid="{00000000-0005-0000-0000-00009D280000}"/>
    <cellStyle name="40% - Accent4 3 8 9" xfId="10488" xr:uid="{00000000-0005-0000-0000-00009E280000}"/>
    <cellStyle name="40% - Accent4 3 9" xfId="10489" xr:uid="{00000000-0005-0000-0000-00009F280000}"/>
    <cellStyle name="40% - Accent4 3 9 10" xfId="10490" xr:uid="{00000000-0005-0000-0000-0000A0280000}"/>
    <cellStyle name="40% - Accent4 3 9 11" xfId="10491" xr:uid="{00000000-0005-0000-0000-0000A1280000}"/>
    <cellStyle name="40% - Accent4 3 9 12" xfId="10492" xr:uid="{00000000-0005-0000-0000-0000A2280000}"/>
    <cellStyle name="40% - Accent4 3 9 13" xfId="10493" xr:uid="{00000000-0005-0000-0000-0000A3280000}"/>
    <cellStyle name="40% - Accent4 3 9 14" xfId="10494" xr:uid="{00000000-0005-0000-0000-0000A4280000}"/>
    <cellStyle name="40% - Accent4 3 9 15" xfId="10495" xr:uid="{00000000-0005-0000-0000-0000A5280000}"/>
    <cellStyle name="40% - Accent4 3 9 2" xfId="10496" xr:uid="{00000000-0005-0000-0000-0000A6280000}"/>
    <cellStyle name="40% - Accent4 3 9 3" xfId="10497" xr:uid="{00000000-0005-0000-0000-0000A7280000}"/>
    <cellStyle name="40% - Accent4 3 9 4" xfId="10498" xr:uid="{00000000-0005-0000-0000-0000A8280000}"/>
    <cellStyle name="40% - Accent4 3 9 5" xfId="10499" xr:uid="{00000000-0005-0000-0000-0000A9280000}"/>
    <cellStyle name="40% - Accent4 3 9 6" xfId="10500" xr:uid="{00000000-0005-0000-0000-0000AA280000}"/>
    <cellStyle name="40% - Accent4 3 9 7" xfId="10501" xr:uid="{00000000-0005-0000-0000-0000AB280000}"/>
    <cellStyle name="40% - Accent4 3 9 8" xfId="10502" xr:uid="{00000000-0005-0000-0000-0000AC280000}"/>
    <cellStyle name="40% - Accent4 3 9 9" xfId="10503" xr:uid="{00000000-0005-0000-0000-0000AD280000}"/>
    <cellStyle name="40% - Accent4 30" xfId="10504" xr:uid="{00000000-0005-0000-0000-0000AE280000}"/>
    <cellStyle name="40% - Accent4 30 10" xfId="10505" xr:uid="{00000000-0005-0000-0000-0000AF280000}"/>
    <cellStyle name="40% - Accent4 30 11" xfId="10506" xr:uid="{00000000-0005-0000-0000-0000B0280000}"/>
    <cellStyle name="40% - Accent4 30 12" xfId="10507" xr:uid="{00000000-0005-0000-0000-0000B1280000}"/>
    <cellStyle name="40% - Accent4 30 13" xfId="10508" xr:uid="{00000000-0005-0000-0000-0000B2280000}"/>
    <cellStyle name="40% - Accent4 30 14" xfId="10509" xr:uid="{00000000-0005-0000-0000-0000B3280000}"/>
    <cellStyle name="40% - Accent4 30 15" xfId="10510" xr:uid="{00000000-0005-0000-0000-0000B4280000}"/>
    <cellStyle name="40% - Accent4 30 16" xfId="10511" xr:uid="{00000000-0005-0000-0000-0000B5280000}"/>
    <cellStyle name="40% - Accent4 30 2" xfId="10512" xr:uid="{00000000-0005-0000-0000-0000B6280000}"/>
    <cellStyle name="40% - Accent4 30 3" xfId="10513" xr:uid="{00000000-0005-0000-0000-0000B7280000}"/>
    <cellStyle name="40% - Accent4 30 4" xfId="10514" xr:uid="{00000000-0005-0000-0000-0000B8280000}"/>
    <cellStyle name="40% - Accent4 30 5" xfId="10515" xr:uid="{00000000-0005-0000-0000-0000B9280000}"/>
    <cellStyle name="40% - Accent4 30 6" xfId="10516" xr:uid="{00000000-0005-0000-0000-0000BA280000}"/>
    <cellStyle name="40% - Accent4 30 7" xfId="10517" xr:uid="{00000000-0005-0000-0000-0000BB280000}"/>
    <cellStyle name="40% - Accent4 30 8" xfId="10518" xr:uid="{00000000-0005-0000-0000-0000BC280000}"/>
    <cellStyle name="40% - Accent4 30 9" xfId="10519" xr:uid="{00000000-0005-0000-0000-0000BD280000}"/>
    <cellStyle name="40% - Accent4 31" xfId="10520" xr:uid="{00000000-0005-0000-0000-0000BE280000}"/>
    <cellStyle name="40% - Accent4 31 10" xfId="10521" xr:uid="{00000000-0005-0000-0000-0000BF280000}"/>
    <cellStyle name="40% - Accent4 31 11" xfId="10522" xr:uid="{00000000-0005-0000-0000-0000C0280000}"/>
    <cellStyle name="40% - Accent4 31 12" xfId="10523" xr:uid="{00000000-0005-0000-0000-0000C1280000}"/>
    <cellStyle name="40% - Accent4 31 13" xfId="10524" xr:uid="{00000000-0005-0000-0000-0000C2280000}"/>
    <cellStyle name="40% - Accent4 31 14" xfId="10525" xr:uid="{00000000-0005-0000-0000-0000C3280000}"/>
    <cellStyle name="40% - Accent4 31 15" xfId="10526" xr:uid="{00000000-0005-0000-0000-0000C4280000}"/>
    <cellStyle name="40% - Accent4 31 16" xfId="10527" xr:uid="{00000000-0005-0000-0000-0000C5280000}"/>
    <cellStyle name="40% - Accent4 31 2" xfId="10528" xr:uid="{00000000-0005-0000-0000-0000C6280000}"/>
    <cellStyle name="40% - Accent4 31 3" xfId="10529" xr:uid="{00000000-0005-0000-0000-0000C7280000}"/>
    <cellStyle name="40% - Accent4 31 4" xfId="10530" xr:uid="{00000000-0005-0000-0000-0000C8280000}"/>
    <cellStyle name="40% - Accent4 31 5" xfId="10531" xr:uid="{00000000-0005-0000-0000-0000C9280000}"/>
    <cellStyle name="40% - Accent4 31 6" xfId="10532" xr:uid="{00000000-0005-0000-0000-0000CA280000}"/>
    <cellStyle name="40% - Accent4 31 7" xfId="10533" xr:uid="{00000000-0005-0000-0000-0000CB280000}"/>
    <cellStyle name="40% - Accent4 31 8" xfId="10534" xr:uid="{00000000-0005-0000-0000-0000CC280000}"/>
    <cellStyle name="40% - Accent4 31 9" xfId="10535" xr:uid="{00000000-0005-0000-0000-0000CD280000}"/>
    <cellStyle name="40% - Accent4 32" xfId="10536" xr:uid="{00000000-0005-0000-0000-0000CE280000}"/>
    <cellStyle name="40% - Accent4 32 10" xfId="10537" xr:uid="{00000000-0005-0000-0000-0000CF280000}"/>
    <cellStyle name="40% - Accent4 32 11" xfId="10538" xr:uid="{00000000-0005-0000-0000-0000D0280000}"/>
    <cellStyle name="40% - Accent4 32 12" xfId="10539" xr:uid="{00000000-0005-0000-0000-0000D1280000}"/>
    <cellStyle name="40% - Accent4 32 13" xfId="10540" xr:uid="{00000000-0005-0000-0000-0000D2280000}"/>
    <cellStyle name="40% - Accent4 32 14" xfId="10541" xr:uid="{00000000-0005-0000-0000-0000D3280000}"/>
    <cellStyle name="40% - Accent4 32 15" xfId="10542" xr:uid="{00000000-0005-0000-0000-0000D4280000}"/>
    <cellStyle name="40% - Accent4 32 2" xfId="10543" xr:uid="{00000000-0005-0000-0000-0000D5280000}"/>
    <cellStyle name="40% - Accent4 32 3" xfId="10544" xr:uid="{00000000-0005-0000-0000-0000D6280000}"/>
    <cellStyle name="40% - Accent4 32 4" xfId="10545" xr:uid="{00000000-0005-0000-0000-0000D7280000}"/>
    <cellStyle name="40% - Accent4 32 5" xfId="10546" xr:uid="{00000000-0005-0000-0000-0000D8280000}"/>
    <cellStyle name="40% - Accent4 32 6" xfId="10547" xr:uid="{00000000-0005-0000-0000-0000D9280000}"/>
    <cellStyle name="40% - Accent4 32 7" xfId="10548" xr:uid="{00000000-0005-0000-0000-0000DA280000}"/>
    <cellStyle name="40% - Accent4 32 8" xfId="10549" xr:uid="{00000000-0005-0000-0000-0000DB280000}"/>
    <cellStyle name="40% - Accent4 32 9" xfId="10550" xr:uid="{00000000-0005-0000-0000-0000DC280000}"/>
    <cellStyle name="40% - Accent4 33" xfId="10551" xr:uid="{00000000-0005-0000-0000-0000DD280000}"/>
    <cellStyle name="40% - Accent4 33 10" xfId="10552" xr:uid="{00000000-0005-0000-0000-0000DE280000}"/>
    <cellStyle name="40% - Accent4 33 11" xfId="10553" xr:uid="{00000000-0005-0000-0000-0000DF280000}"/>
    <cellStyle name="40% - Accent4 33 12" xfId="10554" xr:uid="{00000000-0005-0000-0000-0000E0280000}"/>
    <cellStyle name="40% - Accent4 33 13" xfId="10555" xr:uid="{00000000-0005-0000-0000-0000E1280000}"/>
    <cellStyle name="40% - Accent4 33 14" xfId="10556" xr:uid="{00000000-0005-0000-0000-0000E2280000}"/>
    <cellStyle name="40% - Accent4 33 15" xfId="10557" xr:uid="{00000000-0005-0000-0000-0000E3280000}"/>
    <cellStyle name="40% - Accent4 33 16" xfId="10558" xr:uid="{00000000-0005-0000-0000-0000E4280000}"/>
    <cellStyle name="40% - Accent4 33 2" xfId="10559" xr:uid="{00000000-0005-0000-0000-0000E5280000}"/>
    <cellStyle name="40% - Accent4 33 3" xfId="10560" xr:uid="{00000000-0005-0000-0000-0000E6280000}"/>
    <cellStyle name="40% - Accent4 33 4" xfId="10561" xr:uid="{00000000-0005-0000-0000-0000E7280000}"/>
    <cellStyle name="40% - Accent4 33 5" xfId="10562" xr:uid="{00000000-0005-0000-0000-0000E8280000}"/>
    <cellStyle name="40% - Accent4 33 6" xfId="10563" xr:uid="{00000000-0005-0000-0000-0000E9280000}"/>
    <cellStyle name="40% - Accent4 33 7" xfId="10564" xr:uid="{00000000-0005-0000-0000-0000EA280000}"/>
    <cellStyle name="40% - Accent4 33 8" xfId="10565" xr:uid="{00000000-0005-0000-0000-0000EB280000}"/>
    <cellStyle name="40% - Accent4 33 9" xfId="10566" xr:uid="{00000000-0005-0000-0000-0000EC280000}"/>
    <cellStyle name="40% - Accent4 34" xfId="10567" xr:uid="{00000000-0005-0000-0000-0000ED280000}"/>
    <cellStyle name="40% - Accent4 34 10" xfId="10568" xr:uid="{00000000-0005-0000-0000-0000EE280000}"/>
    <cellStyle name="40% - Accent4 34 11" xfId="10569" xr:uid="{00000000-0005-0000-0000-0000EF280000}"/>
    <cellStyle name="40% - Accent4 34 12" xfId="10570" xr:uid="{00000000-0005-0000-0000-0000F0280000}"/>
    <cellStyle name="40% - Accent4 34 13" xfId="10571" xr:uid="{00000000-0005-0000-0000-0000F1280000}"/>
    <cellStyle name="40% - Accent4 34 14" xfId="10572" xr:uid="{00000000-0005-0000-0000-0000F2280000}"/>
    <cellStyle name="40% - Accent4 34 15" xfId="10573" xr:uid="{00000000-0005-0000-0000-0000F3280000}"/>
    <cellStyle name="40% - Accent4 34 16" xfId="10574" xr:uid="{00000000-0005-0000-0000-0000F4280000}"/>
    <cellStyle name="40% - Accent4 34 2" xfId="10575" xr:uid="{00000000-0005-0000-0000-0000F5280000}"/>
    <cellStyle name="40% - Accent4 34 3" xfId="10576" xr:uid="{00000000-0005-0000-0000-0000F6280000}"/>
    <cellStyle name="40% - Accent4 34 4" xfId="10577" xr:uid="{00000000-0005-0000-0000-0000F7280000}"/>
    <cellStyle name="40% - Accent4 34 5" xfId="10578" xr:uid="{00000000-0005-0000-0000-0000F8280000}"/>
    <cellStyle name="40% - Accent4 34 6" xfId="10579" xr:uid="{00000000-0005-0000-0000-0000F9280000}"/>
    <cellStyle name="40% - Accent4 34 7" xfId="10580" xr:uid="{00000000-0005-0000-0000-0000FA280000}"/>
    <cellStyle name="40% - Accent4 34 8" xfId="10581" xr:uid="{00000000-0005-0000-0000-0000FB280000}"/>
    <cellStyle name="40% - Accent4 34 9" xfId="10582" xr:uid="{00000000-0005-0000-0000-0000FC280000}"/>
    <cellStyle name="40% - Accent4 35" xfId="10583" xr:uid="{00000000-0005-0000-0000-0000FD280000}"/>
    <cellStyle name="40% - Accent4 35 10" xfId="10584" xr:uid="{00000000-0005-0000-0000-0000FE280000}"/>
    <cellStyle name="40% - Accent4 35 11" xfId="10585" xr:uid="{00000000-0005-0000-0000-0000FF280000}"/>
    <cellStyle name="40% - Accent4 35 12" xfId="10586" xr:uid="{00000000-0005-0000-0000-000000290000}"/>
    <cellStyle name="40% - Accent4 35 13" xfId="10587" xr:uid="{00000000-0005-0000-0000-000001290000}"/>
    <cellStyle name="40% - Accent4 35 14" xfId="10588" xr:uid="{00000000-0005-0000-0000-000002290000}"/>
    <cellStyle name="40% - Accent4 35 15" xfId="10589" xr:uid="{00000000-0005-0000-0000-000003290000}"/>
    <cellStyle name="40% - Accent4 35 16" xfId="10590" xr:uid="{00000000-0005-0000-0000-000004290000}"/>
    <cellStyle name="40% - Accent4 35 2" xfId="10591" xr:uid="{00000000-0005-0000-0000-000005290000}"/>
    <cellStyle name="40% - Accent4 35 3" xfId="10592" xr:uid="{00000000-0005-0000-0000-000006290000}"/>
    <cellStyle name="40% - Accent4 35 4" xfId="10593" xr:uid="{00000000-0005-0000-0000-000007290000}"/>
    <cellStyle name="40% - Accent4 35 5" xfId="10594" xr:uid="{00000000-0005-0000-0000-000008290000}"/>
    <cellStyle name="40% - Accent4 35 6" xfId="10595" xr:uid="{00000000-0005-0000-0000-000009290000}"/>
    <cellStyle name="40% - Accent4 35 7" xfId="10596" xr:uid="{00000000-0005-0000-0000-00000A290000}"/>
    <cellStyle name="40% - Accent4 35 8" xfId="10597" xr:uid="{00000000-0005-0000-0000-00000B290000}"/>
    <cellStyle name="40% - Accent4 35 9" xfId="10598" xr:uid="{00000000-0005-0000-0000-00000C290000}"/>
    <cellStyle name="40% - Accent4 36" xfId="10599" xr:uid="{00000000-0005-0000-0000-00000D290000}"/>
    <cellStyle name="40% - Accent4 36 10" xfId="10600" xr:uid="{00000000-0005-0000-0000-00000E290000}"/>
    <cellStyle name="40% - Accent4 36 11" xfId="10601" xr:uid="{00000000-0005-0000-0000-00000F290000}"/>
    <cellStyle name="40% - Accent4 36 12" xfId="10602" xr:uid="{00000000-0005-0000-0000-000010290000}"/>
    <cellStyle name="40% - Accent4 36 13" xfId="10603" xr:uid="{00000000-0005-0000-0000-000011290000}"/>
    <cellStyle name="40% - Accent4 36 14" xfId="10604" xr:uid="{00000000-0005-0000-0000-000012290000}"/>
    <cellStyle name="40% - Accent4 36 15" xfId="10605" xr:uid="{00000000-0005-0000-0000-000013290000}"/>
    <cellStyle name="40% - Accent4 36 16" xfId="10606" xr:uid="{00000000-0005-0000-0000-000014290000}"/>
    <cellStyle name="40% - Accent4 36 2" xfId="10607" xr:uid="{00000000-0005-0000-0000-000015290000}"/>
    <cellStyle name="40% - Accent4 36 3" xfId="10608" xr:uid="{00000000-0005-0000-0000-000016290000}"/>
    <cellStyle name="40% - Accent4 36 4" xfId="10609" xr:uid="{00000000-0005-0000-0000-000017290000}"/>
    <cellStyle name="40% - Accent4 36 5" xfId="10610" xr:uid="{00000000-0005-0000-0000-000018290000}"/>
    <cellStyle name="40% - Accent4 36 6" xfId="10611" xr:uid="{00000000-0005-0000-0000-000019290000}"/>
    <cellStyle name="40% - Accent4 36 7" xfId="10612" xr:uid="{00000000-0005-0000-0000-00001A290000}"/>
    <cellStyle name="40% - Accent4 36 8" xfId="10613" xr:uid="{00000000-0005-0000-0000-00001B290000}"/>
    <cellStyle name="40% - Accent4 36 9" xfId="10614" xr:uid="{00000000-0005-0000-0000-00001C290000}"/>
    <cellStyle name="40% - Accent4 37" xfId="10615" xr:uid="{00000000-0005-0000-0000-00001D290000}"/>
    <cellStyle name="40% - Accent4 37 10" xfId="10616" xr:uid="{00000000-0005-0000-0000-00001E290000}"/>
    <cellStyle name="40% - Accent4 37 11" xfId="10617" xr:uid="{00000000-0005-0000-0000-00001F290000}"/>
    <cellStyle name="40% - Accent4 37 12" xfId="10618" xr:uid="{00000000-0005-0000-0000-000020290000}"/>
    <cellStyle name="40% - Accent4 37 13" xfId="10619" xr:uid="{00000000-0005-0000-0000-000021290000}"/>
    <cellStyle name="40% - Accent4 37 14" xfId="10620" xr:uid="{00000000-0005-0000-0000-000022290000}"/>
    <cellStyle name="40% - Accent4 37 15" xfId="10621" xr:uid="{00000000-0005-0000-0000-000023290000}"/>
    <cellStyle name="40% - Accent4 37 2" xfId="10622" xr:uid="{00000000-0005-0000-0000-000024290000}"/>
    <cellStyle name="40% - Accent4 37 3" xfId="10623" xr:uid="{00000000-0005-0000-0000-000025290000}"/>
    <cellStyle name="40% - Accent4 37 4" xfId="10624" xr:uid="{00000000-0005-0000-0000-000026290000}"/>
    <cellStyle name="40% - Accent4 37 5" xfId="10625" xr:uid="{00000000-0005-0000-0000-000027290000}"/>
    <cellStyle name="40% - Accent4 37 6" xfId="10626" xr:uid="{00000000-0005-0000-0000-000028290000}"/>
    <cellStyle name="40% - Accent4 37 7" xfId="10627" xr:uid="{00000000-0005-0000-0000-000029290000}"/>
    <cellStyle name="40% - Accent4 37 8" xfId="10628" xr:uid="{00000000-0005-0000-0000-00002A290000}"/>
    <cellStyle name="40% - Accent4 37 9" xfId="10629" xr:uid="{00000000-0005-0000-0000-00002B290000}"/>
    <cellStyle name="40% - Accent4 38" xfId="10630" xr:uid="{00000000-0005-0000-0000-00002C290000}"/>
    <cellStyle name="40% - Accent4 38 10" xfId="10631" xr:uid="{00000000-0005-0000-0000-00002D290000}"/>
    <cellStyle name="40% - Accent4 38 11" xfId="10632" xr:uid="{00000000-0005-0000-0000-00002E290000}"/>
    <cellStyle name="40% - Accent4 38 12" xfId="10633" xr:uid="{00000000-0005-0000-0000-00002F290000}"/>
    <cellStyle name="40% - Accent4 38 13" xfId="10634" xr:uid="{00000000-0005-0000-0000-000030290000}"/>
    <cellStyle name="40% - Accent4 38 14" xfId="10635" xr:uid="{00000000-0005-0000-0000-000031290000}"/>
    <cellStyle name="40% - Accent4 38 15" xfId="10636" xr:uid="{00000000-0005-0000-0000-000032290000}"/>
    <cellStyle name="40% - Accent4 38 2" xfId="10637" xr:uid="{00000000-0005-0000-0000-000033290000}"/>
    <cellStyle name="40% - Accent4 38 3" xfId="10638" xr:uid="{00000000-0005-0000-0000-000034290000}"/>
    <cellStyle name="40% - Accent4 38 4" xfId="10639" xr:uid="{00000000-0005-0000-0000-000035290000}"/>
    <cellStyle name="40% - Accent4 38 5" xfId="10640" xr:uid="{00000000-0005-0000-0000-000036290000}"/>
    <cellStyle name="40% - Accent4 38 6" xfId="10641" xr:uid="{00000000-0005-0000-0000-000037290000}"/>
    <cellStyle name="40% - Accent4 38 7" xfId="10642" xr:uid="{00000000-0005-0000-0000-000038290000}"/>
    <cellStyle name="40% - Accent4 38 8" xfId="10643" xr:uid="{00000000-0005-0000-0000-000039290000}"/>
    <cellStyle name="40% - Accent4 38 9" xfId="10644" xr:uid="{00000000-0005-0000-0000-00003A290000}"/>
    <cellStyle name="40% - Accent4 39" xfId="10645" xr:uid="{00000000-0005-0000-0000-00003B290000}"/>
    <cellStyle name="40% - Accent4 39 10" xfId="10646" xr:uid="{00000000-0005-0000-0000-00003C290000}"/>
    <cellStyle name="40% - Accent4 39 11" xfId="10647" xr:uid="{00000000-0005-0000-0000-00003D290000}"/>
    <cellStyle name="40% - Accent4 39 12" xfId="10648" xr:uid="{00000000-0005-0000-0000-00003E290000}"/>
    <cellStyle name="40% - Accent4 39 13" xfId="10649" xr:uid="{00000000-0005-0000-0000-00003F290000}"/>
    <cellStyle name="40% - Accent4 39 14" xfId="10650" xr:uid="{00000000-0005-0000-0000-000040290000}"/>
    <cellStyle name="40% - Accent4 39 15" xfId="10651" xr:uid="{00000000-0005-0000-0000-000041290000}"/>
    <cellStyle name="40% - Accent4 39 2" xfId="10652" xr:uid="{00000000-0005-0000-0000-000042290000}"/>
    <cellStyle name="40% - Accent4 39 3" xfId="10653" xr:uid="{00000000-0005-0000-0000-000043290000}"/>
    <cellStyle name="40% - Accent4 39 4" xfId="10654" xr:uid="{00000000-0005-0000-0000-000044290000}"/>
    <cellStyle name="40% - Accent4 39 5" xfId="10655" xr:uid="{00000000-0005-0000-0000-000045290000}"/>
    <cellStyle name="40% - Accent4 39 6" xfId="10656" xr:uid="{00000000-0005-0000-0000-000046290000}"/>
    <cellStyle name="40% - Accent4 39 7" xfId="10657" xr:uid="{00000000-0005-0000-0000-000047290000}"/>
    <cellStyle name="40% - Accent4 39 8" xfId="10658" xr:uid="{00000000-0005-0000-0000-000048290000}"/>
    <cellStyle name="40% - Accent4 39 9" xfId="10659" xr:uid="{00000000-0005-0000-0000-000049290000}"/>
    <cellStyle name="40% - Accent4 4" xfId="10660" xr:uid="{00000000-0005-0000-0000-00004A290000}"/>
    <cellStyle name="40% - Accent4 4 2" xfId="10661" xr:uid="{00000000-0005-0000-0000-00004B290000}"/>
    <cellStyle name="40% - Accent4 4 2 2" xfId="10662" xr:uid="{00000000-0005-0000-0000-00004C290000}"/>
    <cellStyle name="40% - Accent4 4 2 3" xfId="10663" xr:uid="{00000000-0005-0000-0000-00004D290000}"/>
    <cellStyle name="40% - Accent4 4 2 4" xfId="10664" xr:uid="{00000000-0005-0000-0000-00004E290000}"/>
    <cellStyle name="40% - Accent4 4 2 5" xfId="10665" xr:uid="{00000000-0005-0000-0000-00004F290000}"/>
    <cellStyle name="40% - Accent4 4 3" xfId="10666" xr:uid="{00000000-0005-0000-0000-000050290000}"/>
    <cellStyle name="40% - Accent4 4 3 2" xfId="10667" xr:uid="{00000000-0005-0000-0000-000051290000}"/>
    <cellStyle name="40% - Accent4 4 4" xfId="10668" xr:uid="{00000000-0005-0000-0000-000052290000}"/>
    <cellStyle name="40% - Accent4 4 4 2" xfId="10669" xr:uid="{00000000-0005-0000-0000-000053290000}"/>
    <cellStyle name="40% - Accent4 4 5" xfId="10670" xr:uid="{00000000-0005-0000-0000-000054290000}"/>
    <cellStyle name="40% - Accent4 4 5 2" xfId="10671" xr:uid="{00000000-0005-0000-0000-000055290000}"/>
    <cellStyle name="40% - Accent4 4 6" xfId="10672" xr:uid="{00000000-0005-0000-0000-000056290000}"/>
    <cellStyle name="40% - Accent4 4 6 2" xfId="10673" xr:uid="{00000000-0005-0000-0000-000057290000}"/>
    <cellStyle name="40% - Accent4 4 7" xfId="10674" xr:uid="{00000000-0005-0000-0000-000058290000}"/>
    <cellStyle name="40% - Accent4 40" xfId="10675" xr:uid="{00000000-0005-0000-0000-000059290000}"/>
    <cellStyle name="40% - Accent4 41" xfId="10676" xr:uid="{00000000-0005-0000-0000-00005A290000}"/>
    <cellStyle name="40% - Accent4 42" xfId="10677" xr:uid="{00000000-0005-0000-0000-00005B290000}"/>
    <cellStyle name="40% - Accent4 43" xfId="10678" xr:uid="{00000000-0005-0000-0000-00005C290000}"/>
    <cellStyle name="40% - Accent4 44" xfId="10679" xr:uid="{00000000-0005-0000-0000-00005D290000}"/>
    <cellStyle name="40% - Accent4 45" xfId="10680" xr:uid="{00000000-0005-0000-0000-00005E290000}"/>
    <cellStyle name="40% - Accent4 46" xfId="10681" xr:uid="{00000000-0005-0000-0000-00005F290000}"/>
    <cellStyle name="40% - Accent4 47" xfId="10682" xr:uid="{00000000-0005-0000-0000-000060290000}"/>
    <cellStyle name="40% - Accent4 48" xfId="10683" xr:uid="{00000000-0005-0000-0000-000061290000}"/>
    <cellStyle name="40% - Accent4 49" xfId="10684" xr:uid="{00000000-0005-0000-0000-000062290000}"/>
    <cellStyle name="40% - Accent4 5" xfId="10685" xr:uid="{00000000-0005-0000-0000-000063290000}"/>
    <cellStyle name="40% - Accent4 5 2" xfId="10686" xr:uid="{00000000-0005-0000-0000-000064290000}"/>
    <cellStyle name="40% - Accent4 5 2 2" xfId="10687" xr:uid="{00000000-0005-0000-0000-000065290000}"/>
    <cellStyle name="40% - Accent4 5 2 3" xfId="10688" xr:uid="{00000000-0005-0000-0000-000066290000}"/>
    <cellStyle name="40% - Accent4 5 2 4" xfId="10689" xr:uid="{00000000-0005-0000-0000-000067290000}"/>
    <cellStyle name="40% - Accent4 5 2 5" xfId="10690" xr:uid="{00000000-0005-0000-0000-000068290000}"/>
    <cellStyle name="40% - Accent4 5 3" xfId="10691" xr:uid="{00000000-0005-0000-0000-000069290000}"/>
    <cellStyle name="40% - Accent4 5 3 2" xfId="10692" xr:uid="{00000000-0005-0000-0000-00006A290000}"/>
    <cellStyle name="40% - Accent4 5 3 3" xfId="10693" xr:uid="{00000000-0005-0000-0000-00006B290000}"/>
    <cellStyle name="40% - Accent4 5 4" xfId="10694" xr:uid="{00000000-0005-0000-0000-00006C290000}"/>
    <cellStyle name="40% - Accent4 5 4 2" xfId="10695" xr:uid="{00000000-0005-0000-0000-00006D290000}"/>
    <cellStyle name="40% - Accent4 5 5" xfId="10696" xr:uid="{00000000-0005-0000-0000-00006E290000}"/>
    <cellStyle name="40% - Accent4 5 6" xfId="10697" xr:uid="{00000000-0005-0000-0000-00006F290000}"/>
    <cellStyle name="40% - Accent4 50" xfId="10698" xr:uid="{00000000-0005-0000-0000-000070290000}"/>
    <cellStyle name="40% - Accent4 51" xfId="10699" xr:uid="{00000000-0005-0000-0000-000071290000}"/>
    <cellStyle name="40% - Accent4 52" xfId="10700" xr:uid="{00000000-0005-0000-0000-000072290000}"/>
    <cellStyle name="40% - Accent4 53" xfId="10701" xr:uid="{00000000-0005-0000-0000-000073290000}"/>
    <cellStyle name="40% - Accent4 54" xfId="10702" xr:uid="{00000000-0005-0000-0000-000074290000}"/>
    <cellStyle name="40% - Accent4 55" xfId="10703" xr:uid="{00000000-0005-0000-0000-000075290000}"/>
    <cellStyle name="40% - Accent4 56" xfId="10704" xr:uid="{00000000-0005-0000-0000-000076290000}"/>
    <cellStyle name="40% - Accent4 57" xfId="10705" xr:uid="{00000000-0005-0000-0000-000077290000}"/>
    <cellStyle name="40% - Accent4 58" xfId="10706" xr:uid="{00000000-0005-0000-0000-000078290000}"/>
    <cellStyle name="40% - Accent4 59" xfId="10707" xr:uid="{00000000-0005-0000-0000-000079290000}"/>
    <cellStyle name="40% - Accent4 6" xfId="10708" xr:uid="{00000000-0005-0000-0000-00007A290000}"/>
    <cellStyle name="40% - Accent4 6 2" xfId="10709" xr:uid="{00000000-0005-0000-0000-00007B290000}"/>
    <cellStyle name="40% - Accent4 6 2 2" xfId="10710" xr:uid="{00000000-0005-0000-0000-00007C290000}"/>
    <cellStyle name="40% - Accent4 6 2 3" xfId="10711" xr:uid="{00000000-0005-0000-0000-00007D290000}"/>
    <cellStyle name="40% - Accent4 6 2 4" xfId="10712" xr:uid="{00000000-0005-0000-0000-00007E290000}"/>
    <cellStyle name="40% - Accent4 6 3" xfId="10713" xr:uid="{00000000-0005-0000-0000-00007F290000}"/>
    <cellStyle name="40% - Accent4 6 4" xfId="10714" xr:uid="{00000000-0005-0000-0000-000080290000}"/>
    <cellStyle name="40% - Accent4 6 5" xfId="10715" xr:uid="{00000000-0005-0000-0000-000081290000}"/>
    <cellStyle name="40% - Accent4 60" xfId="10716" xr:uid="{00000000-0005-0000-0000-000082290000}"/>
    <cellStyle name="40% - Accent4 61" xfId="10717" xr:uid="{00000000-0005-0000-0000-000083290000}"/>
    <cellStyle name="40% - Accent4 62" xfId="10718" xr:uid="{00000000-0005-0000-0000-000084290000}"/>
    <cellStyle name="40% - Accent4 63" xfId="10719" xr:uid="{00000000-0005-0000-0000-000085290000}"/>
    <cellStyle name="40% - Accent4 64" xfId="10720" xr:uid="{00000000-0005-0000-0000-000086290000}"/>
    <cellStyle name="40% - Accent4 65" xfId="10721" xr:uid="{00000000-0005-0000-0000-000087290000}"/>
    <cellStyle name="40% - Accent4 66" xfId="10722" xr:uid="{00000000-0005-0000-0000-000088290000}"/>
    <cellStyle name="40% - Accent4 67" xfId="10723" xr:uid="{00000000-0005-0000-0000-000089290000}"/>
    <cellStyle name="40% - Accent4 68" xfId="10724" xr:uid="{00000000-0005-0000-0000-00008A290000}"/>
    <cellStyle name="40% - Accent4 69" xfId="10725" xr:uid="{00000000-0005-0000-0000-00008B290000}"/>
    <cellStyle name="40% - Accent4 7" xfId="10726" xr:uid="{00000000-0005-0000-0000-00008C290000}"/>
    <cellStyle name="40% - Accent4 7 2" xfId="10727" xr:uid="{00000000-0005-0000-0000-00008D290000}"/>
    <cellStyle name="40% - Accent4 7 2 2" xfId="10728" xr:uid="{00000000-0005-0000-0000-00008E290000}"/>
    <cellStyle name="40% - Accent4 7 2 3" xfId="10729" xr:uid="{00000000-0005-0000-0000-00008F290000}"/>
    <cellStyle name="40% - Accent4 7 2 4" xfId="10730" xr:uid="{00000000-0005-0000-0000-000090290000}"/>
    <cellStyle name="40% - Accent4 7 3" xfId="10731" xr:uid="{00000000-0005-0000-0000-000091290000}"/>
    <cellStyle name="40% - Accent4 7 4" xfId="10732" xr:uid="{00000000-0005-0000-0000-000092290000}"/>
    <cellStyle name="40% - Accent4 7 5" xfId="10733" xr:uid="{00000000-0005-0000-0000-000093290000}"/>
    <cellStyle name="40% - Accent4 70" xfId="10734" xr:uid="{00000000-0005-0000-0000-000094290000}"/>
    <cellStyle name="40% - Accent4 71" xfId="10735" xr:uid="{00000000-0005-0000-0000-000095290000}"/>
    <cellStyle name="40% - Accent4 72" xfId="10736" xr:uid="{00000000-0005-0000-0000-000096290000}"/>
    <cellStyle name="40% - Accent4 73" xfId="10737" xr:uid="{00000000-0005-0000-0000-000097290000}"/>
    <cellStyle name="40% - Accent4 74" xfId="10738" xr:uid="{00000000-0005-0000-0000-000098290000}"/>
    <cellStyle name="40% - Accent4 75" xfId="10739" xr:uid="{00000000-0005-0000-0000-000099290000}"/>
    <cellStyle name="40% - Accent4 76" xfId="10740" xr:uid="{00000000-0005-0000-0000-00009A290000}"/>
    <cellStyle name="40% - Accent4 77" xfId="10741" xr:uid="{00000000-0005-0000-0000-00009B290000}"/>
    <cellStyle name="40% - Accent4 78" xfId="10742" xr:uid="{00000000-0005-0000-0000-00009C290000}"/>
    <cellStyle name="40% - Accent4 79" xfId="10743" xr:uid="{00000000-0005-0000-0000-00009D290000}"/>
    <cellStyle name="40% - Accent4 79 2" xfId="10744" xr:uid="{00000000-0005-0000-0000-00009E290000}"/>
    <cellStyle name="40% - Accent4 8" xfId="10745" xr:uid="{00000000-0005-0000-0000-00009F290000}"/>
    <cellStyle name="40% - Accent4 8 2" xfId="10746" xr:uid="{00000000-0005-0000-0000-0000A0290000}"/>
    <cellStyle name="40% - Accent4 8 2 2" xfId="10747" xr:uid="{00000000-0005-0000-0000-0000A1290000}"/>
    <cellStyle name="40% - Accent4 8 2 3" xfId="10748" xr:uid="{00000000-0005-0000-0000-0000A2290000}"/>
    <cellStyle name="40% - Accent4 8 2 4" xfId="10749" xr:uid="{00000000-0005-0000-0000-0000A3290000}"/>
    <cellStyle name="40% - Accent4 8 3" xfId="10750" xr:uid="{00000000-0005-0000-0000-0000A4290000}"/>
    <cellStyle name="40% - Accent4 8 4" xfId="10751" xr:uid="{00000000-0005-0000-0000-0000A5290000}"/>
    <cellStyle name="40% - Accent4 8 5" xfId="10752" xr:uid="{00000000-0005-0000-0000-0000A6290000}"/>
    <cellStyle name="40% - Accent4 80" xfId="10753" xr:uid="{00000000-0005-0000-0000-0000A7290000}"/>
    <cellStyle name="40% - Accent4 80 2" xfId="10754" xr:uid="{00000000-0005-0000-0000-0000A8290000}"/>
    <cellStyle name="40% - Accent4 81" xfId="10755" xr:uid="{00000000-0005-0000-0000-0000A9290000}"/>
    <cellStyle name="40% - Accent4 81 2" xfId="10756" xr:uid="{00000000-0005-0000-0000-0000AA290000}"/>
    <cellStyle name="40% - Accent4 82" xfId="10757" xr:uid="{00000000-0005-0000-0000-0000AB290000}"/>
    <cellStyle name="40% - Accent4 82 2" xfId="10758" xr:uid="{00000000-0005-0000-0000-0000AC290000}"/>
    <cellStyle name="40% - Accent4 83" xfId="10759" xr:uid="{00000000-0005-0000-0000-0000AD290000}"/>
    <cellStyle name="40% - Accent4 83 2" xfId="10760" xr:uid="{00000000-0005-0000-0000-0000AE290000}"/>
    <cellStyle name="40% - Accent4 84" xfId="10761" xr:uid="{00000000-0005-0000-0000-0000AF290000}"/>
    <cellStyle name="40% - Accent4 84 2" xfId="10762" xr:uid="{00000000-0005-0000-0000-0000B0290000}"/>
    <cellStyle name="40% - Accent4 85" xfId="10763" xr:uid="{00000000-0005-0000-0000-0000B1290000}"/>
    <cellStyle name="40% - Accent4 85 2" xfId="10764" xr:uid="{00000000-0005-0000-0000-0000B2290000}"/>
    <cellStyle name="40% - Accent4 86" xfId="10765" xr:uid="{00000000-0005-0000-0000-0000B3290000}"/>
    <cellStyle name="40% - Accent4 86 2" xfId="10766" xr:uid="{00000000-0005-0000-0000-0000B4290000}"/>
    <cellStyle name="40% - Accent4 87" xfId="10767" xr:uid="{00000000-0005-0000-0000-0000B5290000}"/>
    <cellStyle name="40% - Accent4 87 2" xfId="10768" xr:uid="{00000000-0005-0000-0000-0000B6290000}"/>
    <cellStyle name="40% - Accent4 88" xfId="10769" xr:uid="{00000000-0005-0000-0000-0000B7290000}"/>
    <cellStyle name="40% - Accent4 88 2" xfId="10770" xr:uid="{00000000-0005-0000-0000-0000B8290000}"/>
    <cellStyle name="40% - Accent4 89" xfId="10771" xr:uid="{00000000-0005-0000-0000-0000B9290000}"/>
    <cellStyle name="40% - Accent4 89 2" xfId="10772" xr:uid="{00000000-0005-0000-0000-0000BA290000}"/>
    <cellStyle name="40% - Accent4 9" xfId="10773" xr:uid="{00000000-0005-0000-0000-0000BB290000}"/>
    <cellStyle name="40% - Accent4 9 2" xfId="10774" xr:uid="{00000000-0005-0000-0000-0000BC290000}"/>
    <cellStyle name="40% - Accent4 9 2 2" xfId="10775" xr:uid="{00000000-0005-0000-0000-0000BD290000}"/>
    <cellStyle name="40% - Accent4 9 2 3" xfId="10776" xr:uid="{00000000-0005-0000-0000-0000BE290000}"/>
    <cellStyle name="40% - Accent4 9 2 4" xfId="10777" xr:uid="{00000000-0005-0000-0000-0000BF290000}"/>
    <cellStyle name="40% - Accent4 9 3" xfId="10778" xr:uid="{00000000-0005-0000-0000-0000C0290000}"/>
    <cellStyle name="40% - Accent4 9 4" xfId="10779" xr:uid="{00000000-0005-0000-0000-0000C1290000}"/>
    <cellStyle name="40% - Accent4 9 5" xfId="10780" xr:uid="{00000000-0005-0000-0000-0000C2290000}"/>
    <cellStyle name="40% - Accent4 90" xfId="10781" xr:uid="{00000000-0005-0000-0000-0000C3290000}"/>
    <cellStyle name="40% - Accent4 91" xfId="10782" xr:uid="{00000000-0005-0000-0000-0000C4290000}"/>
    <cellStyle name="40% - Accent4 92" xfId="10783" xr:uid="{00000000-0005-0000-0000-0000C5290000}"/>
    <cellStyle name="40% - Accent4 93" xfId="10784" xr:uid="{00000000-0005-0000-0000-0000C6290000}"/>
    <cellStyle name="40% - Accent4 94" xfId="10785" xr:uid="{00000000-0005-0000-0000-0000C7290000}"/>
    <cellStyle name="40% - Accent4 95" xfId="10786" xr:uid="{00000000-0005-0000-0000-0000C8290000}"/>
    <cellStyle name="40% - Accent4 96" xfId="10787" xr:uid="{00000000-0005-0000-0000-0000C9290000}"/>
    <cellStyle name="40% - Accent4 97" xfId="10788" xr:uid="{00000000-0005-0000-0000-0000CA290000}"/>
    <cellStyle name="40% - Accent4 98" xfId="10789" xr:uid="{00000000-0005-0000-0000-0000CB290000}"/>
    <cellStyle name="40% - Accent4 99" xfId="10790" xr:uid="{00000000-0005-0000-0000-0000CC290000}"/>
    <cellStyle name="40% - Accent5" xfId="36" builtinId="47" customBuiltin="1"/>
    <cellStyle name="40% - Accent5 10" xfId="10791" xr:uid="{00000000-0005-0000-0000-0000CE290000}"/>
    <cellStyle name="40% - Accent5 10 2" xfId="10792" xr:uid="{00000000-0005-0000-0000-0000CF290000}"/>
    <cellStyle name="40% - Accent5 10 2 2" xfId="10793" xr:uid="{00000000-0005-0000-0000-0000D0290000}"/>
    <cellStyle name="40% - Accent5 10 2 3" xfId="10794" xr:uid="{00000000-0005-0000-0000-0000D1290000}"/>
    <cellStyle name="40% - Accent5 10 2 4" xfId="10795" xr:uid="{00000000-0005-0000-0000-0000D2290000}"/>
    <cellStyle name="40% - Accent5 10 3" xfId="10796" xr:uid="{00000000-0005-0000-0000-0000D3290000}"/>
    <cellStyle name="40% - Accent5 10 4" xfId="10797" xr:uid="{00000000-0005-0000-0000-0000D4290000}"/>
    <cellStyle name="40% - Accent5 10 5" xfId="10798" xr:uid="{00000000-0005-0000-0000-0000D5290000}"/>
    <cellStyle name="40% - Accent5 100" xfId="10799" xr:uid="{00000000-0005-0000-0000-0000D6290000}"/>
    <cellStyle name="40% - Accent5 101" xfId="10800" xr:uid="{00000000-0005-0000-0000-0000D7290000}"/>
    <cellStyle name="40% - Accent5 102" xfId="10801" xr:uid="{00000000-0005-0000-0000-0000D8290000}"/>
    <cellStyle name="40% - Accent5 103" xfId="10802" xr:uid="{00000000-0005-0000-0000-0000D9290000}"/>
    <cellStyle name="40% - Accent5 104" xfId="10803" xr:uid="{00000000-0005-0000-0000-0000DA290000}"/>
    <cellStyle name="40% - Accent5 105" xfId="10804" xr:uid="{00000000-0005-0000-0000-0000DB290000}"/>
    <cellStyle name="40% - Accent5 106" xfId="10805" xr:uid="{00000000-0005-0000-0000-0000DC290000}"/>
    <cellStyle name="40% - Accent5 107" xfId="10806" xr:uid="{00000000-0005-0000-0000-0000DD290000}"/>
    <cellStyle name="40% - Accent5 108" xfId="10807" xr:uid="{00000000-0005-0000-0000-0000DE290000}"/>
    <cellStyle name="40% - Accent5 109" xfId="10808" xr:uid="{00000000-0005-0000-0000-0000DF290000}"/>
    <cellStyle name="40% - Accent5 11" xfId="10809" xr:uid="{00000000-0005-0000-0000-0000E0290000}"/>
    <cellStyle name="40% - Accent5 11 2" xfId="10810" xr:uid="{00000000-0005-0000-0000-0000E1290000}"/>
    <cellStyle name="40% - Accent5 11 2 2" xfId="10811" xr:uid="{00000000-0005-0000-0000-0000E2290000}"/>
    <cellStyle name="40% - Accent5 11 2 3" xfId="10812" xr:uid="{00000000-0005-0000-0000-0000E3290000}"/>
    <cellStyle name="40% - Accent5 11 2 4" xfId="10813" xr:uid="{00000000-0005-0000-0000-0000E4290000}"/>
    <cellStyle name="40% - Accent5 11 3" xfId="10814" xr:uid="{00000000-0005-0000-0000-0000E5290000}"/>
    <cellStyle name="40% - Accent5 11 4" xfId="10815" xr:uid="{00000000-0005-0000-0000-0000E6290000}"/>
    <cellStyle name="40% - Accent5 11 5" xfId="10816" xr:uid="{00000000-0005-0000-0000-0000E7290000}"/>
    <cellStyle name="40% - Accent5 110" xfId="10817" xr:uid="{00000000-0005-0000-0000-0000E8290000}"/>
    <cellStyle name="40% - Accent5 111" xfId="10818" xr:uid="{00000000-0005-0000-0000-0000E9290000}"/>
    <cellStyle name="40% - Accent5 112" xfId="10819" xr:uid="{00000000-0005-0000-0000-0000EA290000}"/>
    <cellStyle name="40% - Accent5 113" xfId="10820" xr:uid="{00000000-0005-0000-0000-0000EB290000}"/>
    <cellStyle name="40% - Accent5 114" xfId="10821" xr:uid="{00000000-0005-0000-0000-0000EC290000}"/>
    <cellStyle name="40% - Accent5 115" xfId="10822" xr:uid="{00000000-0005-0000-0000-0000ED290000}"/>
    <cellStyle name="40% - Accent5 116" xfId="10823" xr:uid="{00000000-0005-0000-0000-0000EE290000}"/>
    <cellStyle name="40% - Accent5 117" xfId="10824" xr:uid="{00000000-0005-0000-0000-0000EF290000}"/>
    <cellStyle name="40% - Accent5 118" xfId="10825" xr:uid="{00000000-0005-0000-0000-0000F0290000}"/>
    <cellStyle name="40% - Accent5 119" xfId="10826" xr:uid="{00000000-0005-0000-0000-0000F1290000}"/>
    <cellStyle name="40% - Accent5 12" xfId="10827" xr:uid="{00000000-0005-0000-0000-0000F2290000}"/>
    <cellStyle name="40% - Accent5 12 2" xfId="10828" xr:uid="{00000000-0005-0000-0000-0000F3290000}"/>
    <cellStyle name="40% - Accent5 12 2 2" xfId="10829" xr:uid="{00000000-0005-0000-0000-0000F4290000}"/>
    <cellStyle name="40% - Accent5 12 2 3" xfId="10830" xr:uid="{00000000-0005-0000-0000-0000F5290000}"/>
    <cellStyle name="40% - Accent5 12 2 4" xfId="10831" xr:uid="{00000000-0005-0000-0000-0000F6290000}"/>
    <cellStyle name="40% - Accent5 12 3" xfId="10832" xr:uid="{00000000-0005-0000-0000-0000F7290000}"/>
    <cellStyle name="40% - Accent5 12 4" xfId="10833" xr:uid="{00000000-0005-0000-0000-0000F8290000}"/>
    <cellStyle name="40% - Accent5 12 5" xfId="10834" xr:uid="{00000000-0005-0000-0000-0000F9290000}"/>
    <cellStyle name="40% - Accent5 120" xfId="10835" xr:uid="{00000000-0005-0000-0000-0000FA290000}"/>
    <cellStyle name="40% - Accent5 121" xfId="10836" xr:uid="{00000000-0005-0000-0000-0000FB290000}"/>
    <cellStyle name="40% - Accent5 122" xfId="10837" xr:uid="{00000000-0005-0000-0000-0000FC290000}"/>
    <cellStyle name="40% - Accent5 123" xfId="10838" xr:uid="{00000000-0005-0000-0000-0000FD290000}"/>
    <cellStyle name="40% - Accent5 124" xfId="10839" xr:uid="{00000000-0005-0000-0000-0000FE290000}"/>
    <cellStyle name="40% - Accent5 125" xfId="10840" xr:uid="{00000000-0005-0000-0000-0000FF290000}"/>
    <cellStyle name="40% - Accent5 126" xfId="10841" xr:uid="{00000000-0005-0000-0000-0000002A0000}"/>
    <cellStyle name="40% - Accent5 127" xfId="10842" xr:uid="{00000000-0005-0000-0000-0000012A0000}"/>
    <cellStyle name="40% - Accent5 128" xfId="10843" xr:uid="{00000000-0005-0000-0000-0000022A0000}"/>
    <cellStyle name="40% - Accent5 129" xfId="10844" xr:uid="{00000000-0005-0000-0000-0000032A0000}"/>
    <cellStyle name="40% - Accent5 13" xfId="10845" xr:uid="{00000000-0005-0000-0000-0000042A0000}"/>
    <cellStyle name="40% - Accent5 13 2" xfId="10846" xr:uid="{00000000-0005-0000-0000-0000052A0000}"/>
    <cellStyle name="40% - Accent5 13 2 2" xfId="10847" xr:uid="{00000000-0005-0000-0000-0000062A0000}"/>
    <cellStyle name="40% - Accent5 13 2 3" xfId="10848" xr:uid="{00000000-0005-0000-0000-0000072A0000}"/>
    <cellStyle name="40% - Accent5 13 2 4" xfId="10849" xr:uid="{00000000-0005-0000-0000-0000082A0000}"/>
    <cellStyle name="40% - Accent5 13 3" xfId="10850" xr:uid="{00000000-0005-0000-0000-0000092A0000}"/>
    <cellStyle name="40% - Accent5 13 4" xfId="10851" xr:uid="{00000000-0005-0000-0000-00000A2A0000}"/>
    <cellStyle name="40% - Accent5 13 5" xfId="10852" xr:uid="{00000000-0005-0000-0000-00000B2A0000}"/>
    <cellStyle name="40% - Accent5 130" xfId="10853" xr:uid="{00000000-0005-0000-0000-00000C2A0000}"/>
    <cellStyle name="40% - Accent5 131" xfId="10854" xr:uid="{00000000-0005-0000-0000-00000D2A0000}"/>
    <cellStyle name="40% - Accent5 132" xfId="10855" xr:uid="{00000000-0005-0000-0000-00000E2A0000}"/>
    <cellStyle name="40% - Accent5 133" xfId="10856" xr:uid="{00000000-0005-0000-0000-00000F2A0000}"/>
    <cellStyle name="40% - Accent5 134" xfId="10857" xr:uid="{00000000-0005-0000-0000-0000102A0000}"/>
    <cellStyle name="40% - Accent5 135" xfId="10858" xr:uid="{00000000-0005-0000-0000-0000112A0000}"/>
    <cellStyle name="40% - Accent5 136" xfId="10859" xr:uid="{00000000-0005-0000-0000-0000122A0000}"/>
    <cellStyle name="40% - Accent5 137" xfId="10860" xr:uid="{00000000-0005-0000-0000-0000132A0000}"/>
    <cellStyle name="40% - Accent5 138" xfId="10861" xr:uid="{00000000-0005-0000-0000-0000142A0000}"/>
    <cellStyle name="40% - Accent5 139" xfId="10862" xr:uid="{00000000-0005-0000-0000-0000152A0000}"/>
    <cellStyle name="40% - Accent5 14" xfId="10863" xr:uid="{00000000-0005-0000-0000-0000162A0000}"/>
    <cellStyle name="40% - Accent5 14 2" xfId="10864" xr:uid="{00000000-0005-0000-0000-0000172A0000}"/>
    <cellStyle name="40% - Accent5 14 2 2" xfId="10865" xr:uid="{00000000-0005-0000-0000-0000182A0000}"/>
    <cellStyle name="40% - Accent5 14 2 3" xfId="10866" xr:uid="{00000000-0005-0000-0000-0000192A0000}"/>
    <cellStyle name="40% - Accent5 14 2 4" xfId="10867" xr:uid="{00000000-0005-0000-0000-00001A2A0000}"/>
    <cellStyle name="40% - Accent5 14 3" xfId="10868" xr:uid="{00000000-0005-0000-0000-00001B2A0000}"/>
    <cellStyle name="40% - Accent5 14 4" xfId="10869" xr:uid="{00000000-0005-0000-0000-00001C2A0000}"/>
    <cellStyle name="40% - Accent5 14 5" xfId="10870" xr:uid="{00000000-0005-0000-0000-00001D2A0000}"/>
    <cellStyle name="40% - Accent5 140" xfId="10871" xr:uid="{00000000-0005-0000-0000-00001E2A0000}"/>
    <cellStyle name="40% - Accent5 141" xfId="10872" xr:uid="{00000000-0005-0000-0000-00001F2A0000}"/>
    <cellStyle name="40% - Accent5 142" xfId="10873" xr:uid="{00000000-0005-0000-0000-0000202A0000}"/>
    <cellStyle name="40% - Accent5 143" xfId="10874" xr:uid="{00000000-0005-0000-0000-0000212A0000}"/>
    <cellStyle name="40% - Accent5 144" xfId="10875" xr:uid="{00000000-0005-0000-0000-0000222A0000}"/>
    <cellStyle name="40% - Accent5 145" xfId="10876" xr:uid="{00000000-0005-0000-0000-0000232A0000}"/>
    <cellStyle name="40% - Accent5 146" xfId="10877" xr:uid="{00000000-0005-0000-0000-0000242A0000}"/>
    <cellStyle name="40% - Accent5 147" xfId="10878" xr:uid="{00000000-0005-0000-0000-0000252A0000}"/>
    <cellStyle name="40% - Accent5 148" xfId="10879" xr:uid="{00000000-0005-0000-0000-0000262A0000}"/>
    <cellStyle name="40% - Accent5 149" xfId="10880" xr:uid="{00000000-0005-0000-0000-0000272A0000}"/>
    <cellStyle name="40% - Accent5 15" xfId="10881" xr:uid="{00000000-0005-0000-0000-0000282A0000}"/>
    <cellStyle name="40% - Accent5 15 2" xfId="10882" xr:uid="{00000000-0005-0000-0000-0000292A0000}"/>
    <cellStyle name="40% - Accent5 15 2 2" xfId="10883" xr:uid="{00000000-0005-0000-0000-00002A2A0000}"/>
    <cellStyle name="40% - Accent5 15 2 3" xfId="10884" xr:uid="{00000000-0005-0000-0000-00002B2A0000}"/>
    <cellStyle name="40% - Accent5 15 2 4" xfId="10885" xr:uid="{00000000-0005-0000-0000-00002C2A0000}"/>
    <cellStyle name="40% - Accent5 15 3" xfId="10886" xr:uid="{00000000-0005-0000-0000-00002D2A0000}"/>
    <cellStyle name="40% - Accent5 15 4" xfId="10887" xr:uid="{00000000-0005-0000-0000-00002E2A0000}"/>
    <cellStyle name="40% - Accent5 15 5" xfId="10888" xr:uid="{00000000-0005-0000-0000-00002F2A0000}"/>
    <cellStyle name="40% - Accent5 150" xfId="10889" xr:uid="{00000000-0005-0000-0000-0000302A0000}"/>
    <cellStyle name="40% - Accent5 151" xfId="10890" xr:uid="{00000000-0005-0000-0000-0000312A0000}"/>
    <cellStyle name="40% - Accent5 152" xfId="10891" xr:uid="{00000000-0005-0000-0000-0000322A0000}"/>
    <cellStyle name="40% - Accent5 153" xfId="10892" xr:uid="{00000000-0005-0000-0000-0000332A0000}"/>
    <cellStyle name="40% - Accent5 154" xfId="10893" xr:uid="{00000000-0005-0000-0000-0000342A0000}"/>
    <cellStyle name="40% - Accent5 155" xfId="10894" xr:uid="{00000000-0005-0000-0000-0000352A0000}"/>
    <cellStyle name="40% - Accent5 156" xfId="10895" xr:uid="{00000000-0005-0000-0000-0000362A0000}"/>
    <cellStyle name="40% - Accent5 157" xfId="10896" xr:uid="{00000000-0005-0000-0000-0000372A0000}"/>
    <cellStyle name="40% - Accent5 158" xfId="10897" xr:uid="{00000000-0005-0000-0000-0000382A0000}"/>
    <cellStyle name="40% - Accent5 159" xfId="10898" xr:uid="{00000000-0005-0000-0000-0000392A0000}"/>
    <cellStyle name="40% - Accent5 16" xfId="10899" xr:uid="{00000000-0005-0000-0000-00003A2A0000}"/>
    <cellStyle name="40% - Accent5 16 2" xfId="10900" xr:uid="{00000000-0005-0000-0000-00003B2A0000}"/>
    <cellStyle name="40% - Accent5 16 2 2" xfId="10901" xr:uid="{00000000-0005-0000-0000-00003C2A0000}"/>
    <cellStyle name="40% - Accent5 16 3" xfId="10902" xr:uid="{00000000-0005-0000-0000-00003D2A0000}"/>
    <cellStyle name="40% - Accent5 16 4" xfId="10903" xr:uid="{00000000-0005-0000-0000-00003E2A0000}"/>
    <cellStyle name="40% - Accent5 16 5" xfId="10904" xr:uid="{00000000-0005-0000-0000-00003F2A0000}"/>
    <cellStyle name="40% - Accent5 160" xfId="10905" xr:uid="{00000000-0005-0000-0000-0000402A0000}"/>
    <cellStyle name="40% - Accent5 161" xfId="10906" xr:uid="{00000000-0005-0000-0000-0000412A0000}"/>
    <cellStyle name="40% - Accent5 162" xfId="10907" xr:uid="{00000000-0005-0000-0000-0000422A0000}"/>
    <cellStyle name="40% - Accent5 163" xfId="10908" xr:uid="{00000000-0005-0000-0000-0000432A0000}"/>
    <cellStyle name="40% - Accent5 164" xfId="10909" xr:uid="{00000000-0005-0000-0000-0000442A0000}"/>
    <cellStyle name="40% - Accent5 165" xfId="10910" xr:uid="{00000000-0005-0000-0000-0000452A0000}"/>
    <cellStyle name="40% - Accent5 166" xfId="10911" xr:uid="{00000000-0005-0000-0000-0000462A0000}"/>
    <cellStyle name="40% - Accent5 167" xfId="10912" xr:uid="{00000000-0005-0000-0000-0000472A0000}"/>
    <cellStyle name="40% - Accent5 168" xfId="10913" xr:uid="{00000000-0005-0000-0000-0000482A0000}"/>
    <cellStyle name="40% - Accent5 169" xfId="10914" xr:uid="{00000000-0005-0000-0000-0000492A0000}"/>
    <cellStyle name="40% - Accent5 17" xfId="10915" xr:uid="{00000000-0005-0000-0000-00004A2A0000}"/>
    <cellStyle name="40% - Accent5 17 2" xfId="10916" xr:uid="{00000000-0005-0000-0000-00004B2A0000}"/>
    <cellStyle name="40% - Accent5 17 2 2" xfId="10917" xr:uid="{00000000-0005-0000-0000-00004C2A0000}"/>
    <cellStyle name="40% - Accent5 17 3" xfId="10918" xr:uid="{00000000-0005-0000-0000-00004D2A0000}"/>
    <cellStyle name="40% - Accent5 17 4" xfId="10919" xr:uid="{00000000-0005-0000-0000-00004E2A0000}"/>
    <cellStyle name="40% - Accent5 17 5" xfId="10920" xr:uid="{00000000-0005-0000-0000-00004F2A0000}"/>
    <cellStyle name="40% - Accent5 18" xfId="10921" xr:uid="{00000000-0005-0000-0000-0000502A0000}"/>
    <cellStyle name="40% - Accent5 18 2" xfId="10922" xr:uid="{00000000-0005-0000-0000-0000512A0000}"/>
    <cellStyle name="40% - Accent5 18 2 2" xfId="10923" xr:uid="{00000000-0005-0000-0000-0000522A0000}"/>
    <cellStyle name="40% - Accent5 18 3" xfId="10924" xr:uid="{00000000-0005-0000-0000-0000532A0000}"/>
    <cellStyle name="40% - Accent5 18 4" xfId="10925" xr:uid="{00000000-0005-0000-0000-0000542A0000}"/>
    <cellStyle name="40% - Accent5 18 5" xfId="10926" xr:uid="{00000000-0005-0000-0000-0000552A0000}"/>
    <cellStyle name="40% - Accent5 19" xfId="10927" xr:uid="{00000000-0005-0000-0000-0000562A0000}"/>
    <cellStyle name="40% - Accent5 19 2" xfId="10928" xr:uid="{00000000-0005-0000-0000-0000572A0000}"/>
    <cellStyle name="40% - Accent5 19 2 2" xfId="10929" xr:uid="{00000000-0005-0000-0000-0000582A0000}"/>
    <cellStyle name="40% - Accent5 19 3" xfId="10930" xr:uid="{00000000-0005-0000-0000-0000592A0000}"/>
    <cellStyle name="40% - Accent5 19 4" xfId="10931" xr:uid="{00000000-0005-0000-0000-00005A2A0000}"/>
    <cellStyle name="40% - Accent5 19 5" xfId="10932" xr:uid="{00000000-0005-0000-0000-00005B2A0000}"/>
    <cellStyle name="40% - Accent5 2" xfId="10933" xr:uid="{00000000-0005-0000-0000-00005C2A0000}"/>
    <cellStyle name="40% - Accent5 2 10" xfId="10934" xr:uid="{00000000-0005-0000-0000-00005D2A0000}"/>
    <cellStyle name="40% - Accent5 2 11" xfId="10935" xr:uid="{00000000-0005-0000-0000-00005E2A0000}"/>
    <cellStyle name="40% - Accent5 2 12" xfId="10936" xr:uid="{00000000-0005-0000-0000-00005F2A0000}"/>
    <cellStyle name="40% - Accent5 2 13" xfId="10937" xr:uid="{00000000-0005-0000-0000-0000602A0000}"/>
    <cellStyle name="40% - Accent5 2 14" xfId="10938" xr:uid="{00000000-0005-0000-0000-0000612A0000}"/>
    <cellStyle name="40% - Accent5 2 15" xfId="10939" xr:uid="{00000000-0005-0000-0000-0000622A0000}"/>
    <cellStyle name="40% - Accent5 2 16" xfId="10940" xr:uid="{00000000-0005-0000-0000-0000632A0000}"/>
    <cellStyle name="40% - Accent5 2 17" xfId="10941" xr:uid="{00000000-0005-0000-0000-0000642A0000}"/>
    <cellStyle name="40% - Accent5 2 18" xfId="10942" xr:uid="{00000000-0005-0000-0000-0000652A0000}"/>
    <cellStyle name="40% - Accent5 2 19" xfId="10943" xr:uid="{00000000-0005-0000-0000-0000662A0000}"/>
    <cellStyle name="40% - Accent5 2 2" xfId="10944" xr:uid="{00000000-0005-0000-0000-0000672A0000}"/>
    <cellStyle name="40% - Accent5 2 2 2" xfId="10945" xr:uid="{00000000-0005-0000-0000-0000682A0000}"/>
    <cellStyle name="40% - Accent5 2 20" xfId="10946" xr:uid="{00000000-0005-0000-0000-0000692A0000}"/>
    <cellStyle name="40% - Accent5 2 21" xfId="10947" xr:uid="{00000000-0005-0000-0000-00006A2A0000}"/>
    <cellStyle name="40% - Accent5 2 22" xfId="10948" xr:uid="{00000000-0005-0000-0000-00006B2A0000}"/>
    <cellStyle name="40% - Accent5 2 23" xfId="10949" xr:uid="{00000000-0005-0000-0000-00006C2A0000}"/>
    <cellStyle name="40% - Accent5 2 24" xfId="10950" xr:uid="{00000000-0005-0000-0000-00006D2A0000}"/>
    <cellStyle name="40% - Accent5 2 25" xfId="10951" xr:uid="{00000000-0005-0000-0000-00006E2A0000}"/>
    <cellStyle name="40% - Accent5 2 26" xfId="10952" xr:uid="{00000000-0005-0000-0000-00006F2A0000}"/>
    <cellStyle name="40% - Accent5 2 27" xfId="10953" xr:uid="{00000000-0005-0000-0000-0000702A0000}"/>
    <cellStyle name="40% - Accent5 2 28" xfId="10954" xr:uid="{00000000-0005-0000-0000-0000712A0000}"/>
    <cellStyle name="40% - Accent5 2 29" xfId="10955" xr:uid="{00000000-0005-0000-0000-0000722A0000}"/>
    <cellStyle name="40% - Accent5 2 3" xfId="10956" xr:uid="{00000000-0005-0000-0000-0000732A0000}"/>
    <cellStyle name="40% - Accent5 2 30" xfId="10957" xr:uid="{00000000-0005-0000-0000-0000742A0000}"/>
    <cellStyle name="40% - Accent5 2 31" xfId="10958" xr:uid="{00000000-0005-0000-0000-0000752A0000}"/>
    <cellStyle name="40% - Accent5 2 32" xfId="10959" xr:uid="{00000000-0005-0000-0000-0000762A0000}"/>
    <cellStyle name="40% - Accent5 2 33" xfId="10960" xr:uid="{00000000-0005-0000-0000-0000772A0000}"/>
    <cellStyle name="40% - Accent5 2 34" xfId="10961" xr:uid="{00000000-0005-0000-0000-0000782A0000}"/>
    <cellStyle name="40% - Accent5 2 35" xfId="10962" xr:uid="{00000000-0005-0000-0000-0000792A0000}"/>
    <cellStyle name="40% - Accent5 2 36" xfId="10963" xr:uid="{00000000-0005-0000-0000-00007A2A0000}"/>
    <cellStyle name="40% - Accent5 2 37" xfId="10964" xr:uid="{00000000-0005-0000-0000-00007B2A0000}"/>
    <cellStyle name="40% - Accent5 2 4" xfId="10965" xr:uid="{00000000-0005-0000-0000-00007C2A0000}"/>
    <cellStyle name="40% - Accent5 2 4 2" xfId="10966" xr:uid="{00000000-0005-0000-0000-00007D2A0000}"/>
    <cellStyle name="40% - Accent5 2 4 3" xfId="10967" xr:uid="{00000000-0005-0000-0000-00007E2A0000}"/>
    <cellStyle name="40% - Accent5 2 4 4" xfId="10968" xr:uid="{00000000-0005-0000-0000-00007F2A0000}"/>
    <cellStyle name="40% - Accent5 2 5" xfId="10969" xr:uid="{00000000-0005-0000-0000-0000802A0000}"/>
    <cellStyle name="40% - Accent5 2 6" xfId="10970" xr:uid="{00000000-0005-0000-0000-0000812A0000}"/>
    <cellStyle name="40% - Accent5 2 7" xfId="10971" xr:uid="{00000000-0005-0000-0000-0000822A0000}"/>
    <cellStyle name="40% - Accent5 2 8" xfId="10972" xr:uid="{00000000-0005-0000-0000-0000832A0000}"/>
    <cellStyle name="40% - Accent5 2 9" xfId="10973" xr:uid="{00000000-0005-0000-0000-0000842A0000}"/>
    <cellStyle name="40% - Accent5 20" xfId="10974" xr:uid="{00000000-0005-0000-0000-0000852A0000}"/>
    <cellStyle name="40% - Accent5 20 10" xfId="10975" xr:uid="{00000000-0005-0000-0000-0000862A0000}"/>
    <cellStyle name="40% - Accent5 20 11" xfId="10976" xr:uid="{00000000-0005-0000-0000-0000872A0000}"/>
    <cellStyle name="40% - Accent5 20 12" xfId="10977" xr:uid="{00000000-0005-0000-0000-0000882A0000}"/>
    <cellStyle name="40% - Accent5 20 13" xfId="10978" xr:uid="{00000000-0005-0000-0000-0000892A0000}"/>
    <cellStyle name="40% - Accent5 20 14" xfId="10979" xr:uid="{00000000-0005-0000-0000-00008A2A0000}"/>
    <cellStyle name="40% - Accent5 20 15" xfId="10980" xr:uid="{00000000-0005-0000-0000-00008B2A0000}"/>
    <cellStyle name="40% - Accent5 20 16" xfId="10981" xr:uid="{00000000-0005-0000-0000-00008C2A0000}"/>
    <cellStyle name="40% - Accent5 20 17" xfId="10982" xr:uid="{00000000-0005-0000-0000-00008D2A0000}"/>
    <cellStyle name="40% - Accent5 20 18" xfId="10983" xr:uid="{00000000-0005-0000-0000-00008E2A0000}"/>
    <cellStyle name="40% - Accent5 20 2" xfId="10984" xr:uid="{00000000-0005-0000-0000-00008F2A0000}"/>
    <cellStyle name="40% - Accent5 20 2 2" xfId="10985" xr:uid="{00000000-0005-0000-0000-0000902A0000}"/>
    <cellStyle name="40% - Accent5 20 2 3" xfId="10986" xr:uid="{00000000-0005-0000-0000-0000912A0000}"/>
    <cellStyle name="40% - Accent5 20 2 4" xfId="10987" xr:uid="{00000000-0005-0000-0000-0000922A0000}"/>
    <cellStyle name="40% - Accent5 20 3" xfId="10988" xr:uid="{00000000-0005-0000-0000-0000932A0000}"/>
    <cellStyle name="40% - Accent5 20 4" xfId="10989" xr:uid="{00000000-0005-0000-0000-0000942A0000}"/>
    <cellStyle name="40% - Accent5 20 5" xfId="10990" xr:uid="{00000000-0005-0000-0000-0000952A0000}"/>
    <cellStyle name="40% - Accent5 20 6" xfId="10991" xr:uid="{00000000-0005-0000-0000-0000962A0000}"/>
    <cellStyle name="40% - Accent5 20 7" xfId="10992" xr:uid="{00000000-0005-0000-0000-0000972A0000}"/>
    <cellStyle name="40% - Accent5 20 8" xfId="10993" xr:uid="{00000000-0005-0000-0000-0000982A0000}"/>
    <cellStyle name="40% - Accent5 20 9" xfId="10994" xr:uid="{00000000-0005-0000-0000-0000992A0000}"/>
    <cellStyle name="40% - Accent5 21" xfId="10995" xr:uid="{00000000-0005-0000-0000-00009A2A0000}"/>
    <cellStyle name="40% - Accent5 21 2" xfId="10996" xr:uid="{00000000-0005-0000-0000-00009B2A0000}"/>
    <cellStyle name="40% - Accent5 21 2 2" xfId="10997" xr:uid="{00000000-0005-0000-0000-00009C2A0000}"/>
    <cellStyle name="40% - Accent5 21 2 3" xfId="10998" xr:uid="{00000000-0005-0000-0000-00009D2A0000}"/>
    <cellStyle name="40% - Accent5 21 3" xfId="10999" xr:uid="{00000000-0005-0000-0000-00009E2A0000}"/>
    <cellStyle name="40% - Accent5 21 4" xfId="11000" xr:uid="{00000000-0005-0000-0000-00009F2A0000}"/>
    <cellStyle name="40% - Accent5 21 5" xfId="11001" xr:uid="{00000000-0005-0000-0000-0000A02A0000}"/>
    <cellStyle name="40% - Accent5 21 6" xfId="11002" xr:uid="{00000000-0005-0000-0000-0000A12A0000}"/>
    <cellStyle name="40% - Accent5 22" xfId="11003" xr:uid="{00000000-0005-0000-0000-0000A22A0000}"/>
    <cellStyle name="40% - Accent5 22 2" xfId="11004" xr:uid="{00000000-0005-0000-0000-0000A32A0000}"/>
    <cellStyle name="40% - Accent5 22 3" xfId="11005" xr:uid="{00000000-0005-0000-0000-0000A42A0000}"/>
    <cellStyle name="40% - Accent5 23" xfId="11006" xr:uid="{00000000-0005-0000-0000-0000A52A0000}"/>
    <cellStyle name="40% - Accent5 23 2" xfId="11007" xr:uid="{00000000-0005-0000-0000-0000A62A0000}"/>
    <cellStyle name="40% - Accent5 23 3" xfId="11008" xr:uid="{00000000-0005-0000-0000-0000A72A0000}"/>
    <cellStyle name="40% - Accent5 24" xfId="11009" xr:uid="{00000000-0005-0000-0000-0000A82A0000}"/>
    <cellStyle name="40% - Accent5 24 2" xfId="11010" xr:uid="{00000000-0005-0000-0000-0000A92A0000}"/>
    <cellStyle name="40% - Accent5 24 3" xfId="11011" xr:uid="{00000000-0005-0000-0000-0000AA2A0000}"/>
    <cellStyle name="40% - Accent5 25" xfId="11012" xr:uid="{00000000-0005-0000-0000-0000AB2A0000}"/>
    <cellStyle name="40% - Accent5 25 2" xfId="11013" xr:uid="{00000000-0005-0000-0000-0000AC2A0000}"/>
    <cellStyle name="40% - Accent5 25 3" xfId="11014" xr:uid="{00000000-0005-0000-0000-0000AD2A0000}"/>
    <cellStyle name="40% - Accent5 26" xfId="11015" xr:uid="{00000000-0005-0000-0000-0000AE2A0000}"/>
    <cellStyle name="40% - Accent5 26 2" xfId="11016" xr:uid="{00000000-0005-0000-0000-0000AF2A0000}"/>
    <cellStyle name="40% - Accent5 26 3" xfId="11017" xr:uid="{00000000-0005-0000-0000-0000B02A0000}"/>
    <cellStyle name="40% - Accent5 27" xfId="11018" xr:uid="{00000000-0005-0000-0000-0000B12A0000}"/>
    <cellStyle name="40% - Accent5 27 2" xfId="11019" xr:uid="{00000000-0005-0000-0000-0000B22A0000}"/>
    <cellStyle name="40% - Accent5 27 3" xfId="11020" xr:uid="{00000000-0005-0000-0000-0000B32A0000}"/>
    <cellStyle name="40% - Accent5 28" xfId="11021" xr:uid="{00000000-0005-0000-0000-0000B42A0000}"/>
    <cellStyle name="40% - Accent5 28 2" xfId="11022" xr:uid="{00000000-0005-0000-0000-0000B52A0000}"/>
    <cellStyle name="40% - Accent5 28 3" xfId="11023" xr:uid="{00000000-0005-0000-0000-0000B62A0000}"/>
    <cellStyle name="40% - Accent5 29" xfId="11024" xr:uid="{00000000-0005-0000-0000-0000B72A0000}"/>
    <cellStyle name="40% - Accent5 29 2" xfId="11025" xr:uid="{00000000-0005-0000-0000-0000B82A0000}"/>
    <cellStyle name="40% - Accent5 29 3" xfId="11026" xr:uid="{00000000-0005-0000-0000-0000B92A0000}"/>
    <cellStyle name="40% - Accent5 3" xfId="11027" xr:uid="{00000000-0005-0000-0000-0000BA2A0000}"/>
    <cellStyle name="40% - Accent5 3 10" xfId="11028" xr:uid="{00000000-0005-0000-0000-0000BB2A0000}"/>
    <cellStyle name="40% - Accent5 3 10 10" xfId="11029" xr:uid="{00000000-0005-0000-0000-0000BC2A0000}"/>
    <cellStyle name="40% - Accent5 3 10 11" xfId="11030" xr:uid="{00000000-0005-0000-0000-0000BD2A0000}"/>
    <cellStyle name="40% - Accent5 3 10 12" xfId="11031" xr:uid="{00000000-0005-0000-0000-0000BE2A0000}"/>
    <cellStyle name="40% - Accent5 3 10 13" xfId="11032" xr:uid="{00000000-0005-0000-0000-0000BF2A0000}"/>
    <cellStyle name="40% - Accent5 3 10 14" xfId="11033" xr:uid="{00000000-0005-0000-0000-0000C02A0000}"/>
    <cellStyle name="40% - Accent5 3 10 15" xfId="11034" xr:uid="{00000000-0005-0000-0000-0000C12A0000}"/>
    <cellStyle name="40% - Accent5 3 10 2" xfId="11035" xr:uid="{00000000-0005-0000-0000-0000C22A0000}"/>
    <cellStyle name="40% - Accent5 3 10 3" xfId="11036" xr:uid="{00000000-0005-0000-0000-0000C32A0000}"/>
    <cellStyle name="40% - Accent5 3 10 4" xfId="11037" xr:uid="{00000000-0005-0000-0000-0000C42A0000}"/>
    <cellStyle name="40% - Accent5 3 10 5" xfId="11038" xr:uid="{00000000-0005-0000-0000-0000C52A0000}"/>
    <cellStyle name="40% - Accent5 3 10 6" xfId="11039" xr:uid="{00000000-0005-0000-0000-0000C62A0000}"/>
    <cellStyle name="40% - Accent5 3 10 7" xfId="11040" xr:uid="{00000000-0005-0000-0000-0000C72A0000}"/>
    <cellStyle name="40% - Accent5 3 10 8" xfId="11041" xr:uid="{00000000-0005-0000-0000-0000C82A0000}"/>
    <cellStyle name="40% - Accent5 3 10 9" xfId="11042" xr:uid="{00000000-0005-0000-0000-0000C92A0000}"/>
    <cellStyle name="40% - Accent5 3 11" xfId="11043" xr:uid="{00000000-0005-0000-0000-0000CA2A0000}"/>
    <cellStyle name="40% - Accent5 3 11 10" xfId="11044" xr:uid="{00000000-0005-0000-0000-0000CB2A0000}"/>
    <cellStyle name="40% - Accent5 3 11 11" xfId="11045" xr:uid="{00000000-0005-0000-0000-0000CC2A0000}"/>
    <cellStyle name="40% - Accent5 3 11 12" xfId="11046" xr:uid="{00000000-0005-0000-0000-0000CD2A0000}"/>
    <cellStyle name="40% - Accent5 3 11 13" xfId="11047" xr:uid="{00000000-0005-0000-0000-0000CE2A0000}"/>
    <cellStyle name="40% - Accent5 3 11 14" xfId="11048" xr:uid="{00000000-0005-0000-0000-0000CF2A0000}"/>
    <cellStyle name="40% - Accent5 3 11 15" xfId="11049" xr:uid="{00000000-0005-0000-0000-0000D02A0000}"/>
    <cellStyle name="40% - Accent5 3 11 2" xfId="11050" xr:uid="{00000000-0005-0000-0000-0000D12A0000}"/>
    <cellStyle name="40% - Accent5 3 11 3" xfId="11051" xr:uid="{00000000-0005-0000-0000-0000D22A0000}"/>
    <cellStyle name="40% - Accent5 3 11 4" xfId="11052" xr:uid="{00000000-0005-0000-0000-0000D32A0000}"/>
    <cellStyle name="40% - Accent5 3 11 5" xfId="11053" xr:uid="{00000000-0005-0000-0000-0000D42A0000}"/>
    <cellStyle name="40% - Accent5 3 11 6" xfId="11054" xr:uid="{00000000-0005-0000-0000-0000D52A0000}"/>
    <cellStyle name="40% - Accent5 3 11 7" xfId="11055" xr:uid="{00000000-0005-0000-0000-0000D62A0000}"/>
    <cellStyle name="40% - Accent5 3 11 8" xfId="11056" xr:uid="{00000000-0005-0000-0000-0000D72A0000}"/>
    <cellStyle name="40% - Accent5 3 11 9" xfId="11057" xr:uid="{00000000-0005-0000-0000-0000D82A0000}"/>
    <cellStyle name="40% - Accent5 3 12" xfId="11058" xr:uid="{00000000-0005-0000-0000-0000D92A0000}"/>
    <cellStyle name="40% - Accent5 3 12 10" xfId="11059" xr:uid="{00000000-0005-0000-0000-0000DA2A0000}"/>
    <cellStyle name="40% - Accent5 3 12 11" xfId="11060" xr:uid="{00000000-0005-0000-0000-0000DB2A0000}"/>
    <cellStyle name="40% - Accent5 3 12 12" xfId="11061" xr:uid="{00000000-0005-0000-0000-0000DC2A0000}"/>
    <cellStyle name="40% - Accent5 3 12 13" xfId="11062" xr:uid="{00000000-0005-0000-0000-0000DD2A0000}"/>
    <cellStyle name="40% - Accent5 3 12 14" xfId="11063" xr:uid="{00000000-0005-0000-0000-0000DE2A0000}"/>
    <cellStyle name="40% - Accent5 3 12 15" xfId="11064" xr:uid="{00000000-0005-0000-0000-0000DF2A0000}"/>
    <cellStyle name="40% - Accent5 3 12 2" xfId="11065" xr:uid="{00000000-0005-0000-0000-0000E02A0000}"/>
    <cellStyle name="40% - Accent5 3 12 3" xfId="11066" xr:uid="{00000000-0005-0000-0000-0000E12A0000}"/>
    <cellStyle name="40% - Accent5 3 12 4" xfId="11067" xr:uid="{00000000-0005-0000-0000-0000E22A0000}"/>
    <cellStyle name="40% - Accent5 3 12 5" xfId="11068" xr:uid="{00000000-0005-0000-0000-0000E32A0000}"/>
    <cellStyle name="40% - Accent5 3 12 6" xfId="11069" xr:uid="{00000000-0005-0000-0000-0000E42A0000}"/>
    <cellStyle name="40% - Accent5 3 12 7" xfId="11070" xr:uid="{00000000-0005-0000-0000-0000E52A0000}"/>
    <cellStyle name="40% - Accent5 3 12 8" xfId="11071" xr:uid="{00000000-0005-0000-0000-0000E62A0000}"/>
    <cellStyle name="40% - Accent5 3 12 9" xfId="11072" xr:uid="{00000000-0005-0000-0000-0000E72A0000}"/>
    <cellStyle name="40% - Accent5 3 13" xfId="11073" xr:uid="{00000000-0005-0000-0000-0000E82A0000}"/>
    <cellStyle name="40% - Accent5 3 13 10" xfId="11074" xr:uid="{00000000-0005-0000-0000-0000E92A0000}"/>
    <cellStyle name="40% - Accent5 3 13 11" xfId="11075" xr:uid="{00000000-0005-0000-0000-0000EA2A0000}"/>
    <cellStyle name="40% - Accent5 3 13 12" xfId="11076" xr:uid="{00000000-0005-0000-0000-0000EB2A0000}"/>
    <cellStyle name="40% - Accent5 3 13 13" xfId="11077" xr:uid="{00000000-0005-0000-0000-0000EC2A0000}"/>
    <cellStyle name="40% - Accent5 3 13 14" xfId="11078" xr:uid="{00000000-0005-0000-0000-0000ED2A0000}"/>
    <cellStyle name="40% - Accent5 3 13 15" xfId="11079" xr:uid="{00000000-0005-0000-0000-0000EE2A0000}"/>
    <cellStyle name="40% - Accent5 3 13 2" xfId="11080" xr:uid="{00000000-0005-0000-0000-0000EF2A0000}"/>
    <cellStyle name="40% - Accent5 3 13 3" xfId="11081" xr:uid="{00000000-0005-0000-0000-0000F02A0000}"/>
    <cellStyle name="40% - Accent5 3 13 4" xfId="11082" xr:uid="{00000000-0005-0000-0000-0000F12A0000}"/>
    <cellStyle name="40% - Accent5 3 13 5" xfId="11083" xr:uid="{00000000-0005-0000-0000-0000F22A0000}"/>
    <cellStyle name="40% - Accent5 3 13 6" xfId="11084" xr:uid="{00000000-0005-0000-0000-0000F32A0000}"/>
    <cellStyle name="40% - Accent5 3 13 7" xfId="11085" xr:uid="{00000000-0005-0000-0000-0000F42A0000}"/>
    <cellStyle name="40% - Accent5 3 13 8" xfId="11086" xr:uid="{00000000-0005-0000-0000-0000F52A0000}"/>
    <cellStyle name="40% - Accent5 3 13 9" xfId="11087" xr:uid="{00000000-0005-0000-0000-0000F62A0000}"/>
    <cellStyle name="40% - Accent5 3 14" xfId="11088" xr:uid="{00000000-0005-0000-0000-0000F72A0000}"/>
    <cellStyle name="40% - Accent5 3 14 10" xfId="11089" xr:uid="{00000000-0005-0000-0000-0000F82A0000}"/>
    <cellStyle name="40% - Accent5 3 14 11" xfId="11090" xr:uid="{00000000-0005-0000-0000-0000F92A0000}"/>
    <cellStyle name="40% - Accent5 3 14 12" xfId="11091" xr:uid="{00000000-0005-0000-0000-0000FA2A0000}"/>
    <cellStyle name="40% - Accent5 3 14 13" xfId="11092" xr:uid="{00000000-0005-0000-0000-0000FB2A0000}"/>
    <cellStyle name="40% - Accent5 3 14 14" xfId="11093" xr:uid="{00000000-0005-0000-0000-0000FC2A0000}"/>
    <cellStyle name="40% - Accent5 3 14 15" xfId="11094" xr:uid="{00000000-0005-0000-0000-0000FD2A0000}"/>
    <cellStyle name="40% - Accent5 3 14 2" xfId="11095" xr:uid="{00000000-0005-0000-0000-0000FE2A0000}"/>
    <cellStyle name="40% - Accent5 3 14 3" xfId="11096" xr:uid="{00000000-0005-0000-0000-0000FF2A0000}"/>
    <cellStyle name="40% - Accent5 3 14 4" xfId="11097" xr:uid="{00000000-0005-0000-0000-0000002B0000}"/>
    <cellStyle name="40% - Accent5 3 14 5" xfId="11098" xr:uid="{00000000-0005-0000-0000-0000012B0000}"/>
    <cellStyle name="40% - Accent5 3 14 6" xfId="11099" xr:uid="{00000000-0005-0000-0000-0000022B0000}"/>
    <cellStyle name="40% - Accent5 3 14 7" xfId="11100" xr:uid="{00000000-0005-0000-0000-0000032B0000}"/>
    <cellStyle name="40% - Accent5 3 14 8" xfId="11101" xr:uid="{00000000-0005-0000-0000-0000042B0000}"/>
    <cellStyle name="40% - Accent5 3 14 9" xfId="11102" xr:uid="{00000000-0005-0000-0000-0000052B0000}"/>
    <cellStyle name="40% - Accent5 3 15" xfId="11103" xr:uid="{00000000-0005-0000-0000-0000062B0000}"/>
    <cellStyle name="40% - Accent5 3 15 10" xfId="11104" xr:uid="{00000000-0005-0000-0000-0000072B0000}"/>
    <cellStyle name="40% - Accent5 3 15 11" xfId="11105" xr:uid="{00000000-0005-0000-0000-0000082B0000}"/>
    <cellStyle name="40% - Accent5 3 15 12" xfId="11106" xr:uid="{00000000-0005-0000-0000-0000092B0000}"/>
    <cellStyle name="40% - Accent5 3 15 13" xfId="11107" xr:uid="{00000000-0005-0000-0000-00000A2B0000}"/>
    <cellStyle name="40% - Accent5 3 15 14" xfId="11108" xr:uid="{00000000-0005-0000-0000-00000B2B0000}"/>
    <cellStyle name="40% - Accent5 3 15 15" xfId="11109" xr:uid="{00000000-0005-0000-0000-00000C2B0000}"/>
    <cellStyle name="40% - Accent5 3 15 2" xfId="11110" xr:uid="{00000000-0005-0000-0000-00000D2B0000}"/>
    <cellStyle name="40% - Accent5 3 15 3" xfId="11111" xr:uid="{00000000-0005-0000-0000-00000E2B0000}"/>
    <cellStyle name="40% - Accent5 3 15 4" xfId="11112" xr:uid="{00000000-0005-0000-0000-00000F2B0000}"/>
    <cellStyle name="40% - Accent5 3 15 5" xfId="11113" xr:uid="{00000000-0005-0000-0000-0000102B0000}"/>
    <cellStyle name="40% - Accent5 3 15 6" xfId="11114" xr:uid="{00000000-0005-0000-0000-0000112B0000}"/>
    <cellStyle name="40% - Accent5 3 15 7" xfId="11115" xr:uid="{00000000-0005-0000-0000-0000122B0000}"/>
    <cellStyle name="40% - Accent5 3 15 8" xfId="11116" xr:uid="{00000000-0005-0000-0000-0000132B0000}"/>
    <cellStyle name="40% - Accent5 3 15 9" xfId="11117" xr:uid="{00000000-0005-0000-0000-0000142B0000}"/>
    <cellStyle name="40% - Accent5 3 16" xfId="11118" xr:uid="{00000000-0005-0000-0000-0000152B0000}"/>
    <cellStyle name="40% - Accent5 3 16 10" xfId="11119" xr:uid="{00000000-0005-0000-0000-0000162B0000}"/>
    <cellStyle name="40% - Accent5 3 16 11" xfId="11120" xr:uid="{00000000-0005-0000-0000-0000172B0000}"/>
    <cellStyle name="40% - Accent5 3 16 12" xfId="11121" xr:uid="{00000000-0005-0000-0000-0000182B0000}"/>
    <cellStyle name="40% - Accent5 3 16 13" xfId="11122" xr:uid="{00000000-0005-0000-0000-0000192B0000}"/>
    <cellStyle name="40% - Accent5 3 16 14" xfId="11123" xr:uid="{00000000-0005-0000-0000-00001A2B0000}"/>
    <cellStyle name="40% - Accent5 3 16 15" xfId="11124" xr:uid="{00000000-0005-0000-0000-00001B2B0000}"/>
    <cellStyle name="40% - Accent5 3 16 2" xfId="11125" xr:uid="{00000000-0005-0000-0000-00001C2B0000}"/>
    <cellStyle name="40% - Accent5 3 16 3" xfId="11126" xr:uid="{00000000-0005-0000-0000-00001D2B0000}"/>
    <cellStyle name="40% - Accent5 3 16 4" xfId="11127" xr:uid="{00000000-0005-0000-0000-00001E2B0000}"/>
    <cellStyle name="40% - Accent5 3 16 5" xfId="11128" xr:uid="{00000000-0005-0000-0000-00001F2B0000}"/>
    <cellStyle name="40% - Accent5 3 16 6" xfId="11129" xr:uid="{00000000-0005-0000-0000-0000202B0000}"/>
    <cellStyle name="40% - Accent5 3 16 7" xfId="11130" xr:uid="{00000000-0005-0000-0000-0000212B0000}"/>
    <cellStyle name="40% - Accent5 3 16 8" xfId="11131" xr:uid="{00000000-0005-0000-0000-0000222B0000}"/>
    <cellStyle name="40% - Accent5 3 16 9" xfId="11132" xr:uid="{00000000-0005-0000-0000-0000232B0000}"/>
    <cellStyle name="40% - Accent5 3 17" xfId="11133" xr:uid="{00000000-0005-0000-0000-0000242B0000}"/>
    <cellStyle name="40% - Accent5 3 17 10" xfId="11134" xr:uid="{00000000-0005-0000-0000-0000252B0000}"/>
    <cellStyle name="40% - Accent5 3 17 11" xfId="11135" xr:uid="{00000000-0005-0000-0000-0000262B0000}"/>
    <cellStyle name="40% - Accent5 3 17 12" xfId="11136" xr:uid="{00000000-0005-0000-0000-0000272B0000}"/>
    <cellStyle name="40% - Accent5 3 17 13" xfId="11137" xr:uid="{00000000-0005-0000-0000-0000282B0000}"/>
    <cellStyle name="40% - Accent5 3 17 14" xfId="11138" xr:uid="{00000000-0005-0000-0000-0000292B0000}"/>
    <cellStyle name="40% - Accent5 3 17 15" xfId="11139" xr:uid="{00000000-0005-0000-0000-00002A2B0000}"/>
    <cellStyle name="40% - Accent5 3 17 2" xfId="11140" xr:uid="{00000000-0005-0000-0000-00002B2B0000}"/>
    <cellStyle name="40% - Accent5 3 17 3" xfId="11141" xr:uid="{00000000-0005-0000-0000-00002C2B0000}"/>
    <cellStyle name="40% - Accent5 3 17 4" xfId="11142" xr:uid="{00000000-0005-0000-0000-00002D2B0000}"/>
    <cellStyle name="40% - Accent5 3 17 5" xfId="11143" xr:uid="{00000000-0005-0000-0000-00002E2B0000}"/>
    <cellStyle name="40% - Accent5 3 17 6" xfId="11144" xr:uid="{00000000-0005-0000-0000-00002F2B0000}"/>
    <cellStyle name="40% - Accent5 3 17 7" xfId="11145" xr:uid="{00000000-0005-0000-0000-0000302B0000}"/>
    <cellStyle name="40% - Accent5 3 17 8" xfId="11146" xr:uid="{00000000-0005-0000-0000-0000312B0000}"/>
    <cellStyle name="40% - Accent5 3 17 9" xfId="11147" xr:uid="{00000000-0005-0000-0000-0000322B0000}"/>
    <cellStyle name="40% - Accent5 3 18" xfId="11148" xr:uid="{00000000-0005-0000-0000-0000332B0000}"/>
    <cellStyle name="40% - Accent5 3 18 10" xfId="11149" xr:uid="{00000000-0005-0000-0000-0000342B0000}"/>
    <cellStyle name="40% - Accent5 3 18 11" xfId="11150" xr:uid="{00000000-0005-0000-0000-0000352B0000}"/>
    <cellStyle name="40% - Accent5 3 18 12" xfId="11151" xr:uid="{00000000-0005-0000-0000-0000362B0000}"/>
    <cellStyle name="40% - Accent5 3 18 13" xfId="11152" xr:uid="{00000000-0005-0000-0000-0000372B0000}"/>
    <cellStyle name="40% - Accent5 3 18 14" xfId="11153" xr:uid="{00000000-0005-0000-0000-0000382B0000}"/>
    <cellStyle name="40% - Accent5 3 18 15" xfId="11154" xr:uid="{00000000-0005-0000-0000-0000392B0000}"/>
    <cellStyle name="40% - Accent5 3 18 2" xfId="11155" xr:uid="{00000000-0005-0000-0000-00003A2B0000}"/>
    <cellStyle name="40% - Accent5 3 18 3" xfId="11156" xr:uid="{00000000-0005-0000-0000-00003B2B0000}"/>
    <cellStyle name="40% - Accent5 3 18 4" xfId="11157" xr:uid="{00000000-0005-0000-0000-00003C2B0000}"/>
    <cellStyle name="40% - Accent5 3 18 5" xfId="11158" xr:uid="{00000000-0005-0000-0000-00003D2B0000}"/>
    <cellStyle name="40% - Accent5 3 18 6" xfId="11159" xr:uid="{00000000-0005-0000-0000-00003E2B0000}"/>
    <cellStyle name="40% - Accent5 3 18 7" xfId="11160" xr:uid="{00000000-0005-0000-0000-00003F2B0000}"/>
    <cellStyle name="40% - Accent5 3 18 8" xfId="11161" xr:uid="{00000000-0005-0000-0000-0000402B0000}"/>
    <cellStyle name="40% - Accent5 3 18 9" xfId="11162" xr:uid="{00000000-0005-0000-0000-0000412B0000}"/>
    <cellStyle name="40% - Accent5 3 19" xfId="11163" xr:uid="{00000000-0005-0000-0000-0000422B0000}"/>
    <cellStyle name="40% - Accent5 3 19 10" xfId="11164" xr:uid="{00000000-0005-0000-0000-0000432B0000}"/>
    <cellStyle name="40% - Accent5 3 19 11" xfId="11165" xr:uid="{00000000-0005-0000-0000-0000442B0000}"/>
    <cellStyle name="40% - Accent5 3 19 12" xfId="11166" xr:uid="{00000000-0005-0000-0000-0000452B0000}"/>
    <cellStyle name="40% - Accent5 3 19 13" xfId="11167" xr:uid="{00000000-0005-0000-0000-0000462B0000}"/>
    <cellStyle name="40% - Accent5 3 19 14" xfId="11168" xr:uid="{00000000-0005-0000-0000-0000472B0000}"/>
    <cellStyle name="40% - Accent5 3 19 15" xfId="11169" xr:uid="{00000000-0005-0000-0000-0000482B0000}"/>
    <cellStyle name="40% - Accent5 3 19 2" xfId="11170" xr:uid="{00000000-0005-0000-0000-0000492B0000}"/>
    <cellStyle name="40% - Accent5 3 19 3" xfId="11171" xr:uid="{00000000-0005-0000-0000-00004A2B0000}"/>
    <cellStyle name="40% - Accent5 3 19 4" xfId="11172" xr:uid="{00000000-0005-0000-0000-00004B2B0000}"/>
    <cellStyle name="40% - Accent5 3 19 5" xfId="11173" xr:uid="{00000000-0005-0000-0000-00004C2B0000}"/>
    <cellStyle name="40% - Accent5 3 19 6" xfId="11174" xr:uid="{00000000-0005-0000-0000-00004D2B0000}"/>
    <cellStyle name="40% - Accent5 3 19 7" xfId="11175" xr:uid="{00000000-0005-0000-0000-00004E2B0000}"/>
    <cellStyle name="40% - Accent5 3 19 8" xfId="11176" xr:uid="{00000000-0005-0000-0000-00004F2B0000}"/>
    <cellStyle name="40% - Accent5 3 19 9" xfId="11177" xr:uid="{00000000-0005-0000-0000-0000502B0000}"/>
    <cellStyle name="40% - Accent5 3 2" xfId="11178" xr:uid="{00000000-0005-0000-0000-0000512B0000}"/>
    <cellStyle name="40% - Accent5 3 2 10" xfId="11179" xr:uid="{00000000-0005-0000-0000-0000522B0000}"/>
    <cellStyle name="40% - Accent5 3 2 11" xfId="11180" xr:uid="{00000000-0005-0000-0000-0000532B0000}"/>
    <cellStyle name="40% - Accent5 3 2 12" xfId="11181" xr:uid="{00000000-0005-0000-0000-0000542B0000}"/>
    <cellStyle name="40% - Accent5 3 2 13" xfId="11182" xr:uid="{00000000-0005-0000-0000-0000552B0000}"/>
    <cellStyle name="40% - Accent5 3 2 14" xfId="11183" xr:uid="{00000000-0005-0000-0000-0000562B0000}"/>
    <cellStyle name="40% - Accent5 3 2 15" xfId="11184" xr:uid="{00000000-0005-0000-0000-0000572B0000}"/>
    <cellStyle name="40% - Accent5 3 2 16" xfId="11185" xr:uid="{00000000-0005-0000-0000-0000582B0000}"/>
    <cellStyle name="40% - Accent5 3 2 17" xfId="11186" xr:uid="{00000000-0005-0000-0000-0000592B0000}"/>
    <cellStyle name="40% - Accent5 3 2 18" xfId="11187" xr:uid="{00000000-0005-0000-0000-00005A2B0000}"/>
    <cellStyle name="40% - Accent5 3 2 19" xfId="11188" xr:uid="{00000000-0005-0000-0000-00005B2B0000}"/>
    <cellStyle name="40% - Accent5 3 2 2" xfId="11189" xr:uid="{00000000-0005-0000-0000-00005C2B0000}"/>
    <cellStyle name="40% - Accent5 3 2 20" xfId="11190" xr:uid="{00000000-0005-0000-0000-00005D2B0000}"/>
    <cellStyle name="40% - Accent5 3 2 21" xfId="11191" xr:uid="{00000000-0005-0000-0000-00005E2B0000}"/>
    <cellStyle name="40% - Accent5 3 2 22" xfId="11192" xr:uid="{00000000-0005-0000-0000-00005F2B0000}"/>
    <cellStyle name="40% - Accent5 3 2 23" xfId="11193" xr:uid="{00000000-0005-0000-0000-0000602B0000}"/>
    <cellStyle name="40% - Accent5 3 2 24" xfId="11194" xr:uid="{00000000-0005-0000-0000-0000612B0000}"/>
    <cellStyle name="40% - Accent5 3 2 25" xfId="11195" xr:uid="{00000000-0005-0000-0000-0000622B0000}"/>
    <cellStyle name="40% - Accent5 3 2 26" xfId="11196" xr:uid="{00000000-0005-0000-0000-0000632B0000}"/>
    <cellStyle name="40% - Accent5 3 2 27" xfId="11197" xr:uid="{00000000-0005-0000-0000-0000642B0000}"/>
    <cellStyle name="40% - Accent5 3 2 28" xfId="11198" xr:uid="{00000000-0005-0000-0000-0000652B0000}"/>
    <cellStyle name="40% - Accent5 3 2 29" xfId="11199" xr:uid="{00000000-0005-0000-0000-0000662B0000}"/>
    <cellStyle name="40% - Accent5 3 2 3" xfId="11200" xr:uid="{00000000-0005-0000-0000-0000672B0000}"/>
    <cellStyle name="40% - Accent5 3 2 30" xfId="11201" xr:uid="{00000000-0005-0000-0000-0000682B0000}"/>
    <cellStyle name="40% - Accent5 3 2 31" xfId="11202" xr:uid="{00000000-0005-0000-0000-0000692B0000}"/>
    <cellStyle name="40% - Accent5 3 2 32" xfId="11203" xr:uid="{00000000-0005-0000-0000-00006A2B0000}"/>
    <cellStyle name="40% - Accent5 3 2 33" xfId="11204" xr:uid="{00000000-0005-0000-0000-00006B2B0000}"/>
    <cellStyle name="40% - Accent5 3 2 34" xfId="11205" xr:uid="{00000000-0005-0000-0000-00006C2B0000}"/>
    <cellStyle name="40% - Accent5 3 2 35" xfId="11206" xr:uid="{00000000-0005-0000-0000-00006D2B0000}"/>
    <cellStyle name="40% - Accent5 3 2 36" xfId="11207" xr:uid="{00000000-0005-0000-0000-00006E2B0000}"/>
    <cellStyle name="40% - Accent5 3 2 37" xfId="11208" xr:uid="{00000000-0005-0000-0000-00006F2B0000}"/>
    <cellStyle name="40% - Accent5 3 2 38" xfId="11209" xr:uid="{00000000-0005-0000-0000-0000702B0000}"/>
    <cellStyle name="40% - Accent5 3 2 39" xfId="11210" xr:uid="{00000000-0005-0000-0000-0000712B0000}"/>
    <cellStyle name="40% - Accent5 3 2 4" xfId="11211" xr:uid="{00000000-0005-0000-0000-0000722B0000}"/>
    <cellStyle name="40% - Accent5 3 2 40" xfId="11212" xr:uid="{00000000-0005-0000-0000-0000732B0000}"/>
    <cellStyle name="40% - Accent5 3 2 41" xfId="11213" xr:uid="{00000000-0005-0000-0000-0000742B0000}"/>
    <cellStyle name="40% - Accent5 3 2 42" xfId="11214" xr:uid="{00000000-0005-0000-0000-0000752B0000}"/>
    <cellStyle name="40% - Accent5 3 2 43" xfId="11215" xr:uid="{00000000-0005-0000-0000-0000762B0000}"/>
    <cellStyle name="40% - Accent5 3 2 44" xfId="11216" xr:uid="{00000000-0005-0000-0000-0000772B0000}"/>
    <cellStyle name="40% - Accent5 3 2 45" xfId="11217" xr:uid="{00000000-0005-0000-0000-0000782B0000}"/>
    <cellStyle name="40% - Accent5 3 2 46" xfId="11218" xr:uid="{00000000-0005-0000-0000-0000792B0000}"/>
    <cellStyle name="40% - Accent5 3 2 47" xfId="11219" xr:uid="{00000000-0005-0000-0000-00007A2B0000}"/>
    <cellStyle name="40% - Accent5 3 2 48" xfId="11220" xr:uid="{00000000-0005-0000-0000-00007B2B0000}"/>
    <cellStyle name="40% - Accent5 3 2 49" xfId="11221" xr:uid="{00000000-0005-0000-0000-00007C2B0000}"/>
    <cellStyle name="40% - Accent5 3 2 5" xfId="11222" xr:uid="{00000000-0005-0000-0000-00007D2B0000}"/>
    <cellStyle name="40% - Accent5 3 2 50" xfId="11223" xr:uid="{00000000-0005-0000-0000-00007E2B0000}"/>
    <cellStyle name="40% - Accent5 3 2 51" xfId="11224" xr:uid="{00000000-0005-0000-0000-00007F2B0000}"/>
    <cellStyle name="40% - Accent5 3 2 52" xfId="11225" xr:uid="{00000000-0005-0000-0000-0000802B0000}"/>
    <cellStyle name="40% - Accent5 3 2 53" xfId="11226" xr:uid="{00000000-0005-0000-0000-0000812B0000}"/>
    <cellStyle name="40% - Accent5 3 2 54" xfId="11227" xr:uid="{00000000-0005-0000-0000-0000822B0000}"/>
    <cellStyle name="40% - Accent5 3 2 6" xfId="11228" xr:uid="{00000000-0005-0000-0000-0000832B0000}"/>
    <cellStyle name="40% - Accent5 3 2 7" xfId="11229" xr:uid="{00000000-0005-0000-0000-0000842B0000}"/>
    <cellStyle name="40% - Accent5 3 2 8" xfId="11230" xr:uid="{00000000-0005-0000-0000-0000852B0000}"/>
    <cellStyle name="40% - Accent5 3 2 9" xfId="11231" xr:uid="{00000000-0005-0000-0000-0000862B0000}"/>
    <cellStyle name="40% - Accent5 3 20" xfId="11232" xr:uid="{00000000-0005-0000-0000-0000872B0000}"/>
    <cellStyle name="40% - Accent5 3 20 10" xfId="11233" xr:uid="{00000000-0005-0000-0000-0000882B0000}"/>
    <cellStyle name="40% - Accent5 3 20 11" xfId="11234" xr:uid="{00000000-0005-0000-0000-0000892B0000}"/>
    <cellStyle name="40% - Accent5 3 20 12" xfId="11235" xr:uid="{00000000-0005-0000-0000-00008A2B0000}"/>
    <cellStyle name="40% - Accent5 3 20 13" xfId="11236" xr:uid="{00000000-0005-0000-0000-00008B2B0000}"/>
    <cellStyle name="40% - Accent5 3 20 14" xfId="11237" xr:uid="{00000000-0005-0000-0000-00008C2B0000}"/>
    <cellStyle name="40% - Accent5 3 20 15" xfId="11238" xr:uid="{00000000-0005-0000-0000-00008D2B0000}"/>
    <cellStyle name="40% - Accent5 3 20 2" xfId="11239" xr:uid="{00000000-0005-0000-0000-00008E2B0000}"/>
    <cellStyle name="40% - Accent5 3 20 3" xfId="11240" xr:uid="{00000000-0005-0000-0000-00008F2B0000}"/>
    <cellStyle name="40% - Accent5 3 20 4" xfId="11241" xr:uid="{00000000-0005-0000-0000-0000902B0000}"/>
    <cellStyle name="40% - Accent5 3 20 5" xfId="11242" xr:uid="{00000000-0005-0000-0000-0000912B0000}"/>
    <cellStyle name="40% - Accent5 3 20 6" xfId="11243" xr:uid="{00000000-0005-0000-0000-0000922B0000}"/>
    <cellStyle name="40% - Accent5 3 20 7" xfId="11244" xr:uid="{00000000-0005-0000-0000-0000932B0000}"/>
    <cellStyle name="40% - Accent5 3 20 8" xfId="11245" xr:uid="{00000000-0005-0000-0000-0000942B0000}"/>
    <cellStyle name="40% - Accent5 3 20 9" xfId="11246" xr:uid="{00000000-0005-0000-0000-0000952B0000}"/>
    <cellStyle name="40% - Accent5 3 21" xfId="11247" xr:uid="{00000000-0005-0000-0000-0000962B0000}"/>
    <cellStyle name="40% - Accent5 3 21 10" xfId="11248" xr:uid="{00000000-0005-0000-0000-0000972B0000}"/>
    <cellStyle name="40% - Accent5 3 21 11" xfId="11249" xr:uid="{00000000-0005-0000-0000-0000982B0000}"/>
    <cellStyle name="40% - Accent5 3 21 12" xfId="11250" xr:uid="{00000000-0005-0000-0000-0000992B0000}"/>
    <cellStyle name="40% - Accent5 3 21 13" xfId="11251" xr:uid="{00000000-0005-0000-0000-00009A2B0000}"/>
    <cellStyle name="40% - Accent5 3 21 14" xfId="11252" xr:uid="{00000000-0005-0000-0000-00009B2B0000}"/>
    <cellStyle name="40% - Accent5 3 21 15" xfId="11253" xr:uid="{00000000-0005-0000-0000-00009C2B0000}"/>
    <cellStyle name="40% - Accent5 3 21 2" xfId="11254" xr:uid="{00000000-0005-0000-0000-00009D2B0000}"/>
    <cellStyle name="40% - Accent5 3 21 3" xfId="11255" xr:uid="{00000000-0005-0000-0000-00009E2B0000}"/>
    <cellStyle name="40% - Accent5 3 21 4" xfId="11256" xr:uid="{00000000-0005-0000-0000-00009F2B0000}"/>
    <cellStyle name="40% - Accent5 3 21 5" xfId="11257" xr:uid="{00000000-0005-0000-0000-0000A02B0000}"/>
    <cellStyle name="40% - Accent5 3 21 6" xfId="11258" xr:uid="{00000000-0005-0000-0000-0000A12B0000}"/>
    <cellStyle name="40% - Accent5 3 21 7" xfId="11259" xr:uid="{00000000-0005-0000-0000-0000A22B0000}"/>
    <cellStyle name="40% - Accent5 3 21 8" xfId="11260" xr:uid="{00000000-0005-0000-0000-0000A32B0000}"/>
    <cellStyle name="40% - Accent5 3 21 9" xfId="11261" xr:uid="{00000000-0005-0000-0000-0000A42B0000}"/>
    <cellStyle name="40% - Accent5 3 22" xfId="11262" xr:uid="{00000000-0005-0000-0000-0000A52B0000}"/>
    <cellStyle name="40% - Accent5 3 22 10" xfId="11263" xr:uid="{00000000-0005-0000-0000-0000A62B0000}"/>
    <cellStyle name="40% - Accent5 3 22 11" xfId="11264" xr:uid="{00000000-0005-0000-0000-0000A72B0000}"/>
    <cellStyle name="40% - Accent5 3 22 12" xfId="11265" xr:uid="{00000000-0005-0000-0000-0000A82B0000}"/>
    <cellStyle name="40% - Accent5 3 22 13" xfId="11266" xr:uid="{00000000-0005-0000-0000-0000A92B0000}"/>
    <cellStyle name="40% - Accent5 3 22 14" xfId="11267" xr:uid="{00000000-0005-0000-0000-0000AA2B0000}"/>
    <cellStyle name="40% - Accent5 3 22 15" xfId="11268" xr:uid="{00000000-0005-0000-0000-0000AB2B0000}"/>
    <cellStyle name="40% - Accent5 3 22 2" xfId="11269" xr:uid="{00000000-0005-0000-0000-0000AC2B0000}"/>
    <cellStyle name="40% - Accent5 3 22 3" xfId="11270" xr:uid="{00000000-0005-0000-0000-0000AD2B0000}"/>
    <cellStyle name="40% - Accent5 3 22 4" xfId="11271" xr:uid="{00000000-0005-0000-0000-0000AE2B0000}"/>
    <cellStyle name="40% - Accent5 3 22 5" xfId="11272" xr:uid="{00000000-0005-0000-0000-0000AF2B0000}"/>
    <cellStyle name="40% - Accent5 3 22 6" xfId="11273" xr:uid="{00000000-0005-0000-0000-0000B02B0000}"/>
    <cellStyle name="40% - Accent5 3 22 7" xfId="11274" xr:uid="{00000000-0005-0000-0000-0000B12B0000}"/>
    <cellStyle name="40% - Accent5 3 22 8" xfId="11275" xr:uid="{00000000-0005-0000-0000-0000B22B0000}"/>
    <cellStyle name="40% - Accent5 3 22 9" xfId="11276" xr:uid="{00000000-0005-0000-0000-0000B32B0000}"/>
    <cellStyle name="40% - Accent5 3 23" xfId="11277" xr:uid="{00000000-0005-0000-0000-0000B42B0000}"/>
    <cellStyle name="40% - Accent5 3 23 10" xfId="11278" xr:uid="{00000000-0005-0000-0000-0000B52B0000}"/>
    <cellStyle name="40% - Accent5 3 23 11" xfId="11279" xr:uid="{00000000-0005-0000-0000-0000B62B0000}"/>
    <cellStyle name="40% - Accent5 3 23 12" xfId="11280" xr:uid="{00000000-0005-0000-0000-0000B72B0000}"/>
    <cellStyle name="40% - Accent5 3 23 13" xfId="11281" xr:uid="{00000000-0005-0000-0000-0000B82B0000}"/>
    <cellStyle name="40% - Accent5 3 23 14" xfId="11282" xr:uid="{00000000-0005-0000-0000-0000B92B0000}"/>
    <cellStyle name="40% - Accent5 3 23 15" xfId="11283" xr:uid="{00000000-0005-0000-0000-0000BA2B0000}"/>
    <cellStyle name="40% - Accent5 3 23 2" xfId="11284" xr:uid="{00000000-0005-0000-0000-0000BB2B0000}"/>
    <cellStyle name="40% - Accent5 3 23 3" xfId="11285" xr:uid="{00000000-0005-0000-0000-0000BC2B0000}"/>
    <cellStyle name="40% - Accent5 3 23 4" xfId="11286" xr:uid="{00000000-0005-0000-0000-0000BD2B0000}"/>
    <cellStyle name="40% - Accent5 3 23 5" xfId="11287" xr:uid="{00000000-0005-0000-0000-0000BE2B0000}"/>
    <cellStyle name="40% - Accent5 3 23 6" xfId="11288" xr:uid="{00000000-0005-0000-0000-0000BF2B0000}"/>
    <cellStyle name="40% - Accent5 3 23 7" xfId="11289" xr:uid="{00000000-0005-0000-0000-0000C02B0000}"/>
    <cellStyle name="40% - Accent5 3 23 8" xfId="11290" xr:uid="{00000000-0005-0000-0000-0000C12B0000}"/>
    <cellStyle name="40% - Accent5 3 23 9" xfId="11291" xr:uid="{00000000-0005-0000-0000-0000C22B0000}"/>
    <cellStyle name="40% - Accent5 3 24" xfId="11292" xr:uid="{00000000-0005-0000-0000-0000C32B0000}"/>
    <cellStyle name="40% - Accent5 3 24 10" xfId="11293" xr:uid="{00000000-0005-0000-0000-0000C42B0000}"/>
    <cellStyle name="40% - Accent5 3 24 11" xfId="11294" xr:uid="{00000000-0005-0000-0000-0000C52B0000}"/>
    <cellStyle name="40% - Accent5 3 24 12" xfId="11295" xr:uid="{00000000-0005-0000-0000-0000C62B0000}"/>
    <cellStyle name="40% - Accent5 3 24 13" xfId="11296" xr:uid="{00000000-0005-0000-0000-0000C72B0000}"/>
    <cellStyle name="40% - Accent5 3 24 14" xfId="11297" xr:uid="{00000000-0005-0000-0000-0000C82B0000}"/>
    <cellStyle name="40% - Accent5 3 24 15" xfId="11298" xr:uid="{00000000-0005-0000-0000-0000C92B0000}"/>
    <cellStyle name="40% - Accent5 3 24 2" xfId="11299" xr:uid="{00000000-0005-0000-0000-0000CA2B0000}"/>
    <cellStyle name="40% - Accent5 3 24 3" xfId="11300" xr:uid="{00000000-0005-0000-0000-0000CB2B0000}"/>
    <cellStyle name="40% - Accent5 3 24 4" xfId="11301" xr:uid="{00000000-0005-0000-0000-0000CC2B0000}"/>
    <cellStyle name="40% - Accent5 3 24 5" xfId="11302" xr:uid="{00000000-0005-0000-0000-0000CD2B0000}"/>
    <cellStyle name="40% - Accent5 3 24 6" xfId="11303" xr:uid="{00000000-0005-0000-0000-0000CE2B0000}"/>
    <cellStyle name="40% - Accent5 3 24 7" xfId="11304" xr:uid="{00000000-0005-0000-0000-0000CF2B0000}"/>
    <cellStyle name="40% - Accent5 3 24 8" xfId="11305" xr:uid="{00000000-0005-0000-0000-0000D02B0000}"/>
    <cellStyle name="40% - Accent5 3 24 9" xfId="11306" xr:uid="{00000000-0005-0000-0000-0000D12B0000}"/>
    <cellStyle name="40% - Accent5 3 25" xfId="11307" xr:uid="{00000000-0005-0000-0000-0000D22B0000}"/>
    <cellStyle name="40% - Accent5 3 25 10" xfId="11308" xr:uid="{00000000-0005-0000-0000-0000D32B0000}"/>
    <cellStyle name="40% - Accent5 3 25 11" xfId="11309" xr:uid="{00000000-0005-0000-0000-0000D42B0000}"/>
    <cellStyle name="40% - Accent5 3 25 12" xfId="11310" xr:uid="{00000000-0005-0000-0000-0000D52B0000}"/>
    <cellStyle name="40% - Accent5 3 25 13" xfId="11311" xr:uid="{00000000-0005-0000-0000-0000D62B0000}"/>
    <cellStyle name="40% - Accent5 3 25 14" xfId="11312" xr:uid="{00000000-0005-0000-0000-0000D72B0000}"/>
    <cellStyle name="40% - Accent5 3 25 15" xfId="11313" xr:uid="{00000000-0005-0000-0000-0000D82B0000}"/>
    <cellStyle name="40% - Accent5 3 25 2" xfId="11314" xr:uid="{00000000-0005-0000-0000-0000D92B0000}"/>
    <cellStyle name="40% - Accent5 3 25 3" xfId="11315" xr:uid="{00000000-0005-0000-0000-0000DA2B0000}"/>
    <cellStyle name="40% - Accent5 3 25 4" xfId="11316" xr:uid="{00000000-0005-0000-0000-0000DB2B0000}"/>
    <cellStyle name="40% - Accent5 3 25 5" xfId="11317" xr:uid="{00000000-0005-0000-0000-0000DC2B0000}"/>
    <cellStyle name="40% - Accent5 3 25 6" xfId="11318" xr:uid="{00000000-0005-0000-0000-0000DD2B0000}"/>
    <cellStyle name="40% - Accent5 3 25 7" xfId="11319" xr:uid="{00000000-0005-0000-0000-0000DE2B0000}"/>
    <cellStyle name="40% - Accent5 3 25 8" xfId="11320" xr:uid="{00000000-0005-0000-0000-0000DF2B0000}"/>
    <cellStyle name="40% - Accent5 3 25 9" xfId="11321" xr:uid="{00000000-0005-0000-0000-0000E02B0000}"/>
    <cellStyle name="40% - Accent5 3 26" xfId="11322" xr:uid="{00000000-0005-0000-0000-0000E12B0000}"/>
    <cellStyle name="40% - Accent5 3 26 10" xfId="11323" xr:uid="{00000000-0005-0000-0000-0000E22B0000}"/>
    <cellStyle name="40% - Accent5 3 26 11" xfId="11324" xr:uid="{00000000-0005-0000-0000-0000E32B0000}"/>
    <cellStyle name="40% - Accent5 3 26 12" xfId="11325" xr:uid="{00000000-0005-0000-0000-0000E42B0000}"/>
    <cellStyle name="40% - Accent5 3 26 13" xfId="11326" xr:uid="{00000000-0005-0000-0000-0000E52B0000}"/>
    <cellStyle name="40% - Accent5 3 26 14" xfId="11327" xr:uid="{00000000-0005-0000-0000-0000E62B0000}"/>
    <cellStyle name="40% - Accent5 3 26 15" xfId="11328" xr:uid="{00000000-0005-0000-0000-0000E72B0000}"/>
    <cellStyle name="40% - Accent5 3 26 2" xfId="11329" xr:uid="{00000000-0005-0000-0000-0000E82B0000}"/>
    <cellStyle name="40% - Accent5 3 26 3" xfId="11330" xr:uid="{00000000-0005-0000-0000-0000E92B0000}"/>
    <cellStyle name="40% - Accent5 3 26 4" xfId="11331" xr:uid="{00000000-0005-0000-0000-0000EA2B0000}"/>
    <cellStyle name="40% - Accent5 3 26 5" xfId="11332" xr:uid="{00000000-0005-0000-0000-0000EB2B0000}"/>
    <cellStyle name="40% - Accent5 3 26 6" xfId="11333" xr:uid="{00000000-0005-0000-0000-0000EC2B0000}"/>
    <cellStyle name="40% - Accent5 3 26 7" xfId="11334" xr:uid="{00000000-0005-0000-0000-0000ED2B0000}"/>
    <cellStyle name="40% - Accent5 3 26 8" xfId="11335" xr:uid="{00000000-0005-0000-0000-0000EE2B0000}"/>
    <cellStyle name="40% - Accent5 3 26 9" xfId="11336" xr:uid="{00000000-0005-0000-0000-0000EF2B0000}"/>
    <cellStyle name="40% - Accent5 3 27" xfId="11337" xr:uid="{00000000-0005-0000-0000-0000F02B0000}"/>
    <cellStyle name="40% - Accent5 3 27 10" xfId="11338" xr:uid="{00000000-0005-0000-0000-0000F12B0000}"/>
    <cellStyle name="40% - Accent5 3 27 11" xfId="11339" xr:uid="{00000000-0005-0000-0000-0000F22B0000}"/>
    <cellStyle name="40% - Accent5 3 27 12" xfId="11340" xr:uid="{00000000-0005-0000-0000-0000F32B0000}"/>
    <cellStyle name="40% - Accent5 3 27 13" xfId="11341" xr:uid="{00000000-0005-0000-0000-0000F42B0000}"/>
    <cellStyle name="40% - Accent5 3 27 14" xfId="11342" xr:uid="{00000000-0005-0000-0000-0000F52B0000}"/>
    <cellStyle name="40% - Accent5 3 27 15" xfId="11343" xr:uid="{00000000-0005-0000-0000-0000F62B0000}"/>
    <cellStyle name="40% - Accent5 3 27 2" xfId="11344" xr:uid="{00000000-0005-0000-0000-0000F72B0000}"/>
    <cellStyle name="40% - Accent5 3 27 3" xfId="11345" xr:uid="{00000000-0005-0000-0000-0000F82B0000}"/>
    <cellStyle name="40% - Accent5 3 27 4" xfId="11346" xr:uid="{00000000-0005-0000-0000-0000F92B0000}"/>
    <cellStyle name="40% - Accent5 3 27 5" xfId="11347" xr:uid="{00000000-0005-0000-0000-0000FA2B0000}"/>
    <cellStyle name="40% - Accent5 3 27 6" xfId="11348" xr:uid="{00000000-0005-0000-0000-0000FB2B0000}"/>
    <cellStyle name="40% - Accent5 3 27 7" xfId="11349" xr:uid="{00000000-0005-0000-0000-0000FC2B0000}"/>
    <cellStyle name="40% - Accent5 3 27 8" xfId="11350" xr:uid="{00000000-0005-0000-0000-0000FD2B0000}"/>
    <cellStyle name="40% - Accent5 3 27 9" xfId="11351" xr:uid="{00000000-0005-0000-0000-0000FE2B0000}"/>
    <cellStyle name="40% - Accent5 3 28" xfId="11352" xr:uid="{00000000-0005-0000-0000-0000FF2B0000}"/>
    <cellStyle name="40% - Accent5 3 28 10" xfId="11353" xr:uid="{00000000-0005-0000-0000-0000002C0000}"/>
    <cellStyle name="40% - Accent5 3 28 11" xfId="11354" xr:uid="{00000000-0005-0000-0000-0000012C0000}"/>
    <cellStyle name="40% - Accent5 3 28 12" xfId="11355" xr:uid="{00000000-0005-0000-0000-0000022C0000}"/>
    <cellStyle name="40% - Accent5 3 28 13" xfId="11356" xr:uid="{00000000-0005-0000-0000-0000032C0000}"/>
    <cellStyle name="40% - Accent5 3 28 14" xfId="11357" xr:uid="{00000000-0005-0000-0000-0000042C0000}"/>
    <cellStyle name="40% - Accent5 3 28 15" xfId="11358" xr:uid="{00000000-0005-0000-0000-0000052C0000}"/>
    <cellStyle name="40% - Accent5 3 28 2" xfId="11359" xr:uid="{00000000-0005-0000-0000-0000062C0000}"/>
    <cellStyle name="40% - Accent5 3 28 3" xfId="11360" xr:uid="{00000000-0005-0000-0000-0000072C0000}"/>
    <cellStyle name="40% - Accent5 3 28 4" xfId="11361" xr:uid="{00000000-0005-0000-0000-0000082C0000}"/>
    <cellStyle name="40% - Accent5 3 28 5" xfId="11362" xr:uid="{00000000-0005-0000-0000-0000092C0000}"/>
    <cellStyle name="40% - Accent5 3 28 6" xfId="11363" xr:uid="{00000000-0005-0000-0000-00000A2C0000}"/>
    <cellStyle name="40% - Accent5 3 28 7" xfId="11364" xr:uid="{00000000-0005-0000-0000-00000B2C0000}"/>
    <cellStyle name="40% - Accent5 3 28 8" xfId="11365" xr:uid="{00000000-0005-0000-0000-00000C2C0000}"/>
    <cellStyle name="40% - Accent5 3 28 9" xfId="11366" xr:uid="{00000000-0005-0000-0000-00000D2C0000}"/>
    <cellStyle name="40% - Accent5 3 29" xfId="11367" xr:uid="{00000000-0005-0000-0000-00000E2C0000}"/>
    <cellStyle name="40% - Accent5 3 29 10" xfId="11368" xr:uid="{00000000-0005-0000-0000-00000F2C0000}"/>
    <cellStyle name="40% - Accent5 3 29 11" xfId="11369" xr:uid="{00000000-0005-0000-0000-0000102C0000}"/>
    <cellStyle name="40% - Accent5 3 29 12" xfId="11370" xr:uid="{00000000-0005-0000-0000-0000112C0000}"/>
    <cellStyle name="40% - Accent5 3 29 13" xfId="11371" xr:uid="{00000000-0005-0000-0000-0000122C0000}"/>
    <cellStyle name="40% - Accent5 3 29 14" xfId="11372" xr:uid="{00000000-0005-0000-0000-0000132C0000}"/>
    <cellStyle name="40% - Accent5 3 29 15" xfId="11373" xr:uid="{00000000-0005-0000-0000-0000142C0000}"/>
    <cellStyle name="40% - Accent5 3 29 2" xfId="11374" xr:uid="{00000000-0005-0000-0000-0000152C0000}"/>
    <cellStyle name="40% - Accent5 3 29 3" xfId="11375" xr:uid="{00000000-0005-0000-0000-0000162C0000}"/>
    <cellStyle name="40% - Accent5 3 29 4" xfId="11376" xr:uid="{00000000-0005-0000-0000-0000172C0000}"/>
    <cellStyle name="40% - Accent5 3 29 5" xfId="11377" xr:uid="{00000000-0005-0000-0000-0000182C0000}"/>
    <cellStyle name="40% - Accent5 3 29 6" xfId="11378" xr:uid="{00000000-0005-0000-0000-0000192C0000}"/>
    <cellStyle name="40% - Accent5 3 29 7" xfId="11379" xr:uid="{00000000-0005-0000-0000-00001A2C0000}"/>
    <cellStyle name="40% - Accent5 3 29 8" xfId="11380" xr:uid="{00000000-0005-0000-0000-00001B2C0000}"/>
    <cellStyle name="40% - Accent5 3 29 9" xfId="11381" xr:uid="{00000000-0005-0000-0000-00001C2C0000}"/>
    <cellStyle name="40% - Accent5 3 3" xfId="11382" xr:uid="{00000000-0005-0000-0000-00001D2C0000}"/>
    <cellStyle name="40% - Accent5 3 3 10" xfId="11383" xr:uid="{00000000-0005-0000-0000-00001E2C0000}"/>
    <cellStyle name="40% - Accent5 3 3 11" xfId="11384" xr:uid="{00000000-0005-0000-0000-00001F2C0000}"/>
    <cellStyle name="40% - Accent5 3 3 12" xfId="11385" xr:uid="{00000000-0005-0000-0000-0000202C0000}"/>
    <cellStyle name="40% - Accent5 3 3 13" xfId="11386" xr:uid="{00000000-0005-0000-0000-0000212C0000}"/>
    <cellStyle name="40% - Accent5 3 3 14" xfId="11387" xr:uid="{00000000-0005-0000-0000-0000222C0000}"/>
    <cellStyle name="40% - Accent5 3 3 15" xfId="11388" xr:uid="{00000000-0005-0000-0000-0000232C0000}"/>
    <cellStyle name="40% - Accent5 3 3 16" xfId="11389" xr:uid="{00000000-0005-0000-0000-0000242C0000}"/>
    <cellStyle name="40% - Accent5 3 3 2" xfId="11390" xr:uid="{00000000-0005-0000-0000-0000252C0000}"/>
    <cellStyle name="40% - Accent5 3 3 3" xfId="11391" xr:uid="{00000000-0005-0000-0000-0000262C0000}"/>
    <cellStyle name="40% - Accent5 3 3 4" xfId="11392" xr:uid="{00000000-0005-0000-0000-0000272C0000}"/>
    <cellStyle name="40% - Accent5 3 3 5" xfId="11393" xr:uid="{00000000-0005-0000-0000-0000282C0000}"/>
    <cellStyle name="40% - Accent5 3 3 6" xfId="11394" xr:uid="{00000000-0005-0000-0000-0000292C0000}"/>
    <cellStyle name="40% - Accent5 3 3 7" xfId="11395" xr:uid="{00000000-0005-0000-0000-00002A2C0000}"/>
    <cellStyle name="40% - Accent5 3 3 8" xfId="11396" xr:uid="{00000000-0005-0000-0000-00002B2C0000}"/>
    <cellStyle name="40% - Accent5 3 3 9" xfId="11397" xr:uid="{00000000-0005-0000-0000-00002C2C0000}"/>
    <cellStyle name="40% - Accent5 3 30" xfId="11398" xr:uid="{00000000-0005-0000-0000-00002D2C0000}"/>
    <cellStyle name="40% - Accent5 3 30 10" xfId="11399" xr:uid="{00000000-0005-0000-0000-00002E2C0000}"/>
    <cellStyle name="40% - Accent5 3 30 11" xfId="11400" xr:uid="{00000000-0005-0000-0000-00002F2C0000}"/>
    <cellStyle name="40% - Accent5 3 30 12" xfId="11401" xr:uid="{00000000-0005-0000-0000-0000302C0000}"/>
    <cellStyle name="40% - Accent5 3 30 13" xfId="11402" xr:uid="{00000000-0005-0000-0000-0000312C0000}"/>
    <cellStyle name="40% - Accent5 3 30 14" xfId="11403" xr:uid="{00000000-0005-0000-0000-0000322C0000}"/>
    <cellStyle name="40% - Accent5 3 30 15" xfId="11404" xr:uid="{00000000-0005-0000-0000-0000332C0000}"/>
    <cellStyle name="40% - Accent5 3 30 2" xfId="11405" xr:uid="{00000000-0005-0000-0000-0000342C0000}"/>
    <cellStyle name="40% - Accent5 3 30 3" xfId="11406" xr:uid="{00000000-0005-0000-0000-0000352C0000}"/>
    <cellStyle name="40% - Accent5 3 30 4" xfId="11407" xr:uid="{00000000-0005-0000-0000-0000362C0000}"/>
    <cellStyle name="40% - Accent5 3 30 5" xfId="11408" xr:uid="{00000000-0005-0000-0000-0000372C0000}"/>
    <cellStyle name="40% - Accent5 3 30 6" xfId="11409" xr:uid="{00000000-0005-0000-0000-0000382C0000}"/>
    <cellStyle name="40% - Accent5 3 30 7" xfId="11410" xr:uid="{00000000-0005-0000-0000-0000392C0000}"/>
    <cellStyle name="40% - Accent5 3 30 8" xfId="11411" xr:uid="{00000000-0005-0000-0000-00003A2C0000}"/>
    <cellStyle name="40% - Accent5 3 30 9" xfId="11412" xr:uid="{00000000-0005-0000-0000-00003B2C0000}"/>
    <cellStyle name="40% - Accent5 3 31" xfId="11413" xr:uid="{00000000-0005-0000-0000-00003C2C0000}"/>
    <cellStyle name="40% - Accent5 3 31 10" xfId="11414" xr:uid="{00000000-0005-0000-0000-00003D2C0000}"/>
    <cellStyle name="40% - Accent5 3 31 11" xfId="11415" xr:uid="{00000000-0005-0000-0000-00003E2C0000}"/>
    <cellStyle name="40% - Accent5 3 31 12" xfId="11416" xr:uid="{00000000-0005-0000-0000-00003F2C0000}"/>
    <cellStyle name="40% - Accent5 3 31 13" xfId="11417" xr:uid="{00000000-0005-0000-0000-0000402C0000}"/>
    <cellStyle name="40% - Accent5 3 31 14" xfId="11418" xr:uid="{00000000-0005-0000-0000-0000412C0000}"/>
    <cellStyle name="40% - Accent5 3 31 15" xfId="11419" xr:uid="{00000000-0005-0000-0000-0000422C0000}"/>
    <cellStyle name="40% - Accent5 3 31 2" xfId="11420" xr:uid="{00000000-0005-0000-0000-0000432C0000}"/>
    <cellStyle name="40% - Accent5 3 31 3" xfId="11421" xr:uid="{00000000-0005-0000-0000-0000442C0000}"/>
    <cellStyle name="40% - Accent5 3 31 4" xfId="11422" xr:uid="{00000000-0005-0000-0000-0000452C0000}"/>
    <cellStyle name="40% - Accent5 3 31 5" xfId="11423" xr:uid="{00000000-0005-0000-0000-0000462C0000}"/>
    <cellStyle name="40% - Accent5 3 31 6" xfId="11424" xr:uid="{00000000-0005-0000-0000-0000472C0000}"/>
    <cellStyle name="40% - Accent5 3 31 7" xfId="11425" xr:uid="{00000000-0005-0000-0000-0000482C0000}"/>
    <cellStyle name="40% - Accent5 3 31 8" xfId="11426" xr:uid="{00000000-0005-0000-0000-0000492C0000}"/>
    <cellStyle name="40% - Accent5 3 31 9" xfId="11427" xr:uid="{00000000-0005-0000-0000-00004A2C0000}"/>
    <cellStyle name="40% - Accent5 3 32" xfId="11428" xr:uid="{00000000-0005-0000-0000-00004B2C0000}"/>
    <cellStyle name="40% - Accent5 3 32 10" xfId="11429" xr:uid="{00000000-0005-0000-0000-00004C2C0000}"/>
    <cellStyle name="40% - Accent5 3 32 11" xfId="11430" xr:uid="{00000000-0005-0000-0000-00004D2C0000}"/>
    <cellStyle name="40% - Accent5 3 32 12" xfId="11431" xr:uid="{00000000-0005-0000-0000-00004E2C0000}"/>
    <cellStyle name="40% - Accent5 3 32 13" xfId="11432" xr:uid="{00000000-0005-0000-0000-00004F2C0000}"/>
    <cellStyle name="40% - Accent5 3 32 14" xfId="11433" xr:uid="{00000000-0005-0000-0000-0000502C0000}"/>
    <cellStyle name="40% - Accent5 3 32 15" xfId="11434" xr:uid="{00000000-0005-0000-0000-0000512C0000}"/>
    <cellStyle name="40% - Accent5 3 32 2" xfId="11435" xr:uid="{00000000-0005-0000-0000-0000522C0000}"/>
    <cellStyle name="40% - Accent5 3 32 3" xfId="11436" xr:uid="{00000000-0005-0000-0000-0000532C0000}"/>
    <cellStyle name="40% - Accent5 3 32 4" xfId="11437" xr:uid="{00000000-0005-0000-0000-0000542C0000}"/>
    <cellStyle name="40% - Accent5 3 32 5" xfId="11438" xr:uid="{00000000-0005-0000-0000-0000552C0000}"/>
    <cellStyle name="40% - Accent5 3 32 6" xfId="11439" xr:uid="{00000000-0005-0000-0000-0000562C0000}"/>
    <cellStyle name="40% - Accent5 3 32 7" xfId="11440" xr:uid="{00000000-0005-0000-0000-0000572C0000}"/>
    <cellStyle name="40% - Accent5 3 32 8" xfId="11441" xr:uid="{00000000-0005-0000-0000-0000582C0000}"/>
    <cellStyle name="40% - Accent5 3 32 9" xfId="11442" xr:uid="{00000000-0005-0000-0000-0000592C0000}"/>
    <cellStyle name="40% - Accent5 3 33" xfId="11443" xr:uid="{00000000-0005-0000-0000-00005A2C0000}"/>
    <cellStyle name="40% - Accent5 3 34" xfId="11444" xr:uid="{00000000-0005-0000-0000-00005B2C0000}"/>
    <cellStyle name="40% - Accent5 3 35" xfId="11445" xr:uid="{00000000-0005-0000-0000-00005C2C0000}"/>
    <cellStyle name="40% - Accent5 3 36" xfId="11446" xr:uid="{00000000-0005-0000-0000-00005D2C0000}"/>
    <cellStyle name="40% - Accent5 3 37" xfId="11447" xr:uid="{00000000-0005-0000-0000-00005E2C0000}"/>
    <cellStyle name="40% - Accent5 3 38" xfId="11448" xr:uid="{00000000-0005-0000-0000-00005F2C0000}"/>
    <cellStyle name="40% - Accent5 3 39" xfId="11449" xr:uid="{00000000-0005-0000-0000-0000602C0000}"/>
    <cellStyle name="40% - Accent5 3 4" xfId="11450" xr:uid="{00000000-0005-0000-0000-0000612C0000}"/>
    <cellStyle name="40% - Accent5 3 4 10" xfId="11451" xr:uid="{00000000-0005-0000-0000-0000622C0000}"/>
    <cellStyle name="40% - Accent5 3 4 11" xfId="11452" xr:uid="{00000000-0005-0000-0000-0000632C0000}"/>
    <cellStyle name="40% - Accent5 3 4 12" xfId="11453" xr:uid="{00000000-0005-0000-0000-0000642C0000}"/>
    <cellStyle name="40% - Accent5 3 4 13" xfId="11454" xr:uid="{00000000-0005-0000-0000-0000652C0000}"/>
    <cellStyle name="40% - Accent5 3 4 14" xfId="11455" xr:uid="{00000000-0005-0000-0000-0000662C0000}"/>
    <cellStyle name="40% - Accent5 3 4 15" xfId="11456" xr:uid="{00000000-0005-0000-0000-0000672C0000}"/>
    <cellStyle name="40% - Accent5 3 4 16" xfId="11457" xr:uid="{00000000-0005-0000-0000-0000682C0000}"/>
    <cellStyle name="40% - Accent5 3 4 2" xfId="11458" xr:uid="{00000000-0005-0000-0000-0000692C0000}"/>
    <cellStyle name="40% - Accent5 3 4 3" xfId="11459" xr:uid="{00000000-0005-0000-0000-00006A2C0000}"/>
    <cellStyle name="40% - Accent5 3 4 4" xfId="11460" xr:uid="{00000000-0005-0000-0000-00006B2C0000}"/>
    <cellStyle name="40% - Accent5 3 4 5" xfId="11461" xr:uid="{00000000-0005-0000-0000-00006C2C0000}"/>
    <cellStyle name="40% - Accent5 3 4 6" xfId="11462" xr:uid="{00000000-0005-0000-0000-00006D2C0000}"/>
    <cellStyle name="40% - Accent5 3 4 7" xfId="11463" xr:uid="{00000000-0005-0000-0000-00006E2C0000}"/>
    <cellStyle name="40% - Accent5 3 4 8" xfId="11464" xr:uid="{00000000-0005-0000-0000-00006F2C0000}"/>
    <cellStyle name="40% - Accent5 3 4 9" xfId="11465" xr:uid="{00000000-0005-0000-0000-0000702C0000}"/>
    <cellStyle name="40% - Accent5 3 40" xfId="11466" xr:uid="{00000000-0005-0000-0000-0000712C0000}"/>
    <cellStyle name="40% - Accent5 3 41" xfId="11467" xr:uid="{00000000-0005-0000-0000-0000722C0000}"/>
    <cellStyle name="40% - Accent5 3 42" xfId="11468" xr:uid="{00000000-0005-0000-0000-0000732C0000}"/>
    <cellStyle name="40% - Accent5 3 43" xfId="11469" xr:uid="{00000000-0005-0000-0000-0000742C0000}"/>
    <cellStyle name="40% - Accent5 3 44" xfId="11470" xr:uid="{00000000-0005-0000-0000-0000752C0000}"/>
    <cellStyle name="40% - Accent5 3 45" xfId="11471" xr:uid="{00000000-0005-0000-0000-0000762C0000}"/>
    <cellStyle name="40% - Accent5 3 46" xfId="11472" xr:uid="{00000000-0005-0000-0000-0000772C0000}"/>
    <cellStyle name="40% - Accent5 3 47" xfId="11473" xr:uid="{00000000-0005-0000-0000-0000782C0000}"/>
    <cellStyle name="40% - Accent5 3 48" xfId="11474" xr:uid="{00000000-0005-0000-0000-0000792C0000}"/>
    <cellStyle name="40% - Accent5 3 49" xfId="11475" xr:uid="{00000000-0005-0000-0000-00007A2C0000}"/>
    <cellStyle name="40% - Accent5 3 5" xfId="11476" xr:uid="{00000000-0005-0000-0000-00007B2C0000}"/>
    <cellStyle name="40% - Accent5 3 5 10" xfId="11477" xr:uid="{00000000-0005-0000-0000-00007C2C0000}"/>
    <cellStyle name="40% - Accent5 3 5 11" xfId="11478" xr:uid="{00000000-0005-0000-0000-00007D2C0000}"/>
    <cellStyle name="40% - Accent5 3 5 12" xfId="11479" xr:uid="{00000000-0005-0000-0000-00007E2C0000}"/>
    <cellStyle name="40% - Accent5 3 5 13" xfId="11480" xr:uid="{00000000-0005-0000-0000-00007F2C0000}"/>
    <cellStyle name="40% - Accent5 3 5 14" xfId="11481" xr:uid="{00000000-0005-0000-0000-0000802C0000}"/>
    <cellStyle name="40% - Accent5 3 5 15" xfId="11482" xr:uid="{00000000-0005-0000-0000-0000812C0000}"/>
    <cellStyle name="40% - Accent5 3 5 2" xfId="11483" xr:uid="{00000000-0005-0000-0000-0000822C0000}"/>
    <cellStyle name="40% - Accent5 3 5 3" xfId="11484" xr:uid="{00000000-0005-0000-0000-0000832C0000}"/>
    <cellStyle name="40% - Accent5 3 5 4" xfId="11485" xr:uid="{00000000-0005-0000-0000-0000842C0000}"/>
    <cellStyle name="40% - Accent5 3 5 5" xfId="11486" xr:uid="{00000000-0005-0000-0000-0000852C0000}"/>
    <cellStyle name="40% - Accent5 3 5 6" xfId="11487" xr:uid="{00000000-0005-0000-0000-0000862C0000}"/>
    <cellStyle name="40% - Accent5 3 5 7" xfId="11488" xr:uid="{00000000-0005-0000-0000-0000872C0000}"/>
    <cellStyle name="40% - Accent5 3 5 8" xfId="11489" xr:uid="{00000000-0005-0000-0000-0000882C0000}"/>
    <cellStyle name="40% - Accent5 3 5 9" xfId="11490" xr:uid="{00000000-0005-0000-0000-0000892C0000}"/>
    <cellStyle name="40% - Accent5 3 50" xfId="11491" xr:uid="{00000000-0005-0000-0000-00008A2C0000}"/>
    <cellStyle name="40% - Accent5 3 51" xfId="11492" xr:uid="{00000000-0005-0000-0000-00008B2C0000}"/>
    <cellStyle name="40% - Accent5 3 52" xfId="11493" xr:uid="{00000000-0005-0000-0000-00008C2C0000}"/>
    <cellStyle name="40% - Accent5 3 53" xfId="11494" xr:uid="{00000000-0005-0000-0000-00008D2C0000}"/>
    <cellStyle name="40% - Accent5 3 54" xfId="11495" xr:uid="{00000000-0005-0000-0000-00008E2C0000}"/>
    <cellStyle name="40% - Accent5 3 55" xfId="11496" xr:uid="{00000000-0005-0000-0000-00008F2C0000}"/>
    <cellStyle name="40% - Accent5 3 6" xfId="11497" xr:uid="{00000000-0005-0000-0000-0000902C0000}"/>
    <cellStyle name="40% - Accent5 3 6 10" xfId="11498" xr:uid="{00000000-0005-0000-0000-0000912C0000}"/>
    <cellStyle name="40% - Accent5 3 6 11" xfId="11499" xr:uid="{00000000-0005-0000-0000-0000922C0000}"/>
    <cellStyle name="40% - Accent5 3 6 12" xfId="11500" xr:uid="{00000000-0005-0000-0000-0000932C0000}"/>
    <cellStyle name="40% - Accent5 3 6 13" xfId="11501" xr:uid="{00000000-0005-0000-0000-0000942C0000}"/>
    <cellStyle name="40% - Accent5 3 6 14" xfId="11502" xr:uid="{00000000-0005-0000-0000-0000952C0000}"/>
    <cellStyle name="40% - Accent5 3 6 15" xfId="11503" xr:uid="{00000000-0005-0000-0000-0000962C0000}"/>
    <cellStyle name="40% - Accent5 3 6 2" xfId="11504" xr:uid="{00000000-0005-0000-0000-0000972C0000}"/>
    <cellStyle name="40% - Accent5 3 6 3" xfId="11505" xr:uid="{00000000-0005-0000-0000-0000982C0000}"/>
    <cellStyle name="40% - Accent5 3 6 4" xfId="11506" xr:uid="{00000000-0005-0000-0000-0000992C0000}"/>
    <cellStyle name="40% - Accent5 3 6 5" xfId="11507" xr:uid="{00000000-0005-0000-0000-00009A2C0000}"/>
    <cellStyle name="40% - Accent5 3 6 6" xfId="11508" xr:uid="{00000000-0005-0000-0000-00009B2C0000}"/>
    <cellStyle name="40% - Accent5 3 6 7" xfId="11509" xr:uid="{00000000-0005-0000-0000-00009C2C0000}"/>
    <cellStyle name="40% - Accent5 3 6 8" xfId="11510" xr:uid="{00000000-0005-0000-0000-00009D2C0000}"/>
    <cellStyle name="40% - Accent5 3 6 9" xfId="11511" xr:uid="{00000000-0005-0000-0000-00009E2C0000}"/>
    <cellStyle name="40% - Accent5 3 7" xfId="11512" xr:uid="{00000000-0005-0000-0000-00009F2C0000}"/>
    <cellStyle name="40% - Accent5 3 7 10" xfId="11513" xr:uid="{00000000-0005-0000-0000-0000A02C0000}"/>
    <cellStyle name="40% - Accent5 3 7 11" xfId="11514" xr:uid="{00000000-0005-0000-0000-0000A12C0000}"/>
    <cellStyle name="40% - Accent5 3 7 12" xfId="11515" xr:uid="{00000000-0005-0000-0000-0000A22C0000}"/>
    <cellStyle name="40% - Accent5 3 7 13" xfId="11516" xr:uid="{00000000-0005-0000-0000-0000A32C0000}"/>
    <cellStyle name="40% - Accent5 3 7 14" xfId="11517" xr:uid="{00000000-0005-0000-0000-0000A42C0000}"/>
    <cellStyle name="40% - Accent5 3 7 15" xfId="11518" xr:uid="{00000000-0005-0000-0000-0000A52C0000}"/>
    <cellStyle name="40% - Accent5 3 7 2" xfId="11519" xr:uid="{00000000-0005-0000-0000-0000A62C0000}"/>
    <cellStyle name="40% - Accent5 3 7 3" xfId="11520" xr:uid="{00000000-0005-0000-0000-0000A72C0000}"/>
    <cellStyle name="40% - Accent5 3 7 4" xfId="11521" xr:uid="{00000000-0005-0000-0000-0000A82C0000}"/>
    <cellStyle name="40% - Accent5 3 7 5" xfId="11522" xr:uid="{00000000-0005-0000-0000-0000A92C0000}"/>
    <cellStyle name="40% - Accent5 3 7 6" xfId="11523" xr:uid="{00000000-0005-0000-0000-0000AA2C0000}"/>
    <cellStyle name="40% - Accent5 3 7 7" xfId="11524" xr:uid="{00000000-0005-0000-0000-0000AB2C0000}"/>
    <cellStyle name="40% - Accent5 3 7 8" xfId="11525" xr:uid="{00000000-0005-0000-0000-0000AC2C0000}"/>
    <cellStyle name="40% - Accent5 3 7 9" xfId="11526" xr:uid="{00000000-0005-0000-0000-0000AD2C0000}"/>
    <cellStyle name="40% - Accent5 3 8" xfId="11527" xr:uid="{00000000-0005-0000-0000-0000AE2C0000}"/>
    <cellStyle name="40% - Accent5 3 8 10" xfId="11528" xr:uid="{00000000-0005-0000-0000-0000AF2C0000}"/>
    <cellStyle name="40% - Accent5 3 8 11" xfId="11529" xr:uid="{00000000-0005-0000-0000-0000B02C0000}"/>
    <cellStyle name="40% - Accent5 3 8 12" xfId="11530" xr:uid="{00000000-0005-0000-0000-0000B12C0000}"/>
    <cellStyle name="40% - Accent5 3 8 13" xfId="11531" xr:uid="{00000000-0005-0000-0000-0000B22C0000}"/>
    <cellStyle name="40% - Accent5 3 8 14" xfId="11532" xr:uid="{00000000-0005-0000-0000-0000B32C0000}"/>
    <cellStyle name="40% - Accent5 3 8 15" xfId="11533" xr:uid="{00000000-0005-0000-0000-0000B42C0000}"/>
    <cellStyle name="40% - Accent5 3 8 2" xfId="11534" xr:uid="{00000000-0005-0000-0000-0000B52C0000}"/>
    <cellStyle name="40% - Accent5 3 8 3" xfId="11535" xr:uid="{00000000-0005-0000-0000-0000B62C0000}"/>
    <cellStyle name="40% - Accent5 3 8 4" xfId="11536" xr:uid="{00000000-0005-0000-0000-0000B72C0000}"/>
    <cellStyle name="40% - Accent5 3 8 5" xfId="11537" xr:uid="{00000000-0005-0000-0000-0000B82C0000}"/>
    <cellStyle name="40% - Accent5 3 8 6" xfId="11538" xr:uid="{00000000-0005-0000-0000-0000B92C0000}"/>
    <cellStyle name="40% - Accent5 3 8 7" xfId="11539" xr:uid="{00000000-0005-0000-0000-0000BA2C0000}"/>
    <cellStyle name="40% - Accent5 3 8 8" xfId="11540" xr:uid="{00000000-0005-0000-0000-0000BB2C0000}"/>
    <cellStyle name="40% - Accent5 3 8 9" xfId="11541" xr:uid="{00000000-0005-0000-0000-0000BC2C0000}"/>
    <cellStyle name="40% - Accent5 3 9" xfId="11542" xr:uid="{00000000-0005-0000-0000-0000BD2C0000}"/>
    <cellStyle name="40% - Accent5 3 9 10" xfId="11543" xr:uid="{00000000-0005-0000-0000-0000BE2C0000}"/>
    <cellStyle name="40% - Accent5 3 9 11" xfId="11544" xr:uid="{00000000-0005-0000-0000-0000BF2C0000}"/>
    <cellStyle name="40% - Accent5 3 9 12" xfId="11545" xr:uid="{00000000-0005-0000-0000-0000C02C0000}"/>
    <cellStyle name="40% - Accent5 3 9 13" xfId="11546" xr:uid="{00000000-0005-0000-0000-0000C12C0000}"/>
    <cellStyle name="40% - Accent5 3 9 14" xfId="11547" xr:uid="{00000000-0005-0000-0000-0000C22C0000}"/>
    <cellStyle name="40% - Accent5 3 9 15" xfId="11548" xr:uid="{00000000-0005-0000-0000-0000C32C0000}"/>
    <cellStyle name="40% - Accent5 3 9 2" xfId="11549" xr:uid="{00000000-0005-0000-0000-0000C42C0000}"/>
    <cellStyle name="40% - Accent5 3 9 3" xfId="11550" xr:uid="{00000000-0005-0000-0000-0000C52C0000}"/>
    <cellStyle name="40% - Accent5 3 9 4" xfId="11551" xr:uid="{00000000-0005-0000-0000-0000C62C0000}"/>
    <cellStyle name="40% - Accent5 3 9 5" xfId="11552" xr:uid="{00000000-0005-0000-0000-0000C72C0000}"/>
    <cellStyle name="40% - Accent5 3 9 6" xfId="11553" xr:uid="{00000000-0005-0000-0000-0000C82C0000}"/>
    <cellStyle name="40% - Accent5 3 9 7" xfId="11554" xr:uid="{00000000-0005-0000-0000-0000C92C0000}"/>
    <cellStyle name="40% - Accent5 3 9 8" xfId="11555" xr:uid="{00000000-0005-0000-0000-0000CA2C0000}"/>
    <cellStyle name="40% - Accent5 3 9 9" xfId="11556" xr:uid="{00000000-0005-0000-0000-0000CB2C0000}"/>
    <cellStyle name="40% - Accent5 30" xfId="11557" xr:uid="{00000000-0005-0000-0000-0000CC2C0000}"/>
    <cellStyle name="40% - Accent5 30 10" xfId="11558" xr:uid="{00000000-0005-0000-0000-0000CD2C0000}"/>
    <cellStyle name="40% - Accent5 30 11" xfId="11559" xr:uid="{00000000-0005-0000-0000-0000CE2C0000}"/>
    <cellStyle name="40% - Accent5 30 12" xfId="11560" xr:uid="{00000000-0005-0000-0000-0000CF2C0000}"/>
    <cellStyle name="40% - Accent5 30 13" xfId="11561" xr:uid="{00000000-0005-0000-0000-0000D02C0000}"/>
    <cellStyle name="40% - Accent5 30 14" xfId="11562" xr:uid="{00000000-0005-0000-0000-0000D12C0000}"/>
    <cellStyle name="40% - Accent5 30 15" xfId="11563" xr:uid="{00000000-0005-0000-0000-0000D22C0000}"/>
    <cellStyle name="40% - Accent5 30 16" xfId="11564" xr:uid="{00000000-0005-0000-0000-0000D32C0000}"/>
    <cellStyle name="40% - Accent5 30 2" xfId="11565" xr:uid="{00000000-0005-0000-0000-0000D42C0000}"/>
    <cellStyle name="40% - Accent5 30 3" xfId="11566" xr:uid="{00000000-0005-0000-0000-0000D52C0000}"/>
    <cellStyle name="40% - Accent5 30 4" xfId="11567" xr:uid="{00000000-0005-0000-0000-0000D62C0000}"/>
    <cellStyle name="40% - Accent5 30 5" xfId="11568" xr:uid="{00000000-0005-0000-0000-0000D72C0000}"/>
    <cellStyle name="40% - Accent5 30 6" xfId="11569" xr:uid="{00000000-0005-0000-0000-0000D82C0000}"/>
    <cellStyle name="40% - Accent5 30 7" xfId="11570" xr:uid="{00000000-0005-0000-0000-0000D92C0000}"/>
    <cellStyle name="40% - Accent5 30 8" xfId="11571" xr:uid="{00000000-0005-0000-0000-0000DA2C0000}"/>
    <cellStyle name="40% - Accent5 30 9" xfId="11572" xr:uid="{00000000-0005-0000-0000-0000DB2C0000}"/>
    <cellStyle name="40% - Accent5 31" xfId="11573" xr:uid="{00000000-0005-0000-0000-0000DC2C0000}"/>
    <cellStyle name="40% - Accent5 31 10" xfId="11574" xr:uid="{00000000-0005-0000-0000-0000DD2C0000}"/>
    <cellStyle name="40% - Accent5 31 11" xfId="11575" xr:uid="{00000000-0005-0000-0000-0000DE2C0000}"/>
    <cellStyle name="40% - Accent5 31 12" xfId="11576" xr:uid="{00000000-0005-0000-0000-0000DF2C0000}"/>
    <cellStyle name="40% - Accent5 31 13" xfId="11577" xr:uid="{00000000-0005-0000-0000-0000E02C0000}"/>
    <cellStyle name="40% - Accent5 31 14" xfId="11578" xr:uid="{00000000-0005-0000-0000-0000E12C0000}"/>
    <cellStyle name="40% - Accent5 31 15" xfId="11579" xr:uid="{00000000-0005-0000-0000-0000E22C0000}"/>
    <cellStyle name="40% - Accent5 31 16" xfId="11580" xr:uid="{00000000-0005-0000-0000-0000E32C0000}"/>
    <cellStyle name="40% - Accent5 31 2" xfId="11581" xr:uid="{00000000-0005-0000-0000-0000E42C0000}"/>
    <cellStyle name="40% - Accent5 31 3" xfId="11582" xr:uid="{00000000-0005-0000-0000-0000E52C0000}"/>
    <cellStyle name="40% - Accent5 31 4" xfId="11583" xr:uid="{00000000-0005-0000-0000-0000E62C0000}"/>
    <cellStyle name="40% - Accent5 31 5" xfId="11584" xr:uid="{00000000-0005-0000-0000-0000E72C0000}"/>
    <cellStyle name="40% - Accent5 31 6" xfId="11585" xr:uid="{00000000-0005-0000-0000-0000E82C0000}"/>
    <cellStyle name="40% - Accent5 31 7" xfId="11586" xr:uid="{00000000-0005-0000-0000-0000E92C0000}"/>
    <cellStyle name="40% - Accent5 31 8" xfId="11587" xr:uid="{00000000-0005-0000-0000-0000EA2C0000}"/>
    <cellStyle name="40% - Accent5 31 9" xfId="11588" xr:uid="{00000000-0005-0000-0000-0000EB2C0000}"/>
    <cellStyle name="40% - Accent5 32" xfId="11589" xr:uid="{00000000-0005-0000-0000-0000EC2C0000}"/>
    <cellStyle name="40% - Accent5 32 10" xfId="11590" xr:uid="{00000000-0005-0000-0000-0000ED2C0000}"/>
    <cellStyle name="40% - Accent5 32 11" xfId="11591" xr:uid="{00000000-0005-0000-0000-0000EE2C0000}"/>
    <cellStyle name="40% - Accent5 32 12" xfId="11592" xr:uid="{00000000-0005-0000-0000-0000EF2C0000}"/>
    <cellStyle name="40% - Accent5 32 13" xfId="11593" xr:uid="{00000000-0005-0000-0000-0000F02C0000}"/>
    <cellStyle name="40% - Accent5 32 14" xfId="11594" xr:uid="{00000000-0005-0000-0000-0000F12C0000}"/>
    <cellStyle name="40% - Accent5 32 15" xfId="11595" xr:uid="{00000000-0005-0000-0000-0000F22C0000}"/>
    <cellStyle name="40% - Accent5 32 2" xfId="11596" xr:uid="{00000000-0005-0000-0000-0000F32C0000}"/>
    <cellStyle name="40% - Accent5 32 3" xfId="11597" xr:uid="{00000000-0005-0000-0000-0000F42C0000}"/>
    <cellStyle name="40% - Accent5 32 4" xfId="11598" xr:uid="{00000000-0005-0000-0000-0000F52C0000}"/>
    <cellStyle name="40% - Accent5 32 5" xfId="11599" xr:uid="{00000000-0005-0000-0000-0000F62C0000}"/>
    <cellStyle name="40% - Accent5 32 6" xfId="11600" xr:uid="{00000000-0005-0000-0000-0000F72C0000}"/>
    <cellStyle name="40% - Accent5 32 7" xfId="11601" xr:uid="{00000000-0005-0000-0000-0000F82C0000}"/>
    <cellStyle name="40% - Accent5 32 8" xfId="11602" xr:uid="{00000000-0005-0000-0000-0000F92C0000}"/>
    <cellStyle name="40% - Accent5 32 9" xfId="11603" xr:uid="{00000000-0005-0000-0000-0000FA2C0000}"/>
    <cellStyle name="40% - Accent5 33" xfId="11604" xr:uid="{00000000-0005-0000-0000-0000FB2C0000}"/>
    <cellStyle name="40% - Accent5 33 10" xfId="11605" xr:uid="{00000000-0005-0000-0000-0000FC2C0000}"/>
    <cellStyle name="40% - Accent5 33 11" xfId="11606" xr:uid="{00000000-0005-0000-0000-0000FD2C0000}"/>
    <cellStyle name="40% - Accent5 33 12" xfId="11607" xr:uid="{00000000-0005-0000-0000-0000FE2C0000}"/>
    <cellStyle name="40% - Accent5 33 13" xfId="11608" xr:uid="{00000000-0005-0000-0000-0000FF2C0000}"/>
    <cellStyle name="40% - Accent5 33 14" xfId="11609" xr:uid="{00000000-0005-0000-0000-0000002D0000}"/>
    <cellStyle name="40% - Accent5 33 15" xfId="11610" xr:uid="{00000000-0005-0000-0000-0000012D0000}"/>
    <cellStyle name="40% - Accent5 33 16" xfId="11611" xr:uid="{00000000-0005-0000-0000-0000022D0000}"/>
    <cellStyle name="40% - Accent5 33 2" xfId="11612" xr:uid="{00000000-0005-0000-0000-0000032D0000}"/>
    <cellStyle name="40% - Accent5 33 3" xfId="11613" xr:uid="{00000000-0005-0000-0000-0000042D0000}"/>
    <cellStyle name="40% - Accent5 33 4" xfId="11614" xr:uid="{00000000-0005-0000-0000-0000052D0000}"/>
    <cellStyle name="40% - Accent5 33 5" xfId="11615" xr:uid="{00000000-0005-0000-0000-0000062D0000}"/>
    <cellStyle name="40% - Accent5 33 6" xfId="11616" xr:uid="{00000000-0005-0000-0000-0000072D0000}"/>
    <cellStyle name="40% - Accent5 33 7" xfId="11617" xr:uid="{00000000-0005-0000-0000-0000082D0000}"/>
    <cellStyle name="40% - Accent5 33 8" xfId="11618" xr:uid="{00000000-0005-0000-0000-0000092D0000}"/>
    <cellStyle name="40% - Accent5 33 9" xfId="11619" xr:uid="{00000000-0005-0000-0000-00000A2D0000}"/>
    <cellStyle name="40% - Accent5 34" xfId="11620" xr:uid="{00000000-0005-0000-0000-00000B2D0000}"/>
    <cellStyle name="40% - Accent5 34 10" xfId="11621" xr:uid="{00000000-0005-0000-0000-00000C2D0000}"/>
    <cellStyle name="40% - Accent5 34 11" xfId="11622" xr:uid="{00000000-0005-0000-0000-00000D2D0000}"/>
    <cellStyle name="40% - Accent5 34 12" xfId="11623" xr:uid="{00000000-0005-0000-0000-00000E2D0000}"/>
    <cellStyle name="40% - Accent5 34 13" xfId="11624" xr:uid="{00000000-0005-0000-0000-00000F2D0000}"/>
    <cellStyle name="40% - Accent5 34 14" xfId="11625" xr:uid="{00000000-0005-0000-0000-0000102D0000}"/>
    <cellStyle name="40% - Accent5 34 15" xfId="11626" xr:uid="{00000000-0005-0000-0000-0000112D0000}"/>
    <cellStyle name="40% - Accent5 34 16" xfId="11627" xr:uid="{00000000-0005-0000-0000-0000122D0000}"/>
    <cellStyle name="40% - Accent5 34 2" xfId="11628" xr:uid="{00000000-0005-0000-0000-0000132D0000}"/>
    <cellStyle name="40% - Accent5 34 3" xfId="11629" xr:uid="{00000000-0005-0000-0000-0000142D0000}"/>
    <cellStyle name="40% - Accent5 34 4" xfId="11630" xr:uid="{00000000-0005-0000-0000-0000152D0000}"/>
    <cellStyle name="40% - Accent5 34 5" xfId="11631" xr:uid="{00000000-0005-0000-0000-0000162D0000}"/>
    <cellStyle name="40% - Accent5 34 6" xfId="11632" xr:uid="{00000000-0005-0000-0000-0000172D0000}"/>
    <cellStyle name="40% - Accent5 34 7" xfId="11633" xr:uid="{00000000-0005-0000-0000-0000182D0000}"/>
    <cellStyle name="40% - Accent5 34 8" xfId="11634" xr:uid="{00000000-0005-0000-0000-0000192D0000}"/>
    <cellStyle name="40% - Accent5 34 9" xfId="11635" xr:uid="{00000000-0005-0000-0000-00001A2D0000}"/>
    <cellStyle name="40% - Accent5 35" xfId="11636" xr:uid="{00000000-0005-0000-0000-00001B2D0000}"/>
    <cellStyle name="40% - Accent5 35 10" xfId="11637" xr:uid="{00000000-0005-0000-0000-00001C2D0000}"/>
    <cellStyle name="40% - Accent5 35 11" xfId="11638" xr:uid="{00000000-0005-0000-0000-00001D2D0000}"/>
    <cellStyle name="40% - Accent5 35 12" xfId="11639" xr:uid="{00000000-0005-0000-0000-00001E2D0000}"/>
    <cellStyle name="40% - Accent5 35 13" xfId="11640" xr:uid="{00000000-0005-0000-0000-00001F2D0000}"/>
    <cellStyle name="40% - Accent5 35 14" xfId="11641" xr:uid="{00000000-0005-0000-0000-0000202D0000}"/>
    <cellStyle name="40% - Accent5 35 15" xfId="11642" xr:uid="{00000000-0005-0000-0000-0000212D0000}"/>
    <cellStyle name="40% - Accent5 35 16" xfId="11643" xr:uid="{00000000-0005-0000-0000-0000222D0000}"/>
    <cellStyle name="40% - Accent5 35 2" xfId="11644" xr:uid="{00000000-0005-0000-0000-0000232D0000}"/>
    <cellStyle name="40% - Accent5 35 3" xfId="11645" xr:uid="{00000000-0005-0000-0000-0000242D0000}"/>
    <cellStyle name="40% - Accent5 35 4" xfId="11646" xr:uid="{00000000-0005-0000-0000-0000252D0000}"/>
    <cellStyle name="40% - Accent5 35 5" xfId="11647" xr:uid="{00000000-0005-0000-0000-0000262D0000}"/>
    <cellStyle name="40% - Accent5 35 6" xfId="11648" xr:uid="{00000000-0005-0000-0000-0000272D0000}"/>
    <cellStyle name="40% - Accent5 35 7" xfId="11649" xr:uid="{00000000-0005-0000-0000-0000282D0000}"/>
    <cellStyle name="40% - Accent5 35 8" xfId="11650" xr:uid="{00000000-0005-0000-0000-0000292D0000}"/>
    <cellStyle name="40% - Accent5 35 9" xfId="11651" xr:uid="{00000000-0005-0000-0000-00002A2D0000}"/>
    <cellStyle name="40% - Accent5 36" xfId="11652" xr:uid="{00000000-0005-0000-0000-00002B2D0000}"/>
    <cellStyle name="40% - Accent5 36 10" xfId="11653" xr:uid="{00000000-0005-0000-0000-00002C2D0000}"/>
    <cellStyle name="40% - Accent5 36 11" xfId="11654" xr:uid="{00000000-0005-0000-0000-00002D2D0000}"/>
    <cellStyle name="40% - Accent5 36 12" xfId="11655" xr:uid="{00000000-0005-0000-0000-00002E2D0000}"/>
    <cellStyle name="40% - Accent5 36 13" xfId="11656" xr:uid="{00000000-0005-0000-0000-00002F2D0000}"/>
    <cellStyle name="40% - Accent5 36 14" xfId="11657" xr:uid="{00000000-0005-0000-0000-0000302D0000}"/>
    <cellStyle name="40% - Accent5 36 15" xfId="11658" xr:uid="{00000000-0005-0000-0000-0000312D0000}"/>
    <cellStyle name="40% - Accent5 36 16" xfId="11659" xr:uid="{00000000-0005-0000-0000-0000322D0000}"/>
    <cellStyle name="40% - Accent5 36 2" xfId="11660" xr:uid="{00000000-0005-0000-0000-0000332D0000}"/>
    <cellStyle name="40% - Accent5 36 3" xfId="11661" xr:uid="{00000000-0005-0000-0000-0000342D0000}"/>
    <cellStyle name="40% - Accent5 36 4" xfId="11662" xr:uid="{00000000-0005-0000-0000-0000352D0000}"/>
    <cellStyle name="40% - Accent5 36 5" xfId="11663" xr:uid="{00000000-0005-0000-0000-0000362D0000}"/>
    <cellStyle name="40% - Accent5 36 6" xfId="11664" xr:uid="{00000000-0005-0000-0000-0000372D0000}"/>
    <cellStyle name="40% - Accent5 36 7" xfId="11665" xr:uid="{00000000-0005-0000-0000-0000382D0000}"/>
    <cellStyle name="40% - Accent5 36 8" xfId="11666" xr:uid="{00000000-0005-0000-0000-0000392D0000}"/>
    <cellStyle name="40% - Accent5 36 9" xfId="11667" xr:uid="{00000000-0005-0000-0000-00003A2D0000}"/>
    <cellStyle name="40% - Accent5 37" xfId="11668" xr:uid="{00000000-0005-0000-0000-00003B2D0000}"/>
    <cellStyle name="40% - Accent5 37 10" xfId="11669" xr:uid="{00000000-0005-0000-0000-00003C2D0000}"/>
    <cellStyle name="40% - Accent5 37 11" xfId="11670" xr:uid="{00000000-0005-0000-0000-00003D2D0000}"/>
    <cellStyle name="40% - Accent5 37 12" xfId="11671" xr:uid="{00000000-0005-0000-0000-00003E2D0000}"/>
    <cellStyle name="40% - Accent5 37 13" xfId="11672" xr:uid="{00000000-0005-0000-0000-00003F2D0000}"/>
    <cellStyle name="40% - Accent5 37 14" xfId="11673" xr:uid="{00000000-0005-0000-0000-0000402D0000}"/>
    <cellStyle name="40% - Accent5 37 15" xfId="11674" xr:uid="{00000000-0005-0000-0000-0000412D0000}"/>
    <cellStyle name="40% - Accent5 37 2" xfId="11675" xr:uid="{00000000-0005-0000-0000-0000422D0000}"/>
    <cellStyle name="40% - Accent5 37 3" xfId="11676" xr:uid="{00000000-0005-0000-0000-0000432D0000}"/>
    <cellStyle name="40% - Accent5 37 4" xfId="11677" xr:uid="{00000000-0005-0000-0000-0000442D0000}"/>
    <cellStyle name="40% - Accent5 37 5" xfId="11678" xr:uid="{00000000-0005-0000-0000-0000452D0000}"/>
    <cellStyle name="40% - Accent5 37 6" xfId="11679" xr:uid="{00000000-0005-0000-0000-0000462D0000}"/>
    <cellStyle name="40% - Accent5 37 7" xfId="11680" xr:uid="{00000000-0005-0000-0000-0000472D0000}"/>
    <cellStyle name="40% - Accent5 37 8" xfId="11681" xr:uid="{00000000-0005-0000-0000-0000482D0000}"/>
    <cellStyle name="40% - Accent5 37 9" xfId="11682" xr:uid="{00000000-0005-0000-0000-0000492D0000}"/>
    <cellStyle name="40% - Accent5 38" xfId="11683" xr:uid="{00000000-0005-0000-0000-00004A2D0000}"/>
    <cellStyle name="40% - Accent5 38 10" xfId="11684" xr:uid="{00000000-0005-0000-0000-00004B2D0000}"/>
    <cellStyle name="40% - Accent5 38 11" xfId="11685" xr:uid="{00000000-0005-0000-0000-00004C2D0000}"/>
    <cellStyle name="40% - Accent5 38 12" xfId="11686" xr:uid="{00000000-0005-0000-0000-00004D2D0000}"/>
    <cellStyle name="40% - Accent5 38 13" xfId="11687" xr:uid="{00000000-0005-0000-0000-00004E2D0000}"/>
    <cellStyle name="40% - Accent5 38 14" xfId="11688" xr:uid="{00000000-0005-0000-0000-00004F2D0000}"/>
    <cellStyle name="40% - Accent5 38 15" xfId="11689" xr:uid="{00000000-0005-0000-0000-0000502D0000}"/>
    <cellStyle name="40% - Accent5 38 2" xfId="11690" xr:uid="{00000000-0005-0000-0000-0000512D0000}"/>
    <cellStyle name="40% - Accent5 38 3" xfId="11691" xr:uid="{00000000-0005-0000-0000-0000522D0000}"/>
    <cellStyle name="40% - Accent5 38 4" xfId="11692" xr:uid="{00000000-0005-0000-0000-0000532D0000}"/>
    <cellStyle name="40% - Accent5 38 5" xfId="11693" xr:uid="{00000000-0005-0000-0000-0000542D0000}"/>
    <cellStyle name="40% - Accent5 38 6" xfId="11694" xr:uid="{00000000-0005-0000-0000-0000552D0000}"/>
    <cellStyle name="40% - Accent5 38 7" xfId="11695" xr:uid="{00000000-0005-0000-0000-0000562D0000}"/>
    <cellStyle name="40% - Accent5 38 8" xfId="11696" xr:uid="{00000000-0005-0000-0000-0000572D0000}"/>
    <cellStyle name="40% - Accent5 38 9" xfId="11697" xr:uid="{00000000-0005-0000-0000-0000582D0000}"/>
    <cellStyle name="40% - Accent5 39" xfId="11698" xr:uid="{00000000-0005-0000-0000-0000592D0000}"/>
    <cellStyle name="40% - Accent5 39 10" xfId="11699" xr:uid="{00000000-0005-0000-0000-00005A2D0000}"/>
    <cellStyle name="40% - Accent5 39 11" xfId="11700" xr:uid="{00000000-0005-0000-0000-00005B2D0000}"/>
    <cellStyle name="40% - Accent5 39 12" xfId="11701" xr:uid="{00000000-0005-0000-0000-00005C2D0000}"/>
    <cellStyle name="40% - Accent5 39 13" xfId="11702" xr:uid="{00000000-0005-0000-0000-00005D2D0000}"/>
    <cellStyle name="40% - Accent5 39 14" xfId="11703" xr:uid="{00000000-0005-0000-0000-00005E2D0000}"/>
    <cellStyle name="40% - Accent5 39 15" xfId="11704" xr:uid="{00000000-0005-0000-0000-00005F2D0000}"/>
    <cellStyle name="40% - Accent5 39 2" xfId="11705" xr:uid="{00000000-0005-0000-0000-0000602D0000}"/>
    <cellStyle name="40% - Accent5 39 3" xfId="11706" xr:uid="{00000000-0005-0000-0000-0000612D0000}"/>
    <cellStyle name="40% - Accent5 39 4" xfId="11707" xr:uid="{00000000-0005-0000-0000-0000622D0000}"/>
    <cellStyle name="40% - Accent5 39 5" xfId="11708" xr:uid="{00000000-0005-0000-0000-0000632D0000}"/>
    <cellStyle name="40% - Accent5 39 6" xfId="11709" xr:uid="{00000000-0005-0000-0000-0000642D0000}"/>
    <cellStyle name="40% - Accent5 39 7" xfId="11710" xr:uid="{00000000-0005-0000-0000-0000652D0000}"/>
    <cellStyle name="40% - Accent5 39 8" xfId="11711" xr:uid="{00000000-0005-0000-0000-0000662D0000}"/>
    <cellStyle name="40% - Accent5 39 9" xfId="11712" xr:uid="{00000000-0005-0000-0000-0000672D0000}"/>
    <cellStyle name="40% - Accent5 4" xfId="11713" xr:uid="{00000000-0005-0000-0000-0000682D0000}"/>
    <cellStyle name="40% - Accent5 4 2" xfId="11714" xr:uid="{00000000-0005-0000-0000-0000692D0000}"/>
    <cellStyle name="40% - Accent5 4 2 2" xfId="11715" xr:uid="{00000000-0005-0000-0000-00006A2D0000}"/>
    <cellStyle name="40% - Accent5 4 2 3" xfId="11716" xr:uid="{00000000-0005-0000-0000-00006B2D0000}"/>
    <cellStyle name="40% - Accent5 4 2 4" xfId="11717" xr:uid="{00000000-0005-0000-0000-00006C2D0000}"/>
    <cellStyle name="40% - Accent5 4 2 5" xfId="11718" xr:uid="{00000000-0005-0000-0000-00006D2D0000}"/>
    <cellStyle name="40% - Accent5 4 3" xfId="11719" xr:uid="{00000000-0005-0000-0000-00006E2D0000}"/>
    <cellStyle name="40% - Accent5 4 3 2" xfId="11720" xr:uid="{00000000-0005-0000-0000-00006F2D0000}"/>
    <cellStyle name="40% - Accent5 4 4" xfId="11721" xr:uid="{00000000-0005-0000-0000-0000702D0000}"/>
    <cellStyle name="40% - Accent5 4 4 2" xfId="11722" xr:uid="{00000000-0005-0000-0000-0000712D0000}"/>
    <cellStyle name="40% - Accent5 4 5" xfId="11723" xr:uid="{00000000-0005-0000-0000-0000722D0000}"/>
    <cellStyle name="40% - Accent5 4 5 2" xfId="11724" xr:uid="{00000000-0005-0000-0000-0000732D0000}"/>
    <cellStyle name="40% - Accent5 4 6" xfId="11725" xr:uid="{00000000-0005-0000-0000-0000742D0000}"/>
    <cellStyle name="40% - Accent5 4 6 2" xfId="11726" xr:uid="{00000000-0005-0000-0000-0000752D0000}"/>
    <cellStyle name="40% - Accent5 4 7" xfId="11727" xr:uid="{00000000-0005-0000-0000-0000762D0000}"/>
    <cellStyle name="40% - Accent5 40" xfId="11728" xr:uid="{00000000-0005-0000-0000-0000772D0000}"/>
    <cellStyle name="40% - Accent5 41" xfId="11729" xr:uid="{00000000-0005-0000-0000-0000782D0000}"/>
    <cellStyle name="40% - Accent5 42" xfId="11730" xr:uid="{00000000-0005-0000-0000-0000792D0000}"/>
    <cellStyle name="40% - Accent5 43" xfId="11731" xr:uid="{00000000-0005-0000-0000-00007A2D0000}"/>
    <cellStyle name="40% - Accent5 44" xfId="11732" xr:uid="{00000000-0005-0000-0000-00007B2D0000}"/>
    <cellStyle name="40% - Accent5 45" xfId="11733" xr:uid="{00000000-0005-0000-0000-00007C2D0000}"/>
    <cellStyle name="40% - Accent5 46" xfId="11734" xr:uid="{00000000-0005-0000-0000-00007D2D0000}"/>
    <cellStyle name="40% - Accent5 47" xfId="11735" xr:uid="{00000000-0005-0000-0000-00007E2D0000}"/>
    <cellStyle name="40% - Accent5 48" xfId="11736" xr:uid="{00000000-0005-0000-0000-00007F2D0000}"/>
    <cellStyle name="40% - Accent5 49" xfId="11737" xr:uid="{00000000-0005-0000-0000-0000802D0000}"/>
    <cellStyle name="40% - Accent5 5" xfId="11738" xr:uid="{00000000-0005-0000-0000-0000812D0000}"/>
    <cellStyle name="40% - Accent5 5 2" xfId="11739" xr:uid="{00000000-0005-0000-0000-0000822D0000}"/>
    <cellStyle name="40% - Accent5 5 2 2" xfId="11740" xr:uid="{00000000-0005-0000-0000-0000832D0000}"/>
    <cellStyle name="40% - Accent5 5 2 3" xfId="11741" xr:uid="{00000000-0005-0000-0000-0000842D0000}"/>
    <cellStyle name="40% - Accent5 5 2 4" xfId="11742" xr:uid="{00000000-0005-0000-0000-0000852D0000}"/>
    <cellStyle name="40% - Accent5 5 2 5" xfId="11743" xr:uid="{00000000-0005-0000-0000-0000862D0000}"/>
    <cellStyle name="40% - Accent5 5 3" xfId="11744" xr:uid="{00000000-0005-0000-0000-0000872D0000}"/>
    <cellStyle name="40% - Accent5 5 3 2" xfId="11745" xr:uid="{00000000-0005-0000-0000-0000882D0000}"/>
    <cellStyle name="40% - Accent5 5 3 3" xfId="11746" xr:uid="{00000000-0005-0000-0000-0000892D0000}"/>
    <cellStyle name="40% - Accent5 5 4" xfId="11747" xr:uid="{00000000-0005-0000-0000-00008A2D0000}"/>
    <cellStyle name="40% - Accent5 5 4 2" xfId="11748" xr:uid="{00000000-0005-0000-0000-00008B2D0000}"/>
    <cellStyle name="40% - Accent5 5 5" xfId="11749" xr:uid="{00000000-0005-0000-0000-00008C2D0000}"/>
    <cellStyle name="40% - Accent5 5 6" xfId="11750" xr:uid="{00000000-0005-0000-0000-00008D2D0000}"/>
    <cellStyle name="40% - Accent5 50" xfId="11751" xr:uid="{00000000-0005-0000-0000-00008E2D0000}"/>
    <cellStyle name="40% - Accent5 51" xfId="11752" xr:uid="{00000000-0005-0000-0000-00008F2D0000}"/>
    <cellStyle name="40% - Accent5 52" xfId="11753" xr:uid="{00000000-0005-0000-0000-0000902D0000}"/>
    <cellStyle name="40% - Accent5 53" xfId="11754" xr:uid="{00000000-0005-0000-0000-0000912D0000}"/>
    <cellStyle name="40% - Accent5 54" xfId="11755" xr:uid="{00000000-0005-0000-0000-0000922D0000}"/>
    <cellStyle name="40% - Accent5 55" xfId="11756" xr:uid="{00000000-0005-0000-0000-0000932D0000}"/>
    <cellStyle name="40% - Accent5 56" xfId="11757" xr:uid="{00000000-0005-0000-0000-0000942D0000}"/>
    <cellStyle name="40% - Accent5 57" xfId="11758" xr:uid="{00000000-0005-0000-0000-0000952D0000}"/>
    <cellStyle name="40% - Accent5 58" xfId="11759" xr:uid="{00000000-0005-0000-0000-0000962D0000}"/>
    <cellStyle name="40% - Accent5 59" xfId="11760" xr:uid="{00000000-0005-0000-0000-0000972D0000}"/>
    <cellStyle name="40% - Accent5 6" xfId="11761" xr:uid="{00000000-0005-0000-0000-0000982D0000}"/>
    <cellStyle name="40% - Accent5 6 2" xfId="11762" xr:uid="{00000000-0005-0000-0000-0000992D0000}"/>
    <cellStyle name="40% - Accent5 6 2 2" xfId="11763" xr:uid="{00000000-0005-0000-0000-00009A2D0000}"/>
    <cellStyle name="40% - Accent5 6 2 3" xfId="11764" xr:uid="{00000000-0005-0000-0000-00009B2D0000}"/>
    <cellStyle name="40% - Accent5 6 2 4" xfId="11765" xr:uid="{00000000-0005-0000-0000-00009C2D0000}"/>
    <cellStyle name="40% - Accent5 6 3" xfId="11766" xr:uid="{00000000-0005-0000-0000-00009D2D0000}"/>
    <cellStyle name="40% - Accent5 6 4" xfId="11767" xr:uid="{00000000-0005-0000-0000-00009E2D0000}"/>
    <cellStyle name="40% - Accent5 6 5" xfId="11768" xr:uid="{00000000-0005-0000-0000-00009F2D0000}"/>
    <cellStyle name="40% - Accent5 60" xfId="11769" xr:uid="{00000000-0005-0000-0000-0000A02D0000}"/>
    <cellStyle name="40% - Accent5 61" xfId="11770" xr:uid="{00000000-0005-0000-0000-0000A12D0000}"/>
    <cellStyle name="40% - Accent5 62" xfId="11771" xr:uid="{00000000-0005-0000-0000-0000A22D0000}"/>
    <cellStyle name="40% - Accent5 63" xfId="11772" xr:uid="{00000000-0005-0000-0000-0000A32D0000}"/>
    <cellStyle name="40% - Accent5 64" xfId="11773" xr:uid="{00000000-0005-0000-0000-0000A42D0000}"/>
    <cellStyle name="40% - Accent5 65" xfId="11774" xr:uid="{00000000-0005-0000-0000-0000A52D0000}"/>
    <cellStyle name="40% - Accent5 66" xfId="11775" xr:uid="{00000000-0005-0000-0000-0000A62D0000}"/>
    <cellStyle name="40% - Accent5 67" xfId="11776" xr:uid="{00000000-0005-0000-0000-0000A72D0000}"/>
    <cellStyle name="40% - Accent5 68" xfId="11777" xr:uid="{00000000-0005-0000-0000-0000A82D0000}"/>
    <cellStyle name="40% - Accent5 69" xfId="11778" xr:uid="{00000000-0005-0000-0000-0000A92D0000}"/>
    <cellStyle name="40% - Accent5 7" xfId="11779" xr:uid="{00000000-0005-0000-0000-0000AA2D0000}"/>
    <cellStyle name="40% - Accent5 7 2" xfId="11780" xr:uid="{00000000-0005-0000-0000-0000AB2D0000}"/>
    <cellStyle name="40% - Accent5 7 2 2" xfId="11781" xr:uid="{00000000-0005-0000-0000-0000AC2D0000}"/>
    <cellStyle name="40% - Accent5 7 2 3" xfId="11782" xr:uid="{00000000-0005-0000-0000-0000AD2D0000}"/>
    <cellStyle name="40% - Accent5 7 2 4" xfId="11783" xr:uid="{00000000-0005-0000-0000-0000AE2D0000}"/>
    <cellStyle name="40% - Accent5 7 3" xfId="11784" xr:uid="{00000000-0005-0000-0000-0000AF2D0000}"/>
    <cellStyle name="40% - Accent5 7 4" xfId="11785" xr:uid="{00000000-0005-0000-0000-0000B02D0000}"/>
    <cellStyle name="40% - Accent5 7 5" xfId="11786" xr:uid="{00000000-0005-0000-0000-0000B12D0000}"/>
    <cellStyle name="40% - Accent5 70" xfId="11787" xr:uid="{00000000-0005-0000-0000-0000B22D0000}"/>
    <cellStyle name="40% - Accent5 71" xfId="11788" xr:uid="{00000000-0005-0000-0000-0000B32D0000}"/>
    <cellStyle name="40% - Accent5 72" xfId="11789" xr:uid="{00000000-0005-0000-0000-0000B42D0000}"/>
    <cellStyle name="40% - Accent5 73" xfId="11790" xr:uid="{00000000-0005-0000-0000-0000B52D0000}"/>
    <cellStyle name="40% - Accent5 74" xfId="11791" xr:uid="{00000000-0005-0000-0000-0000B62D0000}"/>
    <cellStyle name="40% - Accent5 75" xfId="11792" xr:uid="{00000000-0005-0000-0000-0000B72D0000}"/>
    <cellStyle name="40% - Accent5 76" xfId="11793" xr:uid="{00000000-0005-0000-0000-0000B82D0000}"/>
    <cellStyle name="40% - Accent5 77" xfId="11794" xr:uid="{00000000-0005-0000-0000-0000B92D0000}"/>
    <cellStyle name="40% - Accent5 78" xfId="11795" xr:uid="{00000000-0005-0000-0000-0000BA2D0000}"/>
    <cellStyle name="40% - Accent5 79" xfId="11796" xr:uid="{00000000-0005-0000-0000-0000BB2D0000}"/>
    <cellStyle name="40% - Accent5 79 2" xfId="11797" xr:uid="{00000000-0005-0000-0000-0000BC2D0000}"/>
    <cellStyle name="40% - Accent5 8" xfId="11798" xr:uid="{00000000-0005-0000-0000-0000BD2D0000}"/>
    <cellStyle name="40% - Accent5 8 2" xfId="11799" xr:uid="{00000000-0005-0000-0000-0000BE2D0000}"/>
    <cellStyle name="40% - Accent5 8 2 2" xfId="11800" xr:uid="{00000000-0005-0000-0000-0000BF2D0000}"/>
    <cellStyle name="40% - Accent5 8 2 3" xfId="11801" xr:uid="{00000000-0005-0000-0000-0000C02D0000}"/>
    <cellStyle name="40% - Accent5 8 2 4" xfId="11802" xr:uid="{00000000-0005-0000-0000-0000C12D0000}"/>
    <cellStyle name="40% - Accent5 8 3" xfId="11803" xr:uid="{00000000-0005-0000-0000-0000C22D0000}"/>
    <cellStyle name="40% - Accent5 8 4" xfId="11804" xr:uid="{00000000-0005-0000-0000-0000C32D0000}"/>
    <cellStyle name="40% - Accent5 8 5" xfId="11805" xr:uid="{00000000-0005-0000-0000-0000C42D0000}"/>
    <cellStyle name="40% - Accent5 80" xfId="11806" xr:uid="{00000000-0005-0000-0000-0000C52D0000}"/>
    <cellStyle name="40% - Accent5 80 2" xfId="11807" xr:uid="{00000000-0005-0000-0000-0000C62D0000}"/>
    <cellStyle name="40% - Accent5 81" xfId="11808" xr:uid="{00000000-0005-0000-0000-0000C72D0000}"/>
    <cellStyle name="40% - Accent5 81 2" xfId="11809" xr:uid="{00000000-0005-0000-0000-0000C82D0000}"/>
    <cellStyle name="40% - Accent5 82" xfId="11810" xr:uid="{00000000-0005-0000-0000-0000C92D0000}"/>
    <cellStyle name="40% - Accent5 82 2" xfId="11811" xr:uid="{00000000-0005-0000-0000-0000CA2D0000}"/>
    <cellStyle name="40% - Accent5 83" xfId="11812" xr:uid="{00000000-0005-0000-0000-0000CB2D0000}"/>
    <cellStyle name="40% - Accent5 83 2" xfId="11813" xr:uid="{00000000-0005-0000-0000-0000CC2D0000}"/>
    <cellStyle name="40% - Accent5 84" xfId="11814" xr:uid="{00000000-0005-0000-0000-0000CD2D0000}"/>
    <cellStyle name="40% - Accent5 84 2" xfId="11815" xr:uid="{00000000-0005-0000-0000-0000CE2D0000}"/>
    <cellStyle name="40% - Accent5 85" xfId="11816" xr:uid="{00000000-0005-0000-0000-0000CF2D0000}"/>
    <cellStyle name="40% - Accent5 85 2" xfId="11817" xr:uid="{00000000-0005-0000-0000-0000D02D0000}"/>
    <cellStyle name="40% - Accent5 86" xfId="11818" xr:uid="{00000000-0005-0000-0000-0000D12D0000}"/>
    <cellStyle name="40% - Accent5 86 2" xfId="11819" xr:uid="{00000000-0005-0000-0000-0000D22D0000}"/>
    <cellStyle name="40% - Accent5 87" xfId="11820" xr:uid="{00000000-0005-0000-0000-0000D32D0000}"/>
    <cellStyle name="40% - Accent5 87 2" xfId="11821" xr:uid="{00000000-0005-0000-0000-0000D42D0000}"/>
    <cellStyle name="40% - Accent5 88" xfId="11822" xr:uid="{00000000-0005-0000-0000-0000D52D0000}"/>
    <cellStyle name="40% - Accent5 88 2" xfId="11823" xr:uid="{00000000-0005-0000-0000-0000D62D0000}"/>
    <cellStyle name="40% - Accent5 89" xfId="11824" xr:uid="{00000000-0005-0000-0000-0000D72D0000}"/>
    <cellStyle name="40% - Accent5 89 2" xfId="11825" xr:uid="{00000000-0005-0000-0000-0000D82D0000}"/>
    <cellStyle name="40% - Accent5 9" xfId="11826" xr:uid="{00000000-0005-0000-0000-0000D92D0000}"/>
    <cellStyle name="40% - Accent5 9 2" xfId="11827" xr:uid="{00000000-0005-0000-0000-0000DA2D0000}"/>
    <cellStyle name="40% - Accent5 9 2 2" xfId="11828" xr:uid="{00000000-0005-0000-0000-0000DB2D0000}"/>
    <cellStyle name="40% - Accent5 9 2 3" xfId="11829" xr:uid="{00000000-0005-0000-0000-0000DC2D0000}"/>
    <cellStyle name="40% - Accent5 9 2 4" xfId="11830" xr:uid="{00000000-0005-0000-0000-0000DD2D0000}"/>
    <cellStyle name="40% - Accent5 9 3" xfId="11831" xr:uid="{00000000-0005-0000-0000-0000DE2D0000}"/>
    <cellStyle name="40% - Accent5 9 4" xfId="11832" xr:uid="{00000000-0005-0000-0000-0000DF2D0000}"/>
    <cellStyle name="40% - Accent5 9 5" xfId="11833" xr:uid="{00000000-0005-0000-0000-0000E02D0000}"/>
    <cellStyle name="40% - Accent5 90" xfId="11834" xr:uid="{00000000-0005-0000-0000-0000E12D0000}"/>
    <cellStyle name="40% - Accent5 91" xfId="11835" xr:uid="{00000000-0005-0000-0000-0000E22D0000}"/>
    <cellStyle name="40% - Accent5 92" xfId="11836" xr:uid="{00000000-0005-0000-0000-0000E32D0000}"/>
    <cellStyle name="40% - Accent5 93" xfId="11837" xr:uid="{00000000-0005-0000-0000-0000E42D0000}"/>
    <cellStyle name="40% - Accent5 94" xfId="11838" xr:uid="{00000000-0005-0000-0000-0000E52D0000}"/>
    <cellStyle name="40% - Accent5 95" xfId="11839" xr:uid="{00000000-0005-0000-0000-0000E62D0000}"/>
    <cellStyle name="40% - Accent5 96" xfId="11840" xr:uid="{00000000-0005-0000-0000-0000E72D0000}"/>
    <cellStyle name="40% - Accent5 97" xfId="11841" xr:uid="{00000000-0005-0000-0000-0000E82D0000}"/>
    <cellStyle name="40% - Accent5 98" xfId="11842" xr:uid="{00000000-0005-0000-0000-0000E92D0000}"/>
    <cellStyle name="40% - Accent5 99" xfId="11843" xr:uid="{00000000-0005-0000-0000-0000EA2D0000}"/>
    <cellStyle name="40% - Accent6" xfId="40" builtinId="51" customBuiltin="1"/>
    <cellStyle name="40% - Accent6 10" xfId="11844" xr:uid="{00000000-0005-0000-0000-0000EC2D0000}"/>
    <cellStyle name="40% - Accent6 10 2" xfId="11845" xr:uid="{00000000-0005-0000-0000-0000ED2D0000}"/>
    <cellStyle name="40% - Accent6 10 2 2" xfId="11846" xr:uid="{00000000-0005-0000-0000-0000EE2D0000}"/>
    <cellStyle name="40% - Accent6 10 2 3" xfId="11847" xr:uid="{00000000-0005-0000-0000-0000EF2D0000}"/>
    <cellStyle name="40% - Accent6 10 2 4" xfId="11848" xr:uid="{00000000-0005-0000-0000-0000F02D0000}"/>
    <cellStyle name="40% - Accent6 10 3" xfId="11849" xr:uid="{00000000-0005-0000-0000-0000F12D0000}"/>
    <cellStyle name="40% - Accent6 10 4" xfId="11850" xr:uid="{00000000-0005-0000-0000-0000F22D0000}"/>
    <cellStyle name="40% - Accent6 10 5" xfId="11851" xr:uid="{00000000-0005-0000-0000-0000F32D0000}"/>
    <cellStyle name="40% - Accent6 100" xfId="11852" xr:uid="{00000000-0005-0000-0000-0000F42D0000}"/>
    <cellStyle name="40% - Accent6 101" xfId="11853" xr:uid="{00000000-0005-0000-0000-0000F52D0000}"/>
    <cellStyle name="40% - Accent6 102" xfId="11854" xr:uid="{00000000-0005-0000-0000-0000F62D0000}"/>
    <cellStyle name="40% - Accent6 103" xfId="11855" xr:uid="{00000000-0005-0000-0000-0000F72D0000}"/>
    <cellStyle name="40% - Accent6 104" xfId="11856" xr:uid="{00000000-0005-0000-0000-0000F82D0000}"/>
    <cellStyle name="40% - Accent6 105" xfId="11857" xr:uid="{00000000-0005-0000-0000-0000F92D0000}"/>
    <cellStyle name="40% - Accent6 106" xfId="11858" xr:uid="{00000000-0005-0000-0000-0000FA2D0000}"/>
    <cellStyle name="40% - Accent6 107" xfId="11859" xr:uid="{00000000-0005-0000-0000-0000FB2D0000}"/>
    <cellStyle name="40% - Accent6 108" xfId="11860" xr:uid="{00000000-0005-0000-0000-0000FC2D0000}"/>
    <cellStyle name="40% - Accent6 109" xfId="11861" xr:uid="{00000000-0005-0000-0000-0000FD2D0000}"/>
    <cellStyle name="40% - Accent6 11" xfId="11862" xr:uid="{00000000-0005-0000-0000-0000FE2D0000}"/>
    <cellStyle name="40% - Accent6 11 2" xfId="11863" xr:uid="{00000000-0005-0000-0000-0000FF2D0000}"/>
    <cellStyle name="40% - Accent6 11 2 2" xfId="11864" xr:uid="{00000000-0005-0000-0000-0000002E0000}"/>
    <cellStyle name="40% - Accent6 11 2 3" xfId="11865" xr:uid="{00000000-0005-0000-0000-0000012E0000}"/>
    <cellStyle name="40% - Accent6 11 2 4" xfId="11866" xr:uid="{00000000-0005-0000-0000-0000022E0000}"/>
    <cellStyle name="40% - Accent6 11 3" xfId="11867" xr:uid="{00000000-0005-0000-0000-0000032E0000}"/>
    <cellStyle name="40% - Accent6 11 4" xfId="11868" xr:uid="{00000000-0005-0000-0000-0000042E0000}"/>
    <cellStyle name="40% - Accent6 11 5" xfId="11869" xr:uid="{00000000-0005-0000-0000-0000052E0000}"/>
    <cellStyle name="40% - Accent6 110" xfId="11870" xr:uid="{00000000-0005-0000-0000-0000062E0000}"/>
    <cellStyle name="40% - Accent6 111" xfId="11871" xr:uid="{00000000-0005-0000-0000-0000072E0000}"/>
    <cellStyle name="40% - Accent6 112" xfId="11872" xr:uid="{00000000-0005-0000-0000-0000082E0000}"/>
    <cellStyle name="40% - Accent6 113" xfId="11873" xr:uid="{00000000-0005-0000-0000-0000092E0000}"/>
    <cellStyle name="40% - Accent6 114" xfId="11874" xr:uid="{00000000-0005-0000-0000-00000A2E0000}"/>
    <cellStyle name="40% - Accent6 115" xfId="11875" xr:uid="{00000000-0005-0000-0000-00000B2E0000}"/>
    <cellStyle name="40% - Accent6 116" xfId="11876" xr:uid="{00000000-0005-0000-0000-00000C2E0000}"/>
    <cellStyle name="40% - Accent6 117" xfId="11877" xr:uid="{00000000-0005-0000-0000-00000D2E0000}"/>
    <cellStyle name="40% - Accent6 118" xfId="11878" xr:uid="{00000000-0005-0000-0000-00000E2E0000}"/>
    <cellStyle name="40% - Accent6 119" xfId="11879" xr:uid="{00000000-0005-0000-0000-00000F2E0000}"/>
    <cellStyle name="40% - Accent6 12" xfId="11880" xr:uid="{00000000-0005-0000-0000-0000102E0000}"/>
    <cellStyle name="40% - Accent6 12 2" xfId="11881" xr:uid="{00000000-0005-0000-0000-0000112E0000}"/>
    <cellStyle name="40% - Accent6 12 2 2" xfId="11882" xr:uid="{00000000-0005-0000-0000-0000122E0000}"/>
    <cellStyle name="40% - Accent6 12 2 3" xfId="11883" xr:uid="{00000000-0005-0000-0000-0000132E0000}"/>
    <cellStyle name="40% - Accent6 12 2 4" xfId="11884" xr:uid="{00000000-0005-0000-0000-0000142E0000}"/>
    <cellStyle name="40% - Accent6 12 3" xfId="11885" xr:uid="{00000000-0005-0000-0000-0000152E0000}"/>
    <cellStyle name="40% - Accent6 12 4" xfId="11886" xr:uid="{00000000-0005-0000-0000-0000162E0000}"/>
    <cellStyle name="40% - Accent6 12 5" xfId="11887" xr:uid="{00000000-0005-0000-0000-0000172E0000}"/>
    <cellStyle name="40% - Accent6 120" xfId="11888" xr:uid="{00000000-0005-0000-0000-0000182E0000}"/>
    <cellStyle name="40% - Accent6 121" xfId="11889" xr:uid="{00000000-0005-0000-0000-0000192E0000}"/>
    <cellStyle name="40% - Accent6 122" xfId="11890" xr:uid="{00000000-0005-0000-0000-00001A2E0000}"/>
    <cellStyle name="40% - Accent6 123" xfId="11891" xr:uid="{00000000-0005-0000-0000-00001B2E0000}"/>
    <cellStyle name="40% - Accent6 124" xfId="11892" xr:uid="{00000000-0005-0000-0000-00001C2E0000}"/>
    <cellStyle name="40% - Accent6 125" xfId="11893" xr:uid="{00000000-0005-0000-0000-00001D2E0000}"/>
    <cellStyle name="40% - Accent6 126" xfId="11894" xr:uid="{00000000-0005-0000-0000-00001E2E0000}"/>
    <cellStyle name="40% - Accent6 127" xfId="11895" xr:uid="{00000000-0005-0000-0000-00001F2E0000}"/>
    <cellStyle name="40% - Accent6 128" xfId="11896" xr:uid="{00000000-0005-0000-0000-0000202E0000}"/>
    <cellStyle name="40% - Accent6 129" xfId="11897" xr:uid="{00000000-0005-0000-0000-0000212E0000}"/>
    <cellStyle name="40% - Accent6 13" xfId="11898" xr:uid="{00000000-0005-0000-0000-0000222E0000}"/>
    <cellStyle name="40% - Accent6 13 2" xfId="11899" xr:uid="{00000000-0005-0000-0000-0000232E0000}"/>
    <cellStyle name="40% - Accent6 13 2 2" xfId="11900" xr:uid="{00000000-0005-0000-0000-0000242E0000}"/>
    <cellStyle name="40% - Accent6 13 2 3" xfId="11901" xr:uid="{00000000-0005-0000-0000-0000252E0000}"/>
    <cellStyle name="40% - Accent6 13 2 4" xfId="11902" xr:uid="{00000000-0005-0000-0000-0000262E0000}"/>
    <cellStyle name="40% - Accent6 13 3" xfId="11903" xr:uid="{00000000-0005-0000-0000-0000272E0000}"/>
    <cellStyle name="40% - Accent6 13 4" xfId="11904" xr:uid="{00000000-0005-0000-0000-0000282E0000}"/>
    <cellStyle name="40% - Accent6 13 5" xfId="11905" xr:uid="{00000000-0005-0000-0000-0000292E0000}"/>
    <cellStyle name="40% - Accent6 130" xfId="11906" xr:uid="{00000000-0005-0000-0000-00002A2E0000}"/>
    <cellStyle name="40% - Accent6 131" xfId="11907" xr:uid="{00000000-0005-0000-0000-00002B2E0000}"/>
    <cellStyle name="40% - Accent6 132" xfId="11908" xr:uid="{00000000-0005-0000-0000-00002C2E0000}"/>
    <cellStyle name="40% - Accent6 133" xfId="11909" xr:uid="{00000000-0005-0000-0000-00002D2E0000}"/>
    <cellStyle name="40% - Accent6 134" xfId="11910" xr:uid="{00000000-0005-0000-0000-00002E2E0000}"/>
    <cellStyle name="40% - Accent6 135" xfId="11911" xr:uid="{00000000-0005-0000-0000-00002F2E0000}"/>
    <cellStyle name="40% - Accent6 136" xfId="11912" xr:uid="{00000000-0005-0000-0000-0000302E0000}"/>
    <cellStyle name="40% - Accent6 137" xfId="11913" xr:uid="{00000000-0005-0000-0000-0000312E0000}"/>
    <cellStyle name="40% - Accent6 138" xfId="11914" xr:uid="{00000000-0005-0000-0000-0000322E0000}"/>
    <cellStyle name="40% - Accent6 139" xfId="11915" xr:uid="{00000000-0005-0000-0000-0000332E0000}"/>
    <cellStyle name="40% - Accent6 14" xfId="11916" xr:uid="{00000000-0005-0000-0000-0000342E0000}"/>
    <cellStyle name="40% - Accent6 14 2" xfId="11917" xr:uid="{00000000-0005-0000-0000-0000352E0000}"/>
    <cellStyle name="40% - Accent6 14 2 2" xfId="11918" xr:uid="{00000000-0005-0000-0000-0000362E0000}"/>
    <cellStyle name="40% - Accent6 14 2 3" xfId="11919" xr:uid="{00000000-0005-0000-0000-0000372E0000}"/>
    <cellStyle name="40% - Accent6 14 2 4" xfId="11920" xr:uid="{00000000-0005-0000-0000-0000382E0000}"/>
    <cellStyle name="40% - Accent6 14 3" xfId="11921" xr:uid="{00000000-0005-0000-0000-0000392E0000}"/>
    <cellStyle name="40% - Accent6 14 4" xfId="11922" xr:uid="{00000000-0005-0000-0000-00003A2E0000}"/>
    <cellStyle name="40% - Accent6 14 5" xfId="11923" xr:uid="{00000000-0005-0000-0000-00003B2E0000}"/>
    <cellStyle name="40% - Accent6 140" xfId="11924" xr:uid="{00000000-0005-0000-0000-00003C2E0000}"/>
    <cellStyle name="40% - Accent6 141" xfId="11925" xr:uid="{00000000-0005-0000-0000-00003D2E0000}"/>
    <cellStyle name="40% - Accent6 142" xfId="11926" xr:uid="{00000000-0005-0000-0000-00003E2E0000}"/>
    <cellStyle name="40% - Accent6 143" xfId="11927" xr:uid="{00000000-0005-0000-0000-00003F2E0000}"/>
    <cellStyle name="40% - Accent6 144" xfId="11928" xr:uid="{00000000-0005-0000-0000-0000402E0000}"/>
    <cellStyle name="40% - Accent6 145" xfId="11929" xr:uid="{00000000-0005-0000-0000-0000412E0000}"/>
    <cellStyle name="40% - Accent6 146" xfId="11930" xr:uid="{00000000-0005-0000-0000-0000422E0000}"/>
    <cellStyle name="40% - Accent6 147" xfId="11931" xr:uid="{00000000-0005-0000-0000-0000432E0000}"/>
    <cellStyle name="40% - Accent6 148" xfId="11932" xr:uid="{00000000-0005-0000-0000-0000442E0000}"/>
    <cellStyle name="40% - Accent6 149" xfId="11933" xr:uid="{00000000-0005-0000-0000-0000452E0000}"/>
    <cellStyle name="40% - Accent6 15" xfId="11934" xr:uid="{00000000-0005-0000-0000-0000462E0000}"/>
    <cellStyle name="40% - Accent6 15 2" xfId="11935" xr:uid="{00000000-0005-0000-0000-0000472E0000}"/>
    <cellStyle name="40% - Accent6 15 2 2" xfId="11936" xr:uid="{00000000-0005-0000-0000-0000482E0000}"/>
    <cellStyle name="40% - Accent6 15 2 3" xfId="11937" xr:uid="{00000000-0005-0000-0000-0000492E0000}"/>
    <cellStyle name="40% - Accent6 15 2 4" xfId="11938" xr:uid="{00000000-0005-0000-0000-00004A2E0000}"/>
    <cellStyle name="40% - Accent6 15 3" xfId="11939" xr:uid="{00000000-0005-0000-0000-00004B2E0000}"/>
    <cellStyle name="40% - Accent6 15 4" xfId="11940" xr:uid="{00000000-0005-0000-0000-00004C2E0000}"/>
    <cellStyle name="40% - Accent6 15 5" xfId="11941" xr:uid="{00000000-0005-0000-0000-00004D2E0000}"/>
    <cellStyle name="40% - Accent6 150" xfId="11942" xr:uid="{00000000-0005-0000-0000-00004E2E0000}"/>
    <cellStyle name="40% - Accent6 151" xfId="11943" xr:uid="{00000000-0005-0000-0000-00004F2E0000}"/>
    <cellStyle name="40% - Accent6 152" xfId="11944" xr:uid="{00000000-0005-0000-0000-0000502E0000}"/>
    <cellStyle name="40% - Accent6 153" xfId="11945" xr:uid="{00000000-0005-0000-0000-0000512E0000}"/>
    <cellStyle name="40% - Accent6 154" xfId="11946" xr:uid="{00000000-0005-0000-0000-0000522E0000}"/>
    <cellStyle name="40% - Accent6 155" xfId="11947" xr:uid="{00000000-0005-0000-0000-0000532E0000}"/>
    <cellStyle name="40% - Accent6 156" xfId="11948" xr:uid="{00000000-0005-0000-0000-0000542E0000}"/>
    <cellStyle name="40% - Accent6 157" xfId="11949" xr:uid="{00000000-0005-0000-0000-0000552E0000}"/>
    <cellStyle name="40% - Accent6 158" xfId="11950" xr:uid="{00000000-0005-0000-0000-0000562E0000}"/>
    <cellStyle name="40% - Accent6 159" xfId="11951" xr:uid="{00000000-0005-0000-0000-0000572E0000}"/>
    <cellStyle name="40% - Accent6 16" xfId="11952" xr:uid="{00000000-0005-0000-0000-0000582E0000}"/>
    <cellStyle name="40% - Accent6 16 2" xfId="11953" xr:uid="{00000000-0005-0000-0000-0000592E0000}"/>
    <cellStyle name="40% - Accent6 16 2 2" xfId="11954" xr:uid="{00000000-0005-0000-0000-00005A2E0000}"/>
    <cellStyle name="40% - Accent6 16 3" xfId="11955" xr:uid="{00000000-0005-0000-0000-00005B2E0000}"/>
    <cellStyle name="40% - Accent6 16 4" xfId="11956" xr:uid="{00000000-0005-0000-0000-00005C2E0000}"/>
    <cellStyle name="40% - Accent6 16 5" xfId="11957" xr:uid="{00000000-0005-0000-0000-00005D2E0000}"/>
    <cellStyle name="40% - Accent6 160" xfId="11958" xr:uid="{00000000-0005-0000-0000-00005E2E0000}"/>
    <cellStyle name="40% - Accent6 161" xfId="11959" xr:uid="{00000000-0005-0000-0000-00005F2E0000}"/>
    <cellStyle name="40% - Accent6 162" xfId="11960" xr:uid="{00000000-0005-0000-0000-0000602E0000}"/>
    <cellStyle name="40% - Accent6 163" xfId="11961" xr:uid="{00000000-0005-0000-0000-0000612E0000}"/>
    <cellStyle name="40% - Accent6 164" xfId="11962" xr:uid="{00000000-0005-0000-0000-0000622E0000}"/>
    <cellStyle name="40% - Accent6 165" xfId="11963" xr:uid="{00000000-0005-0000-0000-0000632E0000}"/>
    <cellStyle name="40% - Accent6 166" xfId="11964" xr:uid="{00000000-0005-0000-0000-0000642E0000}"/>
    <cellStyle name="40% - Accent6 167" xfId="11965" xr:uid="{00000000-0005-0000-0000-0000652E0000}"/>
    <cellStyle name="40% - Accent6 168" xfId="11966" xr:uid="{00000000-0005-0000-0000-0000662E0000}"/>
    <cellStyle name="40% - Accent6 169" xfId="11967" xr:uid="{00000000-0005-0000-0000-0000672E0000}"/>
    <cellStyle name="40% - Accent6 17" xfId="11968" xr:uid="{00000000-0005-0000-0000-0000682E0000}"/>
    <cellStyle name="40% - Accent6 17 2" xfId="11969" xr:uid="{00000000-0005-0000-0000-0000692E0000}"/>
    <cellStyle name="40% - Accent6 17 2 2" xfId="11970" xr:uid="{00000000-0005-0000-0000-00006A2E0000}"/>
    <cellStyle name="40% - Accent6 17 3" xfId="11971" xr:uid="{00000000-0005-0000-0000-00006B2E0000}"/>
    <cellStyle name="40% - Accent6 17 4" xfId="11972" xr:uid="{00000000-0005-0000-0000-00006C2E0000}"/>
    <cellStyle name="40% - Accent6 17 5" xfId="11973" xr:uid="{00000000-0005-0000-0000-00006D2E0000}"/>
    <cellStyle name="40% - Accent6 18" xfId="11974" xr:uid="{00000000-0005-0000-0000-00006E2E0000}"/>
    <cellStyle name="40% - Accent6 18 2" xfId="11975" xr:uid="{00000000-0005-0000-0000-00006F2E0000}"/>
    <cellStyle name="40% - Accent6 18 2 2" xfId="11976" xr:uid="{00000000-0005-0000-0000-0000702E0000}"/>
    <cellStyle name="40% - Accent6 18 3" xfId="11977" xr:uid="{00000000-0005-0000-0000-0000712E0000}"/>
    <cellStyle name="40% - Accent6 18 4" xfId="11978" xr:uid="{00000000-0005-0000-0000-0000722E0000}"/>
    <cellStyle name="40% - Accent6 18 5" xfId="11979" xr:uid="{00000000-0005-0000-0000-0000732E0000}"/>
    <cellStyle name="40% - Accent6 19" xfId="11980" xr:uid="{00000000-0005-0000-0000-0000742E0000}"/>
    <cellStyle name="40% - Accent6 19 2" xfId="11981" xr:uid="{00000000-0005-0000-0000-0000752E0000}"/>
    <cellStyle name="40% - Accent6 19 2 2" xfId="11982" xr:uid="{00000000-0005-0000-0000-0000762E0000}"/>
    <cellStyle name="40% - Accent6 19 3" xfId="11983" xr:uid="{00000000-0005-0000-0000-0000772E0000}"/>
    <cellStyle name="40% - Accent6 19 4" xfId="11984" xr:uid="{00000000-0005-0000-0000-0000782E0000}"/>
    <cellStyle name="40% - Accent6 19 5" xfId="11985" xr:uid="{00000000-0005-0000-0000-0000792E0000}"/>
    <cellStyle name="40% - Accent6 2" xfId="11986" xr:uid="{00000000-0005-0000-0000-00007A2E0000}"/>
    <cellStyle name="40% - Accent6 2 10" xfId="11987" xr:uid="{00000000-0005-0000-0000-00007B2E0000}"/>
    <cellStyle name="40% - Accent6 2 11" xfId="11988" xr:uid="{00000000-0005-0000-0000-00007C2E0000}"/>
    <cellStyle name="40% - Accent6 2 12" xfId="11989" xr:uid="{00000000-0005-0000-0000-00007D2E0000}"/>
    <cellStyle name="40% - Accent6 2 13" xfId="11990" xr:uid="{00000000-0005-0000-0000-00007E2E0000}"/>
    <cellStyle name="40% - Accent6 2 14" xfId="11991" xr:uid="{00000000-0005-0000-0000-00007F2E0000}"/>
    <cellStyle name="40% - Accent6 2 15" xfId="11992" xr:uid="{00000000-0005-0000-0000-0000802E0000}"/>
    <cellStyle name="40% - Accent6 2 16" xfId="11993" xr:uid="{00000000-0005-0000-0000-0000812E0000}"/>
    <cellStyle name="40% - Accent6 2 17" xfId="11994" xr:uid="{00000000-0005-0000-0000-0000822E0000}"/>
    <cellStyle name="40% - Accent6 2 18" xfId="11995" xr:uid="{00000000-0005-0000-0000-0000832E0000}"/>
    <cellStyle name="40% - Accent6 2 19" xfId="11996" xr:uid="{00000000-0005-0000-0000-0000842E0000}"/>
    <cellStyle name="40% - Accent6 2 2" xfId="11997" xr:uid="{00000000-0005-0000-0000-0000852E0000}"/>
    <cellStyle name="40% - Accent6 2 2 2" xfId="11998" xr:uid="{00000000-0005-0000-0000-0000862E0000}"/>
    <cellStyle name="40% - Accent6 2 20" xfId="11999" xr:uid="{00000000-0005-0000-0000-0000872E0000}"/>
    <cellStyle name="40% - Accent6 2 21" xfId="12000" xr:uid="{00000000-0005-0000-0000-0000882E0000}"/>
    <cellStyle name="40% - Accent6 2 22" xfId="12001" xr:uid="{00000000-0005-0000-0000-0000892E0000}"/>
    <cellStyle name="40% - Accent6 2 23" xfId="12002" xr:uid="{00000000-0005-0000-0000-00008A2E0000}"/>
    <cellStyle name="40% - Accent6 2 24" xfId="12003" xr:uid="{00000000-0005-0000-0000-00008B2E0000}"/>
    <cellStyle name="40% - Accent6 2 25" xfId="12004" xr:uid="{00000000-0005-0000-0000-00008C2E0000}"/>
    <cellStyle name="40% - Accent6 2 26" xfId="12005" xr:uid="{00000000-0005-0000-0000-00008D2E0000}"/>
    <cellStyle name="40% - Accent6 2 27" xfId="12006" xr:uid="{00000000-0005-0000-0000-00008E2E0000}"/>
    <cellStyle name="40% - Accent6 2 28" xfId="12007" xr:uid="{00000000-0005-0000-0000-00008F2E0000}"/>
    <cellStyle name="40% - Accent6 2 29" xfId="12008" xr:uid="{00000000-0005-0000-0000-0000902E0000}"/>
    <cellStyle name="40% - Accent6 2 3" xfId="12009" xr:uid="{00000000-0005-0000-0000-0000912E0000}"/>
    <cellStyle name="40% - Accent6 2 30" xfId="12010" xr:uid="{00000000-0005-0000-0000-0000922E0000}"/>
    <cellStyle name="40% - Accent6 2 31" xfId="12011" xr:uid="{00000000-0005-0000-0000-0000932E0000}"/>
    <cellStyle name="40% - Accent6 2 32" xfId="12012" xr:uid="{00000000-0005-0000-0000-0000942E0000}"/>
    <cellStyle name="40% - Accent6 2 33" xfId="12013" xr:uid="{00000000-0005-0000-0000-0000952E0000}"/>
    <cellStyle name="40% - Accent6 2 34" xfId="12014" xr:uid="{00000000-0005-0000-0000-0000962E0000}"/>
    <cellStyle name="40% - Accent6 2 35" xfId="12015" xr:uid="{00000000-0005-0000-0000-0000972E0000}"/>
    <cellStyle name="40% - Accent6 2 36" xfId="12016" xr:uid="{00000000-0005-0000-0000-0000982E0000}"/>
    <cellStyle name="40% - Accent6 2 37" xfId="12017" xr:uid="{00000000-0005-0000-0000-0000992E0000}"/>
    <cellStyle name="40% - Accent6 2 4" xfId="12018" xr:uid="{00000000-0005-0000-0000-00009A2E0000}"/>
    <cellStyle name="40% - Accent6 2 4 2" xfId="12019" xr:uid="{00000000-0005-0000-0000-00009B2E0000}"/>
    <cellStyle name="40% - Accent6 2 4 2 2" xfId="12020" xr:uid="{00000000-0005-0000-0000-00009C2E0000}"/>
    <cellStyle name="40% - Accent6 2 4 3" xfId="12021" xr:uid="{00000000-0005-0000-0000-00009D2E0000}"/>
    <cellStyle name="40% - Accent6 2 4 3 2" xfId="12022" xr:uid="{00000000-0005-0000-0000-00009E2E0000}"/>
    <cellStyle name="40% - Accent6 2 4 4" xfId="12023" xr:uid="{00000000-0005-0000-0000-00009F2E0000}"/>
    <cellStyle name="40% - Accent6 2 5" xfId="12024" xr:uid="{00000000-0005-0000-0000-0000A02E0000}"/>
    <cellStyle name="40% - Accent6 2 6" xfId="12025" xr:uid="{00000000-0005-0000-0000-0000A12E0000}"/>
    <cellStyle name="40% - Accent6 2 7" xfId="12026" xr:uid="{00000000-0005-0000-0000-0000A22E0000}"/>
    <cellStyle name="40% - Accent6 2 8" xfId="12027" xr:uid="{00000000-0005-0000-0000-0000A32E0000}"/>
    <cellStyle name="40% - Accent6 2 9" xfId="12028" xr:uid="{00000000-0005-0000-0000-0000A42E0000}"/>
    <cellStyle name="40% - Accent6 2_ERDF Losses" xfId="12029" xr:uid="{00000000-0005-0000-0000-0000A52E0000}"/>
    <cellStyle name="40% - Accent6 20" xfId="12030" xr:uid="{00000000-0005-0000-0000-0000A62E0000}"/>
    <cellStyle name="40% - Accent6 20 10" xfId="12031" xr:uid="{00000000-0005-0000-0000-0000A72E0000}"/>
    <cellStyle name="40% - Accent6 20 11" xfId="12032" xr:uid="{00000000-0005-0000-0000-0000A82E0000}"/>
    <cellStyle name="40% - Accent6 20 12" xfId="12033" xr:uid="{00000000-0005-0000-0000-0000A92E0000}"/>
    <cellStyle name="40% - Accent6 20 13" xfId="12034" xr:uid="{00000000-0005-0000-0000-0000AA2E0000}"/>
    <cellStyle name="40% - Accent6 20 14" xfId="12035" xr:uid="{00000000-0005-0000-0000-0000AB2E0000}"/>
    <cellStyle name="40% - Accent6 20 15" xfId="12036" xr:uid="{00000000-0005-0000-0000-0000AC2E0000}"/>
    <cellStyle name="40% - Accent6 20 16" xfId="12037" xr:uid="{00000000-0005-0000-0000-0000AD2E0000}"/>
    <cellStyle name="40% - Accent6 20 17" xfId="12038" xr:uid="{00000000-0005-0000-0000-0000AE2E0000}"/>
    <cellStyle name="40% - Accent6 20 18" xfId="12039" xr:uid="{00000000-0005-0000-0000-0000AF2E0000}"/>
    <cellStyle name="40% - Accent6 20 2" xfId="12040" xr:uid="{00000000-0005-0000-0000-0000B02E0000}"/>
    <cellStyle name="40% - Accent6 20 2 2" xfId="12041" xr:uid="{00000000-0005-0000-0000-0000B12E0000}"/>
    <cellStyle name="40% - Accent6 20 2 3" xfId="12042" xr:uid="{00000000-0005-0000-0000-0000B22E0000}"/>
    <cellStyle name="40% - Accent6 20 2 4" xfId="12043" xr:uid="{00000000-0005-0000-0000-0000B32E0000}"/>
    <cellStyle name="40% - Accent6 20 3" xfId="12044" xr:uid="{00000000-0005-0000-0000-0000B42E0000}"/>
    <cellStyle name="40% - Accent6 20 4" xfId="12045" xr:uid="{00000000-0005-0000-0000-0000B52E0000}"/>
    <cellStyle name="40% - Accent6 20 5" xfId="12046" xr:uid="{00000000-0005-0000-0000-0000B62E0000}"/>
    <cellStyle name="40% - Accent6 20 6" xfId="12047" xr:uid="{00000000-0005-0000-0000-0000B72E0000}"/>
    <cellStyle name="40% - Accent6 20 7" xfId="12048" xr:uid="{00000000-0005-0000-0000-0000B82E0000}"/>
    <cellStyle name="40% - Accent6 20 8" xfId="12049" xr:uid="{00000000-0005-0000-0000-0000B92E0000}"/>
    <cellStyle name="40% - Accent6 20 9" xfId="12050" xr:uid="{00000000-0005-0000-0000-0000BA2E0000}"/>
    <cellStyle name="40% - Accent6 21" xfId="12051" xr:uid="{00000000-0005-0000-0000-0000BB2E0000}"/>
    <cellStyle name="40% - Accent6 21 2" xfId="12052" xr:uid="{00000000-0005-0000-0000-0000BC2E0000}"/>
    <cellStyle name="40% - Accent6 21 2 2" xfId="12053" xr:uid="{00000000-0005-0000-0000-0000BD2E0000}"/>
    <cellStyle name="40% - Accent6 21 2 3" xfId="12054" xr:uid="{00000000-0005-0000-0000-0000BE2E0000}"/>
    <cellStyle name="40% - Accent6 21 3" xfId="12055" xr:uid="{00000000-0005-0000-0000-0000BF2E0000}"/>
    <cellStyle name="40% - Accent6 21 4" xfId="12056" xr:uid="{00000000-0005-0000-0000-0000C02E0000}"/>
    <cellStyle name="40% - Accent6 21 5" xfId="12057" xr:uid="{00000000-0005-0000-0000-0000C12E0000}"/>
    <cellStyle name="40% - Accent6 21 6" xfId="12058" xr:uid="{00000000-0005-0000-0000-0000C22E0000}"/>
    <cellStyle name="40% - Accent6 22" xfId="12059" xr:uid="{00000000-0005-0000-0000-0000C32E0000}"/>
    <cellStyle name="40% - Accent6 22 2" xfId="12060" xr:uid="{00000000-0005-0000-0000-0000C42E0000}"/>
    <cellStyle name="40% - Accent6 22 3" xfId="12061" xr:uid="{00000000-0005-0000-0000-0000C52E0000}"/>
    <cellStyle name="40% - Accent6 23" xfId="12062" xr:uid="{00000000-0005-0000-0000-0000C62E0000}"/>
    <cellStyle name="40% - Accent6 23 2" xfId="12063" xr:uid="{00000000-0005-0000-0000-0000C72E0000}"/>
    <cellStyle name="40% - Accent6 23 3" xfId="12064" xr:uid="{00000000-0005-0000-0000-0000C82E0000}"/>
    <cellStyle name="40% - Accent6 24" xfId="12065" xr:uid="{00000000-0005-0000-0000-0000C92E0000}"/>
    <cellStyle name="40% - Accent6 24 2" xfId="12066" xr:uid="{00000000-0005-0000-0000-0000CA2E0000}"/>
    <cellStyle name="40% - Accent6 24 3" xfId="12067" xr:uid="{00000000-0005-0000-0000-0000CB2E0000}"/>
    <cellStyle name="40% - Accent6 25" xfId="12068" xr:uid="{00000000-0005-0000-0000-0000CC2E0000}"/>
    <cellStyle name="40% - Accent6 25 2" xfId="12069" xr:uid="{00000000-0005-0000-0000-0000CD2E0000}"/>
    <cellStyle name="40% - Accent6 25 3" xfId="12070" xr:uid="{00000000-0005-0000-0000-0000CE2E0000}"/>
    <cellStyle name="40% - Accent6 26" xfId="12071" xr:uid="{00000000-0005-0000-0000-0000CF2E0000}"/>
    <cellStyle name="40% - Accent6 26 2" xfId="12072" xr:uid="{00000000-0005-0000-0000-0000D02E0000}"/>
    <cellStyle name="40% - Accent6 26 3" xfId="12073" xr:uid="{00000000-0005-0000-0000-0000D12E0000}"/>
    <cellStyle name="40% - Accent6 27" xfId="12074" xr:uid="{00000000-0005-0000-0000-0000D22E0000}"/>
    <cellStyle name="40% - Accent6 27 2" xfId="12075" xr:uid="{00000000-0005-0000-0000-0000D32E0000}"/>
    <cellStyle name="40% - Accent6 27 3" xfId="12076" xr:uid="{00000000-0005-0000-0000-0000D42E0000}"/>
    <cellStyle name="40% - Accent6 28" xfId="12077" xr:uid="{00000000-0005-0000-0000-0000D52E0000}"/>
    <cellStyle name="40% - Accent6 28 2" xfId="12078" xr:uid="{00000000-0005-0000-0000-0000D62E0000}"/>
    <cellStyle name="40% - Accent6 28 3" xfId="12079" xr:uid="{00000000-0005-0000-0000-0000D72E0000}"/>
    <cellStyle name="40% - Accent6 29" xfId="12080" xr:uid="{00000000-0005-0000-0000-0000D82E0000}"/>
    <cellStyle name="40% - Accent6 29 2" xfId="12081" xr:uid="{00000000-0005-0000-0000-0000D92E0000}"/>
    <cellStyle name="40% - Accent6 29 3" xfId="12082" xr:uid="{00000000-0005-0000-0000-0000DA2E0000}"/>
    <cellStyle name="40% - Accent6 3" xfId="12083" xr:uid="{00000000-0005-0000-0000-0000DB2E0000}"/>
    <cellStyle name="40% - Accent6 3 10" xfId="12084" xr:uid="{00000000-0005-0000-0000-0000DC2E0000}"/>
    <cellStyle name="40% - Accent6 3 10 10" xfId="12085" xr:uid="{00000000-0005-0000-0000-0000DD2E0000}"/>
    <cellStyle name="40% - Accent6 3 10 11" xfId="12086" xr:uid="{00000000-0005-0000-0000-0000DE2E0000}"/>
    <cellStyle name="40% - Accent6 3 10 12" xfId="12087" xr:uid="{00000000-0005-0000-0000-0000DF2E0000}"/>
    <cellStyle name="40% - Accent6 3 10 13" xfId="12088" xr:uid="{00000000-0005-0000-0000-0000E02E0000}"/>
    <cellStyle name="40% - Accent6 3 10 14" xfId="12089" xr:uid="{00000000-0005-0000-0000-0000E12E0000}"/>
    <cellStyle name="40% - Accent6 3 10 15" xfId="12090" xr:uid="{00000000-0005-0000-0000-0000E22E0000}"/>
    <cellStyle name="40% - Accent6 3 10 2" xfId="12091" xr:uid="{00000000-0005-0000-0000-0000E32E0000}"/>
    <cellStyle name="40% - Accent6 3 10 3" xfId="12092" xr:uid="{00000000-0005-0000-0000-0000E42E0000}"/>
    <cellStyle name="40% - Accent6 3 10 4" xfId="12093" xr:uid="{00000000-0005-0000-0000-0000E52E0000}"/>
    <cellStyle name="40% - Accent6 3 10 5" xfId="12094" xr:uid="{00000000-0005-0000-0000-0000E62E0000}"/>
    <cellStyle name="40% - Accent6 3 10 6" xfId="12095" xr:uid="{00000000-0005-0000-0000-0000E72E0000}"/>
    <cellStyle name="40% - Accent6 3 10 7" xfId="12096" xr:uid="{00000000-0005-0000-0000-0000E82E0000}"/>
    <cellStyle name="40% - Accent6 3 10 8" xfId="12097" xr:uid="{00000000-0005-0000-0000-0000E92E0000}"/>
    <cellStyle name="40% - Accent6 3 10 9" xfId="12098" xr:uid="{00000000-0005-0000-0000-0000EA2E0000}"/>
    <cellStyle name="40% - Accent6 3 11" xfId="12099" xr:uid="{00000000-0005-0000-0000-0000EB2E0000}"/>
    <cellStyle name="40% - Accent6 3 11 10" xfId="12100" xr:uid="{00000000-0005-0000-0000-0000EC2E0000}"/>
    <cellStyle name="40% - Accent6 3 11 11" xfId="12101" xr:uid="{00000000-0005-0000-0000-0000ED2E0000}"/>
    <cellStyle name="40% - Accent6 3 11 12" xfId="12102" xr:uid="{00000000-0005-0000-0000-0000EE2E0000}"/>
    <cellStyle name="40% - Accent6 3 11 13" xfId="12103" xr:uid="{00000000-0005-0000-0000-0000EF2E0000}"/>
    <cellStyle name="40% - Accent6 3 11 14" xfId="12104" xr:uid="{00000000-0005-0000-0000-0000F02E0000}"/>
    <cellStyle name="40% - Accent6 3 11 15" xfId="12105" xr:uid="{00000000-0005-0000-0000-0000F12E0000}"/>
    <cellStyle name="40% - Accent6 3 11 2" xfId="12106" xr:uid="{00000000-0005-0000-0000-0000F22E0000}"/>
    <cellStyle name="40% - Accent6 3 11 3" xfId="12107" xr:uid="{00000000-0005-0000-0000-0000F32E0000}"/>
    <cellStyle name="40% - Accent6 3 11 4" xfId="12108" xr:uid="{00000000-0005-0000-0000-0000F42E0000}"/>
    <cellStyle name="40% - Accent6 3 11 5" xfId="12109" xr:uid="{00000000-0005-0000-0000-0000F52E0000}"/>
    <cellStyle name="40% - Accent6 3 11 6" xfId="12110" xr:uid="{00000000-0005-0000-0000-0000F62E0000}"/>
    <cellStyle name="40% - Accent6 3 11 7" xfId="12111" xr:uid="{00000000-0005-0000-0000-0000F72E0000}"/>
    <cellStyle name="40% - Accent6 3 11 8" xfId="12112" xr:uid="{00000000-0005-0000-0000-0000F82E0000}"/>
    <cellStyle name="40% - Accent6 3 11 9" xfId="12113" xr:uid="{00000000-0005-0000-0000-0000F92E0000}"/>
    <cellStyle name="40% - Accent6 3 12" xfId="12114" xr:uid="{00000000-0005-0000-0000-0000FA2E0000}"/>
    <cellStyle name="40% - Accent6 3 12 10" xfId="12115" xr:uid="{00000000-0005-0000-0000-0000FB2E0000}"/>
    <cellStyle name="40% - Accent6 3 12 11" xfId="12116" xr:uid="{00000000-0005-0000-0000-0000FC2E0000}"/>
    <cellStyle name="40% - Accent6 3 12 12" xfId="12117" xr:uid="{00000000-0005-0000-0000-0000FD2E0000}"/>
    <cellStyle name="40% - Accent6 3 12 13" xfId="12118" xr:uid="{00000000-0005-0000-0000-0000FE2E0000}"/>
    <cellStyle name="40% - Accent6 3 12 14" xfId="12119" xr:uid="{00000000-0005-0000-0000-0000FF2E0000}"/>
    <cellStyle name="40% - Accent6 3 12 15" xfId="12120" xr:uid="{00000000-0005-0000-0000-0000002F0000}"/>
    <cellStyle name="40% - Accent6 3 12 2" xfId="12121" xr:uid="{00000000-0005-0000-0000-0000012F0000}"/>
    <cellStyle name="40% - Accent6 3 12 3" xfId="12122" xr:uid="{00000000-0005-0000-0000-0000022F0000}"/>
    <cellStyle name="40% - Accent6 3 12 4" xfId="12123" xr:uid="{00000000-0005-0000-0000-0000032F0000}"/>
    <cellStyle name="40% - Accent6 3 12 5" xfId="12124" xr:uid="{00000000-0005-0000-0000-0000042F0000}"/>
    <cellStyle name="40% - Accent6 3 12 6" xfId="12125" xr:uid="{00000000-0005-0000-0000-0000052F0000}"/>
    <cellStyle name="40% - Accent6 3 12 7" xfId="12126" xr:uid="{00000000-0005-0000-0000-0000062F0000}"/>
    <cellStyle name="40% - Accent6 3 12 8" xfId="12127" xr:uid="{00000000-0005-0000-0000-0000072F0000}"/>
    <cellStyle name="40% - Accent6 3 12 9" xfId="12128" xr:uid="{00000000-0005-0000-0000-0000082F0000}"/>
    <cellStyle name="40% - Accent6 3 13" xfId="12129" xr:uid="{00000000-0005-0000-0000-0000092F0000}"/>
    <cellStyle name="40% - Accent6 3 13 10" xfId="12130" xr:uid="{00000000-0005-0000-0000-00000A2F0000}"/>
    <cellStyle name="40% - Accent6 3 13 11" xfId="12131" xr:uid="{00000000-0005-0000-0000-00000B2F0000}"/>
    <cellStyle name="40% - Accent6 3 13 12" xfId="12132" xr:uid="{00000000-0005-0000-0000-00000C2F0000}"/>
    <cellStyle name="40% - Accent6 3 13 13" xfId="12133" xr:uid="{00000000-0005-0000-0000-00000D2F0000}"/>
    <cellStyle name="40% - Accent6 3 13 14" xfId="12134" xr:uid="{00000000-0005-0000-0000-00000E2F0000}"/>
    <cellStyle name="40% - Accent6 3 13 15" xfId="12135" xr:uid="{00000000-0005-0000-0000-00000F2F0000}"/>
    <cellStyle name="40% - Accent6 3 13 2" xfId="12136" xr:uid="{00000000-0005-0000-0000-0000102F0000}"/>
    <cellStyle name="40% - Accent6 3 13 3" xfId="12137" xr:uid="{00000000-0005-0000-0000-0000112F0000}"/>
    <cellStyle name="40% - Accent6 3 13 4" xfId="12138" xr:uid="{00000000-0005-0000-0000-0000122F0000}"/>
    <cellStyle name="40% - Accent6 3 13 5" xfId="12139" xr:uid="{00000000-0005-0000-0000-0000132F0000}"/>
    <cellStyle name="40% - Accent6 3 13 6" xfId="12140" xr:uid="{00000000-0005-0000-0000-0000142F0000}"/>
    <cellStyle name="40% - Accent6 3 13 7" xfId="12141" xr:uid="{00000000-0005-0000-0000-0000152F0000}"/>
    <cellStyle name="40% - Accent6 3 13 8" xfId="12142" xr:uid="{00000000-0005-0000-0000-0000162F0000}"/>
    <cellStyle name="40% - Accent6 3 13 9" xfId="12143" xr:uid="{00000000-0005-0000-0000-0000172F0000}"/>
    <cellStyle name="40% - Accent6 3 14" xfId="12144" xr:uid="{00000000-0005-0000-0000-0000182F0000}"/>
    <cellStyle name="40% - Accent6 3 14 10" xfId="12145" xr:uid="{00000000-0005-0000-0000-0000192F0000}"/>
    <cellStyle name="40% - Accent6 3 14 11" xfId="12146" xr:uid="{00000000-0005-0000-0000-00001A2F0000}"/>
    <cellStyle name="40% - Accent6 3 14 12" xfId="12147" xr:uid="{00000000-0005-0000-0000-00001B2F0000}"/>
    <cellStyle name="40% - Accent6 3 14 13" xfId="12148" xr:uid="{00000000-0005-0000-0000-00001C2F0000}"/>
    <cellStyle name="40% - Accent6 3 14 14" xfId="12149" xr:uid="{00000000-0005-0000-0000-00001D2F0000}"/>
    <cellStyle name="40% - Accent6 3 14 15" xfId="12150" xr:uid="{00000000-0005-0000-0000-00001E2F0000}"/>
    <cellStyle name="40% - Accent6 3 14 2" xfId="12151" xr:uid="{00000000-0005-0000-0000-00001F2F0000}"/>
    <cellStyle name="40% - Accent6 3 14 3" xfId="12152" xr:uid="{00000000-0005-0000-0000-0000202F0000}"/>
    <cellStyle name="40% - Accent6 3 14 4" xfId="12153" xr:uid="{00000000-0005-0000-0000-0000212F0000}"/>
    <cellStyle name="40% - Accent6 3 14 5" xfId="12154" xr:uid="{00000000-0005-0000-0000-0000222F0000}"/>
    <cellStyle name="40% - Accent6 3 14 6" xfId="12155" xr:uid="{00000000-0005-0000-0000-0000232F0000}"/>
    <cellStyle name="40% - Accent6 3 14 7" xfId="12156" xr:uid="{00000000-0005-0000-0000-0000242F0000}"/>
    <cellStyle name="40% - Accent6 3 14 8" xfId="12157" xr:uid="{00000000-0005-0000-0000-0000252F0000}"/>
    <cellStyle name="40% - Accent6 3 14 9" xfId="12158" xr:uid="{00000000-0005-0000-0000-0000262F0000}"/>
    <cellStyle name="40% - Accent6 3 15" xfId="12159" xr:uid="{00000000-0005-0000-0000-0000272F0000}"/>
    <cellStyle name="40% - Accent6 3 15 10" xfId="12160" xr:uid="{00000000-0005-0000-0000-0000282F0000}"/>
    <cellStyle name="40% - Accent6 3 15 11" xfId="12161" xr:uid="{00000000-0005-0000-0000-0000292F0000}"/>
    <cellStyle name="40% - Accent6 3 15 12" xfId="12162" xr:uid="{00000000-0005-0000-0000-00002A2F0000}"/>
    <cellStyle name="40% - Accent6 3 15 13" xfId="12163" xr:uid="{00000000-0005-0000-0000-00002B2F0000}"/>
    <cellStyle name="40% - Accent6 3 15 14" xfId="12164" xr:uid="{00000000-0005-0000-0000-00002C2F0000}"/>
    <cellStyle name="40% - Accent6 3 15 15" xfId="12165" xr:uid="{00000000-0005-0000-0000-00002D2F0000}"/>
    <cellStyle name="40% - Accent6 3 15 2" xfId="12166" xr:uid="{00000000-0005-0000-0000-00002E2F0000}"/>
    <cellStyle name="40% - Accent6 3 15 3" xfId="12167" xr:uid="{00000000-0005-0000-0000-00002F2F0000}"/>
    <cellStyle name="40% - Accent6 3 15 4" xfId="12168" xr:uid="{00000000-0005-0000-0000-0000302F0000}"/>
    <cellStyle name="40% - Accent6 3 15 5" xfId="12169" xr:uid="{00000000-0005-0000-0000-0000312F0000}"/>
    <cellStyle name="40% - Accent6 3 15 6" xfId="12170" xr:uid="{00000000-0005-0000-0000-0000322F0000}"/>
    <cellStyle name="40% - Accent6 3 15 7" xfId="12171" xr:uid="{00000000-0005-0000-0000-0000332F0000}"/>
    <cellStyle name="40% - Accent6 3 15 8" xfId="12172" xr:uid="{00000000-0005-0000-0000-0000342F0000}"/>
    <cellStyle name="40% - Accent6 3 15 9" xfId="12173" xr:uid="{00000000-0005-0000-0000-0000352F0000}"/>
    <cellStyle name="40% - Accent6 3 16" xfId="12174" xr:uid="{00000000-0005-0000-0000-0000362F0000}"/>
    <cellStyle name="40% - Accent6 3 16 10" xfId="12175" xr:uid="{00000000-0005-0000-0000-0000372F0000}"/>
    <cellStyle name="40% - Accent6 3 16 11" xfId="12176" xr:uid="{00000000-0005-0000-0000-0000382F0000}"/>
    <cellStyle name="40% - Accent6 3 16 12" xfId="12177" xr:uid="{00000000-0005-0000-0000-0000392F0000}"/>
    <cellStyle name="40% - Accent6 3 16 13" xfId="12178" xr:uid="{00000000-0005-0000-0000-00003A2F0000}"/>
    <cellStyle name="40% - Accent6 3 16 14" xfId="12179" xr:uid="{00000000-0005-0000-0000-00003B2F0000}"/>
    <cellStyle name="40% - Accent6 3 16 15" xfId="12180" xr:uid="{00000000-0005-0000-0000-00003C2F0000}"/>
    <cellStyle name="40% - Accent6 3 16 2" xfId="12181" xr:uid="{00000000-0005-0000-0000-00003D2F0000}"/>
    <cellStyle name="40% - Accent6 3 16 3" xfId="12182" xr:uid="{00000000-0005-0000-0000-00003E2F0000}"/>
    <cellStyle name="40% - Accent6 3 16 4" xfId="12183" xr:uid="{00000000-0005-0000-0000-00003F2F0000}"/>
    <cellStyle name="40% - Accent6 3 16 5" xfId="12184" xr:uid="{00000000-0005-0000-0000-0000402F0000}"/>
    <cellStyle name="40% - Accent6 3 16 6" xfId="12185" xr:uid="{00000000-0005-0000-0000-0000412F0000}"/>
    <cellStyle name="40% - Accent6 3 16 7" xfId="12186" xr:uid="{00000000-0005-0000-0000-0000422F0000}"/>
    <cellStyle name="40% - Accent6 3 16 8" xfId="12187" xr:uid="{00000000-0005-0000-0000-0000432F0000}"/>
    <cellStyle name="40% - Accent6 3 16 9" xfId="12188" xr:uid="{00000000-0005-0000-0000-0000442F0000}"/>
    <cellStyle name="40% - Accent6 3 17" xfId="12189" xr:uid="{00000000-0005-0000-0000-0000452F0000}"/>
    <cellStyle name="40% - Accent6 3 17 10" xfId="12190" xr:uid="{00000000-0005-0000-0000-0000462F0000}"/>
    <cellStyle name="40% - Accent6 3 17 11" xfId="12191" xr:uid="{00000000-0005-0000-0000-0000472F0000}"/>
    <cellStyle name="40% - Accent6 3 17 12" xfId="12192" xr:uid="{00000000-0005-0000-0000-0000482F0000}"/>
    <cellStyle name="40% - Accent6 3 17 13" xfId="12193" xr:uid="{00000000-0005-0000-0000-0000492F0000}"/>
    <cellStyle name="40% - Accent6 3 17 14" xfId="12194" xr:uid="{00000000-0005-0000-0000-00004A2F0000}"/>
    <cellStyle name="40% - Accent6 3 17 15" xfId="12195" xr:uid="{00000000-0005-0000-0000-00004B2F0000}"/>
    <cellStyle name="40% - Accent6 3 17 2" xfId="12196" xr:uid="{00000000-0005-0000-0000-00004C2F0000}"/>
    <cellStyle name="40% - Accent6 3 17 3" xfId="12197" xr:uid="{00000000-0005-0000-0000-00004D2F0000}"/>
    <cellStyle name="40% - Accent6 3 17 4" xfId="12198" xr:uid="{00000000-0005-0000-0000-00004E2F0000}"/>
    <cellStyle name="40% - Accent6 3 17 5" xfId="12199" xr:uid="{00000000-0005-0000-0000-00004F2F0000}"/>
    <cellStyle name="40% - Accent6 3 17 6" xfId="12200" xr:uid="{00000000-0005-0000-0000-0000502F0000}"/>
    <cellStyle name="40% - Accent6 3 17 7" xfId="12201" xr:uid="{00000000-0005-0000-0000-0000512F0000}"/>
    <cellStyle name="40% - Accent6 3 17 8" xfId="12202" xr:uid="{00000000-0005-0000-0000-0000522F0000}"/>
    <cellStyle name="40% - Accent6 3 17 9" xfId="12203" xr:uid="{00000000-0005-0000-0000-0000532F0000}"/>
    <cellStyle name="40% - Accent6 3 18" xfId="12204" xr:uid="{00000000-0005-0000-0000-0000542F0000}"/>
    <cellStyle name="40% - Accent6 3 18 10" xfId="12205" xr:uid="{00000000-0005-0000-0000-0000552F0000}"/>
    <cellStyle name="40% - Accent6 3 18 11" xfId="12206" xr:uid="{00000000-0005-0000-0000-0000562F0000}"/>
    <cellStyle name="40% - Accent6 3 18 12" xfId="12207" xr:uid="{00000000-0005-0000-0000-0000572F0000}"/>
    <cellStyle name="40% - Accent6 3 18 13" xfId="12208" xr:uid="{00000000-0005-0000-0000-0000582F0000}"/>
    <cellStyle name="40% - Accent6 3 18 14" xfId="12209" xr:uid="{00000000-0005-0000-0000-0000592F0000}"/>
    <cellStyle name="40% - Accent6 3 18 15" xfId="12210" xr:uid="{00000000-0005-0000-0000-00005A2F0000}"/>
    <cellStyle name="40% - Accent6 3 18 2" xfId="12211" xr:uid="{00000000-0005-0000-0000-00005B2F0000}"/>
    <cellStyle name="40% - Accent6 3 18 3" xfId="12212" xr:uid="{00000000-0005-0000-0000-00005C2F0000}"/>
    <cellStyle name="40% - Accent6 3 18 4" xfId="12213" xr:uid="{00000000-0005-0000-0000-00005D2F0000}"/>
    <cellStyle name="40% - Accent6 3 18 5" xfId="12214" xr:uid="{00000000-0005-0000-0000-00005E2F0000}"/>
    <cellStyle name="40% - Accent6 3 18 6" xfId="12215" xr:uid="{00000000-0005-0000-0000-00005F2F0000}"/>
    <cellStyle name="40% - Accent6 3 18 7" xfId="12216" xr:uid="{00000000-0005-0000-0000-0000602F0000}"/>
    <cellStyle name="40% - Accent6 3 18 8" xfId="12217" xr:uid="{00000000-0005-0000-0000-0000612F0000}"/>
    <cellStyle name="40% - Accent6 3 18 9" xfId="12218" xr:uid="{00000000-0005-0000-0000-0000622F0000}"/>
    <cellStyle name="40% - Accent6 3 19" xfId="12219" xr:uid="{00000000-0005-0000-0000-0000632F0000}"/>
    <cellStyle name="40% - Accent6 3 19 10" xfId="12220" xr:uid="{00000000-0005-0000-0000-0000642F0000}"/>
    <cellStyle name="40% - Accent6 3 19 11" xfId="12221" xr:uid="{00000000-0005-0000-0000-0000652F0000}"/>
    <cellStyle name="40% - Accent6 3 19 12" xfId="12222" xr:uid="{00000000-0005-0000-0000-0000662F0000}"/>
    <cellStyle name="40% - Accent6 3 19 13" xfId="12223" xr:uid="{00000000-0005-0000-0000-0000672F0000}"/>
    <cellStyle name="40% - Accent6 3 19 14" xfId="12224" xr:uid="{00000000-0005-0000-0000-0000682F0000}"/>
    <cellStyle name="40% - Accent6 3 19 15" xfId="12225" xr:uid="{00000000-0005-0000-0000-0000692F0000}"/>
    <cellStyle name="40% - Accent6 3 19 2" xfId="12226" xr:uid="{00000000-0005-0000-0000-00006A2F0000}"/>
    <cellStyle name="40% - Accent6 3 19 3" xfId="12227" xr:uid="{00000000-0005-0000-0000-00006B2F0000}"/>
    <cellStyle name="40% - Accent6 3 19 4" xfId="12228" xr:uid="{00000000-0005-0000-0000-00006C2F0000}"/>
    <cellStyle name="40% - Accent6 3 19 5" xfId="12229" xr:uid="{00000000-0005-0000-0000-00006D2F0000}"/>
    <cellStyle name="40% - Accent6 3 19 6" xfId="12230" xr:uid="{00000000-0005-0000-0000-00006E2F0000}"/>
    <cellStyle name="40% - Accent6 3 19 7" xfId="12231" xr:uid="{00000000-0005-0000-0000-00006F2F0000}"/>
    <cellStyle name="40% - Accent6 3 19 8" xfId="12232" xr:uid="{00000000-0005-0000-0000-0000702F0000}"/>
    <cellStyle name="40% - Accent6 3 19 9" xfId="12233" xr:uid="{00000000-0005-0000-0000-0000712F0000}"/>
    <cellStyle name="40% - Accent6 3 2" xfId="12234" xr:uid="{00000000-0005-0000-0000-0000722F0000}"/>
    <cellStyle name="40% - Accent6 3 2 10" xfId="12235" xr:uid="{00000000-0005-0000-0000-0000732F0000}"/>
    <cellStyle name="40% - Accent6 3 2 11" xfId="12236" xr:uid="{00000000-0005-0000-0000-0000742F0000}"/>
    <cellStyle name="40% - Accent6 3 2 12" xfId="12237" xr:uid="{00000000-0005-0000-0000-0000752F0000}"/>
    <cellStyle name="40% - Accent6 3 2 13" xfId="12238" xr:uid="{00000000-0005-0000-0000-0000762F0000}"/>
    <cellStyle name="40% - Accent6 3 2 14" xfId="12239" xr:uid="{00000000-0005-0000-0000-0000772F0000}"/>
    <cellStyle name="40% - Accent6 3 2 15" xfId="12240" xr:uid="{00000000-0005-0000-0000-0000782F0000}"/>
    <cellStyle name="40% - Accent6 3 2 16" xfId="12241" xr:uid="{00000000-0005-0000-0000-0000792F0000}"/>
    <cellStyle name="40% - Accent6 3 2 17" xfId="12242" xr:uid="{00000000-0005-0000-0000-00007A2F0000}"/>
    <cellStyle name="40% - Accent6 3 2 18" xfId="12243" xr:uid="{00000000-0005-0000-0000-00007B2F0000}"/>
    <cellStyle name="40% - Accent6 3 2 19" xfId="12244" xr:uid="{00000000-0005-0000-0000-00007C2F0000}"/>
    <cellStyle name="40% - Accent6 3 2 2" xfId="12245" xr:uid="{00000000-0005-0000-0000-00007D2F0000}"/>
    <cellStyle name="40% - Accent6 3 2 20" xfId="12246" xr:uid="{00000000-0005-0000-0000-00007E2F0000}"/>
    <cellStyle name="40% - Accent6 3 2 21" xfId="12247" xr:uid="{00000000-0005-0000-0000-00007F2F0000}"/>
    <cellStyle name="40% - Accent6 3 2 22" xfId="12248" xr:uid="{00000000-0005-0000-0000-0000802F0000}"/>
    <cellStyle name="40% - Accent6 3 2 23" xfId="12249" xr:uid="{00000000-0005-0000-0000-0000812F0000}"/>
    <cellStyle name="40% - Accent6 3 2 24" xfId="12250" xr:uid="{00000000-0005-0000-0000-0000822F0000}"/>
    <cellStyle name="40% - Accent6 3 2 25" xfId="12251" xr:uid="{00000000-0005-0000-0000-0000832F0000}"/>
    <cellStyle name="40% - Accent6 3 2 26" xfId="12252" xr:uid="{00000000-0005-0000-0000-0000842F0000}"/>
    <cellStyle name="40% - Accent6 3 2 27" xfId="12253" xr:uid="{00000000-0005-0000-0000-0000852F0000}"/>
    <cellStyle name="40% - Accent6 3 2 28" xfId="12254" xr:uid="{00000000-0005-0000-0000-0000862F0000}"/>
    <cellStyle name="40% - Accent6 3 2 29" xfId="12255" xr:uid="{00000000-0005-0000-0000-0000872F0000}"/>
    <cellStyle name="40% - Accent6 3 2 3" xfId="12256" xr:uid="{00000000-0005-0000-0000-0000882F0000}"/>
    <cellStyle name="40% - Accent6 3 2 30" xfId="12257" xr:uid="{00000000-0005-0000-0000-0000892F0000}"/>
    <cellStyle name="40% - Accent6 3 2 31" xfId="12258" xr:uid="{00000000-0005-0000-0000-00008A2F0000}"/>
    <cellStyle name="40% - Accent6 3 2 32" xfId="12259" xr:uid="{00000000-0005-0000-0000-00008B2F0000}"/>
    <cellStyle name="40% - Accent6 3 2 33" xfId="12260" xr:uid="{00000000-0005-0000-0000-00008C2F0000}"/>
    <cellStyle name="40% - Accent6 3 2 34" xfId="12261" xr:uid="{00000000-0005-0000-0000-00008D2F0000}"/>
    <cellStyle name="40% - Accent6 3 2 35" xfId="12262" xr:uid="{00000000-0005-0000-0000-00008E2F0000}"/>
    <cellStyle name="40% - Accent6 3 2 36" xfId="12263" xr:uid="{00000000-0005-0000-0000-00008F2F0000}"/>
    <cellStyle name="40% - Accent6 3 2 37" xfId="12264" xr:uid="{00000000-0005-0000-0000-0000902F0000}"/>
    <cellStyle name="40% - Accent6 3 2 38" xfId="12265" xr:uid="{00000000-0005-0000-0000-0000912F0000}"/>
    <cellStyle name="40% - Accent6 3 2 39" xfId="12266" xr:uid="{00000000-0005-0000-0000-0000922F0000}"/>
    <cellStyle name="40% - Accent6 3 2 4" xfId="12267" xr:uid="{00000000-0005-0000-0000-0000932F0000}"/>
    <cellStyle name="40% - Accent6 3 2 40" xfId="12268" xr:uid="{00000000-0005-0000-0000-0000942F0000}"/>
    <cellStyle name="40% - Accent6 3 2 41" xfId="12269" xr:uid="{00000000-0005-0000-0000-0000952F0000}"/>
    <cellStyle name="40% - Accent6 3 2 42" xfId="12270" xr:uid="{00000000-0005-0000-0000-0000962F0000}"/>
    <cellStyle name="40% - Accent6 3 2 43" xfId="12271" xr:uid="{00000000-0005-0000-0000-0000972F0000}"/>
    <cellStyle name="40% - Accent6 3 2 44" xfId="12272" xr:uid="{00000000-0005-0000-0000-0000982F0000}"/>
    <cellStyle name="40% - Accent6 3 2 45" xfId="12273" xr:uid="{00000000-0005-0000-0000-0000992F0000}"/>
    <cellStyle name="40% - Accent6 3 2 46" xfId="12274" xr:uid="{00000000-0005-0000-0000-00009A2F0000}"/>
    <cellStyle name="40% - Accent6 3 2 47" xfId="12275" xr:uid="{00000000-0005-0000-0000-00009B2F0000}"/>
    <cellStyle name="40% - Accent6 3 2 48" xfId="12276" xr:uid="{00000000-0005-0000-0000-00009C2F0000}"/>
    <cellStyle name="40% - Accent6 3 2 49" xfId="12277" xr:uid="{00000000-0005-0000-0000-00009D2F0000}"/>
    <cellStyle name="40% - Accent6 3 2 5" xfId="12278" xr:uid="{00000000-0005-0000-0000-00009E2F0000}"/>
    <cellStyle name="40% - Accent6 3 2 50" xfId="12279" xr:uid="{00000000-0005-0000-0000-00009F2F0000}"/>
    <cellStyle name="40% - Accent6 3 2 51" xfId="12280" xr:uid="{00000000-0005-0000-0000-0000A02F0000}"/>
    <cellStyle name="40% - Accent6 3 2 52" xfId="12281" xr:uid="{00000000-0005-0000-0000-0000A12F0000}"/>
    <cellStyle name="40% - Accent6 3 2 53" xfId="12282" xr:uid="{00000000-0005-0000-0000-0000A22F0000}"/>
    <cellStyle name="40% - Accent6 3 2 54" xfId="12283" xr:uid="{00000000-0005-0000-0000-0000A32F0000}"/>
    <cellStyle name="40% - Accent6 3 2 6" xfId="12284" xr:uid="{00000000-0005-0000-0000-0000A42F0000}"/>
    <cellStyle name="40% - Accent6 3 2 7" xfId="12285" xr:uid="{00000000-0005-0000-0000-0000A52F0000}"/>
    <cellStyle name="40% - Accent6 3 2 8" xfId="12286" xr:uid="{00000000-0005-0000-0000-0000A62F0000}"/>
    <cellStyle name="40% - Accent6 3 2 9" xfId="12287" xr:uid="{00000000-0005-0000-0000-0000A72F0000}"/>
    <cellStyle name="40% - Accent6 3 20" xfId="12288" xr:uid="{00000000-0005-0000-0000-0000A82F0000}"/>
    <cellStyle name="40% - Accent6 3 20 10" xfId="12289" xr:uid="{00000000-0005-0000-0000-0000A92F0000}"/>
    <cellStyle name="40% - Accent6 3 20 11" xfId="12290" xr:uid="{00000000-0005-0000-0000-0000AA2F0000}"/>
    <cellStyle name="40% - Accent6 3 20 12" xfId="12291" xr:uid="{00000000-0005-0000-0000-0000AB2F0000}"/>
    <cellStyle name="40% - Accent6 3 20 13" xfId="12292" xr:uid="{00000000-0005-0000-0000-0000AC2F0000}"/>
    <cellStyle name="40% - Accent6 3 20 14" xfId="12293" xr:uid="{00000000-0005-0000-0000-0000AD2F0000}"/>
    <cellStyle name="40% - Accent6 3 20 15" xfId="12294" xr:uid="{00000000-0005-0000-0000-0000AE2F0000}"/>
    <cellStyle name="40% - Accent6 3 20 2" xfId="12295" xr:uid="{00000000-0005-0000-0000-0000AF2F0000}"/>
    <cellStyle name="40% - Accent6 3 20 3" xfId="12296" xr:uid="{00000000-0005-0000-0000-0000B02F0000}"/>
    <cellStyle name="40% - Accent6 3 20 4" xfId="12297" xr:uid="{00000000-0005-0000-0000-0000B12F0000}"/>
    <cellStyle name="40% - Accent6 3 20 5" xfId="12298" xr:uid="{00000000-0005-0000-0000-0000B22F0000}"/>
    <cellStyle name="40% - Accent6 3 20 6" xfId="12299" xr:uid="{00000000-0005-0000-0000-0000B32F0000}"/>
    <cellStyle name="40% - Accent6 3 20 7" xfId="12300" xr:uid="{00000000-0005-0000-0000-0000B42F0000}"/>
    <cellStyle name="40% - Accent6 3 20 8" xfId="12301" xr:uid="{00000000-0005-0000-0000-0000B52F0000}"/>
    <cellStyle name="40% - Accent6 3 20 9" xfId="12302" xr:uid="{00000000-0005-0000-0000-0000B62F0000}"/>
    <cellStyle name="40% - Accent6 3 21" xfId="12303" xr:uid="{00000000-0005-0000-0000-0000B72F0000}"/>
    <cellStyle name="40% - Accent6 3 21 10" xfId="12304" xr:uid="{00000000-0005-0000-0000-0000B82F0000}"/>
    <cellStyle name="40% - Accent6 3 21 11" xfId="12305" xr:uid="{00000000-0005-0000-0000-0000B92F0000}"/>
    <cellStyle name="40% - Accent6 3 21 12" xfId="12306" xr:uid="{00000000-0005-0000-0000-0000BA2F0000}"/>
    <cellStyle name="40% - Accent6 3 21 13" xfId="12307" xr:uid="{00000000-0005-0000-0000-0000BB2F0000}"/>
    <cellStyle name="40% - Accent6 3 21 14" xfId="12308" xr:uid="{00000000-0005-0000-0000-0000BC2F0000}"/>
    <cellStyle name="40% - Accent6 3 21 15" xfId="12309" xr:uid="{00000000-0005-0000-0000-0000BD2F0000}"/>
    <cellStyle name="40% - Accent6 3 21 2" xfId="12310" xr:uid="{00000000-0005-0000-0000-0000BE2F0000}"/>
    <cellStyle name="40% - Accent6 3 21 3" xfId="12311" xr:uid="{00000000-0005-0000-0000-0000BF2F0000}"/>
    <cellStyle name="40% - Accent6 3 21 4" xfId="12312" xr:uid="{00000000-0005-0000-0000-0000C02F0000}"/>
    <cellStyle name="40% - Accent6 3 21 5" xfId="12313" xr:uid="{00000000-0005-0000-0000-0000C12F0000}"/>
    <cellStyle name="40% - Accent6 3 21 6" xfId="12314" xr:uid="{00000000-0005-0000-0000-0000C22F0000}"/>
    <cellStyle name="40% - Accent6 3 21 7" xfId="12315" xr:uid="{00000000-0005-0000-0000-0000C32F0000}"/>
    <cellStyle name="40% - Accent6 3 21 8" xfId="12316" xr:uid="{00000000-0005-0000-0000-0000C42F0000}"/>
    <cellStyle name="40% - Accent6 3 21 9" xfId="12317" xr:uid="{00000000-0005-0000-0000-0000C52F0000}"/>
    <cellStyle name="40% - Accent6 3 22" xfId="12318" xr:uid="{00000000-0005-0000-0000-0000C62F0000}"/>
    <cellStyle name="40% - Accent6 3 22 10" xfId="12319" xr:uid="{00000000-0005-0000-0000-0000C72F0000}"/>
    <cellStyle name="40% - Accent6 3 22 11" xfId="12320" xr:uid="{00000000-0005-0000-0000-0000C82F0000}"/>
    <cellStyle name="40% - Accent6 3 22 12" xfId="12321" xr:uid="{00000000-0005-0000-0000-0000C92F0000}"/>
    <cellStyle name="40% - Accent6 3 22 13" xfId="12322" xr:uid="{00000000-0005-0000-0000-0000CA2F0000}"/>
    <cellStyle name="40% - Accent6 3 22 14" xfId="12323" xr:uid="{00000000-0005-0000-0000-0000CB2F0000}"/>
    <cellStyle name="40% - Accent6 3 22 15" xfId="12324" xr:uid="{00000000-0005-0000-0000-0000CC2F0000}"/>
    <cellStyle name="40% - Accent6 3 22 2" xfId="12325" xr:uid="{00000000-0005-0000-0000-0000CD2F0000}"/>
    <cellStyle name="40% - Accent6 3 22 3" xfId="12326" xr:uid="{00000000-0005-0000-0000-0000CE2F0000}"/>
    <cellStyle name="40% - Accent6 3 22 4" xfId="12327" xr:uid="{00000000-0005-0000-0000-0000CF2F0000}"/>
    <cellStyle name="40% - Accent6 3 22 5" xfId="12328" xr:uid="{00000000-0005-0000-0000-0000D02F0000}"/>
    <cellStyle name="40% - Accent6 3 22 6" xfId="12329" xr:uid="{00000000-0005-0000-0000-0000D12F0000}"/>
    <cellStyle name="40% - Accent6 3 22 7" xfId="12330" xr:uid="{00000000-0005-0000-0000-0000D22F0000}"/>
    <cellStyle name="40% - Accent6 3 22 8" xfId="12331" xr:uid="{00000000-0005-0000-0000-0000D32F0000}"/>
    <cellStyle name="40% - Accent6 3 22 9" xfId="12332" xr:uid="{00000000-0005-0000-0000-0000D42F0000}"/>
    <cellStyle name="40% - Accent6 3 23" xfId="12333" xr:uid="{00000000-0005-0000-0000-0000D52F0000}"/>
    <cellStyle name="40% - Accent6 3 23 10" xfId="12334" xr:uid="{00000000-0005-0000-0000-0000D62F0000}"/>
    <cellStyle name="40% - Accent6 3 23 11" xfId="12335" xr:uid="{00000000-0005-0000-0000-0000D72F0000}"/>
    <cellStyle name="40% - Accent6 3 23 12" xfId="12336" xr:uid="{00000000-0005-0000-0000-0000D82F0000}"/>
    <cellStyle name="40% - Accent6 3 23 13" xfId="12337" xr:uid="{00000000-0005-0000-0000-0000D92F0000}"/>
    <cellStyle name="40% - Accent6 3 23 14" xfId="12338" xr:uid="{00000000-0005-0000-0000-0000DA2F0000}"/>
    <cellStyle name="40% - Accent6 3 23 15" xfId="12339" xr:uid="{00000000-0005-0000-0000-0000DB2F0000}"/>
    <cellStyle name="40% - Accent6 3 23 2" xfId="12340" xr:uid="{00000000-0005-0000-0000-0000DC2F0000}"/>
    <cellStyle name="40% - Accent6 3 23 3" xfId="12341" xr:uid="{00000000-0005-0000-0000-0000DD2F0000}"/>
    <cellStyle name="40% - Accent6 3 23 4" xfId="12342" xr:uid="{00000000-0005-0000-0000-0000DE2F0000}"/>
    <cellStyle name="40% - Accent6 3 23 5" xfId="12343" xr:uid="{00000000-0005-0000-0000-0000DF2F0000}"/>
    <cellStyle name="40% - Accent6 3 23 6" xfId="12344" xr:uid="{00000000-0005-0000-0000-0000E02F0000}"/>
    <cellStyle name="40% - Accent6 3 23 7" xfId="12345" xr:uid="{00000000-0005-0000-0000-0000E12F0000}"/>
    <cellStyle name="40% - Accent6 3 23 8" xfId="12346" xr:uid="{00000000-0005-0000-0000-0000E22F0000}"/>
    <cellStyle name="40% - Accent6 3 23 9" xfId="12347" xr:uid="{00000000-0005-0000-0000-0000E32F0000}"/>
    <cellStyle name="40% - Accent6 3 24" xfId="12348" xr:uid="{00000000-0005-0000-0000-0000E42F0000}"/>
    <cellStyle name="40% - Accent6 3 24 10" xfId="12349" xr:uid="{00000000-0005-0000-0000-0000E52F0000}"/>
    <cellStyle name="40% - Accent6 3 24 11" xfId="12350" xr:uid="{00000000-0005-0000-0000-0000E62F0000}"/>
    <cellStyle name="40% - Accent6 3 24 12" xfId="12351" xr:uid="{00000000-0005-0000-0000-0000E72F0000}"/>
    <cellStyle name="40% - Accent6 3 24 13" xfId="12352" xr:uid="{00000000-0005-0000-0000-0000E82F0000}"/>
    <cellStyle name="40% - Accent6 3 24 14" xfId="12353" xr:uid="{00000000-0005-0000-0000-0000E92F0000}"/>
    <cellStyle name="40% - Accent6 3 24 15" xfId="12354" xr:uid="{00000000-0005-0000-0000-0000EA2F0000}"/>
    <cellStyle name="40% - Accent6 3 24 2" xfId="12355" xr:uid="{00000000-0005-0000-0000-0000EB2F0000}"/>
    <cellStyle name="40% - Accent6 3 24 3" xfId="12356" xr:uid="{00000000-0005-0000-0000-0000EC2F0000}"/>
    <cellStyle name="40% - Accent6 3 24 4" xfId="12357" xr:uid="{00000000-0005-0000-0000-0000ED2F0000}"/>
    <cellStyle name="40% - Accent6 3 24 5" xfId="12358" xr:uid="{00000000-0005-0000-0000-0000EE2F0000}"/>
    <cellStyle name="40% - Accent6 3 24 6" xfId="12359" xr:uid="{00000000-0005-0000-0000-0000EF2F0000}"/>
    <cellStyle name="40% - Accent6 3 24 7" xfId="12360" xr:uid="{00000000-0005-0000-0000-0000F02F0000}"/>
    <cellStyle name="40% - Accent6 3 24 8" xfId="12361" xr:uid="{00000000-0005-0000-0000-0000F12F0000}"/>
    <cellStyle name="40% - Accent6 3 24 9" xfId="12362" xr:uid="{00000000-0005-0000-0000-0000F22F0000}"/>
    <cellStyle name="40% - Accent6 3 25" xfId="12363" xr:uid="{00000000-0005-0000-0000-0000F32F0000}"/>
    <cellStyle name="40% - Accent6 3 25 10" xfId="12364" xr:uid="{00000000-0005-0000-0000-0000F42F0000}"/>
    <cellStyle name="40% - Accent6 3 25 11" xfId="12365" xr:uid="{00000000-0005-0000-0000-0000F52F0000}"/>
    <cellStyle name="40% - Accent6 3 25 12" xfId="12366" xr:uid="{00000000-0005-0000-0000-0000F62F0000}"/>
    <cellStyle name="40% - Accent6 3 25 13" xfId="12367" xr:uid="{00000000-0005-0000-0000-0000F72F0000}"/>
    <cellStyle name="40% - Accent6 3 25 14" xfId="12368" xr:uid="{00000000-0005-0000-0000-0000F82F0000}"/>
    <cellStyle name="40% - Accent6 3 25 15" xfId="12369" xr:uid="{00000000-0005-0000-0000-0000F92F0000}"/>
    <cellStyle name="40% - Accent6 3 25 2" xfId="12370" xr:uid="{00000000-0005-0000-0000-0000FA2F0000}"/>
    <cellStyle name="40% - Accent6 3 25 3" xfId="12371" xr:uid="{00000000-0005-0000-0000-0000FB2F0000}"/>
    <cellStyle name="40% - Accent6 3 25 4" xfId="12372" xr:uid="{00000000-0005-0000-0000-0000FC2F0000}"/>
    <cellStyle name="40% - Accent6 3 25 5" xfId="12373" xr:uid="{00000000-0005-0000-0000-0000FD2F0000}"/>
    <cellStyle name="40% - Accent6 3 25 6" xfId="12374" xr:uid="{00000000-0005-0000-0000-0000FE2F0000}"/>
    <cellStyle name="40% - Accent6 3 25 7" xfId="12375" xr:uid="{00000000-0005-0000-0000-0000FF2F0000}"/>
    <cellStyle name="40% - Accent6 3 25 8" xfId="12376" xr:uid="{00000000-0005-0000-0000-000000300000}"/>
    <cellStyle name="40% - Accent6 3 25 9" xfId="12377" xr:uid="{00000000-0005-0000-0000-000001300000}"/>
    <cellStyle name="40% - Accent6 3 26" xfId="12378" xr:uid="{00000000-0005-0000-0000-000002300000}"/>
    <cellStyle name="40% - Accent6 3 26 10" xfId="12379" xr:uid="{00000000-0005-0000-0000-000003300000}"/>
    <cellStyle name="40% - Accent6 3 26 11" xfId="12380" xr:uid="{00000000-0005-0000-0000-000004300000}"/>
    <cellStyle name="40% - Accent6 3 26 12" xfId="12381" xr:uid="{00000000-0005-0000-0000-000005300000}"/>
    <cellStyle name="40% - Accent6 3 26 13" xfId="12382" xr:uid="{00000000-0005-0000-0000-000006300000}"/>
    <cellStyle name="40% - Accent6 3 26 14" xfId="12383" xr:uid="{00000000-0005-0000-0000-000007300000}"/>
    <cellStyle name="40% - Accent6 3 26 15" xfId="12384" xr:uid="{00000000-0005-0000-0000-000008300000}"/>
    <cellStyle name="40% - Accent6 3 26 2" xfId="12385" xr:uid="{00000000-0005-0000-0000-000009300000}"/>
    <cellStyle name="40% - Accent6 3 26 3" xfId="12386" xr:uid="{00000000-0005-0000-0000-00000A300000}"/>
    <cellStyle name="40% - Accent6 3 26 4" xfId="12387" xr:uid="{00000000-0005-0000-0000-00000B300000}"/>
    <cellStyle name="40% - Accent6 3 26 5" xfId="12388" xr:uid="{00000000-0005-0000-0000-00000C300000}"/>
    <cellStyle name="40% - Accent6 3 26 6" xfId="12389" xr:uid="{00000000-0005-0000-0000-00000D300000}"/>
    <cellStyle name="40% - Accent6 3 26 7" xfId="12390" xr:uid="{00000000-0005-0000-0000-00000E300000}"/>
    <cellStyle name="40% - Accent6 3 26 8" xfId="12391" xr:uid="{00000000-0005-0000-0000-00000F300000}"/>
    <cellStyle name="40% - Accent6 3 26 9" xfId="12392" xr:uid="{00000000-0005-0000-0000-000010300000}"/>
    <cellStyle name="40% - Accent6 3 27" xfId="12393" xr:uid="{00000000-0005-0000-0000-000011300000}"/>
    <cellStyle name="40% - Accent6 3 27 10" xfId="12394" xr:uid="{00000000-0005-0000-0000-000012300000}"/>
    <cellStyle name="40% - Accent6 3 27 11" xfId="12395" xr:uid="{00000000-0005-0000-0000-000013300000}"/>
    <cellStyle name="40% - Accent6 3 27 12" xfId="12396" xr:uid="{00000000-0005-0000-0000-000014300000}"/>
    <cellStyle name="40% - Accent6 3 27 13" xfId="12397" xr:uid="{00000000-0005-0000-0000-000015300000}"/>
    <cellStyle name="40% - Accent6 3 27 14" xfId="12398" xr:uid="{00000000-0005-0000-0000-000016300000}"/>
    <cellStyle name="40% - Accent6 3 27 15" xfId="12399" xr:uid="{00000000-0005-0000-0000-000017300000}"/>
    <cellStyle name="40% - Accent6 3 27 2" xfId="12400" xr:uid="{00000000-0005-0000-0000-000018300000}"/>
    <cellStyle name="40% - Accent6 3 27 3" xfId="12401" xr:uid="{00000000-0005-0000-0000-000019300000}"/>
    <cellStyle name="40% - Accent6 3 27 4" xfId="12402" xr:uid="{00000000-0005-0000-0000-00001A300000}"/>
    <cellStyle name="40% - Accent6 3 27 5" xfId="12403" xr:uid="{00000000-0005-0000-0000-00001B300000}"/>
    <cellStyle name="40% - Accent6 3 27 6" xfId="12404" xr:uid="{00000000-0005-0000-0000-00001C300000}"/>
    <cellStyle name="40% - Accent6 3 27 7" xfId="12405" xr:uid="{00000000-0005-0000-0000-00001D300000}"/>
    <cellStyle name="40% - Accent6 3 27 8" xfId="12406" xr:uid="{00000000-0005-0000-0000-00001E300000}"/>
    <cellStyle name="40% - Accent6 3 27 9" xfId="12407" xr:uid="{00000000-0005-0000-0000-00001F300000}"/>
    <cellStyle name="40% - Accent6 3 28" xfId="12408" xr:uid="{00000000-0005-0000-0000-000020300000}"/>
    <cellStyle name="40% - Accent6 3 28 10" xfId="12409" xr:uid="{00000000-0005-0000-0000-000021300000}"/>
    <cellStyle name="40% - Accent6 3 28 11" xfId="12410" xr:uid="{00000000-0005-0000-0000-000022300000}"/>
    <cellStyle name="40% - Accent6 3 28 12" xfId="12411" xr:uid="{00000000-0005-0000-0000-000023300000}"/>
    <cellStyle name="40% - Accent6 3 28 13" xfId="12412" xr:uid="{00000000-0005-0000-0000-000024300000}"/>
    <cellStyle name="40% - Accent6 3 28 14" xfId="12413" xr:uid="{00000000-0005-0000-0000-000025300000}"/>
    <cellStyle name="40% - Accent6 3 28 15" xfId="12414" xr:uid="{00000000-0005-0000-0000-000026300000}"/>
    <cellStyle name="40% - Accent6 3 28 2" xfId="12415" xr:uid="{00000000-0005-0000-0000-000027300000}"/>
    <cellStyle name="40% - Accent6 3 28 3" xfId="12416" xr:uid="{00000000-0005-0000-0000-000028300000}"/>
    <cellStyle name="40% - Accent6 3 28 4" xfId="12417" xr:uid="{00000000-0005-0000-0000-000029300000}"/>
    <cellStyle name="40% - Accent6 3 28 5" xfId="12418" xr:uid="{00000000-0005-0000-0000-00002A300000}"/>
    <cellStyle name="40% - Accent6 3 28 6" xfId="12419" xr:uid="{00000000-0005-0000-0000-00002B300000}"/>
    <cellStyle name="40% - Accent6 3 28 7" xfId="12420" xr:uid="{00000000-0005-0000-0000-00002C300000}"/>
    <cellStyle name="40% - Accent6 3 28 8" xfId="12421" xr:uid="{00000000-0005-0000-0000-00002D300000}"/>
    <cellStyle name="40% - Accent6 3 28 9" xfId="12422" xr:uid="{00000000-0005-0000-0000-00002E300000}"/>
    <cellStyle name="40% - Accent6 3 29" xfId="12423" xr:uid="{00000000-0005-0000-0000-00002F300000}"/>
    <cellStyle name="40% - Accent6 3 29 10" xfId="12424" xr:uid="{00000000-0005-0000-0000-000030300000}"/>
    <cellStyle name="40% - Accent6 3 29 11" xfId="12425" xr:uid="{00000000-0005-0000-0000-000031300000}"/>
    <cellStyle name="40% - Accent6 3 29 12" xfId="12426" xr:uid="{00000000-0005-0000-0000-000032300000}"/>
    <cellStyle name="40% - Accent6 3 29 13" xfId="12427" xr:uid="{00000000-0005-0000-0000-000033300000}"/>
    <cellStyle name="40% - Accent6 3 29 14" xfId="12428" xr:uid="{00000000-0005-0000-0000-000034300000}"/>
    <cellStyle name="40% - Accent6 3 29 15" xfId="12429" xr:uid="{00000000-0005-0000-0000-000035300000}"/>
    <cellStyle name="40% - Accent6 3 29 2" xfId="12430" xr:uid="{00000000-0005-0000-0000-000036300000}"/>
    <cellStyle name="40% - Accent6 3 29 3" xfId="12431" xr:uid="{00000000-0005-0000-0000-000037300000}"/>
    <cellStyle name="40% - Accent6 3 29 4" xfId="12432" xr:uid="{00000000-0005-0000-0000-000038300000}"/>
    <cellStyle name="40% - Accent6 3 29 5" xfId="12433" xr:uid="{00000000-0005-0000-0000-000039300000}"/>
    <cellStyle name="40% - Accent6 3 29 6" xfId="12434" xr:uid="{00000000-0005-0000-0000-00003A300000}"/>
    <cellStyle name="40% - Accent6 3 29 7" xfId="12435" xr:uid="{00000000-0005-0000-0000-00003B300000}"/>
    <cellStyle name="40% - Accent6 3 29 8" xfId="12436" xr:uid="{00000000-0005-0000-0000-00003C300000}"/>
    <cellStyle name="40% - Accent6 3 29 9" xfId="12437" xr:uid="{00000000-0005-0000-0000-00003D300000}"/>
    <cellStyle name="40% - Accent6 3 3" xfId="12438" xr:uid="{00000000-0005-0000-0000-00003E300000}"/>
    <cellStyle name="40% - Accent6 3 3 10" xfId="12439" xr:uid="{00000000-0005-0000-0000-00003F300000}"/>
    <cellStyle name="40% - Accent6 3 3 11" xfId="12440" xr:uid="{00000000-0005-0000-0000-000040300000}"/>
    <cellStyle name="40% - Accent6 3 3 12" xfId="12441" xr:uid="{00000000-0005-0000-0000-000041300000}"/>
    <cellStyle name="40% - Accent6 3 3 13" xfId="12442" xr:uid="{00000000-0005-0000-0000-000042300000}"/>
    <cellStyle name="40% - Accent6 3 3 14" xfId="12443" xr:uid="{00000000-0005-0000-0000-000043300000}"/>
    <cellStyle name="40% - Accent6 3 3 15" xfId="12444" xr:uid="{00000000-0005-0000-0000-000044300000}"/>
    <cellStyle name="40% - Accent6 3 3 16" xfId="12445" xr:uid="{00000000-0005-0000-0000-000045300000}"/>
    <cellStyle name="40% - Accent6 3 3 2" xfId="12446" xr:uid="{00000000-0005-0000-0000-000046300000}"/>
    <cellStyle name="40% - Accent6 3 3 3" xfId="12447" xr:uid="{00000000-0005-0000-0000-000047300000}"/>
    <cellStyle name="40% - Accent6 3 3 4" xfId="12448" xr:uid="{00000000-0005-0000-0000-000048300000}"/>
    <cellStyle name="40% - Accent6 3 3 5" xfId="12449" xr:uid="{00000000-0005-0000-0000-000049300000}"/>
    <cellStyle name="40% - Accent6 3 3 6" xfId="12450" xr:uid="{00000000-0005-0000-0000-00004A300000}"/>
    <cellStyle name="40% - Accent6 3 3 7" xfId="12451" xr:uid="{00000000-0005-0000-0000-00004B300000}"/>
    <cellStyle name="40% - Accent6 3 3 8" xfId="12452" xr:uid="{00000000-0005-0000-0000-00004C300000}"/>
    <cellStyle name="40% - Accent6 3 3 9" xfId="12453" xr:uid="{00000000-0005-0000-0000-00004D300000}"/>
    <cellStyle name="40% - Accent6 3 30" xfId="12454" xr:uid="{00000000-0005-0000-0000-00004E300000}"/>
    <cellStyle name="40% - Accent6 3 30 10" xfId="12455" xr:uid="{00000000-0005-0000-0000-00004F300000}"/>
    <cellStyle name="40% - Accent6 3 30 11" xfId="12456" xr:uid="{00000000-0005-0000-0000-000050300000}"/>
    <cellStyle name="40% - Accent6 3 30 12" xfId="12457" xr:uid="{00000000-0005-0000-0000-000051300000}"/>
    <cellStyle name="40% - Accent6 3 30 13" xfId="12458" xr:uid="{00000000-0005-0000-0000-000052300000}"/>
    <cellStyle name="40% - Accent6 3 30 14" xfId="12459" xr:uid="{00000000-0005-0000-0000-000053300000}"/>
    <cellStyle name="40% - Accent6 3 30 15" xfId="12460" xr:uid="{00000000-0005-0000-0000-000054300000}"/>
    <cellStyle name="40% - Accent6 3 30 2" xfId="12461" xr:uid="{00000000-0005-0000-0000-000055300000}"/>
    <cellStyle name="40% - Accent6 3 30 3" xfId="12462" xr:uid="{00000000-0005-0000-0000-000056300000}"/>
    <cellStyle name="40% - Accent6 3 30 4" xfId="12463" xr:uid="{00000000-0005-0000-0000-000057300000}"/>
    <cellStyle name="40% - Accent6 3 30 5" xfId="12464" xr:uid="{00000000-0005-0000-0000-000058300000}"/>
    <cellStyle name="40% - Accent6 3 30 6" xfId="12465" xr:uid="{00000000-0005-0000-0000-000059300000}"/>
    <cellStyle name="40% - Accent6 3 30 7" xfId="12466" xr:uid="{00000000-0005-0000-0000-00005A300000}"/>
    <cellStyle name="40% - Accent6 3 30 8" xfId="12467" xr:uid="{00000000-0005-0000-0000-00005B300000}"/>
    <cellStyle name="40% - Accent6 3 30 9" xfId="12468" xr:uid="{00000000-0005-0000-0000-00005C300000}"/>
    <cellStyle name="40% - Accent6 3 31" xfId="12469" xr:uid="{00000000-0005-0000-0000-00005D300000}"/>
    <cellStyle name="40% - Accent6 3 31 10" xfId="12470" xr:uid="{00000000-0005-0000-0000-00005E300000}"/>
    <cellStyle name="40% - Accent6 3 31 11" xfId="12471" xr:uid="{00000000-0005-0000-0000-00005F300000}"/>
    <cellStyle name="40% - Accent6 3 31 12" xfId="12472" xr:uid="{00000000-0005-0000-0000-000060300000}"/>
    <cellStyle name="40% - Accent6 3 31 13" xfId="12473" xr:uid="{00000000-0005-0000-0000-000061300000}"/>
    <cellStyle name="40% - Accent6 3 31 14" xfId="12474" xr:uid="{00000000-0005-0000-0000-000062300000}"/>
    <cellStyle name="40% - Accent6 3 31 15" xfId="12475" xr:uid="{00000000-0005-0000-0000-000063300000}"/>
    <cellStyle name="40% - Accent6 3 31 2" xfId="12476" xr:uid="{00000000-0005-0000-0000-000064300000}"/>
    <cellStyle name="40% - Accent6 3 31 3" xfId="12477" xr:uid="{00000000-0005-0000-0000-000065300000}"/>
    <cellStyle name="40% - Accent6 3 31 4" xfId="12478" xr:uid="{00000000-0005-0000-0000-000066300000}"/>
    <cellStyle name="40% - Accent6 3 31 5" xfId="12479" xr:uid="{00000000-0005-0000-0000-000067300000}"/>
    <cellStyle name="40% - Accent6 3 31 6" xfId="12480" xr:uid="{00000000-0005-0000-0000-000068300000}"/>
    <cellStyle name="40% - Accent6 3 31 7" xfId="12481" xr:uid="{00000000-0005-0000-0000-000069300000}"/>
    <cellStyle name="40% - Accent6 3 31 8" xfId="12482" xr:uid="{00000000-0005-0000-0000-00006A300000}"/>
    <cellStyle name="40% - Accent6 3 31 9" xfId="12483" xr:uid="{00000000-0005-0000-0000-00006B300000}"/>
    <cellStyle name="40% - Accent6 3 32" xfId="12484" xr:uid="{00000000-0005-0000-0000-00006C300000}"/>
    <cellStyle name="40% - Accent6 3 32 10" xfId="12485" xr:uid="{00000000-0005-0000-0000-00006D300000}"/>
    <cellStyle name="40% - Accent6 3 32 11" xfId="12486" xr:uid="{00000000-0005-0000-0000-00006E300000}"/>
    <cellStyle name="40% - Accent6 3 32 12" xfId="12487" xr:uid="{00000000-0005-0000-0000-00006F300000}"/>
    <cellStyle name="40% - Accent6 3 32 13" xfId="12488" xr:uid="{00000000-0005-0000-0000-000070300000}"/>
    <cellStyle name="40% - Accent6 3 32 14" xfId="12489" xr:uid="{00000000-0005-0000-0000-000071300000}"/>
    <cellStyle name="40% - Accent6 3 32 15" xfId="12490" xr:uid="{00000000-0005-0000-0000-000072300000}"/>
    <cellStyle name="40% - Accent6 3 32 2" xfId="12491" xr:uid="{00000000-0005-0000-0000-000073300000}"/>
    <cellStyle name="40% - Accent6 3 32 3" xfId="12492" xr:uid="{00000000-0005-0000-0000-000074300000}"/>
    <cellStyle name="40% - Accent6 3 32 4" xfId="12493" xr:uid="{00000000-0005-0000-0000-000075300000}"/>
    <cellStyle name="40% - Accent6 3 32 5" xfId="12494" xr:uid="{00000000-0005-0000-0000-000076300000}"/>
    <cellStyle name="40% - Accent6 3 32 6" xfId="12495" xr:uid="{00000000-0005-0000-0000-000077300000}"/>
    <cellStyle name="40% - Accent6 3 32 7" xfId="12496" xr:uid="{00000000-0005-0000-0000-000078300000}"/>
    <cellStyle name="40% - Accent6 3 32 8" xfId="12497" xr:uid="{00000000-0005-0000-0000-000079300000}"/>
    <cellStyle name="40% - Accent6 3 32 9" xfId="12498" xr:uid="{00000000-0005-0000-0000-00007A300000}"/>
    <cellStyle name="40% - Accent6 3 33" xfId="12499" xr:uid="{00000000-0005-0000-0000-00007B300000}"/>
    <cellStyle name="40% - Accent6 3 34" xfId="12500" xr:uid="{00000000-0005-0000-0000-00007C300000}"/>
    <cellStyle name="40% - Accent6 3 35" xfId="12501" xr:uid="{00000000-0005-0000-0000-00007D300000}"/>
    <cellStyle name="40% - Accent6 3 36" xfId="12502" xr:uid="{00000000-0005-0000-0000-00007E300000}"/>
    <cellStyle name="40% - Accent6 3 37" xfId="12503" xr:uid="{00000000-0005-0000-0000-00007F300000}"/>
    <cellStyle name="40% - Accent6 3 38" xfId="12504" xr:uid="{00000000-0005-0000-0000-000080300000}"/>
    <cellStyle name="40% - Accent6 3 39" xfId="12505" xr:uid="{00000000-0005-0000-0000-000081300000}"/>
    <cellStyle name="40% - Accent6 3 4" xfId="12506" xr:uid="{00000000-0005-0000-0000-000082300000}"/>
    <cellStyle name="40% - Accent6 3 4 10" xfId="12507" xr:uid="{00000000-0005-0000-0000-000083300000}"/>
    <cellStyle name="40% - Accent6 3 4 11" xfId="12508" xr:uid="{00000000-0005-0000-0000-000084300000}"/>
    <cellStyle name="40% - Accent6 3 4 12" xfId="12509" xr:uid="{00000000-0005-0000-0000-000085300000}"/>
    <cellStyle name="40% - Accent6 3 4 13" xfId="12510" xr:uid="{00000000-0005-0000-0000-000086300000}"/>
    <cellStyle name="40% - Accent6 3 4 14" xfId="12511" xr:uid="{00000000-0005-0000-0000-000087300000}"/>
    <cellStyle name="40% - Accent6 3 4 15" xfId="12512" xr:uid="{00000000-0005-0000-0000-000088300000}"/>
    <cellStyle name="40% - Accent6 3 4 16" xfId="12513" xr:uid="{00000000-0005-0000-0000-000089300000}"/>
    <cellStyle name="40% - Accent6 3 4 2" xfId="12514" xr:uid="{00000000-0005-0000-0000-00008A300000}"/>
    <cellStyle name="40% - Accent6 3 4 3" xfId="12515" xr:uid="{00000000-0005-0000-0000-00008B300000}"/>
    <cellStyle name="40% - Accent6 3 4 4" xfId="12516" xr:uid="{00000000-0005-0000-0000-00008C300000}"/>
    <cellStyle name="40% - Accent6 3 4 5" xfId="12517" xr:uid="{00000000-0005-0000-0000-00008D300000}"/>
    <cellStyle name="40% - Accent6 3 4 6" xfId="12518" xr:uid="{00000000-0005-0000-0000-00008E300000}"/>
    <cellStyle name="40% - Accent6 3 4 7" xfId="12519" xr:uid="{00000000-0005-0000-0000-00008F300000}"/>
    <cellStyle name="40% - Accent6 3 4 8" xfId="12520" xr:uid="{00000000-0005-0000-0000-000090300000}"/>
    <cellStyle name="40% - Accent6 3 4 9" xfId="12521" xr:uid="{00000000-0005-0000-0000-000091300000}"/>
    <cellStyle name="40% - Accent6 3 40" xfId="12522" xr:uid="{00000000-0005-0000-0000-000092300000}"/>
    <cellStyle name="40% - Accent6 3 41" xfId="12523" xr:uid="{00000000-0005-0000-0000-000093300000}"/>
    <cellStyle name="40% - Accent6 3 42" xfId="12524" xr:uid="{00000000-0005-0000-0000-000094300000}"/>
    <cellStyle name="40% - Accent6 3 43" xfId="12525" xr:uid="{00000000-0005-0000-0000-000095300000}"/>
    <cellStyle name="40% - Accent6 3 44" xfId="12526" xr:uid="{00000000-0005-0000-0000-000096300000}"/>
    <cellStyle name="40% - Accent6 3 45" xfId="12527" xr:uid="{00000000-0005-0000-0000-000097300000}"/>
    <cellStyle name="40% - Accent6 3 46" xfId="12528" xr:uid="{00000000-0005-0000-0000-000098300000}"/>
    <cellStyle name="40% - Accent6 3 47" xfId="12529" xr:uid="{00000000-0005-0000-0000-000099300000}"/>
    <cellStyle name="40% - Accent6 3 48" xfId="12530" xr:uid="{00000000-0005-0000-0000-00009A300000}"/>
    <cellStyle name="40% - Accent6 3 49" xfId="12531" xr:uid="{00000000-0005-0000-0000-00009B300000}"/>
    <cellStyle name="40% - Accent6 3 5" xfId="12532" xr:uid="{00000000-0005-0000-0000-00009C300000}"/>
    <cellStyle name="40% - Accent6 3 5 10" xfId="12533" xr:uid="{00000000-0005-0000-0000-00009D300000}"/>
    <cellStyle name="40% - Accent6 3 5 11" xfId="12534" xr:uid="{00000000-0005-0000-0000-00009E300000}"/>
    <cellStyle name="40% - Accent6 3 5 12" xfId="12535" xr:uid="{00000000-0005-0000-0000-00009F300000}"/>
    <cellStyle name="40% - Accent6 3 5 13" xfId="12536" xr:uid="{00000000-0005-0000-0000-0000A0300000}"/>
    <cellStyle name="40% - Accent6 3 5 14" xfId="12537" xr:uid="{00000000-0005-0000-0000-0000A1300000}"/>
    <cellStyle name="40% - Accent6 3 5 15" xfId="12538" xr:uid="{00000000-0005-0000-0000-0000A2300000}"/>
    <cellStyle name="40% - Accent6 3 5 2" xfId="12539" xr:uid="{00000000-0005-0000-0000-0000A3300000}"/>
    <cellStyle name="40% - Accent6 3 5 3" xfId="12540" xr:uid="{00000000-0005-0000-0000-0000A4300000}"/>
    <cellStyle name="40% - Accent6 3 5 4" xfId="12541" xr:uid="{00000000-0005-0000-0000-0000A5300000}"/>
    <cellStyle name="40% - Accent6 3 5 5" xfId="12542" xr:uid="{00000000-0005-0000-0000-0000A6300000}"/>
    <cellStyle name="40% - Accent6 3 5 6" xfId="12543" xr:uid="{00000000-0005-0000-0000-0000A7300000}"/>
    <cellStyle name="40% - Accent6 3 5 7" xfId="12544" xr:uid="{00000000-0005-0000-0000-0000A8300000}"/>
    <cellStyle name="40% - Accent6 3 5 8" xfId="12545" xr:uid="{00000000-0005-0000-0000-0000A9300000}"/>
    <cellStyle name="40% - Accent6 3 5 9" xfId="12546" xr:uid="{00000000-0005-0000-0000-0000AA300000}"/>
    <cellStyle name="40% - Accent6 3 50" xfId="12547" xr:uid="{00000000-0005-0000-0000-0000AB300000}"/>
    <cellStyle name="40% - Accent6 3 51" xfId="12548" xr:uid="{00000000-0005-0000-0000-0000AC300000}"/>
    <cellStyle name="40% - Accent6 3 52" xfId="12549" xr:uid="{00000000-0005-0000-0000-0000AD300000}"/>
    <cellStyle name="40% - Accent6 3 53" xfId="12550" xr:uid="{00000000-0005-0000-0000-0000AE300000}"/>
    <cellStyle name="40% - Accent6 3 54" xfId="12551" xr:uid="{00000000-0005-0000-0000-0000AF300000}"/>
    <cellStyle name="40% - Accent6 3 55" xfId="12552" xr:uid="{00000000-0005-0000-0000-0000B0300000}"/>
    <cellStyle name="40% - Accent6 3 6" xfId="12553" xr:uid="{00000000-0005-0000-0000-0000B1300000}"/>
    <cellStyle name="40% - Accent6 3 6 10" xfId="12554" xr:uid="{00000000-0005-0000-0000-0000B2300000}"/>
    <cellStyle name="40% - Accent6 3 6 11" xfId="12555" xr:uid="{00000000-0005-0000-0000-0000B3300000}"/>
    <cellStyle name="40% - Accent6 3 6 12" xfId="12556" xr:uid="{00000000-0005-0000-0000-0000B4300000}"/>
    <cellStyle name="40% - Accent6 3 6 13" xfId="12557" xr:uid="{00000000-0005-0000-0000-0000B5300000}"/>
    <cellStyle name="40% - Accent6 3 6 14" xfId="12558" xr:uid="{00000000-0005-0000-0000-0000B6300000}"/>
    <cellStyle name="40% - Accent6 3 6 15" xfId="12559" xr:uid="{00000000-0005-0000-0000-0000B7300000}"/>
    <cellStyle name="40% - Accent6 3 6 2" xfId="12560" xr:uid="{00000000-0005-0000-0000-0000B8300000}"/>
    <cellStyle name="40% - Accent6 3 6 3" xfId="12561" xr:uid="{00000000-0005-0000-0000-0000B9300000}"/>
    <cellStyle name="40% - Accent6 3 6 4" xfId="12562" xr:uid="{00000000-0005-0000-0000-0000BA300000}"/>
    <cellStyle name="40% - Accent6 3 6 5" xfId="12563" xr:uid="{00000000-0005-0000-0000-0000BB300000}"/>
    <cellStyle name="40% - Accent6 3 6 6" xfId="12564" xr:uid="{00000000-0005-0000-0000-0000BC300000}"/>
    <cellStyle name="40% - Accent6 3 6 7" xfId="12565" xr:uid="{00000000-0005-0000-0000-0000BD300000}"/>
    <cellStyle name="40% - Accent6 3 6 8" xfId="12566" xr:uid="{00000000-0005-0000-0000-0000BE300000}"/>
    <cellStyle name="40% - Accent6 3 6 9" xfId="12567" xr:uid="{00000000-0005-0000-0000-0000BF300000}"/>
    <cellStyle name="40% - Accent6 3 7" xfId="12568" xr:uid="{00000000-0005-0000-0000-0000C0300000}"/>
    <cellStyle name="40% - Accent6 3 7 10" xfId="12569" xr:uid="{00000000-0005-0000-0000-0000C1300000}"/>
    <cellStyle name="40% - Accent6 3 7 11" xfId="12570" xr:uid="{00000000-0005-0000-0000-0000C2300000}"/>
    <cellStyle name="40% - Accent6 3 7 12" xfId="12571" xr:uid="{00000000-0005-0000-0000-0000C3300000}"/>
    <cellStyle name="40% - Accent6 3 7 13" xfId="12572" xr:uid="{00000000-0005-0000-0000-0000C4300000}"/>
    <cellStyle name="40% - Accent6 3 7 14" xfId="12573" xr:uid="{00000000-0005-0000-0000-0000C5300000}"/>
    <cellStyle name="40% - Accent6 3 7 15" xfId="12574" xr:uid="{00000000-0005-0000-0000-0000C6300000}"/>
    <cellStyle name="40% - Accent6 3 7 2" xfId="12575" xr:uid="{00000000-0005-0000-0000-0000C7300000}"/>
    <cellStyle name="40% - Accent6 3 7 3" xfId="12576" xr:uid="{00000000-0005-0000-0000-0000C8300000}"/>
    <cellStyle name="40% - Accent6 3 7 4" xfId="12577" xr:uid="{00000000-0005-0000-0000-0000C9300000}"/>
    <cellStyle name="40% - Accent6 3 7 5" xfId="12578" xr:uid="{00000000-0005-0000-0000-0000CA300000}"/>
    <cellStyle name="40% - Accent6 3 7 6" xfId="12579" xr:uid="{00000000-0005-0000-0000-0000CB300000}"/>
    <cellStyle name="40% - Accent6 3 7 7" xfId="12580" xr:uid="{00000000-0005-0000-0000-0000CC300000}"/>
    <cellStyle name="40% - Accent6 3 7 8" xfId="12581" xr:uid="{00000000-0005-0000-0000-0000CD300000}"/>
    <cellStyle name="40% - Accent6 3 7 9" xfId="12582" xr:uid="{00000000-0005-0000-0000-0000CE300000}"/>
    <cellStyle name="40% - Accent6 3 8" xfId="12583" xr:uid="{00000000-0005-0000-0000-0000CF300000}"/>
    <cellStyle name="40% - Accent6 3 8 10" xfId="12584" xr:uid="{00000000-0005-0000-0000-0000D0300000}"/>
    <cellStyle name="40% - Accent6 3 8 11" xfId="12585" xr:uid="{00000000-0005-0000-0000-0000D1300000}"/>
    <cellStyle name="40% - Accent6 3 8 12" xfId="12586" xr:uid="{00000000-0005-0000-0000-0000D2300000}"/>
    <cellStyle name="40% - Accent6 3 8 13" xfId="12587" xr:uid="{00000000-0005-0000-0000-0000D3300000}"/>
    <cellStyle name="40% - Accent6 3 8 14" xfId="12588" xr:uid="{00000000-0005-0000-0000-0000D4300000}"/>
    <cellStyle name="40% - Accent6 3 8 15" xfId="12589" xr:uid="{00000000-0005-0000-0000-0000D5300000}"/>
    <cellStyle name="40% - Accent6 3 8 2" xfId="12590" xr:uid="{00000000-0005-0000-0000-0000D6300000}"/>
    <cellStyle name="40% - Accent6 3 8 3" xfId="12591" xr:uid="{00000000-0005-0000-0000-0000D7300000}"/>
    <cellStyle name="40% - Accent6 3 8 4" xfId="12592" xr:uid="{00000000-0005-0000-0000-0000D8300000}"/>
    <cellStyle name="40% - Accent6 3 8 5" xfId="12593" xr:uid="{00000000-0005-0000-0000-0000D9300000}"/>
    <cellStyle name="40% - Accent6 3 8 6" xfId="12594" xr:uid="{00000000-0005-0000-0000-0000DA300000}"/>
    <cellStyle name="40% - Accent6 3 8 7" xfId="12595" xr:uid="{00000000-0005-0000-0000-0000DB300000}"/>
    <cellStyle name="40% - Accent6 3 8 8" xfId="12596" xr:uid="{00000000-0005-0000-0000-0000DC300000}"/>
    <cellStyle name="40% - Accent6 3 8 9" xfId="12597" xr:uid="{00000000-0005-0000-0000-0000DD300000}"/>
    <cellStyle name="40% - Accent6 3 9" xfId="12598" xr:uid="{00000000-0005-0000-0000-0000DE300000}"/>
    <cellStyle name="40% - Accent6 3 9 10" xfId="12599" xr:uid="{00000000-0005-0000-0000-0000DF300000}"/>
    <cellStyle name="40% - Accent6 3 9 11" xfId="12600" xr:uid="{00000000-0005-0000-0000-0000E0300000}"/>
    <cellStyle name="40% - Accent6 3 9 12" xfId="12601" xr:uid="{00000000-0005-0000-0000-0000E1300000}"/>
    <cellStyle name="40% - Accent6 3 9 13" xfId="12602" xr:uid="{00000000-0005-0000-0000-0000E2300000}"/>
    <cellStyle name="40% - Accent6 3 9 14" xfId="12603" xr:uid="{00000000-0005-0000-0000-0000E3300000}"/>
    <cellStyle name="40% - Accent6 3 9 15" xfId="12604" xr:uid="{00000000-0005-0000-0000-0000E4300000}"/>
    <cellStyle name="40% - Accent6 3 9 2" xfId="12605" xr:uid="{00000000-0005-0000-0000-0000E5300000}"/>
    <cellStyle name="40% - Accent6 3 9 3" xfId="12606" xr:uid="{00000000-0005-0000-0000-0000E6300000}"/>
    <cellStyle name="40% - Accent6 3 9 4" xfId="12607" xr:uid="{00000000-0005-0000-0000-0000E7300000}"/>
    <cellStyle name="40% - Accent6 3 9 5" xfId="12608" xr:uid="{00000000-0005-0000-0000-0000E8300000}"/>
    <cellStyle name="40% - Accent6 3 9 6" xfId="12609" xr:uid="{00000000-0005-0000-0000-0000E9300000}"/>
    <cellStyle name="40% - Accent6 3 9 7" xfId="12610" xr:uid="{00000000-0005-0000-0000-0000EA300000}"/>
    <cellStyle name="40% - Accent6 3 9 8" xfId="12611" xr:uid="{00000000-0005-0000-0000-0000EB300000}"/>
    <cellStyle name="40% - Accent6 3 9 9" xfId="12612" xr:uid="{00000000-0005-0000-0000-0000EC300000}"/>
    <cellStyle name="40% - Accent6 30" xfId="12613" xr:uid="{00000000-0005-0000-0000-0000ED300000}"/>
    <cellStyle name="40% - Accent6 30 10" xfId="12614" xr:uid="{00000000-0005-0000-0000-0000EE300000}"/>
    <cellStyle name="40% - Accent6 30 11" xfId="12615" xr:uid="{00000000-0005-0000-0000-0000EF300000}"/>
    <cellStyle name="40% - Accent6 30 12" xfId="12616" xr:uid="{00000000-0005-0000-0000-0000F0300000}"/>
    <cellStyle name="40% - Accent6 30 13" xfId="12617" xr:uid="{00000000-0005-0000-0000-0000F1300000}"/>
    <cellStyle name="40% - Accent6 30 14" xfId="12618" xr:uid="{00000000-0005-0000-0000-0000F2300000}"/>
    <cellStyle name="40% - Accent6 30 15" xfId="12619" xr:uid="{00000000-0005-0000-0000-0000F3300000}"/>
    <cellStyle name="40% - Accent6 30 16" xfId="12620" xr:uid="{00000000-0005-0000-0000-0000F4300000}"/>
    <cellStyle name="40% - Accent6 30 2" xfId="12621" xr:uid="{00000000-0005-0000-0000-0000F5300000}"/>
    <cellStyle name="40% - Accent6 30 3" xfId="12622" xr:uid="{00000000-0005-0000-0000-0000F6300000}"/>
    <cellStyle name="40% - Accent6 30 4" xfId="12623" xr:uid="{00000000-0005-0000-0000-0000F7300000}"/>
    <cellStyle name="40% - Accent6 30 5" xfId="12624" xr:uid="{00000000-0005-0000-0000-0000F8300000}"/>
    <cellStyle name="40% - Accent6 30 6" xfId="12625" xr:uid="{00000000-0005-0000-0000-0000F9300000}"/>
    <cellStyle name="40% - Accent6 30 7" xfId="12626" xr:uid="{00000000-0005-0000-0000-0000FA300000}"/>
    <cellStyle name="40% - Accent6 30 8" xfId="12627" xr:uid="{00000000-0005-0000-0000-0000FB300000}"/>
    <cellStyle name="40% - Accent6 30 9" xfId="12628" xr:uid="{00000000-0005-0000-0000-0000FC300000}"/>
    <cellStyle name="40% - Accent6 31" xfId="12629" xr:uid="{00000000-0005-0000-0000-0000FD300000}"/>
    <cellStyle name="40% - Accent6 31 10" xfId="12630" xr:uid="{00000000-0005-0000-0000-0000FE300000}"/>
    <cellStyle name="40% - Accent6 31 11" xfId="12631" xr:uid="{00000000-0005-0000-0000-0000FF300000}"/>
    <cellStyle name="40% - Accent6 31 12" xfId="12632" xr:uid="{00000000-0005-0000-0000-000000310000}"/>
    <cellStyle name="40% - Accent6 31 13" xfId="12633" xr:uid="{00000000-0005-0000-0000-000001310000}"/>
    <cellStyle name="40% - Accent6 31 14" xfId="12634" xr:uid="{00000000-0005-0000-0000-000002310000}"/>
    <cellStyle name="40% - Accent6 31 15" xfId="12635" xr:uid="{00000000-0005-0000-0000-000003310000}"/>
    <cellStyle name="40% - Accent6 31 16" xfId="12636" xr:uid="{00000000-0005-0000-0000-000004310000}"/>
    <cellStyle name="40% - Accent6 31 2" xfId="12637" xr:uid="{00000000-0005-0000-0000-000005310000}"/>
    <cellStyle name="40% - Accent6 31 3" xfId="12638" xr:uid="{00000000-0005-0000-0000-000006310000}"/>
    <cellStyle name="40% - Accent6 31 4" xfId="12639" xr:uid="{00000000-0005-0000-0000-000007310000}"/>
    <cellStyle name="40% - Accent6 31 5" xfId="12640" xr:uid="{00000000-0005-0000-0000-000008310000}"/>
    <cellStyle name="40% - Accent6 31 6" xfId="12641" xr:uid="{00000000-0005-0000-0000-000009310000}"/>
    <cellStyle name="40% - Accent6 31 7" xfId="12642" xr:uid="{00000000-0005-0000-0000-00000A310000}"/>
    <cellStyle name="40% - Accent6 31 8" xfId="12643" xr:uid="{00000000-0005-0000-0000-00000B310000}"/>
    <cellStyle name="40% - Accent6 31 9" xfId="12644" xr:uid="{00000000-0005-0000-0000-00000C310000}"/>
    <cellStyle name="40% - Accent6 32" xfId="12645" xr:uid="{00000000-0005-0000-0000-00000D310000}"/>
    <cellStyle name="40% - Accent6 32 10" xfId="12646" xr:uid="{00000000-0005-0000-0000-00000E310000}"/>
    <cellStyle name="40% - Accent6 32 11" xfId="12647" xr:uid="{00000000-0005-0000-0000-00000F310000}"/>
    <cellStyle name="40% - Accent6 32 12" xfId="12648" xr:uid="{00000000-0005-0000-0000-000010310000}"/>
    <cellStyle name="40% - Accent6 32 13" xfId="12649" xr:uid="{00000000-0005-0000-0000-000011310000}"/>
    <cellStyle name="40% - Accent6 32 14" xfId="12650" xr:uid="{00000000-0005-0000-0000-000012310000}"/>
    <cellStyle name="40% - Accent6 32 15" xfId="12651" xr:uid="{00000000-0005-0000-0000-000013310000}"/>
    <cellStyle name="40% - Accent6 32 2" xfId="12652" xr:uid="{00000000-0005-0000-0000-000014310000}"/>
    <cellStyle name="40% - Accent6 32 3" xfId="12653" xr:uid="{00000000-0005-0000-0000-000015310000}"/>
    <cellStyle name="40% - Accent6 32 4" xfId="12654" xr:uid="{00000000-0005-0000-0000-000016310000}"/>
    <cellStyle name="40% - Accent6 32 5" xfId="12655" xr:uid="{00000000-0005-0000-0000-000017310000}"/>
    <cellStyle name="40% - Accent6 32 6" xfId="12656" xr:uid="{00000000-0005-0000-0000-000018310000}"/>
    <cellStyle name="40% - Accent6 32 7" xfId="12657" xr:uid="{00000000-0005-0000-0000-000019310000}"/>
    <cellStyle name="40% - Accent6 32 8" xfId="12658" xr:uid="{00000000-0005-0000-0000-00001A310000}"/>
    <cellStyle name="40% - Accent6 32 9" xfId="12659" xr:uid="{00000000-0005-0000-0000-00001B310000}"/>
    <cellStyle name="40% - Accent6 33" xfId="12660" xr:uid="{00000000-0005-0000-0000-00001C310000}"/>
    <cellStyle name="40% - Accent6 33 10" xfId="12661" xr:uid="{00000000-0005-0000-0000-00001D310000}"/>
    <cellStyle name="40% - Accent6 33 11" xfId="12662" xr:uid="{00000000-0005-0000-0000-00001E310000}"/>
    <cellStyle name="40% - Accent6 33 12" xfId="12663" xr:uid="{00000000-0005-0000-0000-00001F310000}"/>
    <cellStyle name="40% - Accent6 33 13" xfId="12664" xr:uid="{00000000-0005-0000-0000-000020310000}"/>
    <cellStyle name="40% - Accent6 33 14" xfId="12665" xr:uid="{00000000-0005-0000-0000-000021310000}"/>
    <cellStyle name="40% - Accent6 33 15" xfId="12666" xr:uid="{00000000-0005-0000-0000-000022310000}"/>
    <cellStyle name="40% - Accent6 33 16" xfId="12667" xr:uid="{00000000-0005-0000-0000-000023310000}"/>
    <cellStyle name="40% - Accent6 33 2" xfId="12668" xr:uid="{00000000-0005-0000-0000-000024310000}"/>
    <cellStyle name="40% - Accent6 33 3" xfId="12669" xr:uid="{00000000-0005-0000-0000-000025310000}"/>
    <cellStyle name="40% - Accent6 33 4" xfId="12670" xr:uid="{00000000-0005-0000-0000-000026310000}"/>
    <cellStyle name="40% - Accent6 33 5" xfId="12671" xr:uid="{00000000-0005-0000-0000-000027310000}"/>
    <cellStyle name="40% - Accent6 33 6" xfId="12672" xr:uid="{00000000-0005-0000-0000-000028310000}"/>
    <cellStyle name="40% - Accent6 33 7" xfId="12673" xr:uid="{00000000-0005-0000-0000-000029310000}"/>
    <cellStyle name="40% - Accent6 33 8" xfId="12674" xr:uid="{00000000-0005-0000-0000-00002A310000}"/>
    <cellStyle name="40% - Accent6 33 9" xfId="12675" xr:uid="{00000000-0005-0000-0000-00002B310000}"/>
    <cellStyle name="40% - Accent6 34" xfId="12676" xr:uid="{00000000-0005-0000-0000-00002C310000}"/>
    <cellStyle name="40% - Accent6 34 10" xfId="12677" xr:uid="{00000000-0005-0000-0000-00002D310000}"/>
    <cellStyle name="40% - Accent6 34 11" xfId="12678" xr:uid="{00000000-0005-0000-0000-00002E310000}"/>
    <cellStyle name="40% - Accent6 34 12" xfId="12679" xr:uid="{00000000-0005-0000-0000-00002F310000}"/>
    <cellStyle name="40% - Accent6 34 13" xfId="12680" xr:uid="{00000000-0005-0000-0000-000030310000}"/>
    <cellStyle name="40% - Accent6 34 14" xfId="12681" xr:uid="{00000000-0005-0000-0000-000031310000}"/>
    <cellStyle name="40% - Accent6 34 15" xfId="12682" xr:uid="{00000000-0005-0000-0000-000032310000}"/>
    <cellStyle name="40% - Accent6 34 16" xfId="12683" xr:uid="{00000000-0005-0000-0000-000033310000}"/>
    <cellStyle name="40% - Accent6 34 2" xfId="12684" xr:uid="{00000000-0005-0000-0000-000034310000}"/>
    <cellStyle name="40% - Accent6 34 3" xfId="12685" xr:uid="{00000000-0005-0000-0000-000035310000}"/>
    <cellStyle name="40% - Accent6 34 4" xfId="12686" xr:uid="{00000000-0005-0000-0000-000036310000}"/>
    <cellStyle name="40% - Accent6 34 5" xfId="12687" xr:uid="{00000000-0005-0000-0000-000037310000}"/>
    <cellStyle name="40% - Accent6 34 6" xfId="12688" xr:uid="{00000000-0005-0000-0000-000038310000}"/>
    <cellStyle name="40% - Accent6 34 7" xfId="12689" xr:uid="{00000000-0005-0000-0000-000039310000}"/>
    <cellStyle name="40% - Accent6 34 8" xfId="12690" xr:uid="{00000000-0005-0000-0000-00003A310000}"/>
    <cellStyle name="40% - Accent6 34 9" xfId="12691" xr:uid="{00000000-0005-0000-0000-00003B310000}"/>
    <cellStyle name="40% - Accent6 35" xfId="12692" xr:uid="{00000000-0005-0000-0000-00003C310000}"/>
    <cellStyle name="40% - Accent6 35 10" xfId="12693" xr:uid="{00000000-0005-0000-0000-00003D310000}"/>
    <cellStyle name="40% - Accent6 35 11" xfId="12694" xr:uid="{00000000-0005-0000-0000-00003E310000}"/>
    <cellStyle name="40% - Accent6 35 12" xfId="12695" xr:uid="{00000000-0005-0000-0000-00003F310000}"/>
    <cellStyle name="40% - Accent6 35 13" xfId="12696" xr:uid="{00000000-0005-0000-0000-000040310000}"/>
    <cellStyle name="40% - Accent6 35 14" xfId="12697" xr:uid="{00000000-0005-0000-0000-000041310000}"/>
    <cellStyle name="40% - Accent6 35 15" xfId="12698" xr:uid="{00000000-0005-0000-0000-000042310000}"/>
    <cellStyle name="40% - Accent6 35 16" xfId="12699" xr:uid="{00000000-0005-0000-0000-000043310000}"/>
    <cellStyle name="40% - Accent6 35 2" xfId="12700" xr:uid="{00000000-0005-0000-0000-000044310000}"/>
    <cellStyle name="40% - Accent6 35 3" xfId="12701" xr:uid="{00000000-0005-0000-0000-000045310000}"/>
    <cellStyle name="40% - Accent6 35 4" xfId="12702" xr:uid="{00000000-0005-0000-0000-000046310000}"/>
    <cellStyle name="40% - Accent6 35 5" xfId="12703" xr:uid="{00000000-0005-0000-0000-000047310000}"/>
    <cellStyle name="40% - Accent6 35 6" xfId="12704" xr:uid="{00000000-0005-0000-0000-000048310000}"/>
    <cellStyle name="40% - Accent6 35 7" xfId="12705" xr:uid="{00000000-0005-0000-0000-000049310000}"/>
    <cellStyle name="40% - Accent6 35 8" xfId="12706" xr:uid="{00000000-0005-0000-0000-00004A310000}"/>
    <cellStyle name="40% - Accent6 35 9" xfId="12707" xr:uid="{00000000-0005-0000-0000-00004B310000}"/>
    <cellStyle name="40% - Accent6 36" xfId="12708" xr:uid="{00000000-0005-0000-0000-00004C310000}"/>
    <cellStyle name="40% - Accent6 36 10" xfId="12709" xr:uid="{00000000-0005-0000-0000-00004D310000}"/>
    <cellStyle name="40% - Accent6 36 11" xfId="12710" xr:uid="{00000000-0005-0000-0000-00004E310000}"/>
    <cellStyle name="40% - Accent6 36 12" xfId="12711" xr:uid="{00000000-0005-0000-0000-00004F310000}"/>
    <cellStyle name="40% - Accent6 36 13" xfId="12712" xr:uid="{00000000-0005-0000-0000-000050310000}"/>
    <cellStyle name="40% - Accent6 36 14" xfId="12713" xr:uid="{00000000-0005-0000-0000-000051310000}"/>
    <cellStyle name="40% - Accent6 36 15" xfId="12714" xr:uid="{00000000-0005-0000-0000-000052310000}"/>
    <cellStyle name="40% - Accent6 36 16" xfId="12715" xr:uid="{00000000-0005-0000-0000-000053310000}"/>
    <cellStyle name="40% - Accent6 36 2" xfId="12716" xr:uid="{00000000-0005-0000-0000-000054310000}"/>
    <cellStyle name="40% - Accent6 36 3" xfId="12717" xr:uid="{00000000-0005-0000-0000-000055310000}"/>
    <cellStyle name="40% - Accent6 36 4" xfId="12718" xr:uid="{00000000-0005-0000-0000-000056310000}"/>
    <cellStyle name="40% - Accent6 36 5" xfId="12719" xr:uid="{00000000-0005-0000-0000-000057310000}"/>
    <cellStyle name="40% - Accent6 36 6" xfId="12720" xr:uid="{00000000-0005-0000-0000-000058310000}"/>
    <cellStyle name="40% - Accent6 36 7" xfId="12721" xr:uid="{00000000-0005-0000-0000-000059310000}"/>
    <cellStyle name="40% - Accent6 36 8" xfId="12722" xr:uid="{00000000-0005-0000-0000-00005A310000}"/>
    <cellStyle name="40% - Accent6 36 9" xfId="12723" xr:uid="{00000000-0005-0000-0000-00005B310000}"/>
    <cellStyle name="40% - Accent6 37" xfId="12724" xr:uid="{00000000-0005-0000-0000-00005C310000}"/>
    <cellStyle name="40% - Accent6 37 10" xfId="12725" xr:uid="{00000000-0005-0000-0000-00005D310000}"/>
    <cellStyle name="40% - Accent6 37 11" xfId="12726" xr:uid="{00000000-0005-0000-0000-00005E310000}"/>
    <cellStyle name="40% - Accent6 37 12" xfId="12727" xr:uid="{00000000-0005-0000-0000-00005F310000}"/>
    <cellStyle name="40% - Accent6 37 13" xfId="12728" xr:uid="{00000000-0005-0000-0000-000060310000}"/>
    <cellStyle name="40% - Accent6 37 14" xfId="12729" xr:uid="{00000000-0005-0000-0000-000061310000}"/>
    <cellStyle name="40% - Accent6 37 15" xfId="12730" xr:uid="{00000000-0005-0000-0000-000062310000}"/>
    <cellStyle name="40% - Accent6 37 2" xfId="12731" xr:uid="{00000000-0005-0000-0000-000063310000}"/>
    <cellStyle name="40% - Accent6 37 3" xfId="12732" xr:uid="{00000000-0005-0000-0000-000064310000}"/>
    <cellStyle name="40% - Accent6 37 4" xfId="12733" xr:uid="{00000000-0005-0000-0000-000065310000}"/>
    <cellStyle name="40% - Accent6 37 5" xfId="12734" xr:uid="{00000000-0005-0000-0000-000066310000}"/>
    <cellStyle name="40% - Accent6 37 6" xfId="12735" xr:uid="{00000000-0005-0000-0000-000067310000}"/>
    <cellStyle name="40% - Accent6 37 7" xfId="12736" xr:uid="{00000000-0005-0000-0000-000068310000}"/>
    <cellStyle name="40% - Accent6 37 8" xfId="12737" xr:uid="{00000000-0005-0000-0000-000069310000}"/>
    <cellStyle name="40% - Accent6 37 9" xfId="12738" xr:uid="{00000000-0005-0000-0000-00006A310000}"/>
    <cellStyle name="40% - Accent6 38" xfId="12739" xr:uid="{00000000-0005-0000-0000-00006B310000}"/>
    <cellStyle name="40% - Accent6 38 10" xfId="12740" xr:uid="{00000000-0005-0000-0000-00006C310000}"/>
    <cellStyle name="40% - Accent6 38 11" xfId="12741" xr:uid="{00000000-0005-0000-0000-00006D310000}"/>
    <cellStyle name="40% - Accent6 38 12" xfId="12742" xr:uid="{00000000-0005-0000-0000-00006E310000}"/>
    <cellStyle name="40% - Accent6 38 13" xfId="12743" xr:uid="{00000000-0005-0000-0000-00006F310000}"/>
    <cellStyle name="40% - Accent6 38 14" xfId="12744" xr:uid="{00000000-0005-0000-0000-000070310000}"/>
    <cellStyle name="40% - Accent6 38 15" xfId="12745" xr:uid="{00000000-0005-0000-0000-000071310000}"/>
    <cellStyle name="40% - Accent6 38 2" xfId="12746" xr:uid="{00000000-0005-0000-0000-000072310000}"/>
    <cellStyle name="40% - Accent6 38 3" xfId="12747" xr:uid="{00000000-0005-0000-0000-000073310000}"/>
    <cellStyle name="40% - Accent6 38 4" xfId="12748" xr:uid="{00000000-0005-0000-0000-000074310000}"/>
    <cellStyle name="40% - Accent6 38 5" xfId="12749" xr:uid="{00000000-0005-0000-0000-000075310000}"/>
    <cellStyle name="40% - Accent6 38 6" xfId="12750" xr:uid="{00000000-0005-0000-0000-000076310000}"/>
    <cellStyle name="40% - Accent6 38 7" xfId="12751" xr:uid="{00000000-0005-0000-0000-000077310000}"/>
    <cellStyle name="40% - Accent6 38 8" xfId="12752" xr:uid="{00000000-0005-0000-0000-000078310000}"/>
    <cellStyle name="40% - Accent6 38 9" xfId="12753" xr:uid="{00000000-0005-0000-0000-000079310000}"/>
    <cellStyle name="40% - Accent6 39" xfId="12754" xr:uid="{00000000-0005-0000-0000-00007A310000}"/>
    <cellStyle name="40% - Accent6 39 10" xfId="12755" xr:uid="{00000000-0005-0000-0000-00007B310000}"/>
    <cellStyle name="40% - Accent6 39 11" xfId="12756" xr:uid="{00000000-0005-0000-0000-00007C310000}"/>
    <cellStyle name="40% - Accent6 39 12" xfId="12757" xr:uid="{00000000-0005-0000-0000-00007D310000}"/>
    <cellStyle name="40% - Accent6 39 13" xfId="12758" xr:uid="{00000000-0005-0000-0000-00007E310000}"/>
    <cellStyle name="40% - Accent6 39 14" xfId="12759" xr:uid="{00000000-0005-0000-0000-00007F310000}"/>
    <cellStyle name="40% - Accent6 39 15" xfId="12760" xr:uid="{00000000-0005-0000-0000-000080310000}"/>
    <cellStyle name="40% - Accent6 39 2" xfId="12761" xr:uid="{00000000-0005-0000-0000-000081310000}"/>
    <cellStyle name="40% - Accent6 39 3" xfId="12762" xr:uid="{00000000-0005-0000-0000-000082310000}"/>
    <cellStyle name="40% - Accent6 39 4" xfId="12763" xr:uid="{00000000-0005-0000-0000-000083310000}"/>
    <cellStyle name="40% - Accent6 39 5" xfId="12764" xr:uid="{00000000-0005-0000-0000-000084310000}"/>
    <cellStyle name="40% - Accent6 39 6" xfId="12765" xr:uid="{00000000-0005-0000-0000-000085310000}"/>
    <cellStyle name="40% - Accent6 39 7" xfId="12766" xr:uid="{00000000-0005-0000-0000-000086310000}"/>
    <cellStyle name="40% - Accent6 39 8" xfId="12767" xr:uid="{00000000-0005-0000-0000-000087310000}"/>
    <cellStyle name="40% - Accent6 39 9" xfId="12768" xr:uid="{00000000-0005-0000-0000-000088310000}"/>
    <cellStyle name="40% - Accent6 4" xfId="12769" xr:uid="{00000000-0005-0000-0000-000089310000}"/>
    <cellStyle name="40% - Accent6 4 2" xfId="12770" xr:uid="{00000000-0005-0000-0000-00008A310000}"/>
    <cellStyle name="40% - Accent6 4 2 2" xfId="12771" xr:uid="{00000000-0005-0000-0000-00008B310000}"/>
    <cellStyle name="40% - Accent6 4 2 3" xfId="12772" xr:uid="{00000000-0005-0000-0000-00008C310000}"/>
    <cellStyle name="40% - Accent6 4 2 4" xfId="12773" xr:uid="{00000000-0005-0000-0000-00008D310000}"/>
    <cellStyle name="40% - Accent6 4 2 5" xfId="12774" xr:uid="{00000000-0005-0000-0000-00008E310000}"/>
    <cellStyle name="40% - Accent6 4 3" xfId="12775" xr:uid="{00000000-0005-0000-0000-00008F310000}"/>
    <cellStyle name="40% - Accent6 4 3 2" xfId="12776" xr:uid="{00000000-0005-0000-0000-000090310000}"/>
    <cellStyle name="40% - Accent6 4 4" xfId="12777" xr:uid="{00000000-0005-0000-0000-000091310000}"/>
    <cellStyle name="40% - Accent6 4 4 2" xfId="12778" xr:uid="{00000000-0005-0000-0000-000092310000}"/>
    <cellStyle name="40% - Accent6 4 5" xfId="12779" xr:uid="{00000000-0005-0000-0000-000093310000}"/>
    <cellStyle name="40% - Accent6 4 5 2" xfId="12780" xr:uid="{00000000-0005-0000-0000-000094310000}"/>
    <cellStyle name="40% - Accent6 4 6" xfId="12781" xr:uid="{00000000-0005-0000-0000-000095310000}"/>
    <cellStyle name="40% - Accent6 4 6 2" xfId="12782" xr:uid="{00000000-0005-0000-0000-000096310000}"/>
    <cellStyle name="40% - Accent6 4 7" xfId="12783" xr:uid="{00000000-0005-0000-0000-000097310000}"/>
    <cellStyle name="40% - Accent6 40" xfId="12784" xr:uid="{00000000-0005-0000-0000-000098310000}"/>
    <cellStyle name="40% - Accent6 41" xfId="12785" xr:uid="{00000000-0005-0000-0000-000099310000}"/>
    <cellStyle name="40% - Accent6 42" xfId="12786" xr:uid="{00000000-0005-0000-0000-00009A310000}"/>
    <cellStyle name="40% - Accent6 43" xfId="12787" xr:uid="{00000000-0005-0000-0000-00009B310000}"/>
    <cellStyle name="40% - Accent6 44" xfId="12788" xr:uid="{00000000-0005-0000-0000-00009C310000}"/>
    <cellStyle name="40% - Accent6 45" xfId="12789" xr:uid="{00000000-0005-0000-0000-00009D310000}"/>
    <cellStyle name="40% - Accent6 46" xfId="12790" xr:uid="{00000000-0005-0000-0000-00009E310000}"/>
    <cellStyle name="40% - Accent6 47" xfId="12791" xr:uid="{00000000-0005-0000-0000-00009F310000}"/>
    <cellStyle name="40% - Accent6 48" xfId="12792" xr:uid="{00000000-0005-0000-0000-0000A0310000}"/>
    <cellStyle name="40% - Accent6 49" xfId="12793" xr:uid="{00000000-0005-0000-0000-0000A1310000}"/>
    <cellStyle name="40% - Accent6 5" xfId="12794" xr:uid="{00000000-0005-0000-0000-0000A2310000}"/>
    <cellStyle name="40% - Accent6 5 2" xfId="12795" xr:uid="{00000000-0005-0000-0000-0000A3310000}"/>
    <cellStyle name="40% - Accent6 5 2 2" xfId="12796" xr:uid="{00000000-0005-0000-0000-0000A4310000}"/>
    <cellStyle name="40% - Accent6 5 2 3" xfId="12797" xr:uid="{00000000-0005-0000-0000-0000A5310000}"/>
    <cellStyle name="40% - Accent6 5 2 4" xfId="12798" xr:uid="{00000000-0005-0000-0000-0000A6310000}"/>
    <cellStyle name="40% - Accent6 5 2 5" xfId="12799" xr:uid="{00000000-0005-0000-0000-0000A7310000}"/>
    <cellStyle name="40% - Accent6 5 3" xfId="12800" xr:uid="{00000000-0005-0000-0000-0000A8310000}"/>
    <cellStyle name="40% - Accent6 5 3 2" xfId="12801" xr:uid="{00000000-0005-0000-0000-0000A9310000}"/>
    <cellStyle name="40% - Accent6 5 3 3" xfId="12802" xr:uid="{00000000-0005-0000-0000-0000AA310000}"/>
    <cellStyle name="40% - Accent6 5 4" xfId="12803" xr:uid="{00000000-0005-0000-0000-0000AB310000}"/>
    <cellStyle name="40% - Accent6 5 4 2" xfId="12804" xr:uid="{00000000-0005-0000-0000-0000AC310000}"/>
    <cellStyle name="40% - Accent6 5 5" xfId="12805" xr:uid="{00000000-0005-0000-0000-0000AD310000}"/>
    <cellStyle name="40% - Accent6 5 6" xfId="12806" xr:uid="{00000000-0005-0000-0000-0000AE310000}"/>
    <cellStyle name="40% - Accent6 50" xfId="12807" xr:uid="{00000000-0005-0000-0000-0000AF310000}"/>
    <cellStyle name="40% - Accent6 51" xfId="12808" xr:uid="{00000000-0005-0000-0000-0000B0310000}"/>
    <cellStyle name="40% - Accent6 52" xfId="12809" xr:uid="{00000000-0005-0000-0000-0000B1310000}"/>
    <cellStyle name="40% - Accent6 53" xfId="12810" xr:uid="{00000000-0005-0000-0000-0000B2310000}"/>
    <cellStyle name="40% - Accent6 54" xfId="12811" xr:uid="{00000000-0005-0000-0000-0000B3310000}"/>
    <cellStyle name="40% - Accent6 55" xfId="12812" xr:uid="{00000000-0005-0000-0000-0000B4310000}"/>
    <cellStyle name="40% - Accent6 56" xfId="12813" xr:uid="{00000000-0005-0000-0000-0000B5310000}"/>
    <cellStyle name="40% - Accent6 57" xfId="12814" xr:uid="{00000000-0005-0000-0000-0000B6310000}"/>
    <cellStyle name="40% - Accent6 58" xfId="12815" xr:uid="{00000000-0005-0000-0000-0000B7310000}"/>
    <cellStyle name="40% - Accent6 59" xfId="12816" xr:uid="{00000000-0005-0000-0000-0000B8310000}"/>
    <cellStyle name="40% - Accent6 6" xfId="12817" xr:uid="{00000000-0005-0000-0000-0000B9310000}"/>
    <cellStyle name="40% - Accent6 6 2" xfId="12818" xr:uid="{00000000-0005-0000-0000-0000BA310000}"/>
    <cellStyle name="40% - Accent6 6 2 2" xfId="12819" xr:uid="{00000000-0005-0000-0000-0000BB310000}"/>
    <cellStyle name="40% - Accent6 6 2 3" xfId="12820" xr:uid="{00000000-0005-0000-0000-0000BC310000}"/>
    <cellStyle name="40% - Accent6 6 2 4" xfId="12821" xr:uid="{00000000-0005-0000-0000-0000BD310000}"/>
    <cellStyle name="40% - Accent6 6 3" xfId="12822" xr:uid="{00000000-0005-0000-0000-0000BE310000}"/>
    <cellStyle name="40% - Accent6 6 4" xfId="12823" xr:uid="{00000000-0005-0000-0000-0000BF310000}"/>
    <cellStyle name="40% - Accent6 6 5" xfId="12824" xr:uid="{00000000-0005-0000-0000-0000C0310000}"/>
    <cellStyle name="40% - Accent6 60" xfId="12825" xr:uid="{00000000-0005-0000-0000-0000C1310000}"/>
    <cellStyle name="40% - Accent6 61" xfId="12826" xr:uid="{00000000-0005-0000-0000-0000C2310000}"/>
    <cellStyle name="40% - Accent6 62" xfId="12827" xr:uid="{00000000-0005-0000-0000-0000C3310000}"/>
    <cellStyle name="40% - Accent6 63" xfId="12828" xr:uid="{00000000-0005-0000-0000-0000C4310000}"/>
    <cellStyle name="40% - Accent6 64" xfId="12829" xr:uid="{00000000-0005-0000-0000-0000C5310000}"/>
    <cellStyle name="40% - Accent6 65" xfId="12830" xr:uid="{00000000-0005-0000-0000-0000C6310000}"/>
    <cellStyle name="40% - Accent6 66" xfId="12831" xr:uid="{00000000-0005-0000-0000-0000C7310000}"/>
    <cellStyle name="40% - Accent6 67" xfId="12832" xr:uid="{00000000-0005-0000-0000-0000C8310000}"/>
    <cellStyle name="40% - Accent6 68" xfId="12833" xr:uid="{00000000-0005-0000-0000-0000C9310000}"/>
    <cellStyle name="40% - Accent6 69" xfId="12834" xr:uid="{00000000-0005-0000-0000-0000CA310000}"/>
    <cellStyle name="40% - Accent6 7" xfId="12835" xr:uid="{00000000-0005-0000-0000-0000CB310000}"/>
    <cellStyle name="40% - Accent6 7 2" xfId="12836" xr:uid="{00000000-0005-0000-0000-0000CC310000}"/>
    <cellStyle name="40% - Accent6 7 2 2" xfId="12837" xr:uid="{00000000-0005-0000-0000-0000CD310000}"/>
    <cellStyle name="40% - Accent6 7 2 3" xfId="12838" xr:uid="{00000000-0005-0000-0000-0000CE310000}"/>
    <cellStyle name="40% - Accent6 7 2 4" xfId="12839" xr:uid="{00000000-0005-0000-0000-0000CF310000}"/>
    <cellStyle name="40% - Accent6 7 3" xfId="12840" xr:uid="{00000000-0005-0000-0000-0000D0310000}"/>
    <cellStyle name="40% - Accent6 7 4" xfId="12841" xr:uid="{00000000-0005-0000-0000-0000D1310000}"/>
    <cellStyle name="40% - Accent6 7 5" xfId="12842" xr:uid="{00000000-0005-0000-0000-0000D2310000}"/>
    <cellStyle name="40% - Accent6 70" xfId="12843" xr:uid="{00000000-0005-0000-0000-0000D3310000}"/>
    <cellStyle name="40% - Accent6 71" xfId="12844" xr:uid="{00000000-0005-0000-0000-0000D4310000}"/>
    <cellStyle name="40% - Accent6 72" xfId="12845" xr:uid="{00000000-0005-0000-0000-0000D5310000}"/>
    <cellStyle name="40% - Accent6 73" xfId="12846" xr:uid="{00000000-0005-0000-0000-0000D6310000}"/>
    <cellStyle name="40% - Accent6 74" xfId="12847" xr:uid="{00000000-0005-0000-0000-0000D7310000}"/>
    <cellStyle name="40% - Accent6 75" xfId="12848" xr:uid="{00000000-0005-0000-0000-0000D8310000}"/>
    <cellStyle name="40% - Accent6 76" xfId="12849" xr:uid="{00000000-0005-0000-0000-0000D9310000}"/>
    <cellStyle name="40% - Accent6 77" xfId="12850" xr:uid="{00000000-0005-0000-0000-0000DA310000}"/>
    <cellStyle name="40% - Accent6 78" xfId="12851" xr:uid="{00000000-0005-0000-0000-0000DB310000}"/>
    <cellStyle name="40% - Accent6 79" xfId="12852" xr:uid="{00000000-0005-0000-0000-0000DC310000}"/>
    <cellStyle name="40% - Accent6 79 2" xfId="12853" xr:uid="{00000000-0005-0000-0000-0000DD310000}"/>
    <cellStyle name="40% - Accent6 8" xfId="12854" xr:uid="{00000000-0005-0000-0000-0000DE310000}"/>
    <cellStyle name="40% - Accent6 8 2" xfId="12855" xr:uid="{00000000-0005-0000-0000-0000DF310000}"/>
    <cellStyle name="40% - Accent6 8 2 2" xfId="12856" xr:uid="{00000000-0005-0000-0000-0000E0310000}"/>
    <cellStyle name="40% - Accent6 8 2 3" xfId="12857" xr:uid="{00000000-0005-0000-0000-0000E1310000}"/>
    <cellStyle name="40% - Accent6 8 2 4" xfId="12858" xr:uid="{00000000-0005-0000-0000-0000E2310000}"/>
    <cellStyle name="40% - Accent6 8 3" xfId="12859" xr:uid="{00000000-0005-0000-0000-0000E3310000}"/>
    <cellStyle name="40% - Accent6 8 4" xfId="12860" xr:uid="{00000000-0005-0000-0000-0000E4310000}"/>
    <cellStyle name="40% - Accent6 8 5" xfId="12861" xr:uid="{00000000-0005-0000-0000-0000E5310000}"/>
    <cellStyle name="40% - Accent6 80" xfId="12862" xr:uid="{00000000-0005-0000-0000-0000E6310000}"/>
    <cellStyle name="40% - Accent6 80 2" xfId="12863" xr:uid="{00000000-0005-0000-0000-0000E7310000}"/>
    <cellStyle name="40% - Accent6 81" xfId="12864" xr:uid="{00000000-0005-0000-0000-0000E8310000}"/>
    <cellStyle name="40% - Accent6 81 2" xfId="12865" xr:uid="{00000000-0005-0000-0000-0000E9310000}"/>
    <cellStyle name="40% - Accent6 82" xfId="12866" xr:uid="{00000000-0005-0000-0000-0000EA310000}"/>
    <cellStyle name="40% - Accent6 82 2" xfId="12867" xr:uid="{00000000-0005-0000-0000-0000EB310000}"/>
    <cellStyle name="40% - Accent6 83" xfId="12868" xr:uid="{00000000-0005-0000-0000-0000EC310000}"/>
    <cellStyle name="40% - Accent6 83 2" xfId="12869" xr:uid="{00000000-0005-0000-0000-0000ED310000}"/>
    <cellStyle name="40% - Accent6 84" xfId="12870" xr:uid="{00000000-0005-0000-0000-0000EE310000}"/>
    <cellStyle name="40% - Accent6 84 2" xfId="12871" xr:uid="{00000000-0005-0000-0000-0000EF310000}"/>
    <cellStyle name="40% - Accent6 85" xfId="12872" xr:uid="{00000000-0005-0000-0000-0000F0310000}"/>
    <cellStyle name="40% - Accent6 85 2" xfId="12873" xr:uid="{00000000-0005-0000-0000-0000F1310000}"/>
    <cellStyle name="40% - Accent6 86" xfId="12874" xr:uid="{00000000-0005-0000-0000-0000F2310000}"/>
    <cellStyle name="40% - Accent6 86 2" xfId="12875" xr:uid="{00000000-0005-0000-0000-0000F3310000}"/>
    <cellStyle name="40% - Accent6 87" xfId="12876" xr:uid="{00000000-0005-0000-0000-0000F4310000}"/>
    <cellStyle name="40% - Accent6 87 2" xfId="12877" xr:uid="{00000000-0005-0000-0000-0000F5310000}"/>
    <cellStyle name="40% - Accent6 88" xfId="12878" xr:uid="{00000000-0005-0000-0000-0000F6310000}"/>
    <cellStyle name="40% - Accent6 88 2" xfId="12879" xr:uid="{00000000-0005-0000-0000-0000F7310000}"/>
    <cellStyle name="40% - Accent6 89" xfId="12880" xr:uid="{00000000-0005-0000-0000-0000F8310000}"/>
    <cellStyle name="40% - Accent6 89 2" xfId="12881" xr:uid="{00000000-0005-0000-0000-0000F9310000}"/>
    <cellStyle name="40% - Accent6 9" xfId="12882" xr:uid="{00000000-0005-0000-0000-0000FA310000}"/>
    <cellStyle name="40% - Accent6 9 2" xfId="12883" xr:uid="{00000000-0005-0000-0000-0000FB310000}"/>
    <cellStyle name="40% - Accent6 9 2 2" xfId="12884" xr:uid="{00000000-0005-0000-0000-0000FC310000}"/>
    <cellStyle name="40% - Accent6 9 2 3" xfId="12885" xr:uid="{00000000-0005-0000-0000-0000FD310000}"/>
    <cellStyle name="40% - Accent6 9 2 4" xfId="12886" xr:uid="{00000000-0005-0000-0000-0000FE310000}"/>
    <cellStyle name="40% - Accent6 9 3" xfId="12887" xr:uid="{00000000-0005-0000-0000-0000FF310000}"/>
    <cellStyle name="40% - Accent6 9 4" xfId="12888" xr:uid="{00000000-0005-0000-0000-000000320000}"/>
    <cellStyle name="40% - Accent6 9 5" xfId="12889" xr:uid="{00000000-0005-0000-0000-000001320000}"/>
    <cellStyle name="40% - Accent6 90" xfId="12890" xr:uid="{00000000-0005-0000-0000-000002320000}"/>
    <cellStyle name="40% - Accent6 91" xfId="12891" xr:uid="{00000000-0005-0000-0000-000003320000}"/>
    <cellStyle name="40% - Accent6 92" xfId="12892" xr:uid="{00000000-0005-0000-0000-000004320000}"/>
    <cellStyle name="40% - Accent6 93" xfId="12893" xr:uid="{00000000-0005-0000-0000-000005320000}"/>
    <cellStyle name="40% - Accent6 94" xfId="12894" xr:uid="{00000000-0005-0000-0000-000006320000}"/>
    <cellStyle name="40% - Accent6 95" xfId="12895" xr:uid="{00000000-0005-0000-0000-000007320000}"/>
    <cellStyle name="40% - Accent6 96" xfId="12896" xr:uid="{00000000-0005-0000-0000-000008320000}"/>
    <cellStyle name="40% - Accent6 97" xfId="12897" xr:uid="{00000000-0005-0000-0000-000009320000}"/>
    <cellStyle name="40% - Accent6 98" xfId="12898" xr:uid="{00000000-0005-0000-0000-00000A320000}"/>
    <cellStyle name="40% - Accent6 99" xfId="12899" xr:uid="{00000000-0005-0000-0000-00000B320000}"/>
    <cellStyle name="40% - akcent 1" xfId="12900" xr:uid="{00000000-0005-0000-0000-00000C320000}"/>
    <cellStyle name="40% - akcent 2" xfId="12901" xr:uid="{00000000-0005-0000-0000-00000D320000}"/>
    <cellStyle name="40% - akcent 3" xfId="12902" xr:uid="{00000000-0005-0000-0000-00000E320000}"/>
    <cellStyle name="40% - akcent 4" xfId="12903" xr:uid="{00000000-0005-0000-0000-00000F320000}"/>
    <cellStyle name="40% - akcent 5" xfId="12904" xr:uid="{00000000-0005-0000-0000-000010320000}"/>
    <cellStyle name="40% - akcent 6" xfId="12905" xr:uid="{00000000-0005-0000-0000-000011320000}"/>
    <cellStyle name="60 % - Accent1" xfId="12906" xr:uid="{00000000-0005-0000-0000-000012320000}"/>
    <cellStyle name="60 % - Accent2" xfId="12907" xr:uid="{00000000-0005-0000-0000-000013320000}"/>
    <cellStyle name="60 % - Accent3" xfId="12908" xr:uid="{00000000-0005-0000-0000-000014320000}"/>
    <cellStyle name="60 % - Accent4" xfId="12909" xr:uid="{00000000-0005-0000-0000-000015320000}"/>
    <cellStyle name="60 % - Accent5" xfId="12910" xr:uid="{00000000-0005-0000-0000-000016320000}"/>
    <cellStyle name="60 % - Accent6" xfId="12911" xr:uid="{00000000-0005-0000-0000-000017320000}"/>
    <cellStyle name="60% - Accent1" xfId="21" builtinId="32" customBuiltin="1"/>
    <cellStyle name="60% - Accent1 10" xfId="12912" xr:uid="{00000000-0005-0000-0000-000019320000}"/>
    <cellStyle name="60% - Accent1 10 2" xfId="12913" xr:uid="{00000000-0005-0000-0000-00001A320000}"/>
    <cellStyle name="60% - Accent1 100" xfId="12914" xr:uid="{00000000-0005-0000-0000-00001B320000}"/>
    <cellStyle name="60% - Accent1 101" xfId="12915" xr:uid="{00000000-0005-0000-0000-00001C320000}"/>
    <cellStyle name="60% - Accent1 102" xfId="12916" xr:uid="{00000000-0005-0000-0000-00001D320000}"/>
    <cellStyle name="60% - Accent1 103" xfId="12917" xr:uid="{00000000-0005-0000-0000-00001E320000}"/>
    <cellStyle name="60% - Accent1 104" xfId="12918" xr:uid="{00000000-0005-0000-0000-00001F320000}"/>
    <cellStyle name="60% - Accent1 105" xfId="12919" xr:uid="{00000000-0005-0000-0000-000020320000}"/>
    <cellStyle name="60% - Accent1 106" xfId="12920" xr:uid="{00000000-0005-0000-0000-000021320000}"/>
    <cellStyle name="60% - Accent1 107" xfId="12921" xr:uid="{00000000-0005-0000-0000-000022320000}"/>
    <cellStyle name="60% - Accent1 108" xfId="12922" xr:uid="{00000000-0005-0000-0000-000023320000}"/>
    <cellStyle name="60% - Accent1 109" xfId="12923" xr:uid="{00000000-0005-0000-0000-000024320000}"/>
    <cellStyle name="60% - Accent1 11" xfId="12924" xr:uid="{00000000-0005-0000-0000-000025320000}"/>
    <cellStyle name="60% - Accent1 11 2" xfId="12925" xr:uid="{00000000-0005-0000-0000-000026320000}"/>
    <cellStyle name="60% - Accent1 110" xfId="12926" xr:uid="{00000000-0005-0000-0000-000027320000}"/>
    <cellStyle name="60% - Accent1 111" xfId="12927" xr:uid="{00000000-0005-0000-0000-000028320000}"/>
    <cellStyle name="60% - Accent1 112" xfId="12928" xr:uid="{00000000-0005-0000-0000-000029320000}"/>
    <cellStyle name="60% - Accent1 113" xfId="12929" xr:uid="{00000000-0005-0000-0000-00002A320000}"/>
    <cellStyle name="60% - Accent1 114" xfId="12930" xr:uid="{00000000-0005-0000-0000-00002B320000}"/>
    <cellStyle name="60% - Accent1 115" xfId="12931" xr:uid="{00000000-0005-0000-0000-00002C320000}"/>
    <cellStyle name="60% - Accent1 116" xfId="12932" xr:uid="{00000000-0005-0000-0000-00002D320000}"/>
    <cellStyle name="60% - Accent1 117" xfId="12933" xr:uid="{00000000-0005-0000-0000-00002E320000}"/>
    <cellStyle name="60% - Accent1 118" xfId="12934" xr:uid="{00000000-0005-0000-0000-00002F320000}"/>
    <cellStyle name="60% - Accent1 119" xfId="12935" xr:uid="{00000000-0005-0000-0000-000030320000}"/>
    <cellStyle name="60% - Accent1 12" xfId="12936" xr:uid="{00000000-0005-0000-0000-000031320000}"/>
    <cellStyle name="60% - Accent1 12 2" xfId="12937" xr:uid="{00000000-0005-0000-0000-000032320000}"/>
    <cellStyle name="60% - Accent1 120" xfId="12938" xr:uid="{00000000-0005-0000-0000-000033320000}"/>
    <cellStyle name="60% - Accent1 121" xfId="12939" xr:uid="{00000000-0005-0000-0000-000034320000}"/>
    <cellStyle name="60% - Accent1 122" xfId="12940" xr:uid="{00000000-0005-0000-0000-000035320000}"/>
    <cellStyle name="60% - Accent1 123" xfId="12941" xr:uid="{00000000-0005-0000-0000-000036320000}"/>
    <cellStyle name="60% - Accent1 124" xfId="12942" xr:uid="{00000000-0005-0000-0000-000037320000}"/>
    <cellStyle name="60% - Accent1 125" xfId="12943" xr:uid="{00000000-0005-0000-0000-000038320000}"/>
    <cellStyle name="60% - Accent1 126" xfId="12944" xr:uid="{00000000-0005-0000-0000-000039320000}"/>
    <cellStyle name="60% - Accent1 127" xfId="12945" xr:uid="{00000000-0005-0000-0000-00003A320000}"/>
    <cellStyle name="60% - Accent1 128" xfId="12946" xr:uid="{00000000-0005-0000-0000-00003B320000}"/>
    <cellStyle name="60% - Accent1 129" xfId="12947" xr:uid="{00000000-0005-0000-0000-00003C320000}"/>
    <cellStyle name="60% - Accent1 13" xfId="12948" xr:uid="{00000000-0005-0000-0000-00003D320000}"/>
    <cellStyle name="60% - Accent1 13 2" xfId="12949" xr:uid="{00000000-0005-0000-0000-00003E320000}"/>
    <cellStyle name="60% - Accent1 130" xfId="12950" xr:uid="{00000000-0005-0000-0000-00003F320000}"/>
    <cellStyle name="60% - Accent1 131" xfId="12951" xr:uid="{00000000-0005-0000-0000-000040320000}"/>
    <cellStyle name="60% - Accent1 132" xfId="12952" xr:uid="{00000000-0005-0000-0000-000041320000}"/>
    <cellStyle name="60% - Accent1 133" xfId="12953" xr:uid="{00000000-0005-0000-0000-000042320000}"/>
    <cellStyle name="60% - Accent1 134" xfId="12954" xr:uid="{00000000-0005-0000-0000-000043320000}"/>
    <cellStyle name="60% - Accent1 135" xfId="12955" xr:uid="{00000000-0005-0000-0000-000044320000}"/>
    <cellStyle name="60% - Accent1 136" xfId="12956" xr:uid="{00000000-0005-0000-0000-000045320000}"/>
    <cellStyle name="60% - Accent1 137" xfId="12957" xr:uid="{00000000-0005-0000-0000-000046320000}"/>
    <cellStyle name="60% - Accent1 138" xfId="12958" xr:uid="{00000000-0005-0000-0000-000047320000}"/>
    <cellStyle name="60% - Accent1 139" xfId="12959" xr:uid="{00000000-0005-0000-0000-000048320000}"/>
    <cellStyle name="60% - Accent1 14" xfId="12960" xr:uid="{00000000-0005-0000-0000-000049320000}"/>
    <cellStyle name="60% - Accent1 14 2" xfId="12961" xr:uid="{00000000-0005-0000-0000-00004A320000}"/>
    <cellStyle name="60% - Accent1 140" xfId="12962" xr:uid="{00000000-0005-0000-0000-00004B320000}"/>
    <cellStyle name="60% - Accent1 141" xfId="12963" xr:uid="{00000000-0005-0000-0000-00004C320000}"/>
    <cellStyle name="60% - Accent1 142" xfId="12964" xr:uid="{00000000-0005-0000-0000-00004D320000}"/>
    <cellStyle name="60% - Accent1 143" xfId="12965" xr:uid="{00000000-0005-0000-0000-00004E320000}"/>
    <cellStyle name="60% - Accent1 144" xfId="12966" xr:uid="{00000000-0005-0000-0000-00004F320000}"/>
    <cellStyle name="60% - Accent1 145" xfId="12967" xr:uid="{00000000-0005-0000-0000-000050320000}"/>
    <cellStyle name="60% - Accent1 146" xfId="12968" xr:uid="{00000000-0005-0000-0000-000051320000}"/>
    <cellStyle name="60% - Accent1 147" xfId="12969" xr:uid="{00000000-0005-0000-0000-000052320000}"/>
    <cellStyle name="60% - Accent1 148" xfId="12970" xr:uid="{00000000-0005-0000-0000-000053320000}"/>
    <cellStyle name="60% - Accent1 149" xfId="12971" xr:uid="{00000000-0005-0000-0000-000054320000}"/>
    <cellStyle name="60% - Accent1 15" xfId="12972" xr:uid="{00000000-0005-0000-0000-000055320000}"/>
    <cellStyle name="60% - Accent1 15 2" xfId="12973" xr:uid="{00000000-0005-0000-0000-000056320000}"/>
    <cellStyle name="60% - Accent1 150" xfId="12974" xr:uid="{00000000-0005-0000-0000-000057320000}"/>
    <cellStyle name="60% - Accent1 151" xfId="12975" xr:uid="{00000000-0005-0000-0000-000058320000}"/>
    <cellStyle name="60% - Accent1 152" xfId="12976" xr:uid="{00000000-0005-0000-0000-000059320000}"/>
    <cellStyle name="60% - Accent1 153" xfId="12977" xr:uid="{00000000-0005-0000-0000-00005A320000}"/>
    <cellStyle name="60% - Accent1 154" xfId="12978" xr:uid="{00000000-0005-0000-0000-00005B320000}"/>
    <cellStyle name="60% - Accent1 155" xfId="12979" xr:uid="{00000000-0005-0000-0000-00005C320000}"/>
    <cellStyle name="60% - Accent1 156" xfId="12980" xr:uid="{00000000-0005-0000-0000-00005D320000}"/>
    <cellStyle name="60% - Accent1 157" xfId="12981" xr:uid="{00000000-0005-0000-0000-00005E320000}"/>
    <cellStyle name="60% - Accent1 158" xfId="12982" xr:uid="{00000000-0005-0000-0000-00005F320000}"/>
    <cellStyle name="60% - Accent1 159" xfId="12983" xr:uid="{00000000-0005-0000-0000-000060320000}"/>
    <cellStyle name="60% - Accent1 16" xfId="12984" xr:uid="{00000000-0005-0000-0000-000061320000}"/>
    <cellStyle name="60% - Accent1 160" xfId="12985" xr:uid="{00000000-0005-0000-0000-000062320000}"/>
    <cellStyle name="60% - Accent1 161" xfId="12986" xr:uid="{00000000-0005-0000-0000-000063320000}"/>
    <cellStyle name="60% - Accent1 162" xfId="12987" xr:uid="{00000000-0005-0000-0000-000064320000}"/>
    <cellStyle name="60% - Accent1 163" xfId="12988" xr:uid="{00000000-0005-0000-0000-000065320000}"/>
    <cellStyle name="60% - Accent1 164" xfId="12989" xr:uid="{00000000-0005-0000-0000-000066320000}"/>
    <cellStyle name="60% - Accent1 165" xfId="12990" xr:uid="{00000000-0005-0000-0000-000067320000}"/>
    <cellStyle name="60% - Accent1 166" xfId="12991" xr:uid="{00000000-0005-0000-0000-000068320000}"/>
    <cellStyle name="60% - Accent1 167" xfId="12992" xr:uid="{00000000-0005-0000-0000-000069320000}"/>
    <cellStyle name="60% - Accent1 17" xfId="12993" xr:uid="{00000000-0005-0000-0000-00006A320000}"/>
    <cellStyle name="60% - Accent1 18" xfId="12994" xr:uid="{00000000-0005-0000-0000-00006B320000}"/>
    <cellStyle name="60% - Accent1 19" xfId="12995" xr:uid="{00000000-0005-0000-0000-00006C320000}"/>
    <cellStyle name="60% - Accent1 2" xfId="12996" xr:uid="{00000000-0005-0000-0000-00006D320000}"/>
    <cellStyle name="60% - Accent1 2 10" xfId="12997" xr:uid="{00000000-0005-0000-0000-00006E320000}"/>
    <cellStyle name="60% - Accent1 2 11" xfId="12998" xr:uid="{00000000-0005-0000-0000-00006F320000}"/>
    <cellStyle name="60% - Accent1 2 12" xfId="12999" xr:uid="{00000000-0005-0000-0000-000070320000}"/>
    <cellStyle name="60% - Accent1 2 13" xfId="13000" xr:uid="{00000000-0005-0000-0000-000071320000}"/>
    <cellStyle name="60% - Accent1 2 14" xfId="13001" xr:uid="{00000000-0005-0000-0000-000072320000}"/>
    <cellStyle name="60% - Accent1 2 15" xfId="13002" xr:uid="{00000000-0005-0000-0000-000073320000}"/>
    <cellStyle name="60% - Accent1 2 16" xfId="13003" xr:uid="{00000000-0005-0000-0000-000074320000}"/>
    <cellStyle name="60% - Accent1 2 17" xfId="13004" xr:uid="{00000000-0005-0000-0000-000075320000}"/>
    <cellStyle name="60% - Accent1 2 18" xfId="13005" xr:uid="{00000000-0005-0000-0000-000076320000}"/>
    <cellStyle name="60% - Accent1 2 19" xfId="13006" xr:uid="{00000000-0005-0000-0000-000077320000}"/>
    <cellStyle name="60% - Accent1 2 2" xfId="13007" xr:uid="{00000000-0005-0000-0000-000078320000}"/>
    <cellStyle name="60% - Accent1 2 2 2" xfId="13008" xr:uid="{00000000-0005-0000-0000-000079320000}"/>
    <cellStyle name="60% - Accent1 2 20" xfId="13009" xr:uid="{00000000-0005-0000-0000-00007A320000}"/>
    <cellStyle name="60% - Accent1 2 21" xfId="13010" xr:uid="{00000000-0005-0000-0000-00007B320000}"/>
    <cellStyle name="60% - Accent1 2 22" xfId="13011" xr:uid="{00000000-0005-0000-0000-00007C320000}"/>
    <cellStyle name="60% - Accent1 2 23" xfId="13012" xr:uid="{00000000-0005-0000-0000-00007D320000}"/>
    <cellStyle name="60% - Accent1 2 24" xfId="13013" xr:uid="{00000000-0005-0000-0000-00007E320000}"/>
    <cellStyle name="60% - Accent1 2 25" xfId="13014" xr:uid="{00000000-0005-0000-0000-00007F320000}"/>
    <cellStyle name="60% - Accent1 2 26" xfId="13015" xr:uid="{00000000-0005-0000-0000-000080320000}"/>
    <cellStyle name="60% - Accent1 2 27" xfId="13016" xr:uid="{00000000-0005-0000-0000-000081320000}"/>
    <cellStyle name="60% - Accent1 2 28" xfId="13017" xr:uid="{00000000-0005-0000-0000-000082320000}"/>
    <cellStyle name="60% - Accent1 2 29" xfId="13018" xr:uid="{00000000-0005-0000-0000-000083320000}"/>
    <cellStyle name="60% - Accent1 2 3" xfId="13019" xr:uid="{00000000-0005-0000-0000-000084320000}"/>
    <cellStyle name="60% - Accent1 2 30" xfId="13020" xr:uid="{00000000-0005-0000-0000-000085320000}"/>
    <cellStyle name="60% - Accent1 2 31" xfId="13021" xr:uid="{00000000-0005-0000-0000-000086320000}"/>
    <cellStyle name="60% - Accent1 2 32" xfId="13022" xr:uid="{00000000-0005-0000-0000-000087320000}"/>
    <cellStyle name="60% - Accent1 2 33" xfId="13023" xr:uid="{00000000-0005-0000-0000-000088320000}"/>
    <cellStyle name="60% - Accent1 2 34" xfId="13024" xr:uid="{00000000-0005-0000-0000-000089320000}"/>
    <cellStyle name="60% - Accent1 2 35" xfId="13025" xr:uid="{00000000-0005-0000-0000-00008A320000}"/>
    <cellStyle name="60% - Accent1 2 4" xfId="13026" xr:uid="{00000000-0005-0000-0000-00008B320000}"/>
    <cellStyle name="60% - Accent1 2 5" xfId="13027" xr:uid="{00000000-0005-0000-0000-00008C320000}"/>
    <cellStyle name="60% - Accent1 2 6" xfId="13028" xr:uid="{00000000-0005-0000-0000-00008D320000}"/>
    <cellStyle name="60% - Accent1 2 7" xfId="13029" xr:uid="{00000000-0005-0000-0000-00008E320000}"/>
    <cellStyle name="60% - Accent1 2 8" xfId="13030" xr:uid="{00000000-0005-0000-0000-00008F320000}"/>
    <cellStyle name="60% - Accent1 2 9" xfId="13031" xr:uid="{00000000-0005-0000-0000-000090320000}"/>
    <cellStyle name="60% - Accent1 2_ERDF Losses" xfId="13032" xr:uid="{00000000-0005-0000-0000-000091320000}"/>
    <cellStyle name="60% - Accent1 20" xfId="13033" xr:uid="{00000000-0005-0000-0000-000092320000}"/>
    <cellStyle name="60% - Accent1 20 10" xfId="13034" xr:uid="{00000000-0005-0000-0000-000093320000}"/>
    <cellStyle name="60% - Accent1 20 11" xfId="13035" xr:uid="{00000000-0005-0000-0000-000094320000}"/>
    <cellStyle name="60% - Accent1 20 12" xfId="13036" xr:uid="{00000000-0005-0000-0000-000095320000}"/>
    <cellStyle name="60% - Accent1 20 13" xfId="13037" xr:uid="{00000000-0005-0000-0000-000096320000}"/>
    <cellStyle name="60% - Accent1 20 14" xfId="13038" xr:uid="{00000000-0005-0000-0000-000097320000}"/>
    <cellStyle name="60% - Accent1 20 15" xfId="13039" xr:uid="{00000000-0005-0000-0000-000098320000}"/>
    <cellStyle name="60% - Accent1 20 16" xfId="13040" xr:uid="{00000000-0005-0000-0000-000099320000}"/>
    <cellStyle name="60% - Accent1 20 2" xfId="13041" xr:uid="{00000000-0005-0000-0000-00009A320000}"/>
    <cellStyle name="60% - Accent1 20 3" xfId="13042" xr:uid="{00000000-0005-0000-0000-00009B320000}"/>
    <cellStyle name="60% - Accent1 20 4" xfId="13043" xr:uid="{00000000-0005-0000-0000-00009C320000}"/>
    <cellStyle name="60% - Accent1 20 5" xfId="13044" xr:uid="{00000000-0005-0000-0000-00009D320000}"/>
    <cellStyle name="60% - Accent1 20 6" xfId="13045" xr:uid="{00000000-0005-0000-0000-00009E320000}"/>
    <cellStyle name="60% - Accent1 20 7" xfId="13046" xr:uid="{00000000-0005-0000-0000-00009F320000}"/>
    <cellStyle name="60% - Accent1 20 8" xfId="13047" xr:uid="{00000000-0005-0000-0000-0000A0320000}"/>
    <cellStyle name="60% - Accent1 20 9" xfId="13048" xr:uid="{00000000-0005-0000-0000-0000A1320000}"/>
    <cellStyle name="60% - Accent1 21" xfId="13049" xr:uid="{00000000-0005-0000-0000-0000A2320000}"/>
    <cellStyle name="60% - Accent1 21 2" xfId="13050" xr:uid="{00000000-0005-0000-0000-0000A3320000}"/>
    <cellStyle name="60% - Accent1 21 3" xfId="13051" xr:uid="{00000000-0005-0000-0000-0000A4320000}"/>
    <cellStyle name="60% - Accent1 22" xfId="13052" xr:uid="{00000000-0005-0000-0000-0000A5320000}"/>
    <cellStyle name="60% - Accent1 23" xfId="13053" xr:uid="{00000000-0005-0000-0000-0000A6320000}"/>
    <cellStyle name="60% - Accent1 24" xfId="13054" xr:uid="{00000000-0005-0000-0000-0000A7320000}"/>
    <cellStyle name="60% - Accent1 25" xfId="13055" xr:uid="{00000000-0005-0000-0000-0000A8320000}"/>
    <cellStyle name="60% - Accent1 26" xfId="13056" xr:uid="{00000000-0005-0000-0000-0000A9320000}"/>
    <cellStyle name="60% - Accent1 27" xfId="13057" xr:uid="{00000000-0005-0000-0000-0000AA320000}"/>
    <cellStyle name="60% - Accent1 28" xfId="13058" xr:uid="{00000000-0005-0000-0000-0000AB320000}"/>
    <cellStyle name="60% - Accent1 29" xfId="13059" xr:uid="{00000000-0005-0000-0000-0000AC320000}"/>
    <cellStyle name="60% - Accent1 3" xfId="13060" xr:uid="{00000000-0005-0000-0000-0000AD320000}"/>
    <cellStyle name="60% - Accent1 3 10" xfId="13061" xr:uid="{00000000-0005-0000-0000-0000AE320000}"/>
    <cellStyle name="60% - Accent1 3 10 10" xfId="13062" xr:uid="{00000000-0005-0000-0000-0000AF320000}"/>
    <cellStyle name="60% - Accent1 3 10 11" xfId="13063" xr:uid="{00000000-0005-0000-0000-0000B0320000}"/>
    <cellStyle name="60% - Accent1 3 10 12" xfId="13064" xr:uid="{00000000-0005-0000-0000-0000B1320000}"/>
    <cellStyle name="60% - Accent1 3 10 13" xfId="13065" xr:uid="{00000000-0005-0000-0000-0000B2320000}"/>
    <cellStyle name="60% - Accent1 3 10 14" xfId="13066" xr:uid="{00000000-0005-0000-0000-0000B3320000}"/>
    <cellStyle name="60% - Accent1 3 10 15" xfId="13067" xr:uid="{00000000-0005-0000-0000-0000B4320000}"/>
    <cellStyle name="60% - Accent1 3 10 2" xfId="13068" xr:uid="{00000000-0005-0000-0000-0000B5320000}"/>
    <cellStyle name="60% - Accent1 3 10 3" xfId="13069" xr:uid="{00000000-0005-0000-0000-0000B6320000}"/>
    <cellStyle name="60% - Accent1 3 10 4" xfId="13070" xr:uid="{00000000-0005-0000-0000-0000B7320000}"/>
    <cellStyle name="60% - Accent1 3 10 5" xfId="13071" xr:uid="{00000000-0005-0000-0000-0000B8320000}"/>
    <cellStyle name="60% - Accent1 3 10 6" xfId="13072" xr:uid="{00000000-0005-0000-0000-0000B9320000}"/>
    <cellStyle name="60% - Accent1 3 10 7" xfId="13073" xr:uid="{00000000-0005-0000-0000-0000BA320000}"/>
    <cellStyle name="60% - Accent1 3 10 8" xfId="13074" xr:uid="{00000000-0005-0000-0000-0000BB320000}"/>
    <cellStyle name="60% - Accent1 3 10 9" xfId="13075" xr:uid="{00000000-0005-0000-0000-0000BC320000}"/>
    <cellStyle name="60% - Accent1 3 11" xfId="13076" xr:uid="{00000000-0005-0000-0000-0000BD320000}"/>
    <cellStyle name="60% - Accent1 3 11 10" xfId="13077" xr:uid="{00000000-0005-0000-0000-0000BE320000}"/>
    <cellStyle name="60% - Accent1 3 11 11" xfId="13078" xr:uid="{00000000-0005-0000-0000-0000BF320000}"/>
    <cellStyle name="60% - Accent1 3 11 12" xfId="13079" xr:uid="{00000000-0005-0000-0000-0000C0320000}"/>
    <cellStyle name="60% - Accent1 3 11 13" xfId="13080" xr:uid="{00000000-0005-0000-0000-0000C1320000}"/>
    <cellStyle name="60% - Accent1 3 11 14" xfId="13081" xr:uid="{00000000-0005-0000-0000-0000C2320000}"/>
    <cellStyle name="60% - Accent1 3 11 15" xfId="13082" xr:uid="{00000000-0005-0000-0000-0000C3320000}"/>
    <cellStyle name="60% - Accent1 3 11 2" xfId="13083" xr:uid="{00000000-0005-0000-0000-0000C4320000}"/>
    <cellStyle name="60% - Accent1 3 11 3" xfId="13084" xr:uid="{00000000-0005-0000-0000-0000C5320000}"/>
    <cellStyle name="60% - Accent1 3 11 4" xfId="13085" xr:uid="{00000000-0005-0000-0000-0000C6320000}"/>
    <cellStyle name="60% - Accent1 3 11 5" xfId="13086" xr:uid="{00000000-0005-0000-0000-0000C7320000}"/>
    <cellStyle name="60% - Accent1 3 11 6" xfId="13087" xr:uid="{00000000-0005-0000-0000-0000C8320000}"/>
    <cellStyle name="60% - Accent1 3 11 7" xfId="13088" xr:uid="{00000000-0005-0000-0000-0000C9320000}"/>
    <cellStyle name="60% - Accent1 3 11 8" xfId="13089" xr:uid="{00000000-0005-0000-0000-0000CA320000}"/>
    <cellStyle name="60% - Accent1 3 11 9" xfId="13090" xr:uid="{00000000-0005-0000-0000-0000CB320000}"/>
    <cellStyle name="60% - Accent1 3 12" xfId="13091" xr:uid="{00000000-0005-0000-0000-0000CC320000}"/>
    <cellStyle name="60% - Accent1 3 12 10" xfId="13092" xr:uid="{00000000-0005-0000-0000-0000CD320000}"/>
    <cellStyle name="60% - Accent1 3 12 11" xfId="13093" xr:uid="{00000000-0005-0000-0000-0000CE320000}"/>
    <cellStyle name="60% - Accent1 3 12 12" xfId="13094" xr:uid="{00000000-0005-0000-0000-0000CF320000}"/>
    <cellStyle name="60% - Accent1 3 12 13" xfId="13095" xr:uid="{00000000-0005-0000-0000-0000D0320000}"/>
    <cellStyle name="60% - Accent1 3 12 14" xfId="13096" xr:uid="{00000000-0005-0000-0000-0000D1320000}"/>
    <cellStyle name="60% - Accent1 3 12 15" xfId="13097" xr:uid="{00000000-0005-0000-0000-0000D2320000}"/>
    <cellStyle name="60% - Accent1 3 12 2" xfId="13098" xr:uid="{00000000-0005-0000-0000-0000D3320000}"/>
    <cellStyle name="60% - Accent1 3 12 3" xfId="13099" xr:uid="{00000000-0005-0000-0000-0000D4320000}"/>
    <cellStyle name="60% - Accent1 3 12 4" xfId="13100" xr:uid="{00000000-0005-0000-0000-0000D5320000}"/>
    <cellStyle name="60% - Accent1 3 12 5" xfId="13101" xr:uid="{00000000-0005-0000-0000-0000D6320000}"/>
    <cellStyle name="60% - Accent1 3 12 6" xfId="13102" xr:uid="{00000000-0005-0000-0000-0000D7320000}"/>
    <cellStyle name="60% - Accent1 3 12 7" xfId="13103" xr:uid="{00000000-0005-0000-0000-0000D8320000}"/>
    <cellStyle name="60% - Accent1 3 12 8" xfId="13104" xr:uid="{00000000-0005-0000-0000-0000D9320000}"/>
    <cellStyle name="60% - Accent1 3 12 9" xfId="13105" xr:uid="{00000000-0005-0000-0000-0000DA320000}"/>
    <cellStyle name="60% - Accent1 3 13" xfId="13106" xr:uid="{00000000-0005-0000-0000-0000DB320000}"/>
    <cellStyle name="60% - Accent1 3 13 10" xfId="13107" xr:uid="{00000000-0005-0000-0000-0000DC320000}"/>
    <cellStyle name="60% - Accent1 3 13 11" xfId="13108" xr:uid="{00000000-0005-0000-0000-0000DD320000}"/>
    <cellStyle name="60% - Accent1 3 13 12" xfId="13109" xr:uid="{00000000-0005-0000-0000-0000DE320000}"/>
    <cellStyle name="60% - Accent1 3 13 13" xfId="13110" xr:uid="{00000000-0005-0000-0000-0000DF320000}"/>
    <cellStyle name="60% - Accent1 3 13 14" xfId="13111" xr:uid="{00000000-0005-0000-0000-0000E0320000}"/>
    <cellStyle name="60% - Accent1 3 13 15" xfId="13112" xr:uid="{00000000-0005-0000-0000-0000E1320000}"/>
    <cellStyle name="60% - Accent1 3 13 2" xfId="13113" xr:uid="{00000000-0005-0000-0000-0000E2320000}"/>
    <cellStyle name="60% - Accent1 3 13 3" xfId="13114" xr:uid="{00000000-0005-0000-0000-0000E3320000}"/>
    <cellStyle name="60% - Accent1 3 13 4" xfId="13115" xr:uid="{00000000-0005-0000-0000-0000E4320000}"/>
    <cellStyle name="60% - Accent1 3 13 5" xfId="13116" xr:uid="{00000000-0005-0000-0000-0000E5320000}"/>
    <cellStyle name="60% - Accent1 3 13 6" xfId="13117" xr:uid="{00000000-0005-0000-0000-0000E6320000}"/>
    <cellStyle name="60% - Accent1 3 13 7" xfId="13118" xr:uid="{00000000-0005-0000-0000-0000E7320000}"/>
    <cellStyle name="60% - Accent1 3 13 8" xfId="13119" xr:uid="{00000000-0005-0000-0000-0000E8320000}"/>
    <cellStyle name="60% - Accent1 3 13 9" xfId="13120" xr:uid="{00000000-0005-0000-0000-0000E9320000}"/>
    <cellStyle name="60% - Accent1 3 14" xfId="13121" xr:uid="{00000000-0005-0000-0000-0000EA320000}"/>
    <cellStyle name="60% - Accent1 3 14 10" xfId="13122" xr:uid="{00000000-0005-0000-0000-0000EB320000}"/>
    <cellStyle name="60% - Accent1 3 14 11" xfId="13123" xr:uid="{00000000-0005-0000-0000-0000EC320000}"/>
    <cellStyle name="60% - Accent1 3 14 12" xfId="13124" xr:uid="{00000000-0005-0000-0000-0000ED320000}"/>
    <cellStyle name="60% - Accent1 3 14 13" xfId="13125" xr:uid="{00000000-0005-0000-0000-0000EE320000}"/>
    <cellStyle name="60% - Accent1 3 14 14" xfId="13126" xr:uid="{00000000-0005-0000-0000-0000EF320000}"/>
    <cellStyle name="60% - Accent1 3 14 15" xfId="13127" xr:uid="{00000000-0005-0000-0000-0000F0320000}"/>
    <cellStyle name="60% - Accent1 3 14 2" xfId="13128" xr:uid="{00000000-0005-0000-0000-0000F1320000}"/>
    <cellStyle name="60% - Accent1 3 14 3" xfId="13129" xr:uid="{00000000-0005-0000-0000-0000F2320000}"/>
    <cellStyle name="60% - Accent1 3 14 4" xfId="13130" xr:uid="{00000000-0005-0000-0000-0000F3320000}"/>
    <cellStyle name="60% - Accent1 3 14 5" xfId="13131" xr:uid="{00000000-0005-0000-0000-0000F4320000}"/>
    <cellStyle name="60% - Accent1 3 14 6" xfId="13132" xr:uid="{00000000-0005-0000-0000-0000F5320000}"/>
    <cellStyle name="60% - Accent1 3 14 7" xfId="13133" xr:uid="{00000000-0005-0000-0000-0000F6320000}"/>
    <cellStyle name="60% - Accent1 3 14 8" xfId="13134" xr:uid="{00000000-0005-0000-0000-0000F7320000}"/>
    <cellStyle name="60% - Accent1 3 14 9" xfId="13135" xr:uid="{00000000-0005-0000-0000-0000F8320000}"/>
    <cellStyle name="60% - Accent1 3 15" xfId="13136" xr:uid="{00000000-0005-0000-0000-0000F9320000}"/>
    <cellStyle name="60% - Accent1 3 15 10" xfId="13137" xr:uid="{00000000-0005-0000-0000-0000FA320000}"/>
    <cellStyle name="60% - Accent1 3 15 11" xfId="13138" xr:uid="{00000000-0005-0000-0000-0000FB320000}"/>
    <cellStyle name="60% - Accent1 3 15 12" xfId="13139" xr:uid="{00000000-0005-0000-0000-0000FC320000}"/>
    <cellStyle name="60% - Accent1 3 15 13" xfId="13140" xr:uid="{00000000-0005-0000-0000-0000FD320000}"/>
    <cellStyle name="60% - Accent1 3 15 14" xfId="13141" xr:uid="{00000000-0005-0000-0000-0000FE320000}"/>
    <cellStyle name="60% - Accent1 3 15 15" xfId="13142" xr:uid="{00000000-0005-0000-0000-0000FF320000}"/>
    <cellStyle name="60% - Accent1 3 15 2" xfId="13143" xr:uid="{00000000-0005-0000-0000-000000330000}"/>
    <cellStyle name="60% - Accent1 3 15 3" xfId="13144" xr:uid="{00000000-0005-0000-0000-000001330000}"/>
    <cellStyle name="60% - Accent1 3 15 4" xfId="13145" xr:uid="{00000000-0005-0000-0000-000002330000}"/>
    <cellStyle name="60% - Accent1 3 15 5" xfId="13146" xr:uid="{00000000-0005-0000-0000-000003330000}"/>
    <cellStyle name="60% - Accent1 3 15 6" xfId="13147" xr:uid="{00000000-0005-0000-0000-000004330000}"/>
    <cellStyle name="60% - Accent1 3 15 7" xfId="13148" xr:uid="{00000000-0005-0000-0000-000005330000}"/>
    <cellStyle name="60% - Accent1 3 15 8" xfId="13149" xr:uid="{00000000-0005-0000-0000-000006330000}"/>
    <cellStyle name="60% - Accent1 3 15 9" xfId="13150" xr:uid="{00000000-0005-0000-0000-000007330000}"/>
    <cellStyle name="60% - Accent1 3 16" xfId="13151" xr:uid="{00000000-0005-0000-0000-000008330000}"/>
    <cellStyle name="60% - Accent1 3 16 10" xfId="13152" xr:uid="{00000000-0005-0000-0000-000009330000}"/>
    <cellStyle name="60% - Accent1 3 16 11" xfId="13153" xr:uid="{00000000-0005-0000-0000-00000A330000}"/>
    <cellStyle name="60% - Accent1 3 16 12" xfId="13154" xr:uid="{00000000-0005-0000-0000-00000B330000}"/>
    <cellStyle name="60% - Accent1 3 16 13" xfId="13155" xr:uid="{00000000-0005-0000-0000-00000C330000}"/>
    <cellStyle name="60% - Accent1 3 16 14" xfId="13156" xr:uid="{00000000-0005-0000-0000-00000D330000}"/>
    <cellStyle name="60% - Accent1 3 16 15" xfId="13157" xr:uid="{00000000-0005-0000-0000-00000E330000}"/>
    <cellStyle name="60% - Accent1 3 16 2" xfId="13158" xr:uid="{00000000-0005-0000-0000-00000F330000}"/>
    <cellStyle name="60% - Accent1 3 16 3" xfId="13159" xr:uid="{00000000-0005-0000-0000-000010330000}"/>
    <cellStyle name="60% - Accent1 3 16 4" xfId="13160" xr:uid="{00000000-0005-0000-0000-000011330000}"/>
    <cellStyle name="60% - Accent1 3 16 5" xfId="13161" xr:uid="{00000000-0005-0000-0000-000012330000}"/>
    <cellStyle name="60% - Accent1 3 16 6" xfId="13162" xr:uid="{00000000-0005-0000-0000-000013330000}"/>
    <cellStyle name="60% - Accent1 3 16 7" xfId="13163" xr:uid="{00000000-0005-0000-0000-000014330000}"/>
    <cellStyle name="60% - Accent1 3 16 8" xfId="13164" xr:uid="{00000000-0005-0000-0000-000015330000}"/>
    <cellStyle name="60% - Accent1 3 16 9" xfId="13165" xr:uid="{00000000-0005-0000-0000-000016330000}"/>
    <cellStyle name="60% - Accent1 3 17" xfId="13166" xr:uid="{00000000-0005-0000-0000-000017330000}"/>
    <cellStyle name="60% - Accent1 3 17 10" xfId="13167" xr:uid="{00000000-0005-0000-0000-000018330000}"/>
    <cellStyle name="60% - Accent1 3 17 11" xfId="13168" xr:uid="{00000000-0005-0000-0000-000019330000}"/>
    <cellStyle name="60% - Accent1 3 17 12" xfId="13169" xr:uid="{00000000-0005-0000-0000-00001A330000}"/>
    <cellStyle name="60% - Accent1 3 17 13" xfId="13170" xr:uid="{00000000-0005-0000-0000-00001B330000}"/>
    <cellStyle name="60% - Accent1 3 17 14" xfId="13171" xr:uid="{00000000-0005-0000-0000-00001C330000}"/>
    <cellStyle name="60% - Accent1 3 17 15" xfId="13172" xr:uid="{00000000-0005-0000-0000-00001D330000}"/>
    <cellStyle name="60% - Accent1 3 17 2" xfId="13173" xr:uid="{00000000-0005-0000-0000-00001E330000}"/>
    <cellStyle name="60% - Accent1 3 17 3" xfId="13174" xr:uid="{00000000-0005-0000-0000-00001F330000}"/>
    <cellStyle name="60% - Accent1 3 17 4" xfId="13175" xr:uid="{00000000-0005-0000-0000-000020330000}"/>
    <cellStyle name="60% - Accent1 3 17 5" xfId="13176" xr:uid="{00000000-0005-0000-0000-000021330000}"/>
    <cellStyle name="60% - Accent1 3 17 6" xfId="13177" xr:uid="{00000000-0005-0000-0000-000022330000}"/>
    <cellStyle name="60% - Accent1 3 17 7" xfId="13178" xr:uid="{00000000-0005-0000-0000-000023330000}"/>
    <cellStyle name="60% - Accent1 3 17 8" xfId="13179" xr:uid="{00000000-0005-0000-0000-000024330000}"/>
    <cellStyle name="60% - Accent1 3 17 9" xfId="13180" xr:uid="{00000000-0005-0000-0000-000025330000}"/>
    <cellStyle name="60% - Accent1 3 18" xfId="13181" xr:uid="{00000000-0005-0000-0000-000026330000}"/>
    <cellStyle name="60% - Accent1 3 18 10" xfId="13182" xr:uid="{00000000-0005-0000-0000-000027330000}"/>
    <cellStyle name="60% - Accent1 3 18 11" xfId="13183" xr:uid="{00000000-0005-0000-0000-000028330000}"/>
    <cellStyle name="60% - Accent1 3 18 12" xfId="13184" xr:uid="{00000000-0005-0000-0000-000029330000}"/>
    <cellStyle name="60% - Accent1 3 18 13" xfId="13185" xr:uid="{00000000-0005-0000-0000-00002A330000}"/>
    <cellStyle name="60% - Accent1 3 18 14" xfId="13186" xr:uid="{00000000-0005-0000-0000-00002B330000}"/>
    <cellStyle name="60% - Accent1 3 18 15" xfId="13187" xr:uid="{00000000-0005-0000-0000-00002C330000}"/>
    <cellStyle name="60% - Accent1 3 18 2" xfId="13188" xr:uid="{00000000-0005-0000-0000-00002D330000}"/>
    <cellStyle name="60% - Accent1 3 18 3" xfId="13189" xr:uid="{00000000-0005-0000-0000-00002E330000}"/>
    <cellStyle name="60% - Accent1 3 18 4" xfId="13190" xr:uid="{00000000-0005-0000-0000-00002F330000}"/>
    <cellStyle name="60% - Accent1 3 18 5" xfId="13191" xr:uid="{00000000-0005-0000-0000-000030330000}"/>
    <cellStyle name="60% - Accent1 3 18 6" xfId="13192" xr:uid="{00000000-0005-0000-0000-000031330000}"/>
    <cellStyle name="60% - Accent1 3 18 7" xfId="13193" xr:uid="{00000000-0005-0000-0000-000032330000}"/>
    <cellStyle name="60% - Accent1 3 18 8" xfId="13194" xr:uid="{00000000-0005-0000-0000-000033330000}"/>
    <cellStyle name="60% - Accent1 3 18 9" xfId="13195" xr:uid="{00000000-0005-0000-0000-000034330000}"/>
    <cellStyle name="60% - Accent1 3 19" xfId="13196" xr:uid="{00000000-0005-0000-0000-000035330000}"/>
    <cellStyle name="60% - Accent1 3 19 10" xfId="13197" xr:uid="{00000000-0005-0000-0000-000036330000}"/>
    <cellStyle name="60% - Accent1 3 19 11" xfId="13198" xr:uid="{00000000-0005-0000-0000-000037330000}"/>
    <cellStyle name="60% - Accent1 3 19 12" xfId="13199" xr:uid="{00000000-0005-0000-0000-000038330000}"/>
    <cellStyle name="60% - Accent1 3 19 13" xfId="13200" xr:uid="{00000000-0005-0000-0000-000039330000}"/>
    <cellStyle name="60% - Accent1 3 19 14" xfId="13201" xr:uid="{00000000-0005-0000-0000-00003A330000}"/>
    <cellStyle name="60% - Accent1 3 19 15" xfId="13202" xr:uid="{00000000-0005-0000-0000-00003B330000}"/>
    <cellStyle name="60% - Accent1 3 19 2" xfId="13203" xr:uid="{00000000-0005-0000-0000-00003C330000}"/>
    <cellStyle name="60% - Accent1 3 19 3" xfId="13204" xr:uid="{00000000-0005-0000-0000-00003D330000}"/>
    <cellStyle name="60% - Accent1 3 19 4" xfId="13205" xr:uid="{00000000-0005-0000-0000-00003E330000}"/>
    <cellStyle name="60% - Accent1 3 19 5" xfId="13206" xr:uid="{00000000-0005-0000-0000-00003F330000}"/>
    <cellStyle name="60% - Accent1 3 19 6" xfId="13207" xr:uid="{00000000-0005-0000-0000-000040330000}"/>
    <cellStyle name="60% - Accent1 3 19 7" xfId="13208" xr:uid="{00000000-0005-0000-0000-000041330000}"/>
    <cellStyle name="60% - Accent1 3 19 8" xfId="13209" xr:uid="{00000000-0005-0000-0000-000042330000}"/>
    <cellStyle name="60% - Accent1 3 19 9" xfId="13210" xr:uid="{00000000-0005-0000-0000-000043330000}"/>
    <cellStyle name="60% - Accent1 3 2" xfId="13211" xr:uid="{00000000-0005-0000-0000-000044330000}"/>
    <cellStyle name="60% - Accent1 3 2 10" xfId="13212" xr:uid="{00000000-0005-0000-0000-000045330000}"/>
    <cellStyle name="60% - Accent1 3 2 11" xfId="13213" xr:uid="{00000000-0005-0000-0000-000046330000}"/>
    <cellStyle name="60% - Accent1 3 2 12" xfId="13214" xr:uid="{00000000-0005-0000-0000-000047330000}"/>
    <cellStyle name="60% - Accent1 3 2 13" xfId="13215" xr:uid="{00000000-0005-0000-0000-000048330000}"/>
    <cellStyle name="60% - Accent1 3 2 14" xfId="13216" xr:uid="{00000000-0005-0000-0000-000049330000}"/>
    <cellStyle name="60% - Accent1 3 2 15" xfId="13217" xr:uid="{00000000-0005-0000-0000-00004A330000}"/>
    <cellStyle name="60% - Accent1 3 2 16" xfId="13218" xr:uid="{00000000-0005-0000-0000-00004B330000}"/>
    <cellStyle name="60% - Accent1 3 2 17" xfId="13219" xr:uid="{00000000-0005-0000-0000-00004C330000}"/>
    <cellStyle name="60% - Accent1 3 2 18" xfId="13220" xr:uid="{00000000-0005-0000-0000-00004D330000}"/>
    <cellStyle name="60% - Accent1 3 2 19" xfId="13221" xr:uid="{00000000-0005-0000-0000-00004E330000}"/>
    <cellStyle name="60% - Accent1 3 2 2" xfId="13222" xr:uid="{00000000-0005-0000-0000-00004F330000}"/>
    <cellStyle name="60% - Accent1 3 2 20" xfId="13223" xr:uid="{00000000-0005-0000-0000-000050330000}"/>
    <cellStyle name="60% - Accent1 3 2 21" xfId="13224" xr:uid="{00000000-0005-0000-0000-000051330000}"/>
    <cellStyle name="60% - Accent1 3 2 22" xfId="13225" xr:uid="{00000000-0005-0000-0000-000052330000}"/>
    <cellStyle name="60% - Accent1 3 2 23" xfId="13226" xr:uid="{00000000-0005-0000-0000-000053330000}"/>
    <cellStyle name="60% - Accent1 3 2 24" xfId="13227" xr:uid="{00000000-0005-0000-0000-000054330000}"/>
    <cellStyle name="60% - Accent1 3 2 25" xfId="13228" xr:uid="{00000000-0005-0000-0000-000055330000}"/>
    <cellStyle name="60% - Accent1 3 2 26" xfId="13229" xr:uid="{00000000-0005-0000-0000-000056330000}"/>
    <cellStyle name="60% - Accent1 3 2 27" xfId="13230" xr:uid="{00000000-0005-0000-0000-000057330000}"/>
    <cellStyle name="60% - Accent1 3 2 28" xfId="13231" xr:uid="{00000000-0005-0000-0000-000058330000}"/>
    <cellStyle name="60% - Accent1 3 2 29" xfId="13232" xr:uid="{00000000-0005-0000-0000-000059330000}"/>
    <cellStyle name="60% - Accent1 3 2 3" xfId="13233" xr:uid="{00000000-0005-0000-0000-00005A330000}"/>
    <cellStyle name="60% - Accent1 3 2 30" xfId="13234" xr:uid="{00000000-0005-0000-0000-00005B330000}"/>
    <cellStyle name="60% - Accent1 3 2 31" xfId="13235" xr:uid="{00000000-0005-0000-0000-00005C330000}"/>
    <cellStyle name="60% - Accent1 3 2 32" xfId="13236" xr:uid="{00000000-0005-0000-0000-00005D330000}"/>
    <cellStyle name="60% - Accent1 3 2 33" xfId="13237" xr:uid="{00000000-0005-0000-0000-00005E330000}"/>
    <cellStyle name="60% - Accent1 3 2 34" xfId="13238" xr:uid="{00000000-0005-0000-0000-00005F330000}"/>
    <cellStyle name="60% - Accent1 3 2 35" xfId="13239" xr:uid="{00000000-0005-0000-0000-000060330000}"/>
    <cellStyle name="60% - Accent1 3 2 36" xfId="13240" xr:uid="{00000000-0005-0000-0000-000061330000}"/>
    <cellStyle name="60% - Accent1 3 2 37" xfId="13241" xr:uid="{00000000-0005-0000-0000-000062330000}"/>
    <cellStyle name="60% - Accent1 3 2 38" xfId="13242" xr:uid="{00000000-0005-0000-0000-000063330000}"/>
    <cellStyle name="60% - Accent1 3 2 39" xfId="13243" xr:uid="{00000000-0005-0000-0000-000064330000}"/>
    <cellStyle name="60% - Accent1 3 2 4" xfId="13244" xr:uid="{00000000-0005-0000-0000-000065330000}"/>
    <cellStyle name="60% - Accent1 3 2 40" xfId="13245" xr:uid="{00000000-0005-0000-0000-000066330000}"/>
    <cellStyle name="60% - Accent1 3 2 41" xfId="13246" xr:uid="{00000000-0005-0000-0000-000067330000}"/>
    <cellStyle name="60% - Accent1 3 2 42" xfId="13247" xr:uid="{00000000-0005-0000-0000-000068330000}"/>
    <cellStyle name="60% - Accent1 3 2 43" xfId="13248" xr:uid="{00000000-0005-0000-0000-000069330000}"/>
    <cellStyle name="60% - Accent1 3 2 44" xfId="13249" xr:uid="{00000000-0005-0000-0000-00006A330000}"/>
    <cellStyle name="60% - Accent1 3 2 45" xfId="13250" xr:uid="{00000000-0005-0000-0000-00006B330000}"/>
    <cellStyle name="60% - Accent1 3 2 46" xfId="13251" xr:uid="{00000000-0005-0000-0000-00006C330000}"/>
    <cellStyle name="60% - Accent1 3 2 47" xfId="13252" xr:uid="{00000000-0005-0000-0000-00006D330000}"/>
    <cellStyle name="60% - Accent1 3 2 48" xfId="13253" xr:uid="{00000000-0005-0000-0000-00006E330000}"/>
    <cellStyle name="60% - Accent1 3 2 49" xfId="13254" xr:uid="{00000000-0005-0000-0000-00006F330000}"/>
    <cellStyle name="60% - Accent1 3 2 5" xfId="13255" xr:uid="{00000000-0005-0000-0000-000070330000}"/>
    <cellStyle name="60% - Accent1 3 2 50" xfId="13256" xr:uid="{00000000-0005-0000-0000-000071330000}"/>
    <cellStyle name="60% - Accent1 3 2 51" xfId="13257" xr:uid="{00000000-0005-0000-0000-000072330000}"/>
    <cellStyle name="60% - Accent1 3 2 52" xfId="13258" xr:uid="{00000000-0005-0000-0000-000073330000}"/>
    <cellStyle name="60% - Accent1 3 2 53" xfId="13259" xr:uid="{00000000-0005-0000-0000-000074330000}"/>
    <cellStyle name="60% - Accent1 3 2 6" xfId="13260" xr:uid="{00000000-0005-0000-0000-000075330000}"/>
    <cellStyle name="60% - Accent1 3 2 7" xfId="13261" xr:uid="{00000000-0005-0000-0000-000076330000}"/>
    <cellStyle name="60% - Accent1 3 2 8" xfId="13262" xr:uid="{00000000-0005-0000-0000-000077330000}"/>
    <cellStyle name="60% - Accent1 3 2 9" xfId="13263" xr:uid="{00000000-0005-0000-0000-000078330000}"/>
    <cellStyle name="60% - Accent1 3 20" xfId="13264" xr:uid="{00000000-0005-0000-0000-000079330000}"/>
    <cellStyle name="60% - Accent1 3 20 10" xfId="13265" xr:uid="{00000000-0005-0000-0000-00007A330000}"/>
    <cellStyle name="60% - Accent1 3 20 11" xfId="13266" xr:uid="{00000000-0005-0000-0000-00007B330000}"/>
    <cellStyle name="60% - Accent1 3 20 12" xfId="13267" xr:uid="{00000000-0005-0000-0000-00007C330000}"/>
    <cellStyle name="60% - Accent1 3 20 13" xfId="13268" xr:uid="{00000000-0005-0000-0000-00007D330000}"/>
    <cellStyle name="60% - Accent1 3 20 14" xfId="13269" xr:uid="{00000000-0005-0000-0000-00007E330000}"/>
    <cellStyle name="60% - Accent1 3 20 15" xfId="13270" xr:uid="{00000000-0005-0000-0000-00007F330000}"/>
    <cellStyle name="60% - Accent1 3 20 2" xfId="13271" xr:uid="{00000000-0005-0000-0000-000080330000}"/>
    <cellStyle name="60% - Accent1 3 20 3" xfId="13272" xr:uid="{00000000-0005-0000-0000-000081330000}"/>
    <cellStyle name="60% - Accent1 3 20 4" xfId="13273" xr:uid="{00000000-0005-0000-0000-000082330000}"/>
    <cellStyle name="60% - Accent1 3 20 5" xfId="13274" xr:uid="{00000000-0005-0000-0000-000083330000}"/>
    <cellStyle name="60% - Accent1 3 20 6" xfId="13275" xr:uid="{00000000-0005-0000-0000-000084330000}"/>
    <cellStyle name="60% - Accent1 3 20 7" xfId="13276" xr:uid="{00000000-0005-0000-0000-000085330000}"/>
    <cellStyle name="60% - Accent1 3 20 8" xfId="13277" xr:uid="{00000000-0005-0000-0000-000086330000}"/>
    <cellStyle name="60% - Accent1 3 20 9" xfId="13278" xr:uid="{00000000-0005-0000-0000-000087330000}"/>
    <cellStyle name="60% - Accent1 3 21" xfId="13279" xr:uid="{00000000-0005-0000-0000-000088330000}"/>
    <cellStyle name="60% - Accent1 3 21 10" xfId="13280" xr:uid="{00000000-0005-0000-0000-000089330000}"/>
    <cellStyle name="60% - Accent1 3 21 11" xfId="13281" xr:uid="{00000000-0005-0000-0000-00008A330000}"/>
    <cellStyle name="60% - Accent1 3 21 12" xfId="13282" xr:uid="{00000000-0005-0000-0000-00008B330000}"/>
    <cellStyle name="60% - Accent1 3 21 13" xfId="13283" xr:uid="{00000000-0005-0000-0000-00008C330000}"/>
    <cellStyle name="60% - Accent1 3 21 14" xfId="13284" xr:uid="{00000000-0005-0000-0000-00008D330000}"/>
    <cellStyle name="60% - Accent1 3 21 15" xfId="13285" xr:uid="{00000000-0005-0000-0000-00008E330000}"/>
    <cellStyle name="60% - Accent1 3 21 2" xfId="13286" xr:uid="{00000000-0005-0000-0000-00008F330000}"/>
    <cellStyle name="60% - Accent1 3 21 3" xfId="13287" xr:uid="{00000000-0005-0000-0000-000090330000}"/>
    <cellStyle name="60% - Accent1 3 21 4" xfId="13288" xr:uid="{00000000-0005-0000-0000-000091330000}"/>
    <cellStyle name="60% - Accent1 3 21 5" xfId="13289" xr:uid="{00000000-0005-0000-0000-000092330000}"/>
    <cellStyle name="60% - Accent1 3 21 6" xfId="13290" xr:uid="{00000000-0005-0000-0000-000093330000}"/>
    <cellStyle name="60% - Accent1 3 21 7" xfId="13291" xr:uid="{00000000-0005-0000-0000-000094330000}"/>
    <cellStyle name="60% - Accent1 3 21 8" xfId="13292" xr:uid="{00000000-0005-0000-0000-000095330000}"/>
    <cellStyle name="60% - Accent1 3 21 9" xfId="13293" xr:uid="{00000000-0005-0000-0000-000096330000}"/>
    <cellStyle name="60% - Accent1 3 22" xfId="13294" xr:uid="{00000000-0005-0000-0000-000097330000}"/>
    <cellStyle name="60% - Accent1 3 22 10" xfId="13295" xr:uid="{00000000-0005-0000-0000-000098330000}"/>
    <cellStyle name="60% - Accent1 3 22 11" xfId="13296" xr:uid="{00000000-0005-0000-0000-000099330000}"/>
    <cellStyle name="60% - Accent1 3 22 12" xfId="13297" xr:uid="{00000000-0005-0000-0000-00009A330000}"/>
    <cellStyle name="60% - Accent1 3 22 13" xfId="13298" xr:uid="{00000000-0005-0000-0000-00009B330000}"/>
    <cellStyle name="60% - Accent1 3 22 14" xfId="13299" xr:uid="{00000000-0005-0000-0000-00009C330000}"/>
    <cellStyle name="60% - Accent1 3 22 15" xfId="13300" xr:uid="{00000000-0005-0000-0000-00009D330000}"/>
    <cellStyle name="60% - Accent1 3 22 2" xfId="13301" xr:uid="{00000000-0005-0000-0000-00009E330000}"/>
    <cellStyle name="60% - Accent1 3 22 3" xfId="13302" xr:uid="{00000000-0005-0000-0000-00009F330000}"/>
    <cellStyle name="60% - Accent1 3 22 4" xfId="13303" xr:uid="{00000000-0005-0000-0000-0000A0330000}"/>
    <cellStyle name="60% - Accent1 3 22 5" xfId="13304" xr:uid="{00000000-0005-0000-0000-0000A1330000}"/>
    <cellStyle name="60% - Accent1 3 22 6" xfId="13305" xr:uid="{00000000-0005-0000-0000-0000A2330000}"/>
    <cellStyle name="60% - Accent1 3 22 7" xfId="13306" xr:uid="{00000000-0005-0000-0000-0000A3330000}"/>
    <cellStyle name="60% - Accent1 3 22 8" xfId="13307" xr:uid="{00000000-0005-0000-0000-0000A4330000}"/>
    <cellStyle name="60% - Accent1 3 22 9" xfId="13308" xr:uid="{00000000-0005-0000-0000-0000A5330000}"/>
    <cellStyle name="60% - Accent1 3 23" xfId="13309" xr:uid="{00000000-0005-0000-0000-0000A6330000}"/>
    <cellStyle name="60% - Accent1 3 23 10" xfId="13310" xr:uid="{00000000-0005-0000-0000-0000A7330000}"/>
    <cellStyle name="60% - Accent1 3 23 11" xfId="13311" xr:uid="{00000000-0005-0000-0000-0000A8330000}"/>
    <cellStyle name="60% - Accent1 3 23 12" xfId="13312" xr:uid="{00000000-0005-0000-0000-0000A9330000}"/>
    <cellStyle name="60% - Accent1 3 23 13" xfId="13313" xr:uid="{00000000-0005-0000-0000-0000AA330000}"/>
    <cellStyle name="60% - Accent1 3 23 14" xfId="13314" xr:uid="{00000000-0005-0000-0000-0000AB330000}"/>
    <cellStyle name="60% - Accent1 3 23 15" xfId="13315" xr:uid="{00000000-0005-0000-0000-0000AC330000}"/>
    <cellStyle name="60% - Accent1 3 23 2" xfId="13316" xr:uid="{00000000-0005-0000-0000-0000AD330000}"/>
    <cellStyle name="60% - Accent1 3 23 3" xfId="13317" xr:uid="{00000000-0005-0000-0000-0000AE330000}"/>
    <cellStyle name="60% - Accent1 3 23 4" xfId="13318" xr:uid="{00000000-0005-0000-0000-0000AF330000}"/>
    <cellStyle name="60% - Accent1 3 23 5" xfId="13319" xr:uid="{00000000-0005-0000-0000-0000B0330000}"/>
    <cellStyle name="60% - Accent1 3 23 6" xfId="13320" xr:uid="{00000000-0005-0000-0000-0000B1330000}"/>
    <cellStyle name="60% - Accent1 3 23 7" xfId="13321" xr:uid="{00000000-0005-0000-0000-0000B2330000}"/>
    <cellStyle name="60% - Accent1 3 23 8" xfId="13322" xr:uid="{00000000-0005-0000-0000-0000B3330000}"/>
    <cellStyle name="60% - Accent1 3 23 9" xfId="13323" xr:uid="{00000000-0005-0000-0000-0000B4330000}"/>
    <cellStyle name="60% - Accent1 3 24" xfId="13324" xr:uid="{00000000-0005-0000-0000-0000B5330000}"/>
    <cellStyle name="60% - Accent1 3 24 10" xfId="13325" xr:uid="{00000000-0005-0000-0000-0000B6330000}"/>
    <cellStyle name="60% - Accent1 3 24 11" xfId="13326" xr:uid="{00000000-0005-0000-0000-0000B7330000}"/>
    <cellStyle name="60% - Accent1 3 24 12" xfId="13327" xr:uid="{00000000-0005-0000-0000-0000B8330000}"/>
    <cellStyle name="60% - Accent1 3 24 13" xfId="13328" xr:uid="{00000000-0005-0000-0000-0000B9330000}"/>
    <cellStyle name="60% - Accent1 3 24 14" xfId="13329" xr:uid="{00000000-0005-0000-0000-0000BA330000}"/>
    <cellStyle name="60% - Accent1 3 24 15" xfId="13330" xr:uid="{00000000-0005-0000-0000-0000BB330000}"/>
    <cellStyle name="60% - Accent1 3 24 2" xfId="13331" xr:uid="{00000000-0005-0000-0000-0000BC330000}"/>
    <cellStyle name="60% - Accent1 3 24 3" xfId="13332" xr:uid="{00000000-0005-0000-0000-0000BD330000}"/>
    <cellStyle name="60% - Accent1 3 24 4" xfId="13333" xr:uid="{00000000-0005-0000-0000-0000BE330000}"/>
    <cellStyle name="60% - Accent1 3 24 5" xfId="13334" xr:uid="{00000000-0005-0000-0000-0000BF330000}"/>
    <cellStyle name="60% - Accent1 3 24 6" xfId="13335" xr:uid="{00000000-0005-0000-0000-0000C0330000}"/>
    <cellStyle name="60% - Accent1 3 24 7" xfId="13336" xr:uid="{00000000-0005-0000-0000-0000C1330000}"/>
    <cellStyle name="60% - Accent1 3 24 8" xfId="13337" xr:uid="{00000000-0005-0000-0000-0000C2330000}"/>
    <cellStyle name="60% - Accent1 3 24 9" xfId="13338" xr:uid="{00000000-0005-0000-0000-0000C3330000}"/>
    <cellStyle name="60% - Accent1 3 25" xfId="13339" xr:uid="{00000000-0005-0000-0000-0000C4330000}"/>
    <cellStyle name="60% - Accent1 3 25 10" xfId="13340" xr:uid="{00000000-0005-0000-0000-0000C5330000}"/>
    <cellStyle name="60% - Accent1 3 25 11" xfId="13341" xr:uid="{00000000-0005-0000-0000-0000C6330000}"/>
    <cellStyle name="60% - Accent1 3 25 12" xfId="13342" xr:uid="{00000000-0005-0000-0000-0000C7330000}"/>
    <cellStyle name="60% - Accent1 3 25 13" xfId="13343" xr:uid="{00000000-0005-0000-0000-0000C8330000}"/>
    <cellStyle name="60% - Accent1 3 25 14" xfId="13344" xr:uid="{00000000-0005-0000-0000-0000C9330000}"/>
    <cellStyle name="60% - Accent1 3 25 15" xfId="13345" xr:uid="{00000000-0005-0000-0000-0000CA330000}"/>
    <cellStyle name="60% - Accent1 3 25 2" xfId="13346" xr:uid="{00000000-0005-0000-0000-0000CB330000}"/>
    <cellStyle name="60% - Accent1 3 25 3" xfId="13347" xr:uid="{00000000-0005-0000-0000-0000CC330000}"/>
    <cellStyle name="60% - Accent1 3 25 4" xfId="13348" xr:uid="{00000000-0005-0000-0000-0000CD330000}"/>
    <cellStyle name="60% - Accent1 3 25 5" xfId="13349" xr:uid="{00000000-0005-0000-0000-0000CE330000}"/>
    <cellStyle name="60% - Accent1 3 25 6" xfId="13350" xr:uid="{00000000-0005-0000-0000-0000CF330000}"/>
    <cellStyle name="60% - Accent1 3 25 7" xfId="13351" xr:uid="{00000000-0005-0000-0000-0000D0330000}"/>
    <cellStyle name="60% - Accent1 3 25 8" xfId="13352" xr:uid="{00000000-0005-0000-0000-0000D1330000}"/>
    <cellStyle name="60% - Accent1 3 25 9" xfId="13353" xr:uid="{00000000-0005-0000-0000-0000D2330000}"/>
    <cellStyle name="60% - Accent1 3 26" xfId="13354" xr:uid="{00000000-0005-0000-0000-0000D3330000}"/>
    <cellStyle name="60% - Accent1 3 26 10" xfId="13355" xr:uid="{00000000-0005-0000-0000-0000D4330000}"/>
    <cellStyle name="60% - Accent1 3 26 11" xfId="13356" xr:uid="{00000000-0005-0000-0000-0000D5330000}"/>
    <cellStyle name="60% - Accent1 3 26 12" xfId="13357" xr:uid="{00000000-0005-0000-0000-0000D6330000}"/>
    <cellStyle name="60% - Accent1 3 26 13" xfId="13358" xr:uid="{00000000-0005-0000-0000-0000D7330000}"/>
    <cellStyle name="60% - Accent1 3 26 14" xfId="13359" xr:uid="{00000000-0005-0000-0000-0000D8330000}"/>
    <cellStyle name="60% - Accent1 3 26 15" xfId="13360" xr:uid="{00000000-0005-0000-0000-0000D9330000}"/>
    <cellStyle name="60% - Accent1 3 26 2" xfId="13361" xr:uid="{00000000-0005-0000-0000-0000DA330000}"/>
    <cellStyle name="60% - Accent1 3 26 3" xfId="13362" xr:uid="{00000000-0005-0000-0000-0000DB330000}"/>
    <cellStyle name="60% - Accent1 3 26 4" xfId="13363" xr:uid="{00000000-0005-0000-0000-0000DC330000}"/>
    <cellStyle name="60% - Accent1 3 26 5" xfId="13364" xr:uid="{00000000-0005-0000-0000-0000DD330000}"/>
    <cellStyle name="60% - Accent1 3 26 6" xfId="13365" xr:uid="{00000000-0005-0000-0000-0000DE330000}"/>
    <cellStyle name="60% - Accent1 3 26 7" xfId="13366" xr:uid="{00000000-0005-0000-0000-0000DF330000}"/>
    <cellStyle name="60% - Accent1 3 26 8" xfId="13367" xr:uid="{00000000-0005-0000-0000-0000E0330000}"/>
    <cellStyle name="60% - Accent1 3 26 9" xfId="13368" xr:uid="{00000000-0005-0000-0000-0000E1330000}"/>
    <cellStyle name="60% - Accent1 3 27" xfId="13369" xr:uid="{00000000-0005-0000-0000-0000E2330000}"/>
    <cellStyle name="60% - Accent1 3 27 10" xfId="13370" xr:uid="{00000000-0005-0000-0000-0000E3330000}"/>
    <cellStyle name="60% - Accent1 3 27 11" xfId="13371" xr:uid="{00000000-0005-0000-0000-0000E4330000}"/>
    <cellStyle name="60% - Accent1 3 27 12" xfId="13372" xr:uid="{00000000-0005-0000-0000-0000E5330000}"/>
    <cellStyle name="60% - Accent1 3 27 13" xfId="13373" xr:uid="{00000000-0005-0000-0000-0000E6330000}"/>
    <cellStyle name="60% - Accent1 3 27 14" xfId="13374" xr:uid="{00000000-0005-0000-0000-0000E7330000}"/>
    <cellStyle name="60% - Accent1 3 27 15" xfId="13375" xr:uid="{00000000-0005-0000-0000-0000E8330000}"/>
    <cellStyle name="60% - Accent1 3 27 2" xfId="13376" xr:uid="{00000000-0005-0000-0000-0000E9330000}"/>
    <cellStyle name="60% - Accent1 3 27 3" xfId="13377" xr:uid="{00000000-0005-0000-0000-0000EA330000}"/>
    <cellStyle name="60% - Accent1 3 27 4" xfId="13378" xr:uid="{00000000-0005-0000-0000-0000EB330000}"/>
    <cellStyle name="60% - Accent1 3 27 5" xfId="13379" xr:uid="{00000000-0005-0000-0000-0000EC330000}"/>
    <cellStyle name="60% - Accent1 3 27 6" xfId="13380" xr:uid="{00000000-0005-0000-0000-0000ED330000}"/>
    <cellStyle name="60% - Accent1 3 27 7" xfId="13381" xr:uid="{00000000-0005-0000-0000-0000EE330000}"/>
    <cellStyle name="60% - Accent1 3 27 8" xfId="13382" xr:uid="{00000000-0005-0000-0000-0000EF330000}"/>
    <cellStyle name="60% - Accent1 3 27 9" xfId="13383" xr:uid="{00000000-0005-0000-0000-0000F0330000}"/>
    <cellStyle name="60% - Accent1 3 28" xfId="13384" xr:uid="{00000000-0005-0000-0000-0000F1330000}"/>
    <cellStyle name="60% - Accent1 3 28 10" xfId="13385" xr:uid="{00000000-0005-0000-0000-0000F2330000}"/>
    <cellStyle name="60% - Accent1 3 28 11" xfId="13386" xr:uid="{00000000-0005-0000-0000-0000F3330000}"/>
    <cellStyle name="60% - Accent1 3 28 12" xfId="13387" xr:uid="{00000000-0005-0000-0000-0000F4330000}"/>
    <cellStyle name="60% - Accent1 3 28 13" xfId="13388" xr:uid="{00000000-0005-0000-0000-0000F5330000}"/>
    <cellStyle name="60% - Accent1 3 28 14" xfId="13389" xr:uid="{00000000-0005-0000-0000-0000F6330000}"/>
    <cellStyle name="60% - Accent1 3 28 15" xfId="13390" xr:uid="{00000000-0005-0000-0000-0000F7330000}"/>
    <cellStyle name="60% - Accent1 3 28 2" xfId="13391" xr:uid="{00000000-0005-0000-0000-0000F8330000}"/>
    <cellStyle name="60% - Accent1 3 28 3" xfId="13392" xr:uid="{00000000-0005-0000-0000-0000F9330000}"/>
    <cellStyle name="60% - Accent1 3 28 4" xfId="13393" xr:uid="{00000000-0005-0000-0000-0000FA330000}"/>
    <cellStyle name="60% - Accent1 3 28 5" xfId="13394" xr:uid="{00000000-0005-0000-0000-0000FB330000}"/>
    <cellStyle name="60% - Accent1 3 28 6" xfId="13395" xr:uid="{00000000-0005-0000-0000-0000FC330000}"/>
    <cellStyle name="60% - Accent1 3 28 7" xfId="13396" xr:uid="{00000000-0005-0000-0000-0000FD330000}"/>
    <cellStyle name="60% - Accent1 3 28 8" xfId="13397" xr:uid="{00000000-0005-0000-0000-0000FE330000}"/>
    <cellStyle name="60% - Accent1 3 28 9" xfId="13398" xr:uid="{00000000-0005-0000-0000-0000FF330000}"/>
    <cellStyle name="60% - Accent1 3 29" xfId="13399" xr:uid="{00000000-0005-0000-0000-000000340000}"/>
    <cellStyle name="60% - Accent1 3 29 10" xfId="13400" xr:uid="{00000000-0005-0000-0000-000001340000}"/>
    <cellStyle name="60% - Accent1 3 29 11" xfId="13401" xr:uid="{00000000-0005-0000-0000-000002340000}"/>
    <cellStyle name="60% - Accent1 3 29 12" xfId="13402" xr:uid="{00000000-0005-0000-0000-000003340000}"/>
    <cellStyle name="60% - Accent1 3 29 13" xfId="13403" xr:uid="{00000000-0005-0000-0000-000004340000}"/>
    <cellStyle name="60% - Accent1 3 29 14" xfId="13404" xr:uid="{00000000-0005-0000-0000-000005340000}"/>
    <cellStyle name="60% - Accent1 3 29 15" xfId="13405" xr:uid="{00000000-0005-0000-0000-000006340000}"/>
    <cellStyle name="60% - Accent1 3 29 2" xfId="13406" xr:uid="{00000000-0005-0000-0000-000007340000}"/>
    <cellStyle name="60% - Accent1 3 29 3" xfId="13407" xr:uid="{00000000-0005-0000-0000-000008340000}"/>
    <cellStyle name="60% - Accent1 3 29 4" xfId="13408" xr:uid="{00000000-0005-0000-0000-000009340000}"/>
    <cellStyle name="60% - Accent1 3 29 5" xfId="13409" xr:uid="{00000000-0005-0000-0000-00000A340000}"/>
    <cellStyle name="60% - Accent1 3 29 6" xfId="13410" xr:uid="{00000000-0005-0000-0000-00000B340000}"/>
    <cellStyle name="60% - Accent1 3 29 7" xfId="13411" xr:uid="{00000000-0005-0000-0000-00000C340000}"/>
    <cellStyle name="60% - Accent1 3 29 8" xfId="13412" xr:uid="{00000000-0005-0000-0000-00000D340000}"/>
    <cellStyle name="60% - Accent1 3 29 9" xfId="13413" xr:uid="{00000000-0005-0000-0000-00000E340000}"/>
    <cellStyle name="60% - Accent1 3 3" xfId="13414" xr:uid="{00000000-0005-0000-0000-00000F340000}"/>
    <cellStyle name="60% - Accent1 3 3 10" xfId="13415" xr:uid="{00000000-0005-0000-0000-000010340000}"/>
    <cellStyle name="60% - Accent1 3 3 11" xfId="13416" xr:uid="{00000000-0005-0000-0000-000011340000}"/>
    <cellStyle name="60% - Accent1 3 3 12" xfId="13417" xr:uid="{00000000-0005-0000-0000-000012340000}"/>
    <cellStyle name="60% - Accent1 3 3 13" xfId="13418" xr:uid="{00000000-0005-0000-0000-000013340000}"/>
    <cellStyle name="60% - Accent1 3 3 14" xfId="13419" xr:uid="{00000000-0005-0000-0000-000014340000}"/>
    <cellStyle name="60% - Accent1 3 3 15" xfId="13420" xr:uid="{00000000-0005-0000-0000-000015340000}"/>
    <cellStyle name="60% - Accent1 3 3 16" xfId="13421" xr:uid="{00000000-0005-0000-0000-000016340000}"/>
    <cellStyle name="60% - Accent1 3 3 2" xfId="13422" xr:uid="{00000000-0005-0000-0000-000017340000}"/>
    <cellStyle name="60% - Accent1 3 3 3" xfId="13423" xr:uid="{00000000-0005-0000-0000-000018340000}"/>
    <cellStyle name="60% - Accent1 3 3 4" xfId="13424" xr:uid="{00000000-0005-0000-0000-000019340000}"/>
    <cellStyle name="60% - Accent1 3 3 5" xfId="13425" xr:uid="{00000000-0005-0000-0000-00001A340000}"/>
    <cellStyle name="60% - Accent1 3 3 6" xfId="13426" xr:uid="{00000000-0005-0000-0000-00001B340000}"/>
    <cellStyle name="60% - Accent1 3 3 7" xfId="13427" xr:uid="{00000000-0005-0000-0000-00001C340000}"/>
    <cellStyle name="60% - Accent1 3 3 8" xfId="13428" xr:uid="{00000000-0005-0000-0000-00001D340000}"/>
    <cellStyle name="60% - Accent1 3 3 9" xfId="13429" xr:uid="{00000000-0005-0000-0000-00001E340000}"/>
    <cellStyle name="60% - Accent1 3 30" xfId="13430" xr:uid="{00000000-0005-0000-0000-00001F340000}"/>
    <cellStyle name="60% - Accent1 3 30 10" xfId="13431" xr:uid="{00000000-0005-0000-0000-000020340000}"/>
    <cellStyle name="60% - Accent1 3 30 11" xfId="13432" xr:uid="{00000000-0005-0000-0000-000021340000}"/>
    <cellStyle name="60% - Accent1 3 30 12" xfId="13433" xr:uid="{00000000-0005-0000-0000-000022340000}"/>
    <cellStyle name="60% - Accent1 3 30 13" xfId="13434" xr:uid="{00000000-0005-0000-0000-000023340000}"/>
    <cellStyle name="60% - Accent1 3 30 14" xfId="13435" xr:uid="{00000000-0005-0000-0000-000024340000}"/>
    <cellStyle name="60% - Accent1 3 30 15" xfId="13436" xr:uid="{00000000-0005-0000-0000-000025340000}"/>
    <cellStyle name="60% - Accent1 3 30 2" xfId="13437" xr:uid="{00000000-0005-0000-0000-000026340000}"/>
    <cellStyle name="60% - Accent1 3 30 3" xfId="13438" xr:uid="{00000000-0005-0000-0000-000027340000}"/>
    <cellStyle name="60% - Accent1 3 30 4" xfId="13439" xr:uid="{00000000-0005-0000-0000-000028340000}"/>
    <cellStyle name="60% - Accent1 3 30 5" xfId="13440" xr:uid="{00000000-0005-0000-0000-000029340000}"/>
    <cellStyle name="60% - Accent1 3 30 6" xfId="13441" xr:uid="{00000000-0005-0000-0000-00002A340000}"/>
    <cellStyle name="60% - Accent1 3 30 7" xfId="13442" xr:uid="{00000000-0005-0000-0000-00002B340000}"/>
    <cellStyle name="60% - Accent1 3 30 8" xfId="13443" xr:uid="{00000000-0005-0000-0000-00002C340000}"/>
    <cellStyle name="60% - Accent1 3 30 9" xfId="13444" xr:uid="{00000000-0005-0000-0000-00002D340000}"/>
    <cellStyle name="60% - Accent1 3 31" xfId="13445" xr:uid="{00000000-0005-0000-0000-00002E340000}"/>
    <cellStyle name="60% - Accent1 3 31 10" xfId="13446" xr:uid="{00000000-0005-0000-0000-00002F340000}"/>
    <cellStyle name="60% - Accent1 3 31 11" xfId="13447" xr:uid="{00000000-0005-0000-0000-000030340000}"/>
    <cellStyle name="60% - Accent1 3 31 12" xfId="13448" xr:uid="{00000000-0005-0000-0000-000031340000}"/>
    <cellStyle name="60% - Accent1 3 31 13" xfId="13449" xr:uid="{00000000-0005-0000-0000-000032340000}"/>
    <cellStyle name="60% - Accent1 3 31 14" xfId="13450" xr:uid="{00000000-0005-0000-0000-000033340000}"/>
    <cellStyle name="60% - Accent1 3 31 15" xfId="13451" xr:uid="{00000000-0005-0000-0000-000034340000}"/>
    <cellStyle name="60% - Accent1 3 31 2" xfId="13452" xr:uid="{00000000-0005-0000-0000-000035340000}"/>
    <cellStyle name="60% - Accent1 3 31 3" xfId="13453" xr:uid="{00000000-0005-0000-0000-000036340000}"/>
    <cellStyle name="60% - Accent1 3 31 4" xfId="13454" xr:uid="{00000000-0005-0000-0000-000037340000}"/>
    <cellStyle name="60% - Accent1 3 31 5" xfId="13455" xr:uid="{00000000-0005-0000-0000-000038340000}"/>
    <cellStyle name="60% - Accent1 3 31 6" xfId="13456" xr:uid="{00000000-0005-0000-0000-000039340000}"/>
    <cellStyle name="60% - Accent1 3 31 7" xfId="13457" xr:uid="{00000000-0005-0000-0000-00003A340000}"/>
    <cellStyle name="60% - Accent1 3 31 8" xfId="13458" xr:uid="{00000000-0005-0000-0000-00003B340000}"/>
    <cellStyle name="60% - Accent1 3 31 9" xfId="13459" xr:uid="{00000000-0005-0000-0000-00003C340000}"/>
    <cellStyle name="60% - Accent1 3 32" xfId="13460" xr:uid="{00000000-0005-0000-0000-00003D340000}"/>
    <cellStyle name="60% - Accent1 3 32 10" xfId="13461" xr:uid="{00000000-0005-0000-0000-00003E340000}"/>
    <cellStyle name="60% - Accent1 3 32 11" xfId="13462" xr:uid="{00000000-0005-0000-0000-00003F340000}"/>
    <cellStyle name="60% - Accent1 3 32 12" xfId="13463" xr:uid="{00000000-0005-0000-0000-000040340000}"/>
    <cellStyle name="60% - Accent1 3 32 13" xfId="13464" xr:uid="{00000000-0005-0000-0000-000041340000}"/>
    <cellStyle name="60% - Accent1 3 32 14" xfId="13465" xr:uid="{00000000-0005-0000-0000-000042340000}"/>
    <cellStyle name="60% - Accent1 3 32 15" xfId="13466" xr:uid="{00000000-0005-0000-0000-000043340000}"/>
    <cellStyle name="60% - Accent1 3 32 2" xfId="13467" xr:uid="{00000000-0005-0000-0000-000044340000}"/>
    <cellStyle name="60% - Accent1 3 32 3" xfId="13468" xr:uid="{00000000-0005-0000-0000-000045340000}"/>
    <cellStyle name="60% - Accent1 3 32 4" xfId="13469" xr:uid="{00000000-0005-0000-0000-000046340000}"/>
    <cellStyle name="60% - Accent1 3 32 5" xfId="13470" xr:uid="{00000000-0005-0000-0000-000047340000}"/>
    <cellStyle name="60% - Accent1 3 32 6" xfId="13471" xr:uid="{00000000-0005-0000-0000-000048340000}"/>
    <cellStyle name="60% - Accent1 3 32 7" xfId="13472" xr:uid="{00000000-0005-0000-0000-000049340000}"/>
    <cellStyle name="60% - Accent1 3 32 8" xfId="13473" xr:uid="{00000000-0005-0000-0000-00004A340000}"/>
    <cellStyle name="60% - Accent1 3 32 9" xfId="13474" xr:uid="{00000000-0005-0000-0000-00004B340000}"/>
    <cellStyle name="60% - Accent1 3 33" xfId="13475" xr:uid="{00000000-0005-0000-0000-00004C340000}"/>
    <cellStyle name="60% - Accent1 3 34" xfId="13476" xr:uid="{00000000-0005-0000-0000-00004D340000}"/>
    <cellStyle name="60% - Accent1 3 35" xfId="13477" xr:uid="{00000000-0005-0000-0000-00004E340000}"/>
    <cellStyle name="60% - Accent1 3 36" xfId="13478" xr:uid="{00000000-0005-0000-0000-00004F340000}"/>
    <cellStyle name="60% - Accent1 3 37" xfId="13479" xr:uid="{00000000-0005-0000-0000-000050340000}"/>
    <cellStyle name="60% - Accent1 3 38" xfId="13480" xr:uid="{00000000-0005-0000-0000-000051340000}"/>
    <cellStyle name="60% - Accent1 3 39" xfId="13481" xr:uid="{00000000-0005-0000-0000-000052340000}"/>
    <cellStyle name="60% - Accent1 3 4" xfId="13482" xr:uid="{00000000-0005-0000-0000-000053340000}"/>
    <cellStyle name="60% - Accent1 3 4 10" xfId="13483" xr:uid="{00000000-0005-0000-0000-000054340000}"/>
    <cellStyle name="60% - Accent1 3 4 11" xfId="13484" xr:uid="{00000000-0005-0000-0000-000055340000}"/>
    <cellStyle name="60% - Accent1 3 4 12" xfId="13485" xr:uid="{00000000-0005-0000-0000-000056340000}"/>
    <cellStyle name="60% - Accent1 3 4 13" xfId="13486" xr:uid="{00000000-0005-0000-0000-000057340000}"/>
    <cellStyle name="60% - Accent1 3 4 14" xfId="13487" xr:uid="{00000000-0005-0000-0000-000058340000}"/>
    <cellStyle name="60% - Accent1 3 4 15" xfId="13488" xr:uid="{00000000-0005-0000-0000-000059340000}"/>
    <cellStyle name="60% - Accent1 3 4 2" xfId="13489" xr:uid="{00000000-0005-0000-0000-00005A340000}"/>
    <cellStyle name="60% - Accent1 3 4 3" xfId="13490" xr:uid="{00000000-0005-0000-0000-00005B340000}"/>
    <cellStyle name="60% - Accent1 3 4 4" xfId="13491" xr:uid="{00000000-0005-0000-0000-00005C340000}"/>
    <cellStyle name="60% - Accent1 3 4 5" xfId="13492" xr:uid="{00000000-0005-0000-0000-00005D340000}"/>
    <cellStyle name="60% - Accent1 3 4 6" xfId="13493" xr:uid="{00000000-0005-0000-0000-00005E340000}"/>
    <cellStyle name="60% - Accent1 3 4 7" xfId="13494" xr:uid="{00000000-0005-0000-0000-00005F340000}"/>
    <cellStyle name="60% - Accent1 3 4 8" xfId="13495" xr:uid="{00000000-0005-0000-0000-000060340000}"/>
    <cellStyle name="60% - Accent1 3 4 9" xfId="13496" xr:uid="{00000000-0005-0000-0000-000061340000}"/>
    <cellStyle name="60% - Accent1 3 40" xfId="13497" xr:uid="{00000000-0005-0000-0000-000062340000}"/>
    <cellStyle name="60% - Accent1 3 41" xfId="13498" xr:uid="{00000000-0005-0000-0000-000063340000}"/>
    <cellStyle name="60% - Accent1 3 42" xfId="13499" xr:uid="{00000000-0005-0000-0000-000064340000}"/>
    <cellStyle name="60% - Accent1 3 43" xfId="13500" xr:uid="{00000000-0005-0000-0000-000065340000}"/>
    <cellStyle name="60% - Accent1 3 44" xfId="13501" xr:uid="{00000000-0005-0000-0000-000066340000}"/>
    <cellStyle name="60% - Accent1 3 45" xfId="13502" xr:uid="{00000000-0005-0000-0000-000067340000}"/>
    <cellStyle name="60% - Accent1 3 46" xfId="13503" xr:uid="{00000000-0005-0000-0000-000068340000}"/>
    <cellStyle name="60% - Accent1 3 47" xfId="13504" xr:uid="{00000000-0005-0000-0000-000069340000}"/>
    <cellStyle name="60% - Accent1 3 48" xfId="13505" xr:uid="{00000000-0005-0000-0000-00006A340000}"/>
    <cellStyle name="60% - Accent1 3 49" xfId="13506" xr:uid="{00000000-0005-0000-0000-00006B340000}"/>
    <cellStyle name="60% - Accent1 3 5" xfId="13507" xr:uid="{00000000-0005-0000-0000-00006C340000}"/>
    <cellStyle name="60% - Accent1 3 5 10" xfId="13508" xr:uid="{00000000-0005-0000-0000-00006D340000}"/>
    <cellStyle name="60% - Accent1 3 5 11" xfId="13509" xr:uid="{00000000-0005-0000-0000-00006E340000}"/>
    <cellStyle name="60% - Accent1 3 5 12" xfId="13510" xr:uid="{00000000-0005-0000-0000-00006F340000}"/>
    <cellStyle name="60% - Accent1 3 5 13" xfId="13511" xr:uid="{00000000-0005-0000-0000-000070340000}"/>
    <cellStyle name="60% - Accent1 3 5 14" xfId="13512" xr:uid="{00000000-0005-0000-0000-000071340000}"/>
    <cellStyle name="60% - Accent1 3 5 15" xfId="13513" xr:uid="{00000000-0005-0000-0000-000072340000}"/>
    <cellStyle name="60% - Accent1 3 5 2" xfId="13514" xr:uid="{00000000-0005-0000-0000-000073340000}"/>
    <cellStyle name="60% - Accent1 3 5 3" xfId="13515" xr:uid="{00000000-0005-0000-0000-000074340000}"/>
    <cellStyle name="60% - Accent1 3 5 4" xfId="13516" xr:uid="{00000000-0005-0000-0000-000075340000}"/>
    <cellStyle name="60% - Accent1 3 5 5" xfId="13517" xr:uid="{00000000-0005-0000-0000-000076340000}"/>
    <cellStyle name="60% - Accent1 3 5 6" xfId="13518" xr:uid="{00000000-0005-0000-0000-000077340000}"/>
    <cellStyle name="60% - Accent1 3 5 7" xfId="13519" xr:uid="{00000000-0005-0000-0000-000078340000}"/>
    <cellStyle name="60% - Accent1 3 5 8" xfId="13520" xr:uid="{00000000-0005-0000-0000-000079340000}"/>
    <cellStyle name="60% - Accent1 3 5 9" xfId="13521" xr:uid="{00000000-0005-0000-0000-00007A340000}"/>
    <cellStyle name="60% - Accent1 3 50" xfId="13522" xr:uid="{00000000-0005-0000-0000-00007B340000}"/>
    <cellStyle name="60% - Accent1 3 51" xfId="13523" xr:uid="{00000000-0005-0000-0000-00007C340000}"/>
    <cellStyle name="60% - Accent1 3 52" xfId="13524" xr:uid="{00000000-0005-0000-0000-00007D340000}"/>
    <cellStyle name="60% - Accent1 3 53" xfId="13525" xr:uid="{00000000-0005-0000-0000-00007E340000}"/>
    <cellStyle name="60% - Accent1 3 6" xfId="13526" xr:uid="{00000000-0005-0000-0000-00007F340000}"/>
    <cellStyle name="60% - Accent1 3 6 10" xfId="13527" xr:uid="{00000000-0005-0000-0000-000080340000}"/>
    <cellStyle name="60% - Accent1 3 6 11" xfId="13528" xr:uid="{00000000-0005-0000-0000-000081340000}"/>
    <cellStyle name="60% - Accent1 3 6 12" xfId="13529" xr:uid="{00000000-0005-0000-0000-000082340000}"/>
    <cellStyle name="60% - Accent1 3 6 13" xfId="13530" xr:uid="{00000000-0005-0000-0000-000083340000}"/>
    <cellStyle name="60% - Accent1 3 6 14" xfId="13531" xr:uid="{00000000-0005-0000-0000-000084340000}"/>
    <cellStyle name="60% - Accent1 3 6 15" xfId="13532" xr:uid="{00000000-0005-0000-0000-000085340000}"/>
    <cellStyle name="60% - Accent1 3 6 2" xfId="13533" xr:uid="{00000000-0005-0000-0000-000086340000}"/>
    <cellStyle name="60% - Accent1 3 6 3" xfId="13534" xr:uid="{00000000-0005-0000-0000-000087340000}"/>
    <cellStyle name="60% - Accent1 3 6 4" xfId="13535" xr:uid="{00000000-0005-0000-0000-000088340000}"/>
    <cellStyle name="60% - Accent1 3 6 5" xfId="13536" xr:uid="{00000000-0005-0000-0000-000089340000}"/>
    <cellStyle name="60% - Accent1 3 6 6" xfId="13537" xr:uid="{00000000-0005-0000-0000-00008A340000}"/>
    <cellStyle name="60% - Accent1 3 6 7" xfId="13538" xr:uid="{00000000-0005-0000-0000-00008B340000}"/>
    <cellStyle name="60% - Accent1 3 6 8" xfId="13539" xr:uid="{00000000-0005-0000-0000-00008C340000}"/>
    <cellStyle name="60% - Accent1 3 6 9" xfId="13540" xr:uid="{00000000-0005-0000-0000-00008D340000}"/>
    <cellStyle name="60% - Accent1 3 7" xfId="13541" xr:uid="{00000000-0005-0000-0000-00008E340000}"/>
    <cellStyle name="60% - Accent1 3 7 10" xfId="13542" xr:uid="{00000000-0005-0000-0000-00008F340000}"/>
    <cellStyle name="60% - Accent1 3 7 11" xfId="13543" xr:uid="{00000000-0005-0000-0000-000090340000}"/>
    <cellStyle name="60% - Accent1 3 7 12" xfId="13544" xr:uid="{00000000-0005-0000-0000-000091340000}"/>
    <cellStyle name="60% - Accent1 3 7 13" xfId="13545" xr:uid="{00000000-0005-0000-0000-000092340000}"/>
    <cellStyle name="60% - Accent1 3 7 14" xfId="13546" xr:uid="{00000000-0005-0000-0000-000093340000}"/>
    <cellStyle name="60% - Accent1 3 7 15" xfId="13547" xr:uid="{00000000-0005-0000-0000-000094340000}"/>
    <cellStyle name="60% - Accent1 3 7 2" xfId="13548" xr:uid="{00000000-0005-0000-0000-000095340000}"/>
    <cellStyle name="60% - Accent1 3 7 3" xfId="13549" xr:uid="{00000000-0005-0000-0000-000096340000}"/>
    <cellStyle name="60% - Accent1 3 7 4" xfId="13550" xr:uid="{00000000-0005-0000-0000-000097340000}"/>
    <cellStyle name="60% - Accent1 3 7 5" xfId="13551" xr:uid="{00000000-0005-0000-0000-000098340000}"/>
    <cellStyle name="60% - Accent1 3 7 6" xfId="13552" xr:uid="{00000000-0005-0000-0000-000099340000}"/>
    <cellStyle name="60% - Accent1 3 7 7" xfId="13553" xr:uid="{00000000-0005-0000-0000-00009A340000}"/>
    <cellStyle name="60% - Accent1 3 7 8" xfId="13554" xr:uid="{00000000-0005-0000-0000-00009B340000}"/>
    <cellStyle name="60% - Accent1 3 7 9" xfId="13555" xr:uid="{00000000-0005-0000-0000-00009C340000}"/>
    <cellStyle name="60% - Accent1 3 8" xfId="13556" xr:uid="{00000000-0005-0000-0000-00009D340000}"/>
    <cellStyle name="60% - Accent1 3 8 10" xfId="13557" xr:uid="{00000000-0005-0000-0000-00009E340000}"/>
    <cellStyle name="60% - Accent1 3 8 11" xfId="13558" xr:uid="{00000000-0005-0000-0000-00009F340000}"/>
    <cellStyle name="60% - Accent1 3 8 12" xfId="13559" xr:uid="{00000000-0005-0000-0000-0000A0340000}"/>
    <cellStyle name="60% - Accent1 3 8 13" xfId="13560" xr:uid="{00000000-0005-0000-0000-0000A1340000}"/>
    <cellStyle name="60% - Accent1 3 8 14" xfId="13561" xr:uid="{00000000-0005-0000-0000-0000A2340000}"/>
    <cellStyle name="60% - Accent1 3 8 15" xfId="13562" xr:uid="{00000000-0005-0000-0000-0000A3340000}"/>
    <cellStyle name="60% - Accent1 3 8 2" xfId="13563" xr:uid="{00000000-0005-0000-0000-0000A4340000}"/>
    <cellStyle name="60% - Accent1 3 8 3" xfId="13564" xr:uid="{00000000-0005-0000-0000-0000A5340000}"/>
    <cellStyle name="60% - Accent1 3 8 4" xfId="13565" xr:uid="{00000000-0005-0000-0000-0000A6340000}"/>
    <cellStyle name="60% - Accent1 3 8 5" xfId="13566" xr:uid="{00000000-0005-0000-0000-0000A7340000}"/>
    <cellStyle name="60% - Accent1 3 8 6" xfId="13567" xr:uid="{00000000-0005-0000-0000-0000A8340000}"/>
    <cellStyle name="60% - Accent1 3 8 7" xfId="13568" xr:uid="{00000000-0005-0000-0000-0000A9340000}"/>
    <cellStyle name="60% - Accent1 3 8 8" xfId="13569" xr:uid="{00000000-0005-0000-0000-0000AA340000}"/>
    <cellStyle name="60% - Accent1 3 8 9" xfId="13570" xr:uid="{00000000-0005-0000-0000-0000AB340000}"/>
    <cellStyle name="60% - Accent1 3 9" xfId="13571" xr:uid="{00000000-0005-0000-0000-0000AC340000}"/>
    <cellStyle name="60% - Accent1 3 9 10" xfId="13572" xr:uid="{00000000-0005-0000-0000-0000AD340000}"/>
    <cellStyle name="60% - Accent1 3 9 11" xfId="13573" xr:uid="{00000000-0005-0000-0000-0000AE340000}"/>
    <cellStyle name="60% - Accent1 3 9 12" xfId="13574" xr:uid="{00000000-0005-0000-0000-0000AF340000}"/>
    <cellStyle name="60% - Accent1 3 9 13" xfId="13575" xr:uid="{00000000-0005-0000-0000-0000B0340000}"/>
    <cellStyle name="60% - Accent1 3 9 14" xfId="13576" xr:uid="{00000000-0005-0000-0000-0000B1340000}"/>
    <cellStyle name="60% - Accent1 3 9 15" xfId="13577" xr:uid="{00000000-0005-0000-0000-0000B2340000}"/>
    <cellStyle name="60% - Accent1 3 9 2" xfId="13578" xr:uid="{00000000-0005-0000-0000-0000B3340000}"/>
    <cellStyle name="60% - Accent1 3 9 3" xfId="13579" xr:uid="{00000000-0005-0000-0000-0000B4340000}"/>
    <cellStyle name="60% - Accent1 3 9 4" xfId="13580" xr:uid="{00000000-0005-0000-0000-0000B5340000}"/>
    <cellStyle name="60% - Accent1 3 9 5" xfId="13581" xr:uid="{00000000-0005-0000-0000-0000B6340000}"/>
    <cellStyle name="60% - Accent1 3 9 6" xfId="13582" xr:uid="{00000000-0005-0000-0000-0000B7340000}"/>
    <cellStyle name="60% - Accent1 3 9 7" xfId="13583" xr:uid="{00000000-0005-0000-0000-0000B8340000}"/>
    <cellStyle name="60% - Accent1 3 9 8" xfId="13584" xr:uid="{00000000-0005-0000-0000-0000B9340000}"/>
    <cellStyle name="60% - Accent1 3 9 9" xfId="13585" xr:uid="{00000000-0005-0000-0000-0000BA340000}"/>
    <cellStyle name="60% - Accent1 30" xfId="13586" xr:uid="{00000000-0005-0000-0000-0000BB340000}"/>
    <cellStyle name="60% - Accent1 30 10" xfId="13587" xr:uid="{00000000-0005-0000-0000-0000BC340000}"/>
    <cellStyle name="60% - Accent1 30 11" xfId="13588" xr:uid="{00000000-0005-0000-0000-0000BD340000}"/>
    <cellStyle name="60% - Accent1 30 12" xfId="13589" xr:uid="{00000000-0005-0000-0000-0000BE340000}"/>
    <cellStyle name="60% - Accent1 30 13" xfId="13590" xr:uid="{00000000-0005-0000-0000-0000BF340000}"/>
    <cellStyle name="60% - Accent1 30 14" xfId="13591" xr:uid="{00000000-0005-0000-0000-0000C0340000}"/>
    <cellStyle name="60% - Accent1 30 15" xfId="13592" xr:uid="{00000000-0005-0000-0000-0000C1340000}"/>
    <cellStyle name="60% - Accent1 30 2" xfId="13593" xr:uid="{00000000-0005-0000-0000-0000C2340000}"/>
    <cellStyle name="60% - Accent1 30 3" xfId="13594" xr:uid="{00000000-0005-0000-0000-0000C3340000}"/>
    <cellStyle name="60% - Accent1 30 4" xfId="13595" xr:uid="{00000000-0005-0000-0000-0000C4340000}"/>
    <cellStyle name="60% - Accent1 30 5" xfId="13596" xr:uid="{00000000-0005-0000-0000-0000C5340000}"/>
    <cellStyle name="60% - Accent1 30 6" xfId="13597" xr:uid="{00000000-0005-0000-0000-0000C6340000}"/>
    <cellStyle name="60% - Accent1 30 7" xfId="13598" xr:uid="{00000000-0005-0000-0000-0000C7340000}"/>
    <cellStyle name="60% - Accent1 30 8" xfId="13599" xr:uid="{00000000-0005-0000-0000-0000C8340000}"/>
    <cellStyle name="60% - Accent1 30 9" xfId="13600" xr:uid="{00000000-0005-0000-0000-0000C9340000}"/>
    <cellStyle name="60% - Accent1 31" xfId="13601" xr:uid="{00000000-0005-0000-0000-0000CA340000}"/>
    <cellStyle name="60% - Accent1 31 10" xfId="13602" xr:uid="{00000000-0005-0000-0000-0000CB340000}"/>
    <cellStyle name="60% - Accent1 31 11" xfId="13603" xr:uid="{00000000-0005-0000-0000-0000CC340000}"/>
    <cellStyle name="60% - Accent1 31 12" xfId="13604" xr:uid="{00000000-0005-0000-0000-0000CD340000}"/>
    <cellStyle name="60% - Accent1 31 13" xfId="13605" xr:uid="{00000000-0005-0000-0000-0000CE340000}"/>
    <cellStyle name="60% - Accent1 31 14" xfId="13606" xr:uid="{00000000-0005-0000-0000-0000CF340000}"/>
    <cellStyle name="60% - Accent1 31 15" xfId="13607" xr:uid="{00000000-0005-0000-0000-0000D0340000}"/>
    <cellStyle name="60% - Accent1 31 2" xfId="13608" xr:uid="{00000000-0005-0000-0000-0000D1340000}"/>
    <cellStyle name="60% - Accent1 31 3" xfId="13609" xr:uid="{00000000-0005-0000-0000-0000D2340000}"/>
    <cellStyle name="60% - Accent1 31 4" xfId="13610" xr:uid="{00000000-0005-0000-0000-0000D3340000}"/>
    <cellStyle name="60% - Accent1 31 5" xfId="13611" xr:uid="{00000000-0005-0000-0000-0000D4340000}"/>
    <cellStyle name="60% - Accent1 31 6" xfId="13612" xr:uid="{00000000-0005-0000-0000-0000D5340000}"/>
    <cellStyle name="60% - Accent1 31 7" xfId="13613" xr:uid="{00000000-0005-0000-0000-0000D6340000}"/>
    <cellStyle name="60% - Accent1 31 8" xfId="13614" xr:uid="{00000000-0005-0000-0000-0000D7340000}"/>
    <cellStyle name="60% - Accent1 31 9" xfId="13615" xr:uid="{00000000-0005-0000-0000-0000D8340000}"/>
    <cellStyle name="60% - Accent1 32" xfId="13616" xr:uid="{00000000-0005-0000-0000-0000D9340000}"/>
    <cellStyle name="60% - Accent1 32 10" xfId="13617" xr:uid="{00000000-0005-0000-0000-0000DA340000}"/>
    <cellStyle name="60% - Accent1 32 11" xfId="13618" xr:uid="{00000000-0005-0000-0000-0000DB340000}"/>
    <cellStyle name="60% - Accent1 32 12" xfId="13619" xr:uid="{00000000-0005-0000-0000-0000DC340000}"/>
    <cellStyle name="60% - Accent1 32 13" xfId="13620" xr:uid="{00000000-0005-0000-0000-0000DD340000}"/>
    <cellStyle name="60% - Accent1 32 14" xfId="13621" xr:uid="{00000000-0005-0000-0000-0000DE340000}"/>
    <cellStyle name="60% - Accent1 32 15" xfId="13622" xr:uid="{00000000-0005-0000-0000-0000DF340000}"/>
    <cellStyle name="60% - Accent1 32 2" xfId="13623" xr:uid="{00000000-0005-0000-0000-0000E0340000}"/>
    <cellStyle name="60% - Accent1 32 3" xfId="13624" xr:uid="{00000000-0005-0000-0000-0000E1340000}"/>
    <cellStyle name="60% - Accent1 32 4" xfId="13625" xr:uid="{00000000-0005-0000-0000-0000E2340000}"/>
    <cellStyle name="60% - Accent1 32 5" xfId="13626" xr:uid="{00000000-0005-0000-0000-0000E3340000}"/>
    <cellStyle name="60% - Accent1 32 6" xfId="13627" xr:uid="{00000000-0005-0000-0000-0000E4340000}"/>
    <cellStyle name="60% - Accent1 32 7" xfId="13628" xr:uid="{00000000-0005-0000-0000-0000E5340000}"/>
    <cellStyle name="60% - Accent1 32 8" xfId="13629" xr:uid="{00000000-0005-0000-0000-0000E6340000}"/>
    <cellStyle name="60% - Accent1 32 9" xfId="13630" xr:uid="{00000000-0005-0000-0000-0000E7340000}"/>
    <cellStyle name="60% - Accent1 33" xfId="13631" xr:uid="{00000000-0005-0000-0000-0000E8340000}"/>
    <cellStyle name="60% - Accent1 33 10" xfId="13632" xr:uid="{00000000-0005-0000-0000-0000E9340000}"/>
    <cellStyle name="60% - Accent1 33 11" xfId="13633" xr:uid="{00000000-0005-0000-0000-0000EA340000}"/>
    <cellStyle name="60% - Accent1 33 12" xfId="13634" xr:uid="{00000000-0005-0000-0000-0000EB340000}"/>
    <cellStyle name="60% - Accent1 33 13" xfId="13635" xr:uid="{00000000-0005-0000-0000-0000EC340000}"/>
    <cellStyle name="60% - Accent1 33 14" xfId="13636" xr:uid="{00000000-0005-0000-0000-0000ED340000}"/>
    <cellStyle name="60% - Accent1 33 15" xfId="13637" xr:uid="{00000000-0005-0000-0000-0000EE340000}"/>
    <cellStyle name="60% - Accent1 33 2" xfId="13638" xr:uid="{00000000-0005-0000-0000-0000EF340000}"/>
    <cellStyle name="60% - Accent1 33 3" xfId="13639" xr:uid="{00000000-0005-0000-0000-0000F0340000}"/>
    <cellStyle name="60% - Accent1 33 4" xfId="13640" xr:uid="{00000000-0005-0000-0000-0000F1340000}"/>
    <cellStyle name="60% - Accent1 33 5" xfId="13641" xr:uid="{00000000-0005-0000-0000-0000F2340000}"/>
    <cellStyle name="60% - Accent1 33 6" xfId="13642" xr:uid="{00000000-0005-0000-0000-0000F3340000}"/>
    <cellStyle name="60% - Accent1 33 7" xfId="13643" xr:uid="{00000000-0005-0000-0000-0000F4340000}"/>
    <cellStyle name="60% - Accent1 33 8" xfId="13644" xr:uid="{00000000-0005-0000-0000-0000F5340000}"/>
    <cellStyle name="60% - Accent1 33 9" xfId="13645" xr:uid="{00000000-0005-0000-0000-0000F6340000}"/>
    <cellStyle name="60% - Accent1 34" xfId="13646" xr:uid="{00000000-0005-0000-0000-0000F7340000}"/>
    <cellStyle name="60% - Accent1 34 10" xfId="13647" xr:uid="{00000000-0005-0000-0000-0000F8340000}"/>
    <cellStyle name="60% - Accent1 34 11" xfId="13648" xr:uid="{00000000-0005-0000-0000-0000F9340000}"/>
    <cellStyle name="60% - Accent1 34 12" xfId="13649" xr:uid="{00000000-0005-0000-0000-0000FA340000}"/>
    <cellStyle name="60% - Accent1 34 13" xfId="13650" xr:uid="{00000000-0005-0000-0000-0000FB340000}"/>
    <cellStyle name="60% - Accent1 34 14" xfId="13651" xr:uid="{00000000-0005-0000-0000-0000FC340000}"/>
    <cellStyle name="60% - Accent1 34 15" xfId="13652" xr:uid="{00000000-0005-0000-0000-0000FD340000}"/>
    <cellStyle name="60% - Accent1 34 2" xfId="13653" xr:uid="{00000000-0005-0000-0000-0000FE340000}"/>
    <cellStyle name="60% - Accent1 34 3" xfId="13654" xr:uid="{00000000-0005-0000-0000-0000FF340000}"/>
    <cellStyle name="60% - Accent1 34 4" xfId="13655" xr:uid="{00000000-0005-0000-0000-000000350000}"/>
    <cellStyle name="60% - Accent1 34 5" xfId="13656" xr:uid="{00000000-0005-0000-0000-000001350000}"/>
    <cellStyle name="60% - Accent1 34 6" xfId="13657" xr:uid="{00000000-0005-0000-0000-000002350000}"/>
    <cellStyle name="60% - Accent1 34 7" xfId="13658" xr:uid="{00000000-0005-0000-0000-000003350000}"/>
    <cellStyle name="60% - Accent1 34 8" xfId="13659" xr:uid="{00000000-0005-0000-0000-000004350000}"/>
    <cellStyle name="60% - Accent1 34 9" xfId="13660" xr:uid="{00000000-0005-0000-0000-000005350000}"/>
    <cellStyle name="60% - Accent1 35" xfId="13661" xr:uid="{00000000-0005-0000-0000-000006350000}"/>
    <cellStyle name="60% - Accent1 35 10" xfId="13662" xr:uid="{00000000-0005-0000-0000-000007350000}"/>
    <cellStyle name="60% - Accent1 35 11" xfId="13663" xr:uid="{00000000-0005-0000-0000-000008350000}"/>
    <cellStyle name="60% - Accent1 35 12" xfId="13664" xr:uid="{00000000-0005-0000-0000-000009350000}"/>
    <cellStyle name="60% - Accent1 35 13" xfId="13665" xr:uid="{00000000-0005-0000-0000-00000A350000}"/>
    <cellStyle name="60% - Accent1 35 14" xfId="13666" xr:uid="{00000000-0005-0000-0000-00000B350000}"/>
    <cellStyle name="60% - Accent1 35 15" xfId="13667" xr:uid="{00000000-0005-0000-0000-00000C350000}"/>
    <cellStyle name="60% - Accent1 35 2" xfId="13668" xr:uid="{00000000-0005-0000-0000-00000D350000}"/>
    <cellStyle name="60% - Accent1 35 3" xfId="13669" xr:uid="{00000000-0005-0000-0000-00000E350000}"/>
    <cellStyle name="60% - Accent1 35 4" xfId="13670" xr:uid="{00000000-0005-0000-0000-00000F350000}"/>
    <cellStyle name="60% - Accent1 35 5" xfId="13671" xr:uid="{00000000-0005-0000-0000-000010350000}"/>
    <cellStyle name="60% - Accent1 35 6" xfId="13672" xr:uid="{00000000-0005-0000-0000-000011350000}"/>
    <cellStyle name="60% - Accent1 35 7" xfId="13673" xr:uid="{00000000-0005-0000-0000-000012350000}"/>
    <cellStyle name="60% - Accent1 35 8" xfId="13674" xr:uid="{00000000-0005-0000-0000-000013350000}"/>
    <cellStyle name="60% - Accent1 35 9" xfId="13675" xr:uid="{00000000-0005-0000-0000-000014350000}"/>
    <cellStyle name="60% - Accent1 36" xfId="13676" xr:uid="{00000000-0005-0000-0000-000015350000}"/>
    <cellStyle name="60% - Accent1 36 10" xfId="13677" xr:uid="{00000000-0005-0000-0000-000016350000}"/>
    <cellStyle name="60% - Accent1 36 11" xfId="13678" xr:uid="{00000000-0005-0000-0000-000017350000}"/>
    <cellStyle name="60% - Accent1 36 12" xfId="13679" xr:uid="{00000000-0005-0000-0000-000018350000}"/>
    <cellStyle name="60% - Accent1 36 13" xfId="13680" xr:uid="{00000000-0005-0000-0000-000019350000}"/>
    <cellStyle name="60% - Accent1 36 14" xfId="13681" xr:uid="{00000000-0005-0000-0000-00001A350000}"/>
    <cellStyle name="60% - Accent1 36 15" xfId="13682" xr:uid="{00000000-0005-0000-0000-00001B350000}"/>
    <cellStyle name="60% - Accent1 36 2" xfId="13683" xr:uid="{00000000-0005-0000-0000-00001C350000}"/>
    <cellStyle name="60% - Accent1 36 3" xfId="13684" xr:uid="{00000000-0005-0000-0000-00001D350000}"/>
    <cellStyle name="60% - Accent1 36 4" xfId="13685" xr:uid="{00000000-0005-0000-0000-00001E350000}"/>
    <cellStyle name="60% - Accent1 36 5" xfId="13686" xr:uid="{00000000-0005-0000-0000-00001F350000}"/>
    <cellStyle name="60% - Accent1 36 6" xfId="13687" xr:uid="{00000000-0005-0000-0000-000020350000}"/>
    <cellStyle name="60% - Accent1 36 7" xfId="13688" xr:uid="{00000000-0005-0000-0000-000021350000}"/>
    <cellStyle name="60% - Accent1 36 8" xfId="13689" xr:uid="{00000000-0005-0000-0000-000022350000}"/>
    <cellStyle name="60% - Accent1 36 9" xfId="13690" xr:uid="{00000000-0005-0000-0000-000023350000}"/>
    <cellStyle name="60% - Accent1 37" xfId="13691" xr:uid="{00000000-0005-0000-0000-000024350000}"/>
    <cellStyle name="60% - Accent1 37 10" xfId="13692" xr:uid="{00000000-0005-0000-0000-000025350000}"/>
    <cellStyle name="60% - Accent1 37 11" xfId="13693" xr:uid="{00000000-0005-0000-0000-000026350000}"/>
    <cellStyle name="60% - Accent1 37 12" xfId="13694" xr:uid="{00000000-0005-0000-0000-000027350000}"/>
    <cellStyle name="60% - Accent1 37 13" xfId="13695" xr:uid="{00000000-0005-0000-0000-000028350000}"/>
    <cellStyle name="60% - Accent1 37 14" xfId="13696" xr:uid="{00000000-0005-0000-0000-000029350000}"/>
    <cellStyle name="60% - Accent1 37 15" xfId="13697" xr:uid="{00000000-0005-0000-0000-00002A350000}"/>
    <cellStyle name="60% - Accent1 37 2" xfId="13698" xr:uid="{00000000-0005-0000-0000-00002B350000}"/>
    <cellStyle name="60% - Accent1 37 3" xfId="13699" xr:uid="{00000000-0005-0000-0000-00002C350000}"/>
    <cellStyle name="60% - Accent1 37 4" xfId="13700" xr:uid="{00000000-0005-0000-0000-00002D350000}"/>
    <cellStyle name="60% - Accent1 37 5" xfId="13701" xr:uid="{00000000-0005-0000-0000-00002E350000}"/>
    <cellStyle name="60% - Accent1 37 6" xfId="13702" xr:uid="{00000000-0005-0000-0000-00002F350000}"/>
    <cellStyle name="60% - Accent1 37 7" xfId="13703" xr:uid="{00000000-0005-0000-0000-000030350000}"/>
    <cellStyle name="60% - Accent1 37 8" xfId="13704" xr:uid="{00000000-0005-0000-0000-000031350000}"/>
    <cellStyle name="60% - Accent1 37 9" xfId="13705" xr:uid="{00000000-0005-0000-0000-000032350000}"/>
    <cellStyle name="60% - Accent1 38" xfId="13706" xr:uid="{00000000-0005-0000-0000-000033350000}"/>
    <cellStyle name="60% - Accent1 38 10" xfId="13707" xr:uid="{00000000-0005-0000-0000-000034350000}"/>
    <cellStyle name="60% - Accent1 38 11" xfId="13708" xr:uid="{00000000-0005-0000-0000-000035350000}"/>
    <cellStyle name="60% - Accent1 38 12" xfId="13709" xr:uid="{00000000-0005-0000-0000-000036350000}"/>
    <cellStyle name="60% - Accent1 38 13" xfId="13710" xr:uid="{00000000-0005-0000-0000-000037350000}"/>
    <cellStyle name="60% - Accent1 38 14" xfId="13711" xr:uid="{00000000-0005-0000-0000-000038350000}"/>
    <cellStyle name="60% - Accent1 38 15" xfId="13712" xr:uid="{00000000-0005-0000-0000-000039350000}"/>
    <cellStyle name="60% - Accent1 38 2" xfId="13713" xr:uid="{00000000-0005-0000-0000-00003A350000}"/>
    <cellStyle name="60% - Accent1 38 3" xfId="13714" xr:uid="{00000000-0005-0000-0000-00003B350000}"/>
    <cellStyle name="60% - Accent1 38 4" xfId="13715" xr:uid="{00000000-0005-0000-0000-00003C350000}"/>
    <cellStyle name="60% - Accent1 38 5" xfId="13716" xr:uid="{00000000-0005-0000-0000-00003D350000}"/>
    <cellStyle name="60% - Accent1 38 6" xfId="13717" xr:uid="{00000000-0005-0000-0000-00003E350000}"/>
    <cellStyle name="60% - Accent1 38 7" xfId="13718" xr:uid="{00000000-0005-0000-0000-00003F350000}"/>
    <cellStyle name="60% - Accent1 38 8" xfId="13719" xr:uid="{00000000-0005-0000-0000-000040350000}"/>
    <cellStyle name="60% - Accent1 38 9" xfId="13720" xr:uid="{00000000-0005-0000-0000-000041350000}"/>
    <cellStyle name="60% - Accent1 39" xfId="13721" xr:uid="{00000000-0005-0000-0000-000042350000}"/>
    <cellStyle name="60% - Accent1 39 10" xfId="13722" xr:uid="{00000000-0005-0000-0000-000043350000}"/>
    <cellStyle name="60% - Accent1 39 11" xfId="13723" xr:uid="{00000000-0005-0000-0000-000044350000}"/>
    <cellStyle name="60% - Accent1 39 12" xfId="13724" xr:uid="{00000000-0005-0000-0000-000045350000}"/>
    <cellStyle name="60% - Accent1 39 13" xfId="13725" xr:uid="{00000000-0005-0000-0000-000046350000}"/>
    <cellStyle name="60% - Accent1 39 14" xfId="13726" xr:uid="{00000000-0005-0000-0000-000047350000}"/>
    <cellStyle name="60% - Accent1 39 15" xfId="13727" xr:uid="{00000000-0005-0000-0000-000048350000}"/>
    <cellStyle name="60% - Accent1 39 2" xfId="13728" xr:uid="{00000000-0005-0000-0000-000049350000}"/>
    <cellStyle name="60% - Accent1 39 3" xfId="13729" xr:uid="{00000000-0005-0000-0000-00004A350000}"/>
    <cellStyle name="60% - Accent1 39 4" xfId="13730" xr:uid="{00000000-0005-0000-0000-00004B350000}"/>
    <cellStyle name="60% - Accent1 39 5" xfId="13731" xr:uid="{00000000-0005-0000-0000-00004C350000}"/>
    <cellStyle name="60% - Accent1 39 6" xfId="13732" xr:uid="{00000000-0005-0000-0000-00004D350000}"/>
    <cellStyle name="60% - Accent1 39 7" xfId="13733" xr:uid="{00000000-0005-0000-0000-00004E350000}"/>
    <cellStyle name="60% - Accent1 39 8" xfId="13734" xr:uid="{00000000-0005-0000-0000-00004F350000}"/>
    <cellStyle name="60% - Accent1 39 9" xfId="13735" xr:uid="{00000000-0005-0000-0000-000050350000}"/>
    <cellStyle name="60% - Accent1 4" xfId="13736" xr:uid="{00000000-0005-0000-0000-000051350000}"/>
    <cellStyle name="60% - Accent1 4 2" xfId="13737" xr:uid="{00000000-0005-0000-0000-000052350000}"/>
    <cellStyle name="60% - Accent1 4 2 2" xfId="13738" xr:uid="{00000000-0005-0000-0000-000053350000}"/>
    <cellStyle name="60% - Accent1 4 3" xfId="13739" xr:uid="{00000000-0005-0000-0000-000054350000}"/>
    <cellStyle name="60% - Accent1 4 3 2" xfId="13740" xr:uid="{00000000-0005-0000-0000-000055350000}"/>
    <cellStyle name="60% - Accent1 4 4" xfId="13741" xr:uid="{00000000-0005-0000-0000-000056350000}"/>
    <cellStyle name="60% - Accent1 4 4 2" xfId="13742" xr:uid="{00000000-0005-0000-0000-000057350000}"/>
    <cellStyle name="60% - Accent1 4 5" xfId="13743" xr:uid="{00000000-0005-0000-0000-000058350000}"/>
    <cellStyle name="60% - Accent1 4 5 2" xfId="13744" xr:uid="{00000000-0005-0000-0000-000059350000}"/>
    <cellStyle name="60% - Accent1 4 6" xfId="13745" xr:uid="{00000000-0005-0000-0000-00005A350000}"/>
    <cellStyle name="60% - Accent1 4 6 2" xfId="13746" xr:uid="{00000000-0005-0000-0000-00005B350000}"/>
    <cellStyle name="60% - Accent1 4 7" xfId="13747" xr:uid="{00000000-0005-0000-0000-00005C350000}"/>
    <cellStyle name="60% - Accent1 40" xfId="13748" xr:uid="{00000000-0005-0000-0000-00005D350000}"/>
    <cellStyle name="60% - Accent1 41" xfId="13749" xr:uid="{00000000-0005-0000-0000-00005E350000}"/>
    <cellStyle name="60% - Accent1 42" xfId="13750" xr:uid="{00000000-0005-0000-0000-00005F350000}"/>
    <cellStyle name="60% - Accent1 43" xfId="13751" xr:uid="{00000000-0005-0000-0000-000060350000}"/>
    <cellStyle name="60% - Accent1 44" xfId="13752" xr:uid="{00000000-0005-0000-0000-000061350000}"/>
    <cellStyle name="60% - Accent1 45" xfId="13753" xr:uid="{00000000-0005-0000-0000-000062350000}"/>
    <cellStyle name="60% - Accent1 46" xfId="13754" xr:uid="{00000000-0005-0000-0000-000063350000}"/>
    <cellStyle name="60% - Accent1 47" xfId="13755" xr:uid="{00000000-0005-0000-0000-000064350000}"/>
    <cellStyle name="60% - Accent1 48" xfId="13756" xr:uid="{00000000-0005-0000-0000-000065350000}"/>
    <cellStyle name="60% - Accent1 49" xfId="13757" xr:uid="{00000000-0005-0000-0000-000066350000}"/>
    <cellStyle name="60% - Accent1 5" xfId="13758" xr:uid="{00000000-0005-0000-0000-000067350000}"/>
    <cellStyle name="60% - Accent1 5 2" xfId="13759" xr:uid="{00000000-0005-0000-0000-000068350000}"/>
    <cellStyle name="60% - Accent1 5 2 2" xfId="13760" xr:uid="{00000000-0005-0000-0000-000069350000}"/>
    <cellStyle name="60% - Accent1 5 2 3" xfId="13761" xr:uid="{00000000-0005-0000-0000-00006A350000}"/>
    <cellStyle name="60% - Accent1 5 2 4" xfId="13762" xr:uid="{00000000-0005-0000-0000-00006B350000}"/>
    <cellStyle name="60% - Accent1 5 3" xfId="13763" xr:uid="{00000000-0005-0000-0000-00006C350000}"/>
    <cellStyle name="60% - Accent1 5 3 2" xfId="13764" xr:uid="{00000000-0005-0000-0000-00006D350000}"/>
    <cellStyle name="60% - Accent1 5 3 3" xfId="13765" xr:uid="{00000000-0005-0000-0000-00006E350000}"/>
    <cellStyle name="60% - Accent1 5 4" xfId="13766" xr:uid="{00000000-0005-0000-0000-00006F350000}"/>
    <cellStyle name="60% - Accent1 50" xfId="13767" xr:uid="{00000000-0005-0000-0000-000070350000}"/>
    <cellStyle name="60% - Accent1 51" xfId="13768" xr:uid="{00000000-0005-0000-0000-000071350000}"/>
    <cellStyle name="60% - Accent1 52" xfId="13769" xr:uid="{00000000-0005-0000-0000-000072350000}"/>
    <cellStyle name="60% - Accent1 53" xfId="13770" xr:uid="{00000000-0005-0000-0000-000073350000}"/>
    <cellStyle name="60% - Accent1 54" xfId="13771" xr:uid="{00000000-0005-0000-0000-000074350000}"/>
    <cellStyle name="60% - Accent1 55" xfId="13772" xr:uid="{00000000-0005-0000-0000-000075350000}"/>
    <cellStyle name="60% - Accent1 56" xfId="13773" xr:uid="{00000000-0005-0000-0000-000076350000}"/>
    <cellStyle name="60% - Accent1 57" xfId="13774" xr:uid="{00000000-0005-0000-0000-000077350000}"/>
    <cellStyle name="60% - Accent1 58" xfId="13775" xr:uid="{00000000-0005-0000-0000-000078350000}"/>
    <cellStyle name="60% - Accent1 59" xfId="13776" xr:uid="{00000000-0005-0000-0000-000079350000}"/>
    <cellStyle name="60% - Accent1 6" xfId="13777" xr:uid="{00000000-0005-0000-0000-00007A350000}"/>
    <cellStyle name="60% - Accent1 6 2" xfId="13778" xr:uid="{00000000-0005-0000-0000-00007B350000}"/>
    <cellStyle name="60% - Accent1 60" xfId="13779" xr:uid="{00000000-0005-0000-0000-00007C350000}"/>
    <cellStyle name="60% - Accent1 61" xfId="13780" xr:uid="{00000000-0005-0000-0000-00007D350000}"/>
    <cellStyle name="60% - Accent1 62" xfId="13781" xr:uid="{00000000-0005-0000-0000-00007E350000}"/>
    <cellStyle name="60% - Accent1 63" xfId="13782" xr:uid="{00000000-0005-0000-0000-00007F350000}"/>
    <cellStyle name="60% - Accent1 64" xfId="13783" xr:uid="{00000000-0005-0000-0000-000080350000}"/>
    <cellStyle name="60% - Accent1 65" xfId="13784" xr:uid="{00000000-0005-0000-0000-000081350000}"/>
    <cellStyle name="60% - Accent1 66" xfId="13785" xr:uid="{00000000-0005-0000-0000-000082350000}"/>
    <cellStyle name="60% - Accent1 67" xfId="13786" xr:uid="{00000000-0005-0000-0000-000083350000}"/>
    <cellStyle name="60% - Accent1 68" xfId="13787" xr:uid="{00000000-0005-0000-0000-000084350000}"/>
    <cellStyle name="60% - Accent1 69" xfId="13788" xr:uid="{00000000-0005-0000-0000-000085350000}"/>
    <cellStyle name="60% - Accent1 7" xfId="13789" xr:uid="{00000000-0005-0000-0000-000086350000}"/>
    <cellStyle name="60% - Accent1 7 2" xfId="13790" xr:uid="{00000000-0005-0000-0000-000087350000}"/>
    <cellStyle name="60% - Accent1 70" xfId="13791" xr:uid="{00000000-0005-0000-0000-000088350000}"/>
    <cellStyle name="60% - Accent1 71" xfId="13792" xr:uid="{00000000-0005-0000-0000-000089350000}"/>
    <cellStyle name="60% - Accent1 72" xfId="13793" xr:uid="{00000000-0005-0000-0000-00008A350000}"/>
    <cellStyle name="60% - Accent1 73" xfId="13794" xr:uid="{00000000-0005-0000-0000-00008B350000}"/>
    <cellStyle name="60% - Accent1 74" xfId="13795" xr:uid="{00000000-0005-0000-0000-00008C350000}"/>
    <cellStyle name="60% - Accent1 75" xfId="13796" xr:uid="{00000000-0005-0000-0000-00008D350000}"/>
    <cellStyle name="60% - Accent1 76" xfId="13797" xr:uid="{00000000-0005-0000-0000-00008E350000}"/>
    <cellStyle name="60% - Accent1 77" xfId="13798" xr:uid="{00000000-0005-0000-0000-00008F350000}"/>
    <cellStyle name="60% - Accent1 78" xfId="13799" xr:uid="{00000000-0005-0000-0000-000090350000}"/>
    <cellStyle name="60% - Accent1 79" xfId="13800" xr:uid="{00000000-0005-0000-0000-000091350000}"/>
    <cellStyle name="60% - Accent1 79 2" xfId="13801" xr:uid="{00000000-0005-0000-0000-000092350000}"/>
    <cellStyle name="60% - Accent1 8" xfId="13802" xr:uid="{00000000-0005-0000-0000-000093350000}"/>
    <cellStyle name="60% - Accent1 8 2" xfId="13803" xr:uid="{00000000-0005-0000-0000-000094350000}"/>
    <cellStyle name="60% - Accent1 80" xfId="13804" xr:uid="{00000000-0005-0000-0000-000095350000}"/>
    <cellStyle name="60% - Accent1 80 2" xfId="13805" xr:uid="{00000000-0005-0000-0000-000096350000}"/>
    <cellStyle name="60% - Accent1 81" xfId="13806" xr:uid="{00000000-0005-0000-0000-000097350000}"/>
    <cellStyle name="60% - Accent1 81 2" xfId="13807" xr:uid="{00000000-0005-0000-0000-000098350000}"/>
    <cellStyle name="60% - Accent1 82" xfId="13808" xr:uid="{00000000-0005-0000-0000-000099350000}"/>
    <cellStyle name="60% - Accent1 82 2" xfId="13809" xr:uid="{00000000-0005-0000-0000-00009A350000}"/>
    <cellStyle name="60% - Accent1 83" xfId="13810" xr:uid="{00000000-0005-0000-0000-00009B350000}"/>
    <cellStyle name="60% - Accent1 83 2" xfId="13811" xr:uid="{00000000-0005-0000-0000-00009C350000}"/>
    <cellStyle name="60% - Accent1 84" xfId="13812" xr:uid="{00000000-0005-0000-0000-00009D350000}"/>
    <cellStyle name="60% - Accent1 84 2" xfId="13813" xr:uid="{00000000-0005-0000-0000-00009E350000}"/>
    <cellStyle name="60% - Accent1 85" xfId="13814" xr:uid="{00000000-0005-0000-0000-00009F350000}"/>
    <cellStyle name="60% - Accent1 85 2" xfId="13815" xr:uid="{00000000-0005-0000-0000-0000A0350000}"/>
    <cellStyle name="60% - Accent1 86" xfId="13816" xr:uid="{00000000-0005-0000-0000-0000A1350000}"/>
    <cellStyle name="60% - Accent1 86 2" xfId="13817" xr:uid="{00000000-0005-0000-0000-0000A2350000}"/>
    <cellStyle name="60% - Accent1 87" xfId="13818" xr:uid="{00000000-0005-0000-0000-0000A3350000}"/>
    <cellStyle name="60% - Accent1 87 2" xfId="13819" xr:uid="{00000000-0005-0000-0000-0000A4350000}"/>
    <cellStyle name="60% - Accent1 88" xfId="13820" xr:uid="{00000000-0005-0000-0000-0000A5350000}"/>
    <cellStyle name="60% - Accent1 88 2" xfId="13821" xr:uid="{00000000-0005-0000-0000-0000A6350000}"/>
    <cellStyle name="60% - Accent1 89" xfId="13822" xr:uid="{00000000-0005-0000-0000-0000A7350000}"/>
    <cellStyle name="60% - Accent1 89 2" xfId="13823" xr:uid="{00000000-0005-0000-0000-0000A8350000}"/>
    <cellStyle name="60% - Accent1 9" xfId="13824" xr:uid="{00000000-0005-0000-0000-0000A9350000}"/>
    <cellStyle name="60% - Accent1 9 2" xfId="13825" xr:uid="{00000000-0005-0000-0000-0000AA350000}"/>
    <cellStyle name="60% - Accent1 90" xfId="13826" xr:uid="{00000000-0005-0000-0000-0000AB350000}"/>
    <cellStyle name="60% - Accent1 91" xfId="13827" xr:uid="{00000000-0005-0000-0000-0000AC350000}"/>
    <cellStyle name="60% - Accent1 92" xfId="13828" xr:uid="{00000000-0005-0000-0000-0000AD350000}"/>
    <cellStyle name="60% - Accent1 93" xfId="13829" xr:uid="{00000000-0005-0000-0000-0000AE350000}"/>
    <cellStyle name="60% - Accent1 94" xfId="13830" xr:uid="{00000000-0005-0000-0000-0000AF350000}"/>
    <cellStyle name="60% - Accent1 95" xfId="13831" xr:uid="{00000000-0005-0000-0000-0000B0350000}"/>
    <cellStyle name="60% - Accent1 96" xfId="13832" xr:uid="{00000000-0005-0000-0000-0000B1350000}"/>
    <cellStyle name="60% - Accent1 97" xfId="13833" xr:uid="{00000000-0005-0000-0000-0000B2350000}"/>
    <cellStyle name="60% - Accent1 98" xfId="13834" xr:uid="{00000000-0005-0000-0000-0000B3350000}"/>
    <cellStyle name="60% - Accent1 99" xfId="13835" xr:uid="{00000000-0005-0000-0000-0000B4350000}"/>
    <cellStyle name="60% - Accent2" xfId="25" builtinId="36" customBuiltin="1"/>
    <cellStyle name="60% - Accent2 10" xfId="13836" xr:uid="{00000000-0005-0000-0000-0000B6350000}"/>
    <cellStyle name="60% - Accent2 10 2" xfId="13837" xr:uid="{00000000-0005-0000-0000-0000B7350000}"/>
    <cellStyle name="60% - Accent2 100" xfId="13838" xr:uid="{00000000-0005-0000-0000-0000B8350000}"/>
    <cellStyle name="60% - Accent2 101" xfId="13839" xr:uid="{00000000-0005-0000-0000-0000B9350000}"/>
    <cellStyle name="60% - Accent2 102" xfId="13840" xr:uid="{00000000-0005-0000-0000-0000BA350000}"/>
    <cellStyle name="60% - Accent2 103" xfId="13841" xr:uid="{00000000-0005-0000-0000-0000BB350000}"/>
    <cellStyle name="60% - Accent2 104" xfId="13842" xr:uid="{00000000-0005-0000-0000-0000BC350000}"/>
    <cellStyle name="60% - Accent2 105" xfId="13843" xr:uid="{00000000-0005-0000-0000-0000BD350000}"/>
    <cellStyle name="60% - Accent2 106" xfId="13844" xr:uid="{00000000-0005-0000-0000-0000BE350000}"/>
    <cellStyle name="60% - Accent2 107" xfId="13845" xr:uid="{00000000-0005-0000-0000-0000BF350000}"/>
    <cellStyle name="60% - Accent2 108" xfId="13846" xr:uid="{00000000-0005-0000-0000-0000C0350000}"/>
    <cellStyle name="60% - Accent2 109" xfId="13847" xr:uid="{00000000-0005-0000-0000-0000C1350000}"/>
    <cellStyle name="60% - Accent2 11" xfId="13848" xr:uid="{00000000-0005-0000-0000-0000C2350000}"/>
    <cellStyle name="60% - Accent2 11 2" xfId="13849" xr:uid="{00000000-0005-0000-0000-0000C3350000}"/>
    <cellStyle name="60% - Accent2 110" xfId="13850" xr:uid="{00000000-0005-0000-0000-0000C4350000}"/>
    <cellStyle name="60% - Accent2 111" xfId="13851" xr:uid="{00000000-0005-0000-0000-0000C5350000}"/>
    <cellStyle name="60% - Accent2 112" xfId="13852" xr:uid="{00000000-0005-0000-0000-0000C6350000}"/>
    <cellStyle name="60% - Accent2 113" xfId="13853" xr:uid="{00000000-0005-0000-0000-0000C7350000}"/>
    <cellStyle name="60% - Accent2 114" xfId="13854" xr:uid="{00000000-0005-0000-0000-0000C8350000}"/>
    <cellStyle name="60% - Accent2 115" xfId="13855" xr:uid="{00000000-0005-0000-0000-0000C9350000}"/>
    <cellStyle name="60% - Accent2 116" xfId="13856" xr:uid="{00000000-0005-0000-0000-0000CA350000}"/>
    <cellStyle name="60% - Accent2 117" xfId="13857" xr:uid="{00000000-0005-0000-0000-0000CB350000}"/>
    <cellStyle name="60% - Accent2 118" xfId="13858" xr:uid="{00000000-0005-0000-0000-0000CC350000}"/>
    <cellStyle name="60% - Accent2 119" xfId="13859" xr:uid="{00000000-0005-0000-0000-0000CD350000}"/>
    <cellStyle name="60% - Accent2 12" xfId="13860" xr:uid="{00000000-0005-0000-0000-0000CE350000}"/>
    <cellStyle name="60% - Accent2 12 2" xfId="13861" xr:uid="{00000000-0005-0000-0000-0000CF350000}"/>
    <cellStyle name="60% - Accent2 120" xfId="13862" xr:uid="{00000000-0005-0000-0000-0000D0350000}"/>
    <cellStyle name="60% - Accent2 121" xfId="13863" xr:uid="{00000000-0005-0000-0000-0000D1350000}"/>
    <cellStyle name="60% - Accent2 122" xfId="13864" xr:uid="{00000000-0005-0000-0000-0000D2350000}"/>
    <cellStyle name="60% - Accent2 123" xfId="13865" xr:uid="{00000000-0005-0000-0000-0000D3350000}"/>
    <cellStyle name="60% - Accent2 124" xfId="13866" xr:uid="{00000000-0005-0000-0000-0000D4350000}"/>
    <cellStyle name="60% - Accent2 125" xfId="13867" xr:uid="{00000000-0005-0000-0000-0000D5350000}"/>
    <cellStyle name="60% - Accent2 126" xfId="13868" xr:uid="{00000000-0005-0000-0000-0000D6350000}"/>
    <cellStyle name="60% - Accent2 127" xfId="13869" xr:uid="{00000000-0005-0000-0000-0000D7350000}"/>
    <cellStyle name="60% - Accent2 128" xfId="13870" xr:uid="{00000000-0005-0000-0000-0000D8350000}"/>
    <cellStyle name="60% - Accent2 129" xfId="13871" xr:uid="{00000000-0005-0000-0000-0000D9350000}"/>
    <cellStyle name="60% - Accent2 13" xfId="13872" xr:uid="{00000000-0005-0000-0000-0000DA350000}"/>
    <cellStyle name="60% - Accent2 13 2" xfId="13873" xr:uid="{00000000-0005-0000-0000-0000DB350000}"/>
    <cellStyle name="60% - Accent2 130" xfId="13874" xr:uid="{00000000-0005-0000-0000-0000DC350000}"/>
    <cellStyle name="60% - Accent2 131" xfId="13875" xr:uid="{00000000-0005-0000-0000-0000DD350000}"/>
    <cellStyle name="60% - Accent2 132" xfId="13876" xr:uid="{00000000-0005-0000-0000-0000DE350000}"/>
    <cellStyle name="60% - Accent2 133" xfId="13877" xr:uid="{00000000-0005-0000-0000-0000DF350000}"/>
    <cellStyle name="60% - Accent2 134" xfId="13878" xr:uid="{00000000-0005-0000-0000-0000E0350000}"/>
    <cellStyle name="60% - Accent2 135" xfId="13879" xr:uid="{00000000-0005-0000-0000-0000E1350000}"/>
    <cellStyle name="60% - Accent2 136" xfId="13880" xr:uid="{00000000-0005-0000-0000-0000E2350000}"/>
    <cellStyle name="60% - Accent2 137" xfId="13881" xr:uid="{00000000-0005-0000-0000-0000E3350000}"/>
    <cellStyle name="60% - Accent2 138" xfId="13882" xr:uid="{00000000-0005-0000-0000-0000E4350000}"/>
    <cellStyle name="60% - Accent2 139" xfId="13883" xr:uid="{00000000-0005-0000-0000-0000E5350000}"/>
    <cellStyle name="60% - Accent2 14" xfId="13884" xr:uid="{00000000-0005-0000-0000-0000E6350000}"/>
    <cellStyle name="60% - Accent2 14 2" xfId="13885" xr:uid="{00000000-0005-0000-0000-0000E7350000}"/>
    <cellStyle name="60% - Accent2 140" xfId="13886" xr:uid="{00000000-0005-0000-0000-0000E8350000}"/>
    <cellStyle name="60% - Accent2 141" xfId="13887" xr:uid="{00000000-0005-0000-0000-0000E9350000}"/>
    <cellStyle name="60% - Accent2 142" xfId="13888" xr:uid="{00000000-0005-0000-0000-0000EA350000}"/>
    <cellStyle name="60% - Accent2 143" xfId="13889" xr:uid="{00000000-0005-0000-0000-0000EB350000}"/>
    <cellStyle name="60% - Accent2 144" xfId="13890" xr:uid="{00000000-0005-0000-0000-0000EC350000}"/>
    <cellStyle name="60% - Accent2 145" xfId="13891" xr:uid="{00000000-0005-0000-0000-0000ED350000}"/>
    <cellStyle name="60% - Accent2 146" xfId="13892" xr:uid="{00000000-0005-0000-0000-0000EE350000}"/>
    <cellStyle name="60% - Accent2 147" xfId="13893" xr:uid="{00000000-0005-0000-0000-0000EF350000}"/>
    <cellStyle name="60% - Accent2 148" xfId="13894" xr:uid="{00000000-0005-0000-0000-0000F0350000}"/>
    <cellStyle name="60% - Accent2 149" xfId="13895" xr:uid="{00000000-0005-0000-0000-0000F1350000}"/>
    <cellStyle name="60% - Accent2 15" xfId="13896" xr:uid="{00000000-0005-0000-0000-0000F2350000}"/>
    <cellStyle name="60% - Accent2 15 2" xfId="13897" xr:uid="{00000000-0005-0000-0000-0000F3350000}"/>
    <cellStyle name="60% - Accent2 150" xfId="13898" xr:uid="{00000000-0005-0000-0000-0000F4350000}"/>
    <cellStyle name="60% - Accent2 151" xfId="13899" xr:uid="{00000000-0005-0000-0000-0000F5350000}"/>
    <cellStyle name="60% - Accent2 152" xfId="13900" xr:uid="{00000000-0005-0000-0000-0000F6350000}"/>
    <cellStyle name="60% - Accent2 153" xfId="13901" xr:uid="{00000000-0005-0000-0000-0000F7350000}"/>
    <cellStyle name="60% - Accent2 154" xfId="13902" xr:uid="{00000000-0005-0000-0000-0000F8350000}"/>
    <cellStyle name="60% - Accent2 155" xfId="13903" xr:uid="{00000000-0005-0000-0000-0000F9350000}"/>
    <cellStyle name="60% - Accent2 156" xfId="13904" xr:uid="{00000000-0005-0000-0000-0000FA350000}"/>
    <cellStyle name="60% - Accent2 157" xfId="13905" xr:uid="{00000000-0005-0000-0000-0000FB350000}"/>
    <cellStyle name="60% - Accent2 158" xfId="13906" xr:uid="{00000000-0005-0000-0000-0000FC350000}"/>
    <cellStyle name="60% - Accent2 159" xfId="13907" xr:uid="{00000000-0005-0000-0000-0000FD350000}"/>
    <cellStyle name="60% - Accent2 16" xfId="13908" xr:uid="{00000000-0005-0000-0000-0000FE350000}"/>
    <cellStyle name="60% - Accent2 160" xfId="13909" xr:uid="{00000000-0005-0000-0000-0000FF350000}"/>
    <cellStyle name="60% - Accent2 161" xfId="13910" xr:uid="{00000000-0005-0000-0000-000000360000}"/>
    <cellStyle name="60% - Accent2 162" xfId="13911" xr:uid="{00000000-0005-0000-0000-000001360000}"/>
    <cellStyle name="60% - Accent2 163" xfId="13912" xr:uid="{00000000-0005-0000-0000-000002360000}"/>
    <cellStyle name="60% - Accent2 164" xfId="13913" xr:uid="{00000000-0005-0000-0000-000003360000}"/>
    <cellStyle name="60% - Accent2 165" xfId="13914" xr:uid="{00000000-0005-0000-0000-000004360000}"/>
    <cellStyle name="60% - Accent2 166" xfId="13915" xr:uid="{00000000-0005-0000-0000-000005360000}"/>
    <cellStyle name="60% - Accent2 167" xfId="13916" xr:uid="{00000000-0005-0000-0000-000006360000}"/>
    <cellStyle name="60% - Accent2 17" xfId="13917" xr:uid="{00000000-0005-0000-0000-000007360000}"/>
    <cellStyle name="60% - Accent2 18" xfId="13918" xr:uid="{00000000-0005-0000-0000-000008360000}"/>
    <cellStyle name="60% - Accent2 19" xfId="13919" xr:uid="{00000000-0005-0000-0000-000009360000}"/>
    <cellStyle name="60% - Accent2 2" xfId="13920" xr:uid="{00000000-0005-0000-0000-00000A360000}"/>
    <cellStyle name="60% - Accent2 2 10" xfId="13921" xr:uid="{00000000-0005-0000-0000-00000B360000}"/>
    <cellStyle name="60% - Accent2 2 11" xfId="13922" xr:uid="{00000000-0005-0000-0000-00000C360000}"/>
    <cellStyle name="60% - Accent2 2 12" xfId="13923" xr:uid="{00000000-0005-0000-0000-00000D360000}"/>
    <cellStyle name="60% - Accent2 2 13" xfId="13924" xr:uid="{00000000-0005-0000-0000-00000E360000}"/>
    <cellStyle name="60% - Accent2 2 14" xfId="13925" xr:uid="{00000000-0005-0000-0000-00000F360000}"/>
    <cellStyle name="60% - Accent2 2 15" xfId="13926" xr:uid="{00000000-0005-0000-0000-000010360000}"/>
    <cellStyle name="60% - Accent2 2 16" xfId="13927" xr:uid="{00000000-0005-0000-0000-000011360000}"/>
    <cellStyle name="60% - Accent2 2 17" xfId="13928" xr:uid="{00000000-0005-0000-0000-000012360000}"/>
    <cellStyle name="60% - Accent2 2 18" xfId="13929" xr:uid="{00000000-0005-0000-0000-000013360000}"/>
    <cellStyle name="60% - Accent2 2 19" xfId="13930" xr:uid="{00000000-0005-0000-0000-000014360000}"/>
    <cellStyle name="60% - Accent2 2 2" xfId="13931" xr:uid="{00000000-0005-0000-0000-000015360000}"/>
    <cellStyle name="60% - Accent2 2 20" xfId="13932" xr:uid="{00000000-0005-0000-0000-000016360000}"/>
    <cellStyle name="60% - Accent2 2 21" xfId="13933" xr:uid="{00000000-0005-0000-0000-000017360000}"/>
    <cellStyle name="60% - Accent2 2 22" xfId="13934" xr:uid="{00000000-0005-0000-0000-000018360000}"/>
    <cellStyle name="60% - Accent2 2 23" xfId="13935" xr:uid="{00000000-0005-0000-0000-000019360000}"/>
    <cellStyle name="60% - Accent2 2 24" xfId="13936" xr:uid="{00000000-0005-0000-0000-00001A360000}"/>
    <cellStyle name="60% - Accent2 2 25" xfId="13937" xr:uid="{00000000-0005-0000-0000-00001B360000}"/>
    <cellStyle name="60% - Accent2 2 26" xfId="13938" xr:uid="{00000000-0005-0000-0000-00001C360000}"/>
    <cellStyle name="60% - Accent2 2 27" xfId="13939" xr:uid="{00000000-0005-0000-0000-00001D360000}"/>
    <cellStyle name="60% - Accent2 2 28" xfId="13940" xr:uid="{00000000-0005-0000-0000-00001E360000}"/>
    <cellStyle name="60% - Accent2 2 29" xfId="13941" xr:uid="{00000000-0005-0000-0000-00001F360000}"/>
    <cellStyle name="60% - Accent2 2 3" xfId="13942" xr:uid="{00000000-0005-0000-0000-000020360000}"/>
    <cellStyle name="60% - Accent2 2 30" xfId="13943" xr:uid="{00000000-0005-0000-0000-000021360000}"/>
    <cellStyle name="60% - Accent2 2 31" xfId="13944" xr:uid="{00000000-0005-0000-0000-000022360000}"/>
    <cellStyle name="60% - Accent2 2 32" xfId="13945" xr:uid="{00000000-0005-0000-0000-000023360000}"/>
    <cellStyle name="60% - Accent2 2 33" xfId="13946" xr:uid="{00000000-0005-0000-0000-000024360000}"/>
    <cellStyle name="60% - Accent2 2 34" xfId="13947" xr:uid="{00000000-0005-0000-0000-000025360000}"/>
    <cellStyle name="60% - Accent2 2 35" xfId="13948" xr:uid="{00000000-0005-0000-0000-000026360000}"/>
    <cellStyle name="60% - Accent2 2 4" xfId="13949" xr:uid="{00000000-0005-0000-0000-000027360000}"/>
    <cellStyle name="60% - Accent2 2 5" xfId="13950" xr:uid="{00000000-0005-0000-0000-000028360000}"/>
    <cellStyle name="60% - Accent2 2 6" xfId="13951" xr:uid="{00000000-0005-0000-0000-000029360000}"/>
    <cellStyle name="60% - Accent2 2 7" xfId="13952" xr:uid="{00000000-0005-0000-0000-00002A360000}"/>
    <cellStyle name="60% - Accent2 2 8" xfId="13953" xr:uid="{00000000-0005-0000-0000-00002B360000}"/>
    <cellStyle name="60% - Accent2 2 9" xfId="13954" xr:uid="{00000000-0005-0000-0000-00002C360000}"/>
    <cellStyle name="60% - Accent2 20" xfId="13955" xr:uid="{00000000-0005-0000-0000-00002D360000}"/>
    <cellStyle name="60% - Accent2 20 10" xfId="13956" xr:uid="{00000000-0005-0000-0000-00002E360000}"/>
    <cellStyle name="60% - Accent2 20 11" xfId="13957" xr:uid="{00000000-0005-0000-0000-00002F360000}"/>
    <cellStyle name="60% - Accent2 20 12" xfId="13958" xr:uid="{00000000-0005-0000-0000-000030360000}"/>
    <cellStyle name="60% - Accent2 20 13" xfId="13959" xr:uid="{00000000-0005-0000-0000-000031360000}"/>
    <cellStyle name="60% - Accent2 20 14" xfId="13960" xr:uid="{00000000-0005-0000-0000-000032360000}"/>
    <cellStyle name="60% - Accent2 20 15" xfId="13961" xr:uid="{00000000-0005-0000-0000-000033360000}"/>
    <cellStyle name="60% - Accent2 20 16" xfId="13962" xr:uid="{00000000-0005-0000-0000-000034360000}"/>
    <cellStyle name="60% - Accent2 20 2" xfId="13963" xr:uid="{00000000-0005-0000-0000-000035360000}"/>
    <cellStyle name="60% - Accent2 20 3" xfId="13964" xr:uid="{00000000-0005-0000-0000-000036360000}"/>
    <cellStyle name="60% - Accent2 20 4" xfId="13965" xr:uid="{00000000-0005-0000-0000-000037360000}"/>
    <cellStyle name="60% - Accent2 20 5" xfId="13966" xr:uid="{00000000-0005-0000-0000-000038360000}"/>
    <cellStyle name="60% - Accent2 20 6" xfId="13967" xr:uid="{00000000-0005-0000-0000-000039360000}"/>
    <cellStyle name="60% - Accent2 20 7" xfId="13968" xr:uid="{00000000-0005-0000-0000-00003A360000}"/>
    <cellStyle name="60% - Accent2 20 8" xfId="13969" xr:uid="{00000000-0005-0000-0000-00003B360000}"/>
    <cellStyle name="60% - Accent2 20 9" xfId="13970" xr:uid="{00000000-0005-0000-0000-00003C360000}"/>
    <cellStyle name="60% - Accent2 21" xfId="13971" xr:uid="{00000000-0005-0000-0000-00003D360000}"/>
    <cellStyle name="60% - Accent2 21 2" xfId="13972" xr:uid="{00000000-0005-0000-0000-00003E360000}"/>
    <cellStyle name="60% - Accent2 21 3" xfId="13973" xr:uid="{00000000-0005-0000-0000-00003F360000}"/>
    <cellStyle name="60% - Accent2 22" xfId="13974" xr:uid="{00000000-0005-0000-0000-000040360000}"/>
    <cellStyle name="60% - Accent2 23" xfId="13975" xr:uid="{00000000-0005-0000-0000-000041360000}"/>
    <cellStyle name="60% - Accent2 24" xfId="13976" xr:uid="{00000000-0005-0000-0000-000042360000}"/>
    <cellStyle name="60% - Accent2 25" xfId="13977" xr:uid="{00000000-0005-0000-0000-000043360000}"/>
    <cellStyle name="60% - Accent2 26" xfId="13978" xr:uid="{00000000-0005-0000-0000-000044360000}"/>
    <cellStyle name="60% - Accent2 27" xfId="13979" xr:uid="{00000000-0005-0000-0000-000045360000}"/>
    <cellStyle name="60% - Accent2 28" xfId="13980" xr:uid="{00000000-0005-0000-0000-000046360000}"/>
    <cellStyle name="60% - Accent2 29" xfId="13981" xr:uid="{00000000-0005-0000-0000-000047360000}"/>
    <cellStyle name="60% - Accent2 3" xfId="13982" xr:uid="{00000000-0005-0000-0000-000048360000}"/>
    <cellStyle name="60% - Accent2 3 10" xfId="13983" xr:uid="{00000000-0005-0000-0000-000049360000}"/>
    <cellStyle name="60% - Accent2 3 10 10" xfId="13984" xr:uid="{00000000-0005-0000-0000-00004A360000}"/>
    <cellStyle name="60% - Accent2 3 10 11" xfId="13985" xr:uid="{00000000-0005-0000-0000-00004B360000}"/>
    <cellStyle name="60% - Accent2 3 10 12" xfId="13986" xr:uid="{00000000-0005-0000-0000-00004C360000}"/>
    <cellStyle name="60% - Accent2 3 10 13" xfId="13987" xr:uid="{00000000-0005-0000-0000-00004D360000}"/>
    <cellStyle name="60% - Accent2 3 10 14" xfId="13988" xr:uid="{00000000-0005-0000-0000-00004E360000}"/>
    <cellStyle name="60% - Accent2 3 10 15" xfId="13989" xr:uid="{00000000-0005-0000-0000-00004F360000}"/>
    <cellStyle name="60% - Accent2 3 10 2" xfId="13990" xr:uid="{00000000-0005-0000-0000-000050360000}"/>
    <cellStyle name="60% - Accent2 3 10 3" xfId="13991" xr:uid="{00000000-0005-0000-0000-000051360000}"/>
    <cellStyle name="60% - Accent2 3 10 4" xfId="13992" xr:uid="{00000000-0005-0000-0000-000052360000}"/>
    <cellStyle name="60% - Accent2 3 10 5" xfId="13993" xr:uid="{00000000-0005-0000-0000-000053360000}"/>
    <cellStyle name="60% - Accent2 3 10 6" xfId="13994" xr:uid="{00000000-0005-0000-0000-000054360000}"/>
    <cellStyle name="60% - Accent2 3 10 7" xfId="13995" xr:uid="{00000000-0005-0000-0000-000055360000}"/>
    <cellStyle name="60% - Accent2 3 10 8" xfId="13996" xr:uid="{00000000-0005-0000-0000-000056360000}"/>
    <cellStyle name="60% - Accent2 3 10 9" xfId="13997" xr:uid="{00000000-0005-0000-0000-000057360000}"/>
    <cellStyle name="60% - Accent2 3 11" xfId="13998" xr:uid="{00000000-0005-0000-0000-000058360000}"/>
    <cellStyle name="60% - Accent2 3 11 10" xfId="13999" xr:uid="{00000000-0005-0000-0000-000059360000}"/>
    <cellStyle name="60% - Accent2 3 11 11" xfId="14000" xr:uid="{00000000-0005-0000-0000-00005A360000}"/>
    <cellStyle name="60% - Accent2 3 11 12" xfId="14001" xr:uid="{00000000-0005-0000-0000-00005B360000}"/>
    <cellStyle name="60% - Accent2 3 11 13" xfId="14002" xr:uid="{00000000-0005-0000-0000-00005C360000}"/>
    <cellStyle name="60% - Accent2 3 11 14" xfId="14003" xr:uid="{00000000-0005-0000-0000-00005D360000}"/>
    <cellStyle name="60% - Accent2 3 11 15" xfId="14004" xr:uid="{00000000-0005-0000-0000-00005E360000}"/>
    <cellStyle name="60% - Accent2 3 11 2" xfId="14005" xr:uid="{00000000-0005-0000-0000-00005F360000}"/>
    <cellStyle name="60% - Accent2 3 11 3" xfId="14006" xr:uid="{00000000-0005-0000-0000-000060360000}"/>
    <cellStyle name="60% - Accent2 3 11 4" xfId="14007" xr:uid="{00000000-0005-0000-0000-000061360000}"/>
    <cellStyle name="60% - Accent2 3 11 5" xfId="14008" xr:uid="{00000000-0005-0000-0000-000062360000}"/>
    <cellStyle name="60% - Accent2 3 11 6" xfId="14009" xr:uid="{00000000-0005-0000-0000-000063360000}"/>
    <cellStyle name="60% - Accent2 3 11 7" xfId="14010" xr:uid="{00000000-0005-0000-0000-000064360000}"/>
    <cellStyle name="60% - Accent2 3 11 8" xfId="14011" xr:uid="{00000000-0005-0000-0000-000065360000}"/>
    <cellStyle name="60% - Accent2 3 11 9" xfId="14012" xr:uid="{00000000-0005-0000-0000-000066360000}"/>
    <cellStyle name="60% - Accent2 3 12" xfId="14013" xr:uid="{00000000-0005-0000-0000-000067360000}"/>
    <cellStyle name="60% - Accent2 3 12 10" xfId="14014" xr:uid="{00000000-0005-0000-0000-000068360000}"/>
    <cellStyle name="60% - Accent2 3 12 11" xfId="14015" xr:uid="{00000000-0005-0000-0000-000069360000}"/>
    <cellStyle name="60% - Accent2 3 12 12" xfId="14016" xr:uid="{00000000-0005-0000-0000-00006A360000}"/>
    <cellStyle name="60% - Accent2 3 12 13" xfId="14017" xr:uid="{00000000-0005-0000-0000-00006B360000}"/>
    <cellStyle name="60% - Accent2 3 12 14" xfId="14018" xr:uid="{00000000-0005-0000-0000-00006C360000}"/>
    <cellStyle name="60% - Accent2 3 12 15" xfId="14019" xr:uid="{00000000-0005-0000-0000-00006D360000}"/>
    <cellStyle name="60% - Accent2 3 12 2" xfId="14020" xr:uid="{00000000-0005-0000-0000-00006E360000}"/>
    <cellStyle name="60% - Accent2 3 12 3" xfId="14021" xr:uid="{00000000-0005-0000-0000-00006F360000}"/>
    <cellStyle name="60% - Accent2 3 12 4" xfId="14022" xr:uid="{00000000-0005-0000-0000-000070360000}"/>
    <cellStyle name="60% - Accent2 3 12 5" xfId="14023" xr:uid="{00000000-0005-0000-0000-000071360000}"/>
    <cellStyle name="60% - Accent2 3 12 6" xfId="14024" xr:uid="{00000000-0005-0000-0000-000072360000}"/>
    <cellStyle name="60% - Accent2 3 12 7" xfId="14025" xr:uid="{00000000-0005-0000-0000-000073360000}"/>
    <cellStyle name="60% - Accent2 3 12 8" xfId="14026" xr:uid="{00000000-0005-0000-0000-000074360000}"/>
    <cellStyle name="60% - Accent2 3 12 9" xfId="14027" xr:uid="{00000000-0005-0000-0000-000075360000}"/>
    <cellStyle name="60% - Accent2 3 13" xfId="14028" xr:uid="{00000000-0005-0000-0000-000076360000}"/>
    <cellStyle name="60% - Accent2 3 13 10" xfId="14029" xr:uid="{00000000-0005-0000-0000-000077360000}"/>
    <cellStyle name="60% - Accent2 3 13 11" xfId="14030" xr:uid="{00000000-0005-0000-0000-000078360000}"/>
    <cellStyle name="60% - Accent2 3 13 12" xfId="14031" xr:uid="{00000000-0005-0000-0000-000079360000}"/>
    <cellStyle name="60% - Accent2 3 13 13" xfId="14032" xr:uid="{00000000-0005-0000-0000-00007A360000}"/>
    <cellStyle name="60% - Accent2 3 13 14" xfId="14033" xr:uid="{00000000-0005-0000-0000-00007B360000}"/>
    <cellStyle name="60% - Accent2 3 13 15" xfId="14034" xr:uid="{00000000-0005-0000-0000-00007C360000}"/>
    <cellStyle name="60% - Accent2 3 13 2" xfId="14035" xr:uid="{00000000-0005-0000-0000-00007D360000}"/>
    <cellStyle name="60% - Accent2 3 13 3" xfId="14036" xr:uid="{00000000-0005-0000-0000-00007E360000}"/>
    <cellStyle name="60% - Accent2 3 13 4" xfId="14037" xr:uid="{00000000-0005-0000-0000-00007F360000}"/>
    <cellStyle name="60% - Accent2 3 13 5" xfId="14038" xr:uid="{00000000-0005-0000-0000-000080360000}"/>
    <cellStyle name="60% - Accent2 3 13 6" xfId="14039" xr:uid="{00000000-0005-0000-0000-000081360000}"/>
    <cellStyle name="60% - Accent2 3 13 7" xfId="14040" xr:uid="{00000000-0005-0000-0000-000082360000}"/>
    <cellStyle name="60% - Accent2 3 13 8" xfId="14041" xr:uid="{00000000-0005-0000-0000-000083360000}"/>
    <cellStyle name="60% - Accent2 3 13 9" xfId="14042" xr:uid="{00000000-0005-0000-0000-000084360000}"/>
    <cellStyle name="60% - Accent2 3 14" xfId="14043" xr:uid="{00000000-0005-0000-0000-000085360000}"/>
    <cellStyle name="60% - Accent2 3 14 10" xfId="14044" xr:uid="{00000000-0005-0000-0000-000086360000}"/>
    <cellStyle name="60% - Accent2 3 14 11" xfId="14045" xr:uid="{00000000-0005-0000-0000-000087360000}"/>
    <cellStyle name="60% - Accent2 3 14 12" xfId="14046" xr:uid="{00000000-0005-0000-0000-000088360000}"/>
    <cellStyle name="60% - Accent2 3 14 13" xfId="14047" xr:uid="{00000000-0005-0000-0000-000089360000}"/>
    <cellStyle name="60% - Accent2 3 14 14" xfId="14048" xr:uid="{00000000-0005-0000-0000-00008A360000}"/>
    <cellStyle name="60% - Accent2 3 14 15" xfId="14049" xr:uid="{00000000-0005-0000-0000-00008B360000}"/>
    <cellStyle name="60% - Accent2 3 14 2" xfId="14050" xr:uid="{00000000-0005-0000-0000-00008C360000}"/>
    <cellStyle name="60% - Accent2 3 14 3" xfId="14051" xr:uid="{00000000-0005-0000-0000-00008D360000}"/>
    <cellStyle name="60% - Accent2 3 14 4" xfId="14052" xr:uid="{00000000-0005-0000-0000-00008E360000}"/>
    <cellStyle name="60% - Accent2 3 14 5" xfId="14053" xr:uid="{00000000-0005-0000-0000-00008F360000}"/>
    <cellStyle name="60% - Accent2 3 14 6" xfId="14054" xr:uid="{00000000-0005-0000-0000-000090360000}"/>
    <cellStyle name="60% - Accent2 3 14 7" xfId="14055" xr:uid="{00000000-0005-0000-0000-000091360000}"/>
    <cellStyle name="60% - Accent2 3 14 8" xfId="14056" xr:uid="{00000000-0005-0000-0000-000092360000}"/>
    <cellStyle name="60% - Accent2 3 14 9" xfId="14057" xr:uid="{00000000-0005-0000-0000-000093360000}"/>
    <cellStyle name="60% - Accent2 3 15" xfId="14058" xr:uid="{00000000-0005-0000-0000-000094360000}"/>
    <cellStyle name="60% - Accent2 3 15 10" xfId="14059" xr:uid="{00000000-0005-0000-0000-000095360000}"/>
    <cellStyle name="60% - Accent2 3 15 11" xfId="14060" xr:uid="{00000000-0005-0000-0000-000096360000}"/>
    <cellStyle name="60% - Accent2 3 15 12" xfId="14061" xr:uid="{00000000-0005-0000-0000-000097360000}"/>
    <cellStyle name="60% - Accent2 3 15 13" xfId="14062" xr:uid="{00000000-0005-0000-0000-000098360000}"/>
    <cellStyle name="60% - Accent2 3 15 14" xfId="14063" xr:uid="{00000000-0005-0000-0000-000099360000}"/>
    <cellStyle name="60% - Accent2 3 15 15" xfId="14064" xr:uid="{00000000-0005-0000-0000-00009A360000}"/>
    <cellStyle name="60% - Accent2 3 15 2" xfId="14065" xr:uid="{00000000-0005-0000-0000-00009B360000}"/>
    <cellStyle name="60% - Accent2 3 15 3" xfId="14066" xr:uid="{00000000-0005-0000-0000-00009C360000}"/>
    <cellStyle name="60% - Accent2 3 15 4" xfId="14067" xr:uid="{00000000-0005-0000-0000-00009D360000}"/>
    <cellStyle name="60% - Accent2 3 15 5" xfId="14068" xr:uid="{00000000-0005-0000-0000-00009E360000}"/>
    <cellStyle name="60% - Accent2 3 15 6" xfId="14069" xr:uid="{00000000-0005-0000-0000-00009F360000}"/>
    <cellStyle name="60% - Accent2 3 15 7" xfId="14070" xr:uid="{00000000-0005-0000-0000-0000A0360000}"/>
    <cellStyle name="60% - Accent2 3 15 8" xfId="14071" xr:uid="{00000000-0005-0000-0000-0000A1360000}"/>
    <cellStyle name="60% - Accent2 3 15 9" xfId="14072" xr:uid="{00000000-0005-0000-0000-0000A2360000}"/>
    <cellStyle name="60% - Accent2 3 16" xfId="14073" xr:uid="{00000000-0005-0000-0000-0000A3360000}"/>
    <cellStyle name="60% - Accent2 3 16 10" xfId="14074" xr:uid="{00000000-0005-0000-0000-0000A4360000}"/>
    <cellStyle name="60% - Accent2 3 16 11" xfId="14075" xr:uid="{00000000-0005-0000-0000-0000A5360000}"/>
    <cellStyle name="60% - Accent2 3 16 12" xfId="14076" xr:uid="{00000000-0005-0000-0000-0000A6360000}"/>
    <cellStyle name="60% - Accent2 3 16 13" xfId="14077" xr:uid="{00000000-0005-0000-0000-0000A7360000}"/>
    <cellStyle name="60% - Accent2 3 16 14" xfId="14078" xr:uid="{00000000-0005-0000-0000-0000A8360000}"/>
    <cellStyle name="60% - Accent2 3 16 15" xfId="14079" xr:uid="{00000000-0005-0000-0000-0000A9360000}"/>
    <cellStyle name="60% - Accent2 3 16 2" xfId="14080" xr:uid="{00000000-0005-0000-0000-0000AA360000}"/>
    <cellStyle name="60% - Accent2 3 16 3" xfId="14081" xr:uid="{00000000-0005-0000-0000-0000AB360000}"/>
    <cellStyle name="60% - Accent2 3 16 4" xfId="14082" xr:uid="{00000000-0005-0000-0000-0000AC360000}"/>
    <cellStyle name="60% - Accent2 3 16 5" xfId="14083" xr:uid="{00000000-0005-0000-0000-0000AD360000}"/>
    <cellStyle name="60% - Accent2 3 16 6" xfId="14084" xr:uid="{00000000-0005-0000-0000-0000AE360000}"/>
    <cellStyle name="60% - Accent2 3 16 7" xfId="14085" xr:uid="{00000000-0005-0000-0000-0000AF360000}"/>
    <cellStyle name="60% - Accent2 3 16 8" xfId="14086" xr:uid="{00000000-0005-0000-0000-0000B0360000}"/>
    <cellStyle name="60% - Accent2 3 16 9" xfId="14087" xr:uid="{00000000-0005-0000-0000-0000B1360000}"/>
    <cellStyle name="60% - Accent2 3 17" xfId="14088" xr:uid="{00000000-0005-0000-0000-0000B2360000}"/>
    <cellStyle name="60% - Accent2 3 17 10" xfId="14089" xr:uid="{00000000-0005-0000-0000-0000B3360000}"/>
    <cellStyle name="60% - Accent2 3 17 11" xfId="14090" xr:uid="{00000000-0005-0000-0000-0000B4360000}"/>
    <cellStyle name="60% - Accent2 3 17 12" xfId="14091" xr:uid="{00000000-0005-0000-0000-0000B5360000}"/>
    <cellStyle name="60% - Accent2 3 17 13" xfId="14092" xr:uid="{00000000-0005-0000-0000-0000B6360000}"/>
    <cellStyle name="60% - Accent2 3 17 14" xfId="14093" xr:uid="{00000000-0005-0000-0000-0000B7360000}"/>
    <cellStyle name="60% - Accent2 3 17 15" xfId="14094" xr:uid="{00000000-0005-0000-0000-0000B8360000}"/>
    <cellStyle name="60% - Accent2 3 17 2" xfId="14095" xr:uid="{00000000-0005-0000-0000-0000B9360000}"/>
    <cellStyle name="60% - Accent2 3 17 3" xfId="14096" xr:uid="{00000000-0005-0000-0000-0000BA360000}"/>
    <cellStyle name="60% - Accent2 3 17 4" xfId="14097" xr:uid="{00000000-0005-0000-0000-0000BB360000}"/>
    <cellStyle name="60% - Accent2 3 17 5" xfId="14098" xr:uid="{00000000-0005-0000-0000-0000BC360000}"/>
    <cellStyle name="60% - Accent2 3 17 6" xfId="14099" xr:uid="{00000000-0005-0000-0000-0000BD360000}"/>
    <cellStyle name="60% - Accent2 3 17 7" xfId="14100" xr:uid="{00000000-0005-0000-0000-0000BE360000}"/>
    <cellStyle name="60% - Accent2 3 17 8" xfId="14101" xr:uid="{00000000-0005-0000-0000-0000BF360000}"/>
    <cellStyle name="60% - Accent2 3 17 9" xfId="14102" xr:uid="{00000000-0005-0000-0000-0000C0360000}"/>
    <cellStyle name="60% - Accent2 3 18" xfId="14103" xr:uid="{00000000-0005-0000-0000-0000C1360000}"/>
    <cellStyle name="60% - Accent2 3 18 10" xfId="14104" xr:uid="{00000000-0005-0000-0000-0000C2360000}"/>
    <cellStyle name="60% - Accent2 3 18 11" xfId="14105" xr:uid="{00000000-0005-0000-0000-0000C3360000}"/>
    <cellStyle name="60% - Accent2 3 18 12" xfId="14106" xr:uid="{00000000-0005-0000-0000-0000C4360000}"/>
    <cellStyle name="60% - Accent2 3 18 13" xfId="14107" xr:uid="{00000000-0005-0000-0000-0000C5360000}"/>
    <cellStyle name="60% - Accent2 3 18 14" xfId="14108" xr:uid="{00000000-0005-0000-0000-0000C6360000}"/>
    <cellStyle name="60% - Accent2 3 18 15" xfId="14109" xr:uid="{00000000-0005-0000-0000-0000C7360000}"/>
    <cellStyle name="60% - Accent2 3 18 2" xfId="14110" xr:uid="{00000000-0005-0000-0000-0000C8360000}"/>
    <cellStyle name="60% - Accent2 3 18 3" xfId="14111" xr:uid="{00000000-0005-0000-0000-0000C9360000}"/>
    <cellStyle name="60% - Accent2 3 18 4" xfId="14112" xr:uid="{00000000-0005-0000-0000-0000CA360000}"/>
    <cellStyle name="60% - Accent2 3 18 5" xfId="14113" xr:uid="{00000000-0005-0000-0000-0000CB360000}"/>
    <cellStyle name="60% - Accent2 3 18 6" xfId="14114" xr:uid="{00000000-0005-0000-0000-0000CC360000}"/>
    <cellStyle name="60% - Accent2 3 18 7" xfId="14115" xr:uid="{00000000-0005-0000-0000-0000CD360000}"/>
    <cellStyle name="60% - Accent2 3 18 8" xfId="14116" xr:uid="{00000000-0005-0000-0000-0000CE360000}"/>
    <cellStyle name="60% - Accent2 3 18 9" xfId="14117" xr:uid="{00000000-0005-0000-0000-0000CF360000}"/>
    <cellStyle name="60% - Accent2 3 19" xfId="14118" xr:uid="{00000000-0005-0000-0000-0000D0360000}"/>
    <cellStyle name="60% - Accent2 3 19 10" xfId="14119" xr:uid="{00000000-0005-0000-0000-0000D1360000}"/>
    <cellStyle name="60% - Accent2 3 19 11" xfId="14120" xr:uid="{00000000-0005-0000-0000-0000D2360000}"/>
    <cellStyle name="60% - Accent2 3 19 12" xfId="14121" xr:uid="{00000000-0005-0000-0000-0000D3360000}"/>
    <cellStyle name="60% - Accent2 3 19 13" xfId="14122" xr:uid="{00000000-0005-0000-0000-0000D4360000}"/>
    <cellStyle name="60% - Accent2 3 19 14" xfId="14123" xr:uid="{00000000-0005-0000-0000-0000D5360000}"/>
    <cellStyle name="60% - Accent2 3 19 15" xfId="14124" xr:uid="{00000000-0005-0000-0000-0000D6360000}"/>
    <cellStyle name="60% - Accent2 3 19 2" xfId="14125" xr:uid="{00000000-0005-0000-0000-0000D7360000}"/>
    <cellStyle name="60% - Accent2 3 19 3" xfId="14126" xr:uid="{00000000-0005-0000-0000-0000D8360000}"/>
    <cellStyle name="60% - Accent2 3 19 4" xfId="14127" xr:uid="{00000000-0005-0000-0000-0000D9360000}"/>
    <cellStyle name="60% - Accent2 3 19 5" xfId="14128" xr:uid="{00000000-0005-0000-0000-0000DA360000}"/>
    <cellStyle name="60% - Accent2 3 19 6" xfId="14129" xr:uid="{00000000-0005-0000-0000-0000DB360000}"/>
    <cellStyle name="60% - Accent2 3 19 7" xfId="14130" xr:uid="{00000000-0005-0000-0000-0000DC360000}"/>
    <cellStyle name="60% - Accent2 3 19 8" xfId="14131" xr:uid="{00000000-0005-0000-0000-0000DD360000}"/>
    <cellStyle name="60% - Accent2 3 19 9" xfId="14132" xr:uid="{00000000-0005-0000-0000-0000DE360000}"/>
    <cellStyle name="60% - Accent2 3 2" xfId="14133" xr:uid="{00000000-0005-0000-0000-0000DF360000}"/>
    <cellStyle name="60% - Accent2 3 2 10" xfId="14134" xr:uid="{00000000-0005-0000-0000-0000E0360000}"/>
    <cellStyle name="60% - Accent2 3 2 11" xfId="14135" xr:uid="{00000000-0005-0000-0000-0000E1360000}"/>
    <cellStyle name="60% - Accent2 3 2 12" xfId="14136" xr:uid="{00000000-0005-0000-0000-0000E2360000}"/>
    <cellStyle name="60% - Accent2 3 2 13" xfId="14137" xr:uid="{00000000-0005-0000-0000-0000E3360000}"/>
    <cellStyle name="60% - Accent2 3 2 14" xfId="14138" xr:uid="{00000000-0005-0000-0000-0000E4360000}"/>
    <cellStyle name="60% - Accent2 3 2 15" xfId="14139" xr:uid="{00000000-0005-0000-0000-0000E5360000}"/>
    <cellStyle name="60% - Accent2 3 2 16" xfId="14140" xr:uid="{00000000-0005-0000-0000-0000E6360000}"/>
    <cellStyle name="60% - Accent2 3 2 17" xfId="14141" xr:uid="{00000000-0005-0000-0000-0000E7360000}"/>
    <cellStyle name="60% - Accent2 3 2 18" xfId="14142" xr:uid="{00000000-0005-0000-0000-0000E8360000}"/>
    <cellStyle name="60% - Accent2 3 2 19" xfId="14143" xr:uid="{00000000-0005-0000-0000-0000E9360000}"/>
    <cellStyle name="60% - Accent2 3 2 2" xfId="14144" xr:uid="{00000000-0005-0000-0000-0000EA360000}"/>
    <cellStyle name="60% - Accent2 3 2 20" xfId="14145" xr:uid="{00000000-0005-0000-0000-0000EB360000}"/>
    <cellStyle name="60% - Accent2 3 2 21" xfId="14146" xr:uid="{00000000-0005-0000-0000-0000EC360000}"/>
    <cellStyle name="60% - Accent2 3 2 22" xfId="14147" xr:uid="{00000000-0005-0000-0000-0000ED360000}"/>
    <cellStyle name="60% - Accent2 3 2 23" xfId="14148" xr:uid="{00000000-0005-0000-0000-0000EE360000}"/>
    <cellStyle name="60% - Accent2 3 2 24" xfId="14149" xr:uid="{00000000-0005-0000-0000-0000EF360000}"/>
    <cellStyle name="60% - Accent2 3 2 25" xfId="14150" xr:uid="{00000000-0005-0000-0000-0000F0360000}"/>
    <cellStyle name="60% - Accent2 3 2 26" xfId="14151" xr:uid="{00000000-0005-0000-0000-0000F1360000}"/>
    <cellStyle name="60% - Accent2 3 2 27" xfId="14152" xr:uid="{00000000-0005-0000-0000-0000F2360000}"/>
    <cellStyle name="60% - Accent2 3 2 28" xfId="14153" xr:uid="{00000000-0005-0000-0000-0000F3360000}"/>
    <cellStyle name="60% - Accent2 3 2 29" xfId="14154" xr:uid="{00000000-0005-0000-0000-0000F4360000}"/>
    <cellStyle name="60% - Accent2 3 2 3" xfId="14155" xr:uid="{00000000-0005-0000-0000-0000F5360000}"/>
    <cellStyle name="60% - Accent2 3 2 30" xfId="14156" xr:uid="{00000000-0005-0000-0000-0000F6360000}"/>
    <cellStyle name="60% - Accent2 3 2 31" xfId="14157" xr:uid="{00000000-0005-0000-0000-0000F7360000}"/>
    <cellStyle name="60% - Accent2 3 2 32" xfId="14158" xr:uid="{00000000-0005-0000-0000-0000F8360000}"/>
    <cellStyle name="60% - Accent2 3 2 33" xfId="14159" xr:uid="{00000000-0005-0000-0000-0000F9360000}"/>
    <cellStyle name="60% - Accent2 3 2 34" xfId="14160" xr:uid="{00000000-0005-0000-0000-0000FA360000}"/>
    <cellStyle name="60% - Accent2 3 2 35" xfId="14161" xr:uid="{00000000-0005-0000-0000-0000FB360000}"/>
    <cellStyle name="60% - Accent2 3 2 36" xfId="14162" xr:uid="{00000000-0005-0000-0000-0000FC360000}"/>
    <cellStyle name="60% - Accent2 3 2 37" xfId="14163" xr:uid="{00000000-0005-0000-0000-0000FD360000}"/>
    <cellStyle name="60% - Accent2 3 2 38" xfId="14164" xr:uid="{00000000-0005-0000-0000-0000FE360000}"/>
    <cellStyle name="60% - Accent2 3 2 39" xfId="14165" xr:uid="{00000000-0005-0000-0000-0000FF360000}"/>
    <cellStyle name="60% - Accent2 3 2 4" xfId="14166" xr:uid="{00000000-0005-0000-0000-000000370000}"/>
    <cellStyle name="60% - Accent2 3 2 40" xfId="14167" xr:uid="{00000000-0005-0000-0000-000001370000}"/>
    <cellStyle name="60% - Accent2 3 2 41" xfId="14168" xr:uid="{00000000-0005-0000-0000-000002370000}"/>
    <cellStyle name="60% - Accent2 3 2 42" xfId="14169" xr:uid="{00000000-0005-0000-0000-000003370000}"/>
    <cellStyle name="60% - Accent2 3 2 43" xfId="14170" xr:uid="{00000000-0005-0000-0000-000004370000}"/>
    <cellStyle name="60% - Accent2 3 2 44" xfId="14171" xr:uid="{00000000-0005-0000-0000-000005370000}"/>
    <cellStyle name="60% - Accent2 3 2 45" xfId="14172" xr:uid="{00000000-0005-0000-0000-000006370000}"/>
    <cellStyle name="60% - Accent2 3 2 46" xfId="14173" xr:uid="{00000000-0005-0000-0000-000007370000}"/>
    <cellStyle name="60% - Accent2 3 2 47" xfId="14174" xr:uid="{00000000-0005-0000-0000-000008370000}"/>
    <cellStyle name="60% - Accent2 3 2 48" xfId="14175" xr:uid="{00000000-0005-0000-0000-000009370000}"/>
    <cellStyle name="60% - Accent2 3 2 49" xfId="14176" xr:uid="{00000000-0005-0000-0000-00000A370000}"/>
    <cellStyle name="60% - Accent2 3 2 5" xfId="14177" xr:uid="{00000000-0005-0000-0000-00000B370000}"/>
    <cellStyle name="60% - Accent2 3 2 50" xfId="14178" xr:uid="{00000000-0005-0000-0000-00000C370000}"/>
    <cellStyle name="60% - Accent2 3 2 51" xfId="14179" xr:uid="{00000000-0005-0000-0000-00000D370000}"/>
    <cellStyle name="60% - Accent2 3 2 52" xfId="14180" xr:uid="{00000000-0005-0000-0000-00000E370000}"/>
    <cellStyle name="60% - Accent2 3 2 53" xfId="14181" xr:uid="{00000000-0005-0000-0000-00000F370000}"/>
    <cellStyle name="60% - Accent2 3 2 6" xfId="14182" xr:uid="{00000000-0005-0000-0000-000010370000}"/>
    <cellStyle name="60% - Accent2 3 2 7" xfId="14183" xr:uid="{00000000-0005-0000-0000-000011370000}"/>
    <cellStyle name="60% - Accent2 3 2 8" xfId="14184" xr:uid="{00000000-0005-0000-0000-000012370000}"/>
    <cellStyle name="60% - Accent2 3 2 9" xfId="14185" xr:uid="{00000000-0005-0000-0000-000013370000}"/>
    <cellStyle name="60% - Accent2 3 20" xfId="14186" xr:uid="{00000000-0005-0000-0000-000014370000}"/>
    <cellStyle name="60% - Accent2 3 20 10" xfId="14187" xr:uid="{00000000-0005-0000-0000-000015370000}"/>
    <cellStyle name="60% - Accent2 3 20 11" xfId="14188" xr:uid="{00000000-0005-0000-0000-000016370000}"/>
    <cellStyle name="60% - Accent2 3 20 12" xfId="14189" xr:uid="{00000000-0005-0000-0000-000017370000}"/>
    <cellStyle name="60% - Accent2 3 20 13" xfId="14190" xr:uid="{00000000-0005-0000-0000-000018370000}"/>
    <cellStyle name="60% - Accent2 3 20 14" xfId="14191" xr:uid="{00000000-0005-0000-0000-000019370000}"/>
    <cellStyle name="60% - Accent2 3 20 15" xfId="14192" xr:uid="{00000000-0005-0000-0000-00001A370000}"/>
    <cellStyle name="60% - Accent2 3 20 2" xfId="14193" xr:uid="{00000000-0005-0000-0000-00001B370000}"/>
    <cellStyle name="60% - Accent2 3 20 3" xfId="14194" xr:uid="{00000000-0005-0000-0000-00001C370000}"/>
    <cellStyle name="60% - Accent2 3 20 4" xfId="14195" xr:uid="{00000000-0005-0000-0000-00001D370000}"/>
    <cellStyle name="60% - Accent2 3 20 5" xfId="14196" xr:uid="{00000000-0005-0000-0000-00001E370000}"/>
    <cellStyle name="60% - Accent2 3 20 6" xfId="14197" xr:uid="{00000000-0005-0000-0000-00001F370000}"/>
    <cellStyle name="60% - Accent2 3 20 7" xfId="14198" xr:uid="{00000000-0005-0000-0000-000020370000}"/>
    <cellStyle name="60% - Accent2 3 20 8" xfId="14199" xr:uid="{00000000-0005-0000-0000-000021370000}"/>
    <cellStyle name="60% - Accent2 3 20 9" xfId="14200" xr:uid="{00000000-0005-0000-0000-000022370000}"/>
    <cellStyle name="60% - Accent2 3 21" xfId="14201" xr:uid="{00000000-0005-0000-0000-000023370000}"/>
    <cellStyle name="60% - Accent2 3 21 10" xfId="14202" xr:uid="{00000000-0005-0000-0000-000024370000}"/>
    <cellStyle name="60% - Accent2 3 21 11" xfId="14203" xr:uid="{00000000-0005-0000-0000-000025370000}"/>
    <cellStyle name="60% - Accent2 3 21 12" xfId="14204" xr:uid="{00000000-0005-0000-0000-000026370000}"/>
    <cellStyle name="60% - Accent2 3 21 13" xfId="14205" xr:uid="{00000000-0005-0000-0000-000027370000}"/>
    <cellStyle name="60% - Accent2 3 21 14" xfId="14206" xr:uid="{00000000-0005-0000-0000-000028370000}"/>
    <cellStyle name="60% - Accent2 3 21 15" xfId="14207" xr:uid="{00000000-0005-0000-0000-000029370000}"/>
    <cellStyle name="60% - Accent2 3 21 2" xfId="14208" xr:uid="{00000000-0005-0000-0000-00002A370000}"/>
    <cellStyle name="60% - Accent2 3 21 3" xfId="14209" xr:uid="{00000000-0005-0000-0000-00002B370000}"/>
    <cellStyle name="60% - Accent2 3 21 4" xfId="14210" xr:uid="{00000000-0005-0000-0000-00002C370000}"/>
    <cellStyle name="60% - Accent2 3 21 5" xfId="14211" xr:uid="{00000000-0005-0000-0000-00002D370000}"/>
    <cellStyle name="60% - Accent2 3 21 6" xfId="14212" xr:uid="{00000000-0005-0000-0000-00002E370000}"/>
    <cellStyle name="60% - Accent2 3 21 7" xfId="14213" xr:uid="{00000000-0005-0000-0000-00002F370000}"/>
    <cellStyle name="60% - Accent2 3 21 8" xfId="14214" xr:uid="{00000000-0005-0000-0000-000030370000}"/>
    <cellStyle name="60% - Accent2 3 21 9" xfId="14215" xr:uid="{00000000-0005-0000-0000-000031370000}"/>
    <cellStyle name="60% - Accent2 3 22" xfId="14216" xr:uid="{00000000-0005-0000-0000-000032370000}"/>
    <cellStyle name="60% - Accent2 3 22 10" xfId="14217" xr:uid="{00000000-0005-0000-0000-000033370000}"/>
    <cellStyle name="60% - Accent2 3 22 11" xfId="14218" xr:uid="{00000000-0005-0000-0000-000034370000}"/>
    <cellStyle name="60% - Accent2 3 22 12" xfId="14219" xr:uid="{00000000-0005-0000-0000-000035370000}"/>
    <cellStyle name="60% - Accent2 3 22 13" xfId="14220" xr:uid="{00000000-0005-0000-0000-000036370000}"/>
    <cellStyle name="60% - Accent2 3 22 14" xfId="14221" xr:uid="{00000000-0005-0000-0000-000037370000}"/>
    <cellStyle name="60% - Accent2 3 22 15" xfId="14222" xr:uid="{00000000-0005-0000-0000-000038370000}"/>
    <cellStyle name="60% - Accent2 3 22 2" xfId="14223" xr:uid="{00000000-0005-0000-0000-000039370000}"/>
    <cellStyle name="60% - Accent2 3 22 3" xfId="14224" xr:uid="{00000000-0005-0000-0000-00003A370000}"/>
    <cellStyle name="60% - Accent2 3 22 4" xfId="14225" xr:uid="{00000000-0005-0000-0000-00003B370000}"/>
    <cellStyle name="60% - Accent2 3 22 5" xfId="14226" xr:uid="{00000000-0005-0000-0000-00003C370000}"/>
    <cellStyle name="60% - Accent2 3 22 6" xfId="14227" xr:uid="{00000000-0005-0000-0000-00003D370000}"/>
    <cellStyle name="60% - Accent2 3 22 7" xfId="14228" xr:uid="{00000000-0005-0000-0000-00003E370000}"/>
    <cellStyle name="60% - Accent2 3 22 8" xfId="14229" xr:uid="{00000000-0005-0000-0000-00003F370000}"/>
    <cellStyle name="60% - Accent2 3 22 9" xfId="14230" xr:uid="{00000000-0005-0000-0000-000040370000}"/>
    <cellStyle name="60% - Accent2 3 23" xfId="14231" xr:uid="{00000000-0005-0000-0000-000041370000}"/>
    <cellStyle name="60% - Accent2 3 23 10" xfId="14232" xr:uid="{00000000-0005-0000-0000-000042370000}"/>
    <cellStyle name="60% - Accent2 3 23 11" xfId="14233" xr:uid="{00000000-0005-0000-0000-000043370000}"/>
    <cellStyle name="60% - Accent2 3 23 12" xfId="14234" xr:uid="{00000000-0005-0000-0000-000044370000}"/>
    <cellStyle name="60% - Accent2 3 23 13" xfId="14235" xr:uid="{00000000-0005-0000-0000-000045370000}"/>
    <cellStyle name="60% - Accent2 3 23 14" xfId="14236" xr:uid="{00000000-0005-0000-0000-000046370000}"/>
    <cellStyle name="60% - Accent2 3 23 15" xfId="14237" xr:uid="{00000000-0005-0000-0000-000047370000}"/>
    <cellStyle name="60% - Accent2 3 23 2" xfId="14238" xr:uid="{00000000-0005-0000-0000-000048370000}"/>
    <cellStyle name="60% - Accent2 3 23 3" xfId="14239" xr:uid="{00000000-0005-0000-0000-000049370000}"/>
    <cellStyle name="60% - Accent2 3 23 4" xfId="14240" xr:uid="{00000000-0005-0000-0000-00004A370000}"/>
    <cellStyle name="60% - Accent2 3 23 5" xfId="14241" xr:uid="{00000000-0005-0000-0000-00004B370000}"/>
    <cellStyle name="60% - Accent2 3 23 6" xfId="14242" xr:uid="{00000000-0005-0000-0000-00004C370000}"/>
    <cellStyle name="60% - Accent2 3 23 7" xfId="14243" xr:uid="{00000000-0005-0000-0000-00004D370000}"/>
    <cellStyle name="60% - Accent2 3 23 8" xfId="14244" xr:uid="{00000000-0005-0000-0000-00004E370000}"/>
    <cellStyle name="60% - Accent2 3 23 9" xfId="14245" xr:uid="{00000000-0005-0000-0000-00004F370000}"/>
    <cellStyle name="60% - Accent2 3 24" xfId="14246" xr:uid="{00000000-0005-0000-0000-000050370000}"/>
    <cellStyle name="60% - Accent2 3 24 10" xfId="14247" xr:uid="{00000000-0005-0000-0000-000051370000}"/>
    <cellStyle name="60% - Accent2 3 24 11" xfId="14248" xr:uid="{00000000-0005-0000-0000-000052370000}"/>
    <cellStyle name="60% - Accent2 3 24 12" xfId="14249" xr:uid="{00000000-0005-0000-0000-000053370000}"/>
    <cellStyle name="60% - Accent2 3 24 13" xfId="14250" xr:uid="{00000000-0005-0000-0000-000054370000}"/>
    <cellStyle name="60% - Accent2 3 24 14" xfId="14251" xr:uid="{00000000-0005-0000-0000-000055370000}"/>
    <cellStyle name="60% - Accent2 3 24 15" xfId="14252" xr:uid="{00000000-0005-0000-0000-000056370000}"/>
    <cellStyle name="60% - Accent2 3 24 2" xfId="14253" xr:uid="{00000000-0005-0000-0000-000057370000}"/>
    <cellStyle name="60% - Accent2 3 24 3" xfId="14254" xr:uid="{00000000-0005-0000-0000-000058370000}"/>
    <cellStyle name="60% - Accent2 3 24 4" xfId="14255" xr:uid="{00000000-0005-0000-0000-000059370000}"/>
    <cellStyle name="60% - Accent2 3 24 5" xfId="14256" xr:uid="{00000000-0005-0000-0000-00005A370000}"/>
    <cellStyle name="60% - Accent2 3 24 6" xfId="14257" xr:uid="{00000000-0005-0000-0000-00005B370000}"/>
    <cellStyle name="60% - Accent2 3 24 7" xfId="14258" xr:uid="{00000000-0005-0000-0000-00005C370000}"/>
    <cellStyle name="60% - Accent2 3 24 8" xfId="14259" xr:uid="{00000000-0005-0000-0000-00005D370000}"/>
    <cellStyle name="60% - Accent2 3 24 9" xfId="14260" xr:uid="{00000000-0005-0000-0000-00005E370000}"/>
    <cellStyle name="60% - Accent2 3 25" xfId="14261" xr:uid="{00000000-0005-0000-0000-00005F370000}"/>
    <cellStyle name="60% - Accent2 3 25 10" xfId="14262" xr:uid="{00000000-0005-0000-0000-000060370000}"/>
    <cellStyle name="60% - Accent2 3 25 11" xfId="14263" xr:uid="{00000000-0005-0000-0000-000061370000}"/>
    <cellStyle name="60% - Accent2 3 25 12" xfId="14264" xr:uid="{00000000-0005-0000-0000-000062370000}"/>
    <cellStyle name="60% - Accent2 3 25 13" xfId="14265" xr:uid="{00000000-0005-0000-0000-000063370000}"/>
    <cellStyle name="60% - Accent2 3 25 14" xfId="14266" xr:uid="{00000000-0005-0000-0000-000064370000}"/>
    <cellStyle name="60% - Accent2 3 25 15" xfId="14267" xr:uid="{00000000-0005-0000-0000-000065370000}"/>
    <cellStyle name="60% - Accent2 3 25 2" xfId="14268" xr:uid="{00000000-0005-0000-0000-000066370000}"/>
    <cellStyle name="60% - Accent2 3 25 3" xfId="14269" xr:uid="{00000000-0005-0000-0000-000067370000}"/>
    <cellStyle name="60% - Accent2 3 25 4" xfId="14270" xr:uid="{00000000-0005-0000-0000-000068370000}"/>
    <cellStyle name="60% - Accent2 3 25 5" xfId="14271" xr:uid="{00000000-0005-0000-0000-000069370000}"/>
    <cellStyle name="60% - Accent2 3 25 6" xfId="14272" xr:uid="{00000000-0005-0000-0000-00006A370000}"/>
    <cellStyle name="60% - Accent2 3 25 7" xfId="14273" xr:uid="{00000000-0005-0000-0000-00006B370000}"/>
    <cellStyle name="60% - Accent2 3 25 8" xfId="14274" xr:uid="{00000000-0005-0000-0000-00006C370000}"/>
    <cellStyle name="60% - Accent2 3 25 9" xfId="14275" xr:uid="{00000000-0005-0000-0000-00006D370000}"/>
    <cellStyle name="60% - Accent2 3 26" xfId="14276" xr:uid="{00000000-0005-0000-0000-00006E370000}"/>
    <cellStyle name="60% - Accent2 3 26 10" xfId="14277" xr:uid="{00000000-0005-0000-0000-00006F370000}"/>
    <cellStyle name="60% - Accent2 3 26 11" xfId="14278" xr:uid="{00000000-0005-0000-0000-000070370000}"/>
    <cellStyle name="60% - Accent2 3 26 12" xfId="14279" xr:uid="{00000000-0005-0000-0000-000071370000}"/>
    <cellStyle name="60% - Accent2 3 26 13" xfId="14280" xr:uid="{00000000-0005-0000-0000-000072370000}"/>
    <cellStyle name="60% - Accent2 3 26 14" xfId="14281" xr:uid="{00000000-0005-0000-0000-000073370000}"/>
    <cellStyle name="60% - Accent2 3 26 15" xfId="14282" xr:uid="{00000000-0005-0000-0000-000074370000}"/>
    <cellStyle name="60% - Accent2 3 26 2" xfId="14283" xr:uid="{00000000-0005-0000-0000-000075370000}"/>
    <cellStyle name="60% - Accent2 3 26 3" xfId="14284" xr:uid="{00000000-0005-0000-0000-000076370000}"/>
    <cellStyle name="60% - Accent2 3 26 4" xfId="14285" xr:uid="{00000000-0005-0000-0000-000077370000}"/>
    <cellStyle name="60% - Accent2 3 26 5" xfId="14286" xr:uid="{00000000-0005-0000-0000-000078370000}"/>
    <cellStyle name="60% - Accent2 3 26 6" xfId="14287" xr:uid="{00000000-0005-0000-0000-000079370000}"/>
    <cellStyle name="60% - Accent2 3 26 7" xfId="14288" xr:uid="{00000000-0005-0000-0000-00007A370000}"/>
    <cellStyle name="60% - Accent2 3 26 8" xfId="14289" xr:uid="{00000000-0005-0000-0000-00007B370000}"/>
    <cellStyle name="60% - Accent2 3 26 9" xfId="14290" xr:uid="{00000000-0005-0000-0000-00007C370000}"/>
    <cellStyle name="60% - Accent2 3 27" xfId="14291" xr:uid="{00000000-0005-0000-0000-00007D370000}"/>
    <cellStyle name="60% - Accent2 3 27 10" xfId="14292" xr:uid="{00000000-0005-0000-0000-00007E370000}"/>
    <cellStyle name="60% - Accent2 3 27 11" xfId="14293" xr:uid="{00000000-0005-0000-0000-00007F370000}"/>
    <cellStyle name="60% - Accent2 3 27 12" xfId="14294" xr:uid="{00000000-0005-0000-0000-000080370000}"/>
    <cellStyle name="60% - Accent2 3 27 13" xfId="14295" xr:uid="{00000000-0005-0000-0000-000081370000}"/>
    <cellStyle name="60% - Accent2 3 27 14" xfId="14296" xr:uid="{00000000-0005-0000-0000-000082370000}"/>
    <cellStyle name="60% - Accent2 3 27 15" xfId="14297" xr:uid="{00000000-0005-0000-0000-000083370000}"/>
    <cellStyle name="60% - Accent2 3 27 2" xfId="14298" xr:uid="{00000000-0005-0000-0000-000084370000}"/>
    <cellStyle name="60% - Accent2 3 27 3" xfId="14299" xr:uid="{00000000-0005-0000-0000-000085370000}"/>
    <cellStyle name="60% - Accent2 3 27 4" xfId="14300" xr:uid="{00000000-0005-0000-0000-000086370000}"/>
    <cellStyle name="60% - Accent2 3 27 5" xfId="14301" xr:uid="{00000000-0005-0000-0000-000087370000}"/>
    <cellStyle name="60% - Accent2 3 27 6" xfId="14302" xr:uid="{00000000-0005-0000-0000-000088370000}"/>
    <cellStyle name="60% - Accent2 3 27 7" xfId="14303" xr:uid="{00000000-0005-0000-0000-000089370000}"/>
    <cellStyle name="60% - Accent2 3 27 8" xfId="14304" xr:uid="{00000000-0005-0000-0000-00008A370000}"/>
    <cellStyle name="60% - Accent2 3 27 9" xfId="14305" xr:uid="{00000000-0005-0000-0000-00008B370000}"/>
    <cellStyle name="60% - Accent2 3 28" xfId="14306" xr:uid="{00000000-0005-0000-0000-00008C370000}"/>
    <cellStyle name="60% - Accent2 3 28 10" xfId="14307" xr:uid="{00000000-0005-0000-0000-00008D370000}"/>
    <cellStyle name="60% - Accent2 3 28 11" xfId="14308" xr:uid="{00000000-0005-0000-0000-00008E370000}"/>
    <cellStyle name="60% - Accent2 3 28 12" xfId="14309" xr:uid="{00000000-0005-0000-0000-00008F370000}"/>
    <cellStyle name="60% - Accent2 3 28 13" xfId="14310" xr:uid="{00000000-0005-0000-0000-000090370000}"/>
    <cellStyle name="60% - Accent2 3 28 14" xfId="14311" xr:uid="{00000000-0005-0000-0000-000091370000}"/>
    <cellStyle name="60% - Accent2 3 28 15" xfId="14312" xr:uid="{00000000-0005-0000-0000-000092370000}"/>
    <cellStyle name="60% - Accent2 3 28 2" xfId="14313" xr:uid="{00000000-0005-0000-0000-000093370000}"/>
    <cellStyle name="60% - Accent2 3 28 3" xfId="14314" xr:uid="{00000000-0005-0000-0000-000094370000}"/>
    <cellStyle name="60% - Accent2 3 28 4" xfId="14315" xr:uid="{00000000-0005-0000-0000-000095370000}"/>
    <cellStyle name="60% - Accent2 3 28 5" xfId="14316" xr:uid="{00000000-0005-0000-0000-000096370000}"/>
    <cellStyle name="60% - Accent2 3 28 6" xfId="14317" xr:uid="{00000000-0005-0000-0000-000097370000}"/>
    <cellStyle name="60% - Accent2 3 28 7" xfId="14318" xr:uid="{00000000-0005-0000-0000-000098370000}"/>
    <cellStyle name="60% - Accent2 3 28 8" xfId="14319" xr:uid="{00000000-0005-0000-0000-000099370000}"/>
    <cellStyle name="60% - Accent2 3 28 9" xfId="14320" xr:uid="{00000000-0005-0000-0000-00009A370000}"/>
    <cellStyle name="60% - Accent2 3 29" xfId="14321" xr:uid="{00000000-0005-0000-0000-00009B370000}"/>
    <cellStyle name="60% - Accent2 3 29 10" xfId="14322" xr:uid="{00000000-0005-0000-0000-00009C370000}"/>
    <cellStyle name="60% - Accent2 3 29 11" xfId="14323" xr:uid="{00000000-0005-0000-0000-00009D370000}"/>
    <cellStyle name="60% - Accent2 3 29 12" xfId="14324" xr:uid="{00000000-0005-0000-0000-00009E370000}"/>
    <cellStyle name="60% - Accent2 3 29 13" xfId="14325" xr:uid="{00000000-0005-0000-0000-00009F370000}"/>
    <cellStyle name="60% - Accent2 3 29 14" xfId="14326" xr:uid="{00000000-0005-0000-0000-0000A0370000}"/>
    <cellStyle name="60% - Accent2 3 29 15" xfId="14327" xr:uid="{00000000-0005-0000-0000-0000A1370000}"/>
    <cellStyle name="60% - Accent2 3 29 2" xfId="14328" xr:uid="{00000000-0005-0000-0000-0000A2370000}"/>
    <cellStyle name="60% - Accent2 3 29 3" xfId="14329" xr:uid="{00000000-0005-0000-0000-0000A3370000}"/>
    <cellStyle name="60% - Accent2 3 29 4" xfId="14330" xr:uid="{00000000-0005-0000-0000-0000A4370000}"/>
    <cellStyle name="60% - Accent2 3 29 5" xfId="14331" xr:uid="{00000000-0005-0000-0000-0000A5370000}"/>
    <cellStyle name="60% - Accent2 3 29 6" xfId="14332" xr:uid="{00000000-0005-0000-0000-0000A6370000}"/>
    <cellStyle name="60% - Accent2 3 29 7" xfId="14333" xr:uid="{00000000-0005-0000-0000-0000A7370000}"/>
    <cellStyle name="60% - Accent2 3 29 8" xfId="14334" xr:uid="{00000000-0005-0000-0000-0000A8370000}"/>
    <cellStyle name="60% - Accent2 3 29 9" xfId="14335" xr:uid="{00000000-0005-0000-0000-0000A9370000}"/>
    <cellStyle name="60% - Accent2 3 3" xfId="14336" xr:uid="{00000000-0005-0000-0000-0000AA370000}"/>
    <cellStyle name="60% - Accent2 3 3 10" xfId="14337" xr:uid="{00000000-0005-0000-0000-0000AB370000}"/>
    <cellStyle name="60% - Accent2 3 3 11" xfId="14338" xr:uid="{00000000-0005-0000-0000-0000AC370000}"/>
    <cellStyle name="60% - Accent2 3 3 12" xfId="14339" xr:uid="{00000000-0005-0000-0000-0000AD370000}"/>
    <cellStyle name="60% - Accent2 3 3 13" xfId="14340" xr:uid="{00000000-0005-0000-0000-0000AE370000}"/>
    <cellStyle name="60% - Accent2 3 3 14" xfId="14341" xr:uid="{00000000-0005-0000-0000-0000AF370000}"/>
    <cellStyle name="60% - Accent2 3 3 15" xfId="14342" xr:uid="{00000000-0005-0000-0000-0000B0370000}"/>
    <cellStyle name="60% - Accent2 3 3 16" xfId="14343" xr:uid="{00000000-0005-0000-0000-0000B1370000}"/>
    <cellStyle name="60% - Accent2 3 3 2" xfId="14344" xr:uid="{00000000-0005-0000-0000-0000B2370000}"/>
    <cellStyle name="60% - Accent2 3 3 3" xfId="14345" xr:uid="{00000000-0005-0000-0000-0000B3370000}"/>
    <cellStyle name="60% - Accent2 3 3 4" xfId="14346" xr:uid="{00000000-0005-0000-0000-0000B4370000}"/>
    <cellStyle name="60% - Accent2 3 3 5" xfId="14347" xr:uid="{00000000-0005-0000-0000-0000B5370000}"/>
    <cellStyle name="60% - Accent2 3 3 6" xfId="14348" xr:uid="{00000000-0005-0000-0000-0000B6370000}"/>
    <cellStyle name="60% - Accent2 3 3 7" xfId="14349" xr:uid="{00000000-0005-0000-0000-0000B7370000}"/>
    <cellStyle name="60% - Accent2 3 3 8" xfId="14350" xr:uid="{00000000-0005-0000-0000-0000B8370000}"/>
    <cellStyle name="60% - Accent2 3 3 9" xfId="14351" xr:uid="{00000000-0005-0000-0000-0000B9370000}"/>
    <cellStyle name="60% - Accent2 3 30" xfId="14352" xr:uid="{00000000-0005-0000-0000-0000BA370000}"/>
    <cellStyle name="60% - Accent2 3 30 10" xfId="14353" xr:uid="{00000000-0005-0000-0000-0000BB370000}"/>
    <cellStyle name="60% - Accent2 3 30 11" xfId="14354" xr:uid="{00000000-0005-0000-0000-0000BC370000}"/>
    <cellStyle name="60% - Accent2 3 30 12" xfId="14355" xr:uid="{00000000-0005-0000-0000-0000BD370000}"/>
    <cellStyle name="60% - Accent2 3 30 13" xfId="14356" xr:uid="{00000000-0005-0000-0000-0000BE370000}"/>
    <cellStyle name="60% - Accent2 3 30 14" xfId="14357" xr:uid="{00000000-0005-0000-0000-0000BF370000}"/>
    <cellStyle name="60% - Accent2 3 30 15" xfId="14358" xr:uid="{00000000-0005-0000-0000-0000C0370000}"/>
    <cellStyle name="60% - Accent2 3 30 2" xfId="14359" xr:uid="{00000000-0005-0000-0000-0000C1370000}"/>
    <cellStyle name="60% - Accent2 3 30 3" xfId="14360" xr:uid="{00000000-0005-0000-0000-0000C2370000}"/>
    <cellStyle name="60% - Accent2 3 30 4" xfId="14361" xr:uid="{00000000-0005-0000-0000-0000C3370000}"/>
    <cellStyle name="60% - Accent2 3 30 5" xfId="14362" xr:uid="{00000000-0005-0000-0000-0000C4370000}"/>
    <cellStyle name="60% - Accent2 3 30 6" xfId="14363" xr:uid="{00000000-0005-0000-0000-0000C5370000}"/>
    <cellStyle name="60% - Accent2 3 30 7" xfId="14364" xr:uid="{00000000-0005-0000-0000-0000C6370000}"/>
    <cellStyle name="60% - Accent2 3 30 8" xfId="14365" xr:uid="{00000000-0005-0000-0000-0000C7370000}"/>
    <cellStyle name="60% - Accent2 3 30 9" xfId="14366" xr:uid="{00000000-0005-0000-0000-0000C8370000}"/>
    <cellStyle name="60% - Accent2 3 31" xfId="14367" xr:uid="{00000000-0005-0000-0000-0000C9370000}"/>
    <cellStyle name="60% - Accent2 3 31 10" xfId="14368" xr:uid="{00000000-0005-0000-0000-0000CA370000}"/>
    <cellStyle name="60% - Accent2 3 31 11" xfId="14369" xr:uid="{00000000-0005-0000-0000-0000CB370000}"/>
    <cellStyle name="60% - Accent2 3 31 12" xfId="14370" xr:uid="{00000000-0005-0000-0000-0000CC370000}"/>
    <cellStyle name="60% - Accent2 3 31 13" xfId="14371" xr:uid="{00000000-0005-0000-0000-0000CD370000}"/>
    <cellStyle name="60% - Accent2 3 31 14" xfId="14372" xr:uid="{00000000-0005-0000-0000-0000CE370000}"/>
    <cellStyle name="60% - Accent2 3 31 15" xfId="14373" xr:uid="{00000000-0005-0000-0000-0000CF370000}"/>
    <cellStyle name="60% - Accent2 3 31 2" xfId="14374" xr:uid="{00000000-0005-0000-0000-0000D0370000}"/>
    <cellStyle name="60% - Accent2 3 31 3" xfId="14375" xr:uid="{00000000-0005-0000-0000-0000D1370000}"/>
    <cellStyle name="60% - Accent2 3 31 4" xfId="14376" xr:uid="{00000000-0005-0000-0000-0000D2370000}"/>
    <cellStyle name="60% - Accent2 3 31 5" xfId="14377" xr:uid="{00000000-0005-0000-0000-0000D3370000}"/>
    <cellStyle name="60% - Accent2 3 31 6" xfId="14378" xr:uid="{00000000-0005-0000-0000-0000D4370000}"/>
    <cellStyle name="60% - Accent2 3 31 7" xfId="14379" xr:uid="{00000000-0005-0000-0000-0000D5370000}"/>
    <cellStyle name="60% - Accent2 3 31 8" xfId="14380" xr:uid="{00000000-0005-0000-0000-0000D6370000}"/>
    <cellStyle name="60% - Accent2 3 31 9" xfId="14381" xr:uid="{00000000-0005-0000-0000-0000D7370000}"/>
    <cellStyle name="60% - Accent2 3 32" xfId="14382" xr:uid="{00000000-0005-0000-0000-0000D8370000}"/>
    <cellStyle name="60% - Accent2 3 32 10" xfId="14383" xr:uid="{00000000-0005-0000-0000-0000D9370000}"/>
    <cellStyle name="60% - Accent2 3 32 11" xfId="14384" xr:uid="{00000000-0005-0000-0000-0000DA370000}"/>
    <cellStyle name="60% - Accent2 3 32 12" xfId="14385" xr:uid="{00000000-0005-0000-0000-0000DB370000}"/>
    <cellStyle name="60% - Accent2 3 32 13" xfId="14386" xr:uid="{00000000-0005-0000-0000-0000DC370000}"/>
    <cellStyle name="60% - Accent2 3 32 14" xfId="14387" xr:uid="{00000000-0005-0000-0000-0000DD370000}"/>
    <cellStyle name="60% - Accent2 3 32 15" xfId="14388" xr:uid="{00000000-0005-0000-0000-0000DE370000}"/>
    <cellStyle name="60% - Accent2 3 32 2" xfId="14389" xr:uid="{00000000-0005-0000-0000-0000DF370000}"/>
    <cellStyle name="60% - Accent2 3 32 3" xfId="14390" xr:uid="{00000000-0005-0000-0000-0000E0370000}"/>
    <cellStyle name="60% - Accent2 3 32 4" xfId="14391" xr:uid="{00000000-0005-0000-0000-0000E1370000}"/>
    <cellStyle name="60% - Accent2 3 32 5" xfId="14392" xr:uid="{00000000-0005-0000-0000-0000E2370000}"/>
    <cellStyle name="60% - Accent2 3 32 6" xfId="14393" xr:uid="{00000000-0005-0000-0000-0000E3370000}"/>
    <cellStyle name="60% - Accent2 3 32 7" xfId="14394" xr:uid="{00000000-0005-0000-0000-0000E4370000}"/>
    <cellStyle name="60% - Accent2 3 32 8" xfId="14395" xr:uid="{00000000-0005-0000-0000-0000E5370000}"/>
    <cellStyle name="60% - Accent2 3 32 9" xfId="14396" xr:uid="{00000000-0005-0000-0000-0000E6370000}"/>
    <cellStyle name="60% - Accent2 3 33" xfId="14397" xr:uid="{00000000-0005-0000-0000-0000E7370000}"/>
    <cellStyle name="60% - Accent2 3 34" xfId="14398" xr:uid="{00000000-0005-0000-0000-0000E8370000}"/>
    <cellStyle name="60% - Accent2 3 35" xfId="14399" xr:uid="{00000000-0005-0000-0000-0000E9370000}"/>
    <cellStyle name="60% - Accent2 3 36" xfId="14400" xr:uid="{00000000-0005-0000-0000-0000EA370000}"/>
    <cellStyle name="60% - Accent2 3 37" xfId="14401" xr:uid="{00000000-0005-0000-0000-0000EB370000}"/>
    <cellStyle name="60% - Accent2 3 38" xfId="14402" xr:uid="{00000000-0005-0000-0000-0000EC370000}"/>
    <cellStyle name="60% - Accent2 3 39" xfId="14403" xr:uid="{00000000-0005-0000-0000-0000ED370000}"/>
    <cellStyle name="60% - Accent2 3 4" xfId="14404" xr:uid="{00000000-0005-0000-0000-0000EE370000}"/>
    <cellStyle name="60% - Accent2 3 4 10" xfId="14405" xr:uid="{00000000-0005-0000-0000-0000EF370000}"/>
    <cellStyle name="60% - Accent2 3 4 11" xfId="14406" xr:uid="{00000000-0005-0000-0000-0000F0370000}"/>
    <cellStyle name="60% - Accent2 3 4 12" xfId="14407" xr:uid="{00000000-0005-0000-0000-0000F1370000}"/>
    <cellStyle name="60% - Accent2 3 4 13" xfId="14408" xr:uid="{00000000-0005-0000-0000-0000F2370000}"/>
    <cellStyle name="60% - Accent2 3 4 14" xfId="14409" xr:uid="{00000000-0005-0000-0000-0000F3370000}"/>
    <cellStyle name="60% - Accent2 3 4 15" xfId="14410" xr:uid="{00000000-0005-0000-0000-0000F4370000}"/>
    <cellStyle name="60% - Accent2 3 4 2" xfId="14411" xr:uid="{00000000-0005-0000-0000-0000F5370000}"/>
    <cellStyle name="60% - Accent2 3 4 3" xfId="14412" xr:uid="{00000000-0005-0000-0000-0000F6370000}"/>
    <cellStyle name="60% - Accent2 3 4 4" xfId="14413" xr:uid="{00000000-0005-0000-0000-0000F7370000}"/>
    <cellStyle name="60% - Accent2 3 4 5" xfId="14414" xr:uid="{00000000-0005-0000-0000-0000F8370000}"/>
    <cellStyle name="60% - Accent2 3 4 6" xfId="14415" xr:uid="{00000000-0005-0000-0000-0000F9370000}"/>
    <cellStyle name="60% - Accent2 3 4 7" xfId="14416" xr:uid="{00000000-0005-0000-0000-0000FA370000}"/>
    <cellStyle name="60% - Accent2 3 4 8" xfId="14417" xr:uid="{00000000-0005-0000-0000-0000FB370000}"/>
    <cellStyle name="60% - Accent2 3 4 9" xfId="14418" xr:uid="{00000000-0005-0000-0000-0000FC370000}"/>
    <cellStyle name="60% - Accent2 3 40" xfId="14419" xr:uid="{00000000-0005-0000-0000-0000FD370000}"/>
    <cellStyle name="60% - Accent2 3 41" xfId="14420" xr:uid="{00000000-0005-0000-0000-0000FE370000}"/>
    <cellStyle name="60% - Accent2 3 42" xfId="14421" xr:uid="{00000000-0005-0000-0000-0000FF370000}"/>
    <cellStyle name="60% - Accent2 3 43" xfId="14422" xr:uid="{00000000-0005-0000-0000-000000380000}"/>
    <cellStyle name="60% - Accent2 3 44" xfId="14423" xr:uid="{00000000-0005-0000-0000-000001380000}"/>
    <cellStyle name="60% - Accent2 3 45" xfId="14424" xr:uid="{00000000-0005-0000-0000-000002380000}"/>
    <cellStyle name="60% - Accent2 3 46" xfId="14425" xr:uid="{00000000-0005-0000-0000-000003380000}"/>
    <cellStyle name="60% - Accent2 3 47" xfId="14426" xr:uid="{00000000-0005-0000-0000-000004380000}"/>
    <cellStyle name="60% - Accent2 3 48" xfId="14427" xr:uid="{00000000-0005-0000-0000-000005380000}"/>
    <cellStyle name="60% - Accent2 3 49" xfId="14428" xr:uid="{00000000-0005-0000-0000-000006380000}"/>
    <cellStyle name="60% - Accent2 3 5" xfId="14429" xr:uid="{00000000-0005-0000-0000-000007380000}"/>
    <cellStyle name="60% - Accent2 3 5 10" xfId="14430" xr:uid="{00000000-0005-0000-0000-000008380000}"/>
    <cellStyle name="60% - Accent2 3 5 11" xfId="14431" xr:uid="{00000000-0005-0000-0000-000009380000}"/>
    <cellStyle name="60% - Accent2 3 5 12" xfId="14432" xr:uid="{00000000-0005-0000-0000-00000A380000}"/>
    <cellStyle name="60% - Accent2 3 5 13" xfId="14433" xr:uid="{00000000-0005-0000-0000-00000B380000}"/>
    <cellStyle name="60% - Accent2 3 5 14" xfId="14434" xr:uid="{00000000-0005-0000-0000-00000C380000}"/>
    <cellStyle name="60% - Accent2 3 5 15" xfId="14435" xr:uid="{00000000-0005-0000-0000-00000D380000}"/>
    <cellStyle name="60% - Accent2 3 5 2" xfId="14436" xr:uid="{00000000-0005-0000-0000-00000E380000}"/>
    <cellStyle name="60% - Accent2 3 5 3" xfId="14437" xr:uid="{00000000-0005-0000-0000-00000F380000}"/>
    <cellStyle name="60% - Accent2 3 5 4" xfId="14438" xr:uid="{00000000-0005-0000-0000-000010380000}"/>
    <cellStyle name="60% - Accent2 3 5 5" xfId="14439" xr:uid="{00000000-0005-0000-0000-000011380000}"/>
    <cellStyle name="60% - Accent2 3 5 6" xfId="14440" xr:uid="{00000000-0005-0000-0000-000012380000}"/>
    <cellStyle name="60% - Accent2 3 5 7" xfId="14441" xr:uid="{00000000-0005-0000-0000-000013380000}"/>
    <cellStyle name="60% - Accent2 3 5 8" xfId="14442" xr:uid="{00000000-0005-0000-0000-000014380000}"/>
    <cellStyle name="60% - Accent2 3 5 9" xfId="14443" xr:uid="{00000000-0005-0000-0000-000015380000}"/>
    <cellStyle name="60% - Accent2 3 50" xfId="14444" xr:uid="{00000000-0005-0000-0000-000016380000}"/>
    <cellStyle name="60% - Accent2 3 51" xfId="14445" xr:uid="{00000000-0005-0000-0000-000017380000}"/>
    <cellStyle name="60% - Accent2 3 52" xfId="14446" xr:uid="{00000000-0005-0000-0000-000018380000}"/>
    <cellStyle name="60% - Accent2 3 53" xfId="14447" xr:uid="{00000000-0005-0000-0000-000019380000}"/>
    <cellStyle name="60% - Accent2 3 6" xfId="14448" xr:uid="{00000000-0005-0000-0000-00001A380000}"/>
    <cellStyle name="60% - Accent2 3 6 10" xfId="14449" xr:uid="{00000000-0005-0000-0000-00001B380000}"/>
    <cellStyle name="60% - Accent2 3 6 11" xfId="14450" xr:uid="{00000000-0005-0000-0000-00001C380000}"/>
    <cellStyle name="60% - Accent2 3 6 12" xfId="14451" xr:uid="{00000000-0005-0000-0000-00001D380000}"/>
    <cellStyle name="60% - Accent2 3 6 13" xfId="14452" xr:uid="{00000000-0005-0000-0000-00001E380000}"/>
    <cellStyle name="60% - Accent2 3 6 14" xfId="14453" xr:uid="{00000000-0005-0000-0000-00001F380000}"/>
    <cellStyle name="60% - Accent2 3 6 15" xfId="14454" xr:uid="{00000000-0005-0000-0000-000020380000}"/>
    <cellStyle name="60% - Accent2 3 6 2" xfId="14455" xr:uid="{00000000-0005-0000-0000-000021380000}"/>
    <cellStyle name="60% - Accent2 3 6 3" xfId="14456" xr:uid="{00000000-0005-0000-0000-000022380000}"/>
    <cellStyle name="60% - Accent2 3 6 4" xfId="14457" xr:uid="{00000000-0005-0000-0000-000023380000}"/>
    <cellStyle name="60% - Accent2 3 6 5" xfId="14458" xr:uid="{00000000-0005-0000-0000-000024380000}"/>
    <cellStyle name="60% - Accent2 3 6 6" xfId="14459" xr:uid="{00000000-0005-0000-0000-000025380000}"/>
    <cellStyle name="60% - Accent2 3 6 7" xfId="14460" xr:uid="{00000000-0005-0000-0000-000026380000}"/>
    <cellStyle name="60% - Accent2 3 6 8" xfId="14461" xr:uid="{00000000-0005-0000-0000-000027380000}"/>
    <cellStyle name="60% - Accent2 3 6 9" xfId="14462" xr:uid="{00000000-0005-0000-0000-000028380000}"/>
    <cellStyle name="60% - Accent2 3 7" xfId="14463" xr:uid="{00000000-0005-0000-0000-000029380000}"/>
    <cellStyle name="60% - Accent2 3 7 10" xfId="14464" xr:uid="{00000000-0005-0000-0000-00002A380000}"/>
    <cellStyle name="60% - Accent2 3 7 11" xfId="14465" xr:uid="{00000000-0005-0000-0000-00002B380000}"/>
    <cellStyle name="60% - Accent2 3 7 12" xfId="14466" xr:uid="{00000000-0005-0000-0000-00002C380000}"/>
    <cellStyle name="60% - Accent2 3 7 13" xfId="14467" xr:uid="{00000000-0005-0000-0000-00002D380000}"/>
    <cellStyle name="60% - Accent2 3 7 14" xfId="14468" xr:uid="{00000000-0005-0000-0000-00002E380000}"/>
    <cellStyle name="60% - Accent2 3 7 15" xfId="14469" xr:uid="{00000000-0005-0000-0000-00002F380000}"/>
    <cellStyle name="60% - Accent2 3 7 2" xfId="14470" xr:uid="{00000000-0005-0000-0000-000030380000}"/>
    <cellStyle name="60% - Accent2 3 7 3" xfId="14471" xr:uid="{00000000-0005-0000-0000-000031380000}"/>
    <cellStyle name="60% - Accent2 3 7 4" xfId="14472" xr:uid="{00000000-0005-0000-0000-000032380000}"/>
    <cellStyle name="60% - Accent2 3 7 5" xfId="14473" xr:uid="{00000000-0005-0000-0000-000033380000}"/>
    <cellStyle name="60% - Accent2 3 7 6" xfId="14474" xr:uid="{00000000-0005-0000-0000-000034380000}"/>
    <cellStyle name="60% - Accent2 3 7 7" xfId="14475" xr:uid="{00000000-0005-0000-0000-000035380000}"/>
    <cellStyle name="60% - Accent2 3 7 8" xfId="14476" xr:uid="{00000000-0005-0000-0000-000036380000}"/>
    <cellStyle name="60% - Accent2 3 7 9" xfId="14477" xr:uid="{00000000-0005-0000-0000-000037380000}"/>
    <cellStyle name="60% - Accent2 3 8" xfId="14478" xr:uid="{00000000-0005-0000-0000-000038380000}"/>
    <cellStyle name="60% - Accent2 3 8 10" xfId="14479" xr:uid="{00000000-0005-0000-0000-000039380000}"/>
    <cellStyle name="60% - Accent2 3 8 11" xfId="14480" xr:uid="{00000000-0005-0000-0000-00003A380000}"/>
    <cellStyle name="60% - Accent2 3 8 12" xfId="14481" xr:uid="{00000000-0005-0000-0000-00003B380000}"/>
    <cellStyle name="60% - Accent2 3 8 13" xfId="14482" xr:uid="{00000000-0005-0000-0000-00003C380000}"/>
    <cellStyle name="60% - Accent2 3 8 14" xfId="14483" xr:uid="{00000000-0005-0000-0000-00003D380000}"/>
    <cellStyle name="60% - Accent2 3 8 15" xfId="14484" xr:uid="{00000000-0005-0000-0000-00003E380000}"/>
    <cellStyle name="60% - Accent2 3 8 2" xfId="14485" xr:uid="{00000000-0005-0000-0000-00003F380000}"/>
    <cellStyle name="60% - Accent2 3 8 3" xfId="14486" xr:uid="{00000000-0005-0000-0000-000040380000}"/>
    <cellStyle name="60% - Accent2 3 8 4" xfId="14487" xr:uid="{00000000-0005-0000-0000-000041380000}"/>
    <cellStyle name="60% - Accent2 3 8 5" xfId="14488" xr:uid="{00000000-0005-0000-0000-000042380000}"/>
    <cellStyle name="60% - Accent2 3 8 6" xfId="14489" xr:uid="{00000000-0005-0000-0000-000043380000}"/>
    <cellStyle name="60% - Accent2 3 8 7" xfId="14490" xr:uid="{00000000-0005-0000-0000-000044380000}"/>
    <cellStyle name="60% - Accent2 3 8 8" xfId="14491" xr:uid="{00000000-0005-0000-0000-000045380000}"/>
    <cellStyle name="60% - Accent2 3 8 9" xfId="14492" xr:uid="{00000000-0005-0000-0000-000046380000}"/>
    <cellStyle name="60% - Accent2 3 9" xfId="14493" xr:uid="{00000000-0005-0000-0000-000047380000}"/>
    <cellStyle name="60% - Accent2 3 9 10" xfId="14494" xr:uid="{00000000-0005-0000-0000-000048380000}"/>
    <cellStyle name="60% - Accent2 3 9 11" xfId="14495" xr:uid="{00000000-0005-0000-0000-000049380000}"/>
    <cellStyle name="60% - Accent2 3 9 12" xfId="14496" xr:uid="{00000000-0005-0000-0000-00004A380000}"/>
    <cellStyle name="60% - Accent2 3 9 13" xfId="14497" xr:uid="{00000000-0005-0000-0000-00004B380000}"/>
    <cellStyle name="60% - Accent2 3 9 14" xfId="14498" xr:uid="{00000000-0005-0000-0000-00004C380000}"/>
    <cellStyle name="60% - Accent2 3 9 15" xfId="14499" xr:uid="{00000000-0005-0000-0000-00004D380000}"/>
    <cellStyle name="60% - Accent2 3 9 2" xfId="14500" xr:uid="{00000000-0005-0000-0000-00004E380000}"/>
    <cellStyle name="60% - Accent2 3 9 3" xfId="14501" xr:uid="{00000000-0005-0000-0000-00004F380000}"/>
    <cellStyle name="60% - Accent2 3 9 4" xfId="14502" xr:uid="{00000000-0005-0000-0000-000050380000}"/>
    <cellStyle name="60% - Accent2 3 9 5" xfId="14503" xr:uid="{00000000-0005-0000-0000-000051380000}"/>
    <cellStyle name="60% - Accent2 3 9 6" xfId="14504" xr:uid="{00000000-0005-0000-0000-000052380000}"/>
    <cellStyle name="60% - Accent2 3 9 7" xfId="14505" xr:uid="{00000000-0005-0000-0000-000053380000}"/>
    <cellStyle name="60% - Accent2 3 9 8" xfId="14506" xr:uid="{00000000-0005-0000-0000-000054380000}"/>
    <cellStyle name="60% - Accent2 3 9 9" xfId="14507" xr:uid="{00000000-0005-0000-0000-000055380000}"/>
    <cellStyle name="60% - Accent2 30" xfId="14508" xr:uid="{00000000-0005-0000-0000-000056380000}"/>
    <cellStyle name="60% - Accent2 30 10" xfId="14509" xr:uid="{00000000-0005-0000-0000-000057380000}"/>
    <cellStyle name="60% - Accent2 30 11" xfId="14510" xr:uid="{00000000-0005-0000-0000-000058380000}"/>
    <cellStyle name="60% - Accent2 30 12" xfId="14511" xr:uid="{00000000-0005-0000-0000-000059380000}"/>
    <cellStyle name="60% - Accent2 30 13" xfId="14512" xr:uid="{00000000-0005-0000-0000-00005A380000}"/>
    <cellStyle name="60% - Accent2 30 14" xfId="14513" xr:uid="{00000000-0005-0000-0000-00005B380000}"/>
    <cellStyle name="60% - Accent2 30 15" xfId="14514" xr:uid="{00000000-0005-0000-0000-00005C380000}"/>
    <cellStyle name="60% - Accent2 30 2" xfId="14515" xr:uid="{00000000-0005-0000-0000-00005D380000}"/>
    <cellStyle name="60% - Accent2 30 3" xfId="14516" xr:uid="{00000000-0005-0000-0000-00005E380000}"/>
    <cellStyle name="60% - Accent2 30 4" xfId="14517" xr:uid="{00000000-0005-0000-0000-00005F380000}"/>
    <cellStyle name="60% - Accent2 30 5" xfId="14518" xr:uid="{00000000-0005-0000-0000-000060380000}"/>
    <cellStyle name="60% - Accent2 30 6" xfId="14519" xr:uid="{00000000-0005-0000-0000-000061380000}"/>
    <cellStyle name="60% - Accent2 30 7" xfId="14520" xr:uid="{00000000-0005-0000-0000-000062380000}"/>
    <cellStyle name="60% - Accent2 30 8" xfId="14521" xr:uid="{00000000-0005-0000-0000-000063380000}"/>
    <cellStyle name="60% - Accent2 30 9" xfId="14522" xr:uid="{00000000-0005-0000-0000-000064380000}"/>
    <cellStyle name="60% - Accent2 31" xfId="14523" xr:uid="{00000000-0005-0000-0000-000065380000}"/>
    <cellStyle name="60% - Accent2 31 10" xfId="14524" xr:uid="{00000000-0005-0000-0000-000066380000}"/>
    <cellStyle name="60% - Accent2 31 11" xfId="14525" xr:uid="{00000000-0005-0000-0000-000067380000}"/>
    <cellStyle name="60% - Accent2 31 12" xfId="14526" xr:uid="{00000000-0005-0000-0000-000068380000}"/>
    <cellStyle name="60% - Accent2 31 13" xfId="14527" xr:uid="{00000000-0005-0000-0000-000069380000}"/>
    <cellStyle name="60% - Accent2 31 14" xfId="14528" xr:uid="{00000000-0005-0000-0000-00006A380000}"/>
    <cellStyle name="60% - Accent2 31 15" xfId="14529" xr:uid="{00000000-0005-0000-0000-00006B380000}"/>
    <cellStyle name="60% - Accent2 31 2" xfId="14530" xr:uid="{00000000-0005-0000-0000-00006C380000}"/>
    <cellStyle name="60% - Accent2 31 3" xfId="14531" xr:uid="{00000000-0005-0000-0000-00006D380000}"/>
    <cellStyle name="60% - Accent2 31 4" xfId="14532" xr:uid="{00000000-0005-0000-0000-00006E380000}"/>
    <cellStyle name="60% - Accent2 31 5" xfId="14533" xr:uid="{00000000-0005-0000-0000-00006F380000}"/>
    <cellStyle name="60% - Accent2 31 6" xfId="14534" xr:uid="{00000000-0005-0000-0000-000070380000}"/>
    <cellStyle name="60% - Accent2 31 7" xfId="14535" xr:uid="{00000000-0005-0000-0000-000071380000}"/>
    <cellStyle name="60% - Accent2 31 8" xfId="14536" xr:uid="{00000000-0005-0000-0000-000072380000}"/>
    <cellStyle name="60% - Accent2 31 9" xfId="14537" xr:uid="{00000000-0005-0000-0000-000073380000}"/>
    <cellStyle name="60% - Accent2 32" xfId="14538" xr:uid="{00000000-0005-0000-0000-000074380000}"/>
    <cellStyle name="60% - Accent2 32 10" xfId="14539" xr:uid="{00000000-0005-0000-0000-000075380000}"/>
    <cellStyle name="60% - Accent2 32 11" xfId="14540" xr:uid="{00000000-0005-0000-0000-000076380000}"/>
    <cellStyle name="60% - Accent2 32 12" xfId="14541" xr:uid="{00000000-0005-0000-0000-000077380000}"/>
    <cellStyle name="60% - Accent2 32 13" xfId="14542" xr:uid="{00000000-0005-0000-0000-000078380000}"/>
    <cellStyle name="60% - Accent2 32 14" xfId="14543" xr:uid="{00000000-0005-0000-0000-000079380000}"/>
    <cellStyle name="60% - Accent2 32 15" xfId="14544" xr:uid="{00000000-0005-0000-0000-00007A380000}"/>
    <cellStyle name="60% - Accent2 32 2" xfId="14545" xr:uid="{00000000-0005-0000-0000-00007B380000}"/>
    <cellStyle name="60% - Accent2 32 3" xfId="14546" xr:uid="{00000000-0005-0000-0000-00007C380000}"/>
    <cellStyle name="60% - Accent2 32 4" xfId="14547" xr:uid="{00000000-0005-0000-0000-00007D380000}"/>
    <cellStyle name="60% - Accent2 32 5" xfId="14548" xr:uid="{00000000-0005-0000-0000-00007E380000}"/>
    <cellStyle name="60% - Accent2 32 6" xfId="14549" xr:uid="{00000000-0005-0000-0000-00007F380000}"/>
    <cellStyle name="60% - Accent2 32 7" xfId="14550" xr:uid="{00000000-0005-0000-0000-000080380000}"/>
    <cellStyle name="60% - Accent2 32 8" xfId="14551" xr:uid="{00000000-0005-0000-0000-000081380000}"/>
    <cellStyle name="60% - Accent2 32 9" xfId="14552" xr:uid="{00000000-0005-0000-0000-000082380000}"/>
    <cellStyle name="60% - Accent2 33" xfId="14553" xr:uid="{00000000-0005-0000-0000-000083380000}"/>
    <cellStyle name="60% - Accent2 33 10" xfId="14554" xr:uid="{00000000-0005-0000-0000-000084380000}"/>
    <cellStyle name="60% - Accent2 33 11" xfId="14555" xr:uid="{00000000-0005-0000-0000-000085380000}"/>
    <cellStyle name="60% - Accent2 33 12" xfId="14556" xr:uid="{00000000-0005-0000-0000-000086380000}"/>
    <cellStyle name="60% - Accent2 33 13" xfId="14557" xr:uid="{00000000-0005-0000-0000-000087380000}"/>
    <cellStyle name="60% - Accent2 33 14" xfId="14558" xr:uid="{00000000-0005-0000-0000-000088380000}"/>
    <cellStyle name="60% - Accent2 33 15" xfId="14559" xr:uid="{00000000-0005-0000-0000-000089380000}"/>
    <cellStyle name="60% - Accent2 33 2" xfId="14560" xr:uid="{00000000-0005-0000-0000-00008A380000}"/>
    <cellStyle name="60% - Accent2 33 3" xfId="14561" xr:uid="{00000000-0005-0000-0000-00008B380000}"/>
    <cellStyle name="60% - Accent2 33 4" xfId="14562" xr:uid="{00000000-0005-0000-0000-00008C380000}"/>
    <cellStyle name="60% - Accent2 33 5" xfId="14563" xr:uid="{00000000-0005-0000-0000-00008D380000}"/>
    <cellStyle name="60% - Accent2 33 6" xfId="14564" xr:uid="{00000000-0005-0000-0000-00008E380000}"/>
    <cellStyle name="60% - Accent2 33 7" xfId="14565" xr:uid="{00000000-0005-0000-0000-00008F380000}"/>
    <cellStyle name="60% - Accent2 33 8" xfId="14566" xr:uid="{00000000-0005-0000-0000-000090380000}"/>
    <cellStyle name="60% - Accent2 33 9" xfId="14567" xr:uid="{00000000-0005-0000-0000-000091380000}"/>
    <cellStyle name="60% - Accent2 34" xfId="14568" xr:uid="{00000000-0005-0000-0000-000092380000}"/>
    <cellStyle name="60% - Accent2 34 10" xfId="14569" xr:uid="{00000000-0005-0000-0000-000093380000}"/>
    <cellStyle name="60% - Accent2 34 11" xfId="14570" xr:uid="{00000000-0005-0000-0000-000094380000}"/>
    <cellStyle name="60% - Accent2 34 12" xfId="14571" xr:uid="{00000000-0005-0000-0000-000095380000}"/>
    <cellStyle name="60% - Accent2 34 13" xfId="14572" xr:uid="{00000000-0005-0000-0000-000096380000}"/>
    <cellStyle name="60% - Accent2 34 14" xfId="14573" xr:uid="{00000000-0005-0000-0000-000097380000}"/>
    <cellStyle name="60% - Accent2 34 15" xfId="14574" xr:uid="{00000000-0005-0000-0000-000098380000}"/>
    <cellStyle name="60% - Accent2 34 2" xfId="14575" xr:uid="{00000000-0005-0000-0000-000099380000}"/>
    <cellStyle name="60% - Accent2 34 3" xfId="14576" xr:uid="{00000000-0005-0000-0000-00009A380000}"/>
    <cellStyle name="60% - Accent2 34 4" xfId="14577" xr:uid="{00000000-0005-0000-0000-00009B380000}"/>
    <cellStyle name="60% - Accent2 34 5" xfId="14578" xr:uid="{00000000-0005-0000-0000-00009C380000}"/>
    <cellStyle name="60% - Accent2 34 6" xfId="14579" xr:uid="{00000000-0005-0000-0000-00009D380000}"/>
    <cellStyle name="60% - Accent2 34 7" xfId="14580" xr:uid="{00000000-0005-0000-0000-00009E380000}"/>
    <cellStyle name="60% - Accent2 34 8" xfId="14581" xr:uid="{00000000-0005-0000-0000-00009F380000}"/>
    <cellStyle name="60% - Accent2 34 9" xfId="14582" xr:uid="{00000000-0005-0000-0000-0000A0380000}"/>
    <cellStyle name="60% - Accent2 35" xfId="14583" xr:uid="{00000000-0005-0000-0000-0000A1380000}"/>
    <cellStyle name="60% - Accent2 35 10" xfId="14584" xr:uid="{00000000-0005-0000-0000-0000A2380000}"/>
    <cellStyle name="60% - Accent2 35 11" xfId="14585" xr:uid="{00000000-0005-0000-0000-0000A3380000}"/>
    <cellStyle name="60% - Accent2 35 12" xfId="14586" xr:uid="{00000000-0005-0000-0000-0000A4380000}"/>
    <cellStyle name="60% - Accent2 35 13" xfId="14587" xr:uid="{00000000-0005-0000-0000-0000A5380000}"/>
    <cellStyle name="60% - Accent2 35 14" xfId="14588" xr:uid="{00000000-0005-0000-0000-0000A6380000}"/>
    <cellStyle name="60% - Accent2 35 15" xfId="14589" xr:uid="{00000000-0005-0000-0000-0000A7380000}"/>
    <cellStyle name="60% - Accent2 35 2" xfId="14590" xr:uid="{00000000-0005-0000-0000-0000A8380000}"/>
    <cellStyle name="60% - Accent2 35 3" xfId="14591" xr:uid="{00000000-0005-0000-0000-0000A9380000}"/>
    <cellStyle name="60% - Accent2 35 4" xfId="14592" xr:uid="{00000000-0005-0000-0000-0000AA380000}"/>
    <cellStyle name="60% - Accent2 35 5" xfId="14593" xr:uid="{00000000-0005-0000-0000-0000AB380000}"/>
    <cellStyle name="60% - Accent2 35 6" xfId="14594" xr:uid="{00000000-0005-0000-0000-0000AC380000}"/>
    <cellStyle name="60% - Accent2 35 7" xfId="14595" xr:uid="{00000000-0005-0000-0000-0000AD380000}"/>
    <cellStyle name="60% - Accent2 35 8" xfId="14596" xr:uid="{00000000-0005-0000-0000-0000AE380000}"/>
    <cellStyle name="60% - Accent2 35 9" xfId="14597" xr:uid="{00000000-0005-0000-0000-0000AF380000}"/>
    <cellStyle name="60% - Accent2 36" xfId="14598" xr:uid="{00000000-0005-0000-0000-0000B0380000}"/>
    <cellStyle name="60% - Accent2 36 10" xfId="14599" xr:uid="{00000000-0005-0000-0000-0000B1380000}"/>
    <cellStyle name="60% - Accent2 36 11" xfId="14600" xr:uid="{00000000-0005-0000-0000-0000B2380000}"/>
    <cellStyle name="60% - Accent2 36 12" xfId="14601" xr:uid="{00000000-0005-0000-0000-0000B3380000}"/>
    <cellStyle name="60% - Accent2 36 13" xfId="14602" xr:uid="{00000000-0005-0000-0000-0000B4380000}"/>
    <cellStyle name="60% - Accent2 36 14" xfId="14603" xr:uid="{00000000-0005-0000-0000-0000B5380000}"/>
    <cellStyle name="60% - Accent2 36 15" xfId="14604" xr:uid="{00000000-0005-0000-0000-0000B6380000}"/>
    <cellStyle name="60% - Accent2 36 2" xfId="14605" xr:uid="{00000000-0005-0000-0000-0000B7380000}"/>
    <cellStyle name="60% - Accent2 36 3" xfId="14606" xr:uid="{00000000-0005-0000-0000-0000B8380000}"/>
    <cellStyle name="60% - Accent2 36 4" xfId="14607" xr:uid="{00000000-0005-0000-0000-0000B9380000}"/>
    <cellStyle name="60% - Accent2 36 5" xfId="14608" xr:uid="{00000000-0005-0000-0000-0000BA380000}"/>
    <cellStyle name="60% - Accent2 36 6" xfId="14609" xr:uid="{00000000-0005-0000-0000-0000BB380000}"/>
    <cellStyle name="60% - Accent2 36 7" xfId="14610" xr:uid="{00000000-0005-0000-0000-0000BC380000}"/>
    <cellStyle name="60% - Accent2 36 8" xfId="14611" xr:uid="{00000000-0005-0000-0000-0000BD380000}"/>
    <cellStyle name="60% - Accent2 36 9" xfId="14612" xr:uid="{00000000-0005-0000-0000-0000BE380000}"/>
    <cellStyle name="60% - Accent2 37" xfId="14613" xr:uid="{00000000-0005-0000-0000-0000BF380000}"/>
    <cellStyle name="60% - Accent2 37 10" xfId="14614" xr:uid="{00000000-0005-0000-0000-0000C0380000}"/>
    <cellStyle name="60% - Accent2 37 11" xfId="14615" xr:uid="{00000000-0005-0000-0000-0000C1380000}"/>
    <cellStyle name="60% - Accent2 37 12" xfId="14616" xr:uid="{00000000-0005-0000-0000-0000C2380000}"/>
    <cellStyle name="60% - Accent2 37 13" xfId="14617" xr:uid="{00000000-0005-0000-0000-0000C3380000}"/>
    <cellStyle name="60% - Accent2 37 14" xfId="14618" xr:uid="{00000000-0005-0000-0000-0000C4380000}"/>
    <cellStyle name="60% - Accent2 37 15" xfId="14619" xr:uid="{00000000-0005-0000-0000-0000C5380000}"/>
    <cellStyle name="60% - Accent2 37 2" xfId="14620" xr:uid="{00000000-0005-0000-0000-0000C6380000}"/>
    <cellStyle name="60% - Accent2 37 3" xfId="14621" xr:uid="{00000000-0005-0000-0000-0000C7380000}"/>
    <cellStyle name="60% - Accent2 37 4" xfId="14622" xr:uid="{00000000-0005-0000-0000-0000C8380000}"/>
    <cellStyle name="60% - Accent2 37 5" xfId="14623" xr:uid="{00000000-0005-0000-0000-0000C9380000}"/>
    <cellStyle name="60% - Accent2 37 6" xfId="14624" xr:uid="{00000000-0005-0000-0000-0000CA380000}"/>
    <cellStyle name="60% - Accent2 37 7" xfId="14625" xr:uid="{00000000-0005-0000-0000-0000CB380000}"/>
    <cellStyle name="60% - Accent2 37 8" xfId="14626" xr:uid="{00000000-0005-0000-0000-0000CC380000}"/>
    <cellStyle name="60% - Accent2 37 9" xfId="14627" xr:uid="{00000000-0005-0000-0000-0000CD380000}"/>
    <cellStyle name="60% - Accent2 38" xfId="14628" xr:uid="{00000000-0005-0000-0000-0000CE380000}"/>
    <cellStyle name="60% - Accent2 38 10" xfId="14629" xr:uid="{00000000-0005-0000-0000-0000CF380000}"/>
    <cellStyle name="60% - Accent2 38 11" xfId="14630" xr:uid="{00000000-0005-0000-0000-0000D0380000}"/>
    <cellStyle name="60% - Accent2 38 12" xfId="14631" xr:uid="{00000000-0005-0000-0000-0000D1380000}"/>
    <cellStyle name="60% - Accent2 38 13" xfId="14632" xr:uid="{00000000-0005-0000-0000-0000D2380000}"/>
    <cellStyle name="60% - Accent2 38 14" xfId="14633" xr:uid="{00000000-0005-0000-0000-0000D3380000}"/>
    <cellStyle name="60% - Accent2 38 15" xfId="14634" xr:uid="{00000000-0005-0000-0000-0000D4380000}"/>
    <cellStyle name="60% - Accent2 38 2" xfId="14635" xr:uid="{00000000-0005-0000-0000-0000D5380000}"/>
    <cellStyle name="60% - Accent2 38 3" xfId="14636" xr:uid="{00000000-0005-0000-0000-0000D6380000}"/>
    <cellStyle name="60% - Accent2 38 4" xfId="14637" xr:uid="{00000000-0005-0000-0000-0000D7380000}"/>
    <cellStyle name="60% - Accent2 38 5" xfId="14638" xr:uid="{00000000-0005-0000-0000-0000D8380000}"/>
    <cellStyle name="60% - Accent2 38 6" xfId="14639" xr:uid="{00000000-0005-0000-0000-0000D9380000}"/>
    <cellStyle name="60% - Accent2 38 7" xfId="14640" xr:uid="{00000000-0005-0000-0000-0000DA380000}"/>
    <cellStyle name="60% - Accent2 38 8" xfId="14641" xr:uid="{00000000-0005-0000-0000-0000DB380000}"/>
    <cellStyle name="60% - Accent2 38 9" xfId="14642" xr:uid="{00000000-0005-0000-0000-0000DC380000}"/>
    <cellStyle name="60% - Accent2 39" xfId="14643" xr:uid="{00000000-0005-0000-0000-0000DD380000}"/>
    <cellStyle name="60% - Accent2 39 10" xfId="14644" xr:uid="{00000000-0005-0000-0000-0000DE380000}"/>
    <cellStyle name="60% - Accent2 39 11" xfId="14645" xr:uid="{00000000-0005-0000-0000-0000DF380000}"/>
    <cellStyle name="60% - Accent2 39 12" xfId="14646" xr:uid="{00000000-0005-0000-0000-0000E0380000}"/>
    <cellStyle name="60% - Accent2 39 13" xfId="14647" xr:uid="{00000000-0005-0000-0000-0000E1380000}"/>
    <cellStyle name="60% - Accent2 39 14" xfId="14648" xr:uid="{00000000-0005-0000-0000-0000E2380000}"/>
    <cellStyle name="60% - Accent2 39 15" xfId="14649" xr:uid="{00000000-0005-0000-0000-0000E3380000}"/>
    <cellStyle name="60% - Accent2 39 2" xfId="14650" xr:uid="{00000000-0005-0000-0000-0000E4380000}"/>
    <cellStyle name="60% - Accent2 39 3" xfId="14651" xr:uid="{00000000-0005-0000-0000-0000E5380000}"/>
    <cellStyle name="60% - Accent2 39 4" xfId="14652" xr:uid="{00000000-0005-0000-0000-0000E6380000}"/>
    <cellStyle name="60% - Accent2 39 5" xfId="14653" xr:uid="{00000000-0005-0000-0000-0000E7380000}"/>
    <cellStyle name="60% - Accent2 39 6" xfId="14654" xr:uid="{00000000-0005-0000-0000-0000E8380000}"/>
    <cellStyle name="60% - Accent2 39 7" xfId="14655" xr:uid="{00000000-0005-0000-0000-0000E9380000}"/>
    <cellStyle name="60% - Accent2 39 8" xfId="14656" xr:uid="{00000000-0005-0000-0000-0000EA380000}"/>
    <cellStyle name="60% - Accent2 39 9" xfId="14657" xr:uid="{00000000-0005-0000-0000-0000EB380000}"/>
    <cellStyle name="60% - Accent2 4" xfId="14658" xr:uid="{00000000-0005-0000-0000-0000EC380000}"/>
    <cellStyle name="60% - Accent2 4 2" xfId="14659" xr:uid="{00000000-0005-0000-0000-0000ED380000}"/>
    <cellStyle name="60% - Accent2 4 2 2" xfId="14660" xr:uid="{00000000-0005-0000-0000-0000EE380000}"/>
    <cellStyle name="60% - Accent2 4 3" xfId="14661" xr:uid="{00000000-0005-0000-0000-0000EF380000}"/>
    <cellStyle name="60% - Accent2 4 3 2" xfId="14662" xr:uid="{00000000-0005-0000-0000-0000F0380000}"/>
    <cellStyle name="60% - Accent2 4 4" xfId="14663" xr:uid="{00000000-0005-0000-0000-0000F1380000}"/>
    <cellStyle name="60% - Accent2 4 4 2" xfId="14664" xr:uid="{00000000-0005-0000-0000-0000F2380000}"/>
    <cellStyle name="60% - Accent2 4 5" xfId="14665" xr:uid="{00000000-0005-0000-0000-0000F3380000}"/>
    <cellStyle name="60% - Accent2 4 5 2" xfId="14666" xr:uid="{00000000-0005-0000-0000-0000F4380000}"/>
    <cellStyle name="60% - Accent2 4 6" xfId="14667" xr:uid="{00000000-0005-0000-0000-0000F5380000}"/>
    <cellStyle name="60% - Accent2 4 6 2" xfId="14668" xr:uid="{00000000-0005-0000-0000-0000F6380000}"/>
    <cellStyle name="60% - Accent2 4 7" xfId="14669" xr:uid="{00000000-0005-0000-0000-0000F7380000}"/>
    <cellStyle name="60% - Accent2 40" xfId="14670" xr:uid="{00000000-0005-0000-0000-0000F8380000}"/>
    <cellStyle name="60% - Accent2 41" xfId="14671" xr:uid="{00000000-0005-0000-0000-0000F9380000}"/>
    <cellStyle name="60% - Accent2 42" xfId="14672" xr:uid="{00000000-0005-0000-0000-0000FA380000}"/>
    <cellStyle name="60% - Accent2 43" xfId="14673" xr:uid="{00000000-0005-0000-0000-0000FB380000}"/>
    <cellStyle name="60% - Accent2 44" xfId="14674" xr:uid="{00000000-0005-0000-0000-0000FC380000}"/>
    <cellStyle name="60% - Accent2 45" xfId="14675" xr:uid="{00000000-0005-0000-0000-0000FD380000}"/>
    <cellStyle name="60% - Accent2 46" xfId="14676" xr:uid="{00000000-0005-0000-0000-0000FE380000}"/>
    <cellStyle name="60% - Accent2 47" xfId="14677" xr:uid="{00000000-0005-0000-0000-0000FF380000}"/>
    <cellStyle name="60% - Accent2 48" xfId="14678" xr:uid="{00000000-0005-0000-0000-000000390000}"/>
    <cellStyle name="60% - Accent2 49" xfId="14679" xr:uid="{00000000-0005-0000-0000-000001390000}"/>
    <cellStyle name="60% - Accent2 5" xfId="14680" xr:uid="{00000000-0005-0000-0000-000002390000}"/>
    <cellStyle name="60% - Accent2 5 2" xfId="14681" xr:uid="{00000000-0005-0000-0000-000003390000}"/>
    <cellStyle name="60% - Accent2 5 2 2" xfId="14682" xr:uid="{00000000-0005-0000-0000-000004390000}"/>
    <cellStyle name="60% - Accent2 5 2 3" xfId="14683" xr:uid="{00000000-0005-0000-0000-000005390000}"/>
    <cellStyle name="60% - Accent2 5 2 4" xfId="14684" xr:uid="{00000000-0005-0000-0000-000006390000}"/>
    <cellStyle name="60% - Accent2 5 3" xfId="14685" xr:uid="{00000000-0005-0000-0000-000007390000}"/>
    <cellStyle name="60% - Accent2 5 3 2" xfId="14686" xr:uid="{00000000-0005-0000-0000-000008390000}"/>
    <cellStyle name="60% - Accent2 5 3 3" xfId="14687" xr:uid="{00000000-0005-0000-0000-000009390000}"/>
    <cellStyle name="60% - Accent2 5 4" xfId="14688" xr:uid="{00000000-0005-0000-0000-00000A390000}"/>
    <cellStyle name="60% - Accent2 50" xfId="14689" xr:uid="{00000000-0005-0000-0000-00000B390000}"/>
    <cellStyle name="60% - Accent2 51" xfId="14690" xr:uid="{00000000-0005-0000-0000-00000C390000}"/>
    <cellStyle name="60% - Accent2 52" xfId="14691" xr:uid="{00000000-0005-0000-0000-00000D390000}"/>
    <cellStyle name="60% - Accent2 53" xfId="14692" xr:uid="{00000000-0005-0000-0000-00000E390000}"/>
    <cellStyle name="60% - Accent2 54" xfId="14693" xr:uid="{00000000-0005-0000-0000-00000F390000}"/>
    <cellStyle name="60% - Accent2 55" xfId="14694" xr:uid="{00000000-0005-0000-0000-000010390000}"/>
    <cellStyle name="60% - Accent2 56" xfId="14695" xr:uid="{00000000-0005-0000-0000-000011390000}"/>
    <cellStyle name="60% - Accent2 57" xfId="14696" xr:uid="{00000000-0005-0000-0000-000012390000}"/>
    <cellStyle name="60% - Accent2 58" xfId="14697" xr:uid="{00000000-0005-0000-0000-000013390000}"/>
    <cellStyle name="60% - Accent2 59" xfId="14698" xr:uid="{00000000-0005-0000-0000-000014390000}"/>
    <cellStyle name="60% - Accent2 6" xfId="14699" xr:uid="{00000000-0005-0000-0000-000015390000}"/>
    <cellStyle name="60% - Accent2 6 2" xfId="14700" xr:uid="{00000000-0005-0000-0000-000016390000}"/>
    <cellStyle name="60% - Accent2 60" xfId="14701" xr:uid="{00000000-0005-0000-0000-000017390000}"/>
    <cellStyle name="60% - Accent2 61" xfId="14702" xr:uid="{00000000-0005-0000-0000-000018390000}"/>
    <cellStyle name="60% - Accent2 62" xfId="14703" xr:uid="{00000000-0005-0000-0000-000019390000}"/>
    <cellStyle name="60% - Accent2 63" xfId="14704" xr:uid="{00000000-0005-0000-0000-00001A390000}"/>
    <cellStyle name="60% - Accent2 64" xfId="14705" xr:uid="{00000000-0005-0000-0000-00001B390000}"/>
    <cellStyle name="60% - Accent2 65" xfId="14706" xr:uid="{00000000-0005-0000-0000-00001C390000}"/>
    <cellStyle name="60% - Accent2 66" xfId="14707" xr:uid="{00000000-0005-0000-0000-00001D390000}"/>
    <cellStyle name="60% - Accent2 67" xfId="14708" xr:uid="{00000000-0005-0000-0000-00001E390000}"/>
    <cellStyle name="60% - Accent2 68" xfId="14709" xr:uid="{00000000-0005-0000-0000-00001F390000}"/>
    <cellStyle name="60% - Accent2 69" xfId="14710" xr:uid="{00000000-0005-0000-0000-000020390000}"/>
    <cellStyle name="60% - Accent2 7" xfId="14711" xr:uid="{00000000-0005-0000-0000-000021390000}"/>
    <cellStyle name="60% - Accent2 7 2" xfId="14712" xr:uid="{00000000-0005-0000-0000-000022390000}"/>
    <cellStyle name="60% - Accent2 70" xfId="14713" xr:uid="{00000000-0005-0000-0000-000023390000}"/>
    <cellStyle name="60% - Accent2 71" xfId="14714" xr:uid="{00000000-0005-0000-0000-000024390000}"/>
    <cellStyle name="60% - Accent2 72" xfId="14715" xr:uid="{00000000-0005-0000-0000-000025390000}"/>
    <cellStyle name="60% - Accent2 73" xfId="14716" xr:uid="{00000000-0005-0000-0000-000026390000}"/>
    <cellStyle name="60% - Accent2 74" xfId="14717" xr:uid="{00000000-0005-0000-0000-000027390000}"/>
    <cellStyle name="60% - Accent2 75" xfId="14718" xr:uid="{00000000-0005-0000-0000-000028390000}"/>
    <cellStyle name="60% - Accent2 76" xfId="14719" xr:uid="{00000000-0005-0000-0000-000029390000}"/>
    <cellStyle name="60% - Accent2 77" xfId="14720" xr:uid="{00000000-0005-0000-0000-00002A390000}"/>
    <cellStyle name="60% - Accent2 78" xfId="14721" xr:uid="{00000000-0005-0000-0000-00002B390000}"/>
    <cellStyle name="60% - Accent2 79" xfId="14722" xr:uid="{00000000-0005-0000-0000-00002C390000}"/>
    <cellStyle name="60% - Accent2 79 2" xfId="14723" xr:uid="{00000000-0005-0000-0000-00002D390000}"/>
    <cellStyle name="60% - Accent2 8" xfId="14724" xr:uid="{00000000-0005-0000-0000-00002E390000}"/>
    <cellStyle name="60% - Accent2 8 2" xfId="14725" xr:uid="{00000000-0005-0000-0000-00002F390000}"/>
    <cellStyle name="60% - Accent2 80" xfId="14726" xr:uid="{00000000-0005-0000-0000-000030390000}"/>
    <cellStyle name="60% - Accent2 80 2" xfId="14727" xr:uid="{00000000-0005-0000-0000-000031390000}"/>
    <cellStyle name="60% - Accent2 81" xfId="14728" xr:uid="{00000000-0005-0000-0000-000032390000}"/>
    <cellStyle name="60% - Accent2 81 2" xfId="14729" xr:uid="{00000000-0005-0000-0000-000033390000}"/>
    <cellStyle name="60% - Accent2 82" xfId="14730" xr:uid="{00000000-0005-0000-0000-000034390000}"/>
    <cellStyle name="60% - Accent2 82 2" xfId="14731" xr:uid="{00000000-0005-0000-0000-000035390000}"/>
    <cellStyle name="60% - Accent2 83" xfId="14732" xr:uid="{00000000-0005-0000-0000-000036390000}"/>
    <cellStyle name="60% - Accent2 83 2" xfId="14733" xr:uid="{00000000-0005-0000-0000-000037390000}"/>
    <cellStyle name="60% - Accent2 84" xfId="14734" xr:uid="{00000000-0005-0000-0000-000038390000}"/>
    <cellStyle name="60% - Accent2 84 2" xfId="14735" xr:uid="{00000000-0005-0000-0000-000039390000}"/>
    <cellStyle name="60% - Accent2 85" xfId="14736" xr:uid="{00000000-0005-0000-0000-00003A390000}"/>
    <cellStyle name="60% - Accent2 85 2" xfId="14737" xr:uid="{00000000-0005-0000-0000-00003B390000}"/>
    <cellStyle name="60% - Accent2 86" xfId="14738" xr:uid="{00000000-0005-0000-0000-00003C390000}"/>
    <cellStyle name="60% - Accent2 86 2" xfId="14739" xr:uid="{00000000-0005-0000-0000-00003D390000}"/>
    <cellStyle name="60% - Accent2 87" xfId="14740" xr:uid="{00000000-0005-0000-0000-00003E390000}"/>
    <cellStyle name="60% - Accent2 87 2" xfId="14741" xr:uid="{00000000-0005-0000-0000-00003F390000}"/>
    <cellStyle name="60% - Accent2 88" xfId="14742" xr:uid="{00000000-0005-0000-0000-000040390000}"/>
    <cellStyle name="60% - Accent2 88 2" xfId="14743" xr:uid="{00000000-0005-0000-0000-000041390000}"/>
    <cellStyle name="60% - Accent2 89" xfId="14744" xr:uid="{00000000-0005-0000-0000-000042390000}"/>
    <cellStyle name="60% - Accent2 89 2" xfId="14745" xr:uid="{00000000-0005-0000-0000-000043390000}"/>
    <cellStyle name="60% - Accent2 9" xfId="14746" xr:uid="{00000000-0005-0000-0000-000044390000}"/>
    <cellStyle name="60% - Accent2 9 2" xfId="14747" xr:uid="{00000000-0005-0000-0000-000045390000}"/>
    <cellStyle name="60% - Accent2 90" xfId="14748" xr:uid="{00000000-0005-0000-0000-000046390000}"/>
    <cellStyle name="60% - Accent2 91" xfId="14749" xr:uid="{00000000-0005-0000-0000-000047390000}"/>
    <cellStyle name="60% - Accent2 92" xfId="14750" xr:uid="{00000000-0005-0000-0000-000048390000}"/>
    <cellStyle name="60% - Accent2 93" xfId="14751" xr:uid="{00000000-0005-0000-0000-000049390000}"/>
    <cellStyle name="60% - Accent2 94" xfId="14752" xr:uid="{00000000-0005-0000-0000-00004A390000}"/>
    <cellStyle name="60% - Accent2 95" xfId="14753" xr:uid="{00000000-0005-0000-0000-00004B390000}"/>
    <cellStyle name="60% - Accent2 96" xfId="14754" xr:uid="{00000000-0005-0000-0000-00004C390000}"/>
    <cellStyle name="60% - Accent2 97" xfId="14755" xr:uid="{00000000-0005-0000-0000-00004D390000}"/>
    <cellStyle name="60% - Accent2 98" xfId="14756" xr:uid="{00000000-0005-0000-0000-00004E390000}"/>
    <cellStyle name="60% - Accent2 99" xfId="14757" xr:uid="{00000000-0005-0000-0000-00004F390000}"/>
    <cellStyle name="60% - Accent3" xfId="29" builtinId="40" customBuiltin="1"/>
    <cellStyle name="60% - Accent3 10" xfId="14758" xr:uid="{00000000-0005-0000-0000-000051390000}"/>
    <cellStyle name="60% - Accent3 10 2" xfId="14759" xr:uid="{00000000-0005-0000-0000-000052390000}"/>
    <cellStyle name="60% - Accent3 100" xfId="14760" xr:uid="{00000000-0005-0000-0000-000053390000}"/>
    <cellStyle name="60% - Accent3 101" xfId="14761" xr:uid="{00000000-0005-0000-0000-000054390000}"/>
    <cellStyle name="60% - Accent3 102" xfId="14762" xr:uid="{00000000-0005-0000-0000-000055390000}"/>
    <cellStyle name="60% - Accent3 103" xfId="14763" xr:uid="{00000000-0005-0000-0000-000056390000}"/>
    <cellStyle name="60% - Accent3 104" xfId="14764" xr:uid="{00000000-0005-0000-0000-000057390000}"/>
    <cellStyle name="60% - Accent3 105" xfId="14765" xr:uid="{00000000-0005-0000-0000-000058390000}"/>
    <cellStyle name="60% - Accent3 106" xfId="14766" xr:uid="{00000000-0005-0000-0000-000059390000}"/>
    <cellStyle name="60% - Accent3 107" xfId="14767" xr:uid="{00000000-0005-0000-0000-00005A390000}"/>
    <cellStyle name="60% - Accent3 108" xfId="14768" xr:uid="{00000000-0005-0000-0000-00005B390000}"/>
    <cellStyle name="60% - Accent3 109" xfId="14769" xr:uid="{00000000-0005-0000-0000-00005C390000}"/>
    <cellStyle name="60% - Accent3 11" xfId="14770" xr:uid="{00000000-0005-0000-0000-00005D390000}"/>
    <cellStyle name="60% - Accent3 11 2" xfId="14771" xr:uid="{00000000-0005-0000-0000-00005E390000}"/>
    <cellStyle name="60% - Accent3 110" xfId="14772" xr:uid="{00000000-0005-0000-0000-00005F390000}"/>
    <cellStyle name="60% - Accent3 111" xfId="14773" xr:uid="{00000000-0005-0000-0000-000060390000}"/>
    <cellStyle name="60% - Accent3 112" xfId="14774" xr:uid="{00000000-0005-0000-0000-000061390000}"/>
    <cellStyle name="60% - Accent3 113" xfId="14775" xr:uid="{00000000-0005-0000-0000-000062390000}"/>
    <cellStyle name="60% - Accent3 114" xfId="14776" xr:uid="{00000000-0005-0000-0000-000063390000}"/>
    <cellStyle name="60% - Accent3 115" xfId="14777" xr:uid="{00000000-0005-0000-0000-000064390000}"/>
    <cellStyle name="60% - Accent3 116" xfId="14778" xr:uid="{00000000-0005-0000-0000-000065390000}"/>
    <cellStyle name="60% - Accent3 117" xfId="14779" xr:uid="{00000000-0005-0000-0000-000066390000}"/>
    <cellStyle name="60% - Accent3 118" xfId="14780" xr:uid="{00000000-0005-0000-0000-000067390000}"/>
    <cellStyle name="60% - Accent3 119" xfId="14781" xr:uid="{00000000-0005-0000-0000-000068390000}"/>
    <cellStyle name="60% - Accent3 12" xfId="14782" xr:uid="{00000000-0005-0000-0000-000069390000}"/>
    <cellStyle name="60% - Accent3 12 2" xfId="14783" xr:uid="{00000000-0005-0000-0000-00006A390000}"/>
    <cellStyle name="60% - Accent3 120" xfId="14784" xr:uid="{00000000-0005-0000-0000-00006B390000}"/>
    <cellStyle name="60% - Accent3 121" xfId="14785" xr:uid="{00000000-0005-0000-0000-00006C390000}"/>
    <cellStyle name="60% - Accent3 122" xfId="14786" xr:uid="{00000000-0005-0000-0000-00006D390000}"/>
    <cellStyle name="60% - Accent3 123" xfId="14787" xr:uid="{00000000-0005-0000-0000-00006E390000}"/>
    <cellStyle name="60% - Accent3 124" xfId="14788" xr:uid="{00000000-0005-0000-0000-00006F390000}"/>
    <cellStyle name="60% - Accent3 125" xfId="14789" xr:uid="{00000000-0005-0000-0000-000070390000}"/>
    <cellStyle name="60% - Accent3 126" xfId="14790" xr:uid="{00000000-0005-0000-0000-000071390000}"/>
    <cellStyle name="60% - Accent3 127" xfId="14791" xr:uid="{00000000-0005-0000-0000-000072390000}"/>
    <cellStyle name="60% - Accent3 128" xfId="14792" xr:uid="{00000000-0005-0000-0000-000073390000}"/>
    <cellStyle name="60% - Accent3 129" xfId="14793" xr:uid="{00000000-0005-0000-0000-000074390000}"/>
    <cellStyle name="60% - Accent3 13" xfId="14794" xr:uid="{00000000-0005-0000-0000-000075390000}"/>
    <cellStyle name="60% - Accent3 13 2" xfId="14795" xr:uid="{00000000-0005-0000-0000-000076390000}"/>
    <cellStyle name="60% - Accent3 130" xfId="14796" xr:uid="{00000000-0005-0000-0000-000077390000}"/>
    <cellStyle name="60% - Accent3 131" xfId="14797" xr:uid="{00000000-0005-0000-0000-000078390000}"/>
    <cellStyle name="60% - Accent3 132" xfId="14798" xr:uid="{00000000-0005-0000-0000-000079390000}"/>
    <cellStyle name="60% - Accent3 133" xfId="14799" xr:uid="{00000000-0005-0000-0000-00007A390000}"/>
    <cellStyle name="60% - Accent3 134" xfId="14800" xr:uid="{00000000-0005-0000-0000-00007B390000}"/>
    <cellStyle name="60% - Accent3 135" xfId="14801" xr:uid="{00000000-0005-0000-0000-00007C390000}"/>
    <cellStyle name="60% - Accent3 136" xfId="14802" xr:uid="{00000000-0005-0000-0000-00007D390000}"/>
    <cellStyle name="60% - Accent3 137" xfId="14803" xr:uid="{00000000-0005-0000-0000-00007E390000}"/>
    <cellStyle name="60% - Accent3 138" xfId="14804" xr:uid="{00000000-0005-0000-0000-00007F390000}"/>
    <cellStyle name="60% - Accent3 139" xfId="14805" xr:uid="{00000000-0005-0000-0000-000080390000}"/>
    <cellStyle name="60% - Accent3 14" xfId="14806" xr:uid="{00000000-0005-0000-0000-000081390000}"/>
    <cellStyle name="60% - Accent3 14 2" xfId="14807" xr:uid="{00000000-0005-0000-0000-000082390000}"/>
    <cellStyle name="60% - Accent3 140" xfId="14808" xr:uid="{00000000-0005-0000-0000-000083390000}"/>
    <cellStyle name="60% - Accent3 141" xfId="14809" xr:uid="{00000000-0005-0000-0000-000084390000}"/>
    <cellStyle name="60% - Accent3 142" xfId="14810" xr:uid="{00000000-0005-0000-0000-000085390000}"/>
    <cellStyle name="60% - Accent3 143" xfId="14811" xr:uid="{00000000-0005-0000-0000-000086390000}"/>
    <cellStyle name="60% - Accent3 144" xfId="14812" xr:uid="{00000000-0005-0000-0000-000087390000}"/>
    <cellStyle name="60% - Accent3 145" xfId="14813" xr:uid="{00000000-0005-0000-0000-000088390000}"/>
    <cellStyle name="60% - Accent3 146" xfId="14814" xr:uid="{00000000-0005-0000-0000-000089390000}"/>
    <cellStyle name="60% - Accent3 147" xfId="14815" xr:uid="{00000000-0005-0000-0000-00008A390000}"/>
    <cellStyle name="60% - Accent3 148" xfId="14816" xr:uid="{00000000-0005-0000-0000-00008B390000}"/>
    <cellStyle name="60% - Accent3 149" xfId="14817" xr:uid="{00000000-0005-0000-0000-00008C390000}"/>
    <cellStyle name="60% - Accent3 15" xfId="14818" xr:uid="{00000000-0005-0000-0000-00008D390000}"/>
    <cellStyle name="60% - Accent3 15 2" xfId="14819" xr:uid="{00000000-0005-0000-0000-00008E390000}"/>
    <cellStyle name="60% - Accent3 150" xfId="14820" xr:uid="{00000000-0005-0000-0000-00008F390000}"/>
    <cellStyle name="60% - Accent3 151" xfId="14821" xr:uid="{00000000-0005-0000-0000-000090390000}"/>
    <cellStyle name="60% - Accent3 152" xfId="14822" xr:uid="{00000000-0005-0000-0000-000091390000}"/>
    <cellStyle name="60% - Accent3 153" xfId="14823" xr:uid="{00000000-0005-0000-0000-000092390000}"/>
    <cellStyle name="60% - Accent3 154" xfId="14824" xr:uid="{00000000-0005-0000-0000-000093390000}"/>
    <cellStyle name="60% - Accent3 155" xfId="14825" xr:uid="{00000000-0005-0000-0000-000094390000}"/>
    <cellStyle name="60% - Accent3 156" xfId="14826" xr:uid="{00000000-0005-0000-0000-000095390000}"/>
    <cellStyle name="60% - Accent3 157" xfId="14827" xr:uid="{00000000-0005-0000-0000-000096390000}"/>
    <cellStyle name="60% - Accent3 158" xfId="14828" xr:uid="{00000000-0005-0000-0000-000097390000}"/>
    <cellStyle name="60% - Accent3 159" xfId="14829" xr:uid="{00000000-0005-0000-0000-000098390000}"/>
    <cellStyle name="60% - Accent3 16" xfId="14830" xr:uid="{00000000-0005-0000-0000-000099390000}"/>
    <cellStyle name="60% - Accent3 160" xfId="14831" xr:uid="{00000000-0005-0000-0000-00009A390000}"/>
    <cellStyle name="60% - Accent3 161" xfId="14832" xr:uid="{00000000-0005-0000-0000-00009B390000}"/>
    <cellStyle name="60% - Accent3 162" xfId="14833" xr:uid="{00000000-0005-0000-0000-00009C390000}"/>
    <cellStyle name="60% - Accent3 163" xfId="14834" xr:uid="{00000000-0005-0000-0000-00009D390000}"/>
    <cellStyle name="60% - Accent3 164" xfId="14835" xr:uid="{00000000-0005-0000-0000-00009E390000}"/>
    <cellStyle name="60% - Accent3 165" xfId="14836" xr:uid="{00000000-0005-0000-0000-00009F390000}"/>
    <cellStyle name="60% - Accent3 166" xfId="14837" xr:uid="{00000000-0005-0000-0000-0000A0390000}"/>
    <cellStyle name="60% - Accent3 167" xfId="14838" xr:uid="{00000000-0005-0000-0000-0000A1390000}"/>
    <cellStyle name="60% - Accent3 17" xfId="14839" xr:uid="{00000000-0005-0000-0000-0000A2390000}"/>
    <cellStyle name="60% - Accent3 18" xfId="14840" xr:uid="{00000000-0005-0000-0000-0000A3390000}"/>
    <cellStyle name="60% - Accent3 19" xfId="14841" xr:uid="{00000000-0005-0000-0000-0000A4390000}"/>
    <cellStyle name="60% - Accent3 2" xfId="14842" xr:uid="{00000000-0005-0000-0000-0000A5390000}"/>
    <cellStyle name="60% - Accent3 2 10" xfId="14843" xr:uid="{00000000-0005-0000-0000-0000A6390000}"/>
    <cellStyle name="60% - Accent3 2 11" xfId="14844" xr:uid="{00000000-0005-0000-0000-0000A7390000}"/>
    <cellStyle name="60% - Accent3 2 12" xfId="14845" xr:uid="{00000000-0005-0000-0000-0000A8390000}"/>
    <cellStyle name="60% - Accent3 2 13" xfId="14846" xr:uid="{00000000-0005-0000-0000-0000A9390000}"/>
    <cellStyle name="60% - Accent3 2 14" xfId="14847" xr:uid="{00000000-0005-0000-0000-0000AA390000}"/>
    <cellStyle name="60% - Accent3 2 15" xfId="14848" xr:uid="{00000000-0005-0000-0000-0000AB390000}"/>
    <cellStyle name="60% - Accent3 2 16" xfId="14849" xr:uid="{00000000-0005-0000-0000-0000AC390000}"/>
    <cellStyle name="60% - Accent3 2 17" xfId="14850" xr:uid="{00000000-0005-0000-0000-0000AD390000}"/>
    <cellStyle name="60% - Accent3 2 18" xfId="14851" xr:uid="{00000000-0005-0000-0000-0000AE390000}"/>
    <cellStyle name="60% - Accent3 2 19" xfId="14852" xr:uid="{00000000-0005-0000-0000-0000AF390000}"/>
    <cellStyle name="60% - Accent3 2 2" xfId="14853" xr:uid="{00000000-0005-0000-0000-0000B0390000}"/>
    <cellStyle name="60% - Accent3 2 2 2" xfId="14854" xr:uid="{00000000-0005-0000-0000-0000B1390000}"/>
    <cellStyle name="60% - Accent3 2 20" xfId="14855" xr:uid="{00000000-0005-0000-0000-0000B2390000}"/>
    <cellStyle name="60% - Accent3 2 21" xfId="14856" xr:uid="{00000000-0005-0000-0000-0000B3390000}"/>
    <cellStyle name="60% - Accent3 2 22" xfId="14857" xr:uid="{00000000-0005-0000-0000-0000B4390000}"/>
    <cellStyle name="60% - Accent3 2 23" xfId="14858" xr:uid="{00000000-0005-0000-0000-0000B5390000}"/>
    <cellStyle name="60% - Accent3 2 24" xfId="14859" xr:uid="{00000000-0005-0000-0000-0000B6390000}"/>
    <cellStyle name="60% - Accent3 2 25" xfId="14860" xr:uid="{00000000-0005-0000-0000-0000B7390000}"/>
    <cellStyle name="60% - Accent3 2 26" xfId="14861" xr:uid="{00000000-0005-0000-0000-0000B8390000}"/>
    <cellStyle name="60% - Accent3 2 27" xfId="14862" xr:uid="{00000000-0005-0000-0000-0000B9390000}"/>
    <cellStyle name="60% - Accent3 2 28" xfId="14863" xr:uid="{00000000-0005-0000-0000-0000BA390000}"/>
    <cellStyle name="60% - Accent3 2 29" xfId="14864" xr:uid="{00000000-0005-0000-0000-0000BB390000}"/>
    <cellStyle name="60% - Accent3 2 3" xfId="14865" xr:uid="{00000000-0005-0000-0000-0000BC390000}"/>
    <cellStyle name="60% - Accent3 2 30" xfId="14866" xr:uid="{00000000-0005-0000-0000-0000BD390000}"/>
    <cellStyle name="60% - Accent3 2 31" xfId="14867" xr:uid="{00000000-0005-0000-0000-0000BE390000}"/>
    <cellStyle name="60% - Accent3 2 32" xfId="14868" xr:uid="{00000000-0005-0000-0000-0000BF390000}"/>
    <cellStyle name="60% - Accent3 2 33" xfId="14869" xr:uid="{00000000-0005-0000-0000-0000C0390000}"/>
    <cellStyle name="60% - Accent3 2 34" xfId="14870" xr:uid="{00000000-0005-0000-0000-0000C1390000}"/>
    <cellStyle name="60% - Accent3 2 35" xfId="14871" xr:uid="{00000000-0005-0000-0000-0000C2390000}"/>
    <cellStyle name="60% - Accent3 2 4" xfId="14872" xr:uid="{00000000-0005-0000-0000-0000C3390000}"/>
    <cellStyle name="60% - Accent3 2 5" xfId="14873" xr:uid="{00000000-0005-0000-0000-0000C4390000}"/>
    <cellStyle name="60% - Accent3 2 6" xfId="14874" xr:uid="{00000000-0005-0000-0000-0000C5390000}"/>
    <cellStyle name="60% - Accent3 2 7" xfId="14875" xr:uid="{00000000-0005-0000-0000-0000C6390000}"/>
    <cellStyle name="60% - Accent3 2 8" xfId="14876" xr:uid="{00000000-0005-0000-0000-0000C7390000}"/>
    <cellStyle name="60% - Accent3 2 9" xfId="14877" xr:uid="{00000000-0005-0000-0000-0000C8390000}"/>
    <cellStyle name="60% - Accent3 2_ERDF Losses" xfId="14878" xr:uid="{00000000-0005-0000-0000-0000C9390000}"/>
    <cellStyle name="60% - Accent3 20" xfId="14879" xr:uid="{00000000-0005-0000-0000-0000CA390000}"/>
    <cellStyle name="60% - Accent3 20 10" xfId="14880" xr:uid="{00000000-0005-0000-0000-0000CB390000}"/>
    <cellStyle name="60% - Accent3 20 11" xfId="14881" xr:uid="{00000000-0005-0000-0000-0000CC390000}"/>
    <cellStyle name="60% - Accent3 20 12" xfId="14882" xr:uid="{00000000-0005-0000-0000-0000CD390000}"/>
    <cellStyle name="60% - Accent3 20 13" xfId="14883" xr:uid="{00000000-0005-0000-0000-0000CE390000}"/>
    <cellStyle name="60% - Accent3 20 14" xfId="14884" xr:uid="{00000000-0005-0000-0000-0000CF390000}"/>
    <cellStyle name="60% - Accent3 20 15" xfId="14885" xr:uid="{00000000-0005-0000-0000-0000D0390000}"/>
    <cellStyle name="60% - Accent3 20 16" xfId="14886" xr:uid="{00000000-0005-0000-0000-0000D1390000}"/>
    <cellStyle name="60% - Accent3 20 2" xfId="14887" xr:uid="{00000000-0005-0000-0000-0000D2390000}"/>
    <cellStyle name="60% - Accent3 20 3" xfId="14888" xr:uid="{00000000-0005-0000-0000-0000D3390000}"/>
    <cellStyle name="60% - Accent3 20 4" xfId="14889" xr:uid="{00000000-0005-0000-0000-0000D4390000}"/>
    <cellStyle name="60% - Accent3 20 5" xfId="14890" xr:uid="{00000000-0005-0000-0000-0000D5390000}"/>
    <cellStyle name="60% - Accent3 20 6" xfId="14891" xr:uid="{00000000-0005-0000-0000-0000D6390000}"/>
    <cellStyle name="60% - Accent3 20 7" xfId="14892" xr:uid="{00000000-0005-0000-0000-0000D7390000}"/>
    <cellStyle name="60% - Accent3 20 8" xfId="14893" xr:uid="{00000000-0005-0000-0000-0000D8390000}"/>
    <cellStyle name="60% - Accent3 20 9" xfId="14894" xr:uid="{00000000-0005-0000-0000-0000D9390000}"/>
    <cellStyle name="60% - Accent3 21" xfId="14895" xr:uid="{00000000-0005-0000-0000-0000DA390000}"/>
    <cellStyle name="60% - Accent3 21 2" xfId="14896" xr:uid="{00000000-0005-0000-0000-0000DB390000}"/>
    <cellStyle name="60% - Accent3 21 3" xfId="14897" xr:uid="{00000000-0005-0000-0000-0000DC390000}"/>
    <cellStyle name="60% - Accent3 22" xfId="14898" xr:uid="{00000000-0005-0000-0000-0000DD390000}"/>
    <cellStyle name="60% - Accent3 23" xfId="14899" xr:uid="{00000000-0005-0000-0000-0000DE390000}"/>
    <cellStyle name="60% - Accent3 24" xfId="14900" xr:uid="{00000000-0005-0000-0000-0000DF390000}"/>
    <cellStyle name="60% - Accent3 25" xfId="14901" xr:uid="{00000000-0005-0000-0000-0000E0390000}"/>
    <cellStyle name="60% - Accent3 26" xfId="14902" xr:uid="{00000000-0005-0000-0000-0000E1390000}"/>
    <cellStyle name="60% - Accent3 27" xfId="14903" xr:uid="{00000000-0005-0000-0000-0000E2390000}"/>
    <cellStyle name="60% - Accent3 28" xfId="14904" xr:uid="{00000000-0005-0000-0000-0000E3390000}"/>
    <cellStyle name="60% - Accent3 29" xfId="14905" xr:uid="{00000000-0005-0000-0000-0000E4390000}"/>
    <cellStyle name="60% - Accent3 3" xfId="14906" xr:uid="{00000000-0005-0000-0000-0000E5390000}"/>
    <cellStyle name="60% - Accent3 3 10" xfId="14907" xr:uid="{00000000-0005-0000-0000-0000E6390000}"/>
    <cellStyle name="60% - Accent3 3 10 10" xfId="14908" xr:uid="{00000000-0005-0000-0000-0000E7390000}"/>
    <cellStyle name="60% - Accent3 3 10 11" xfId="14909" xr:uid="{00000000-0005-0000-0000-0000E8390000}"/>
    <cellStyle name="60% - Accent3 3 10 12" xfId="14910" xr:uid="{00000000-0005-0000-0000-0000E9390000}"/>
    <cellStyle name="60% - Accent3 3 10 13" xfId="14911" xr:uid="{00000000-0005-0000-0000-0000EA390000}"/>
    <cellStyle name="60% - Accent3 3 10 14" xfId="14912" xr:uid="{00000000-0005-0000-0000-0000EB390000}"/>
    <cellStyle name="60% - Accent3 3 10 15" xfId="14913" xr:uid="{00000000-0005-0000-0000-0000EC390000}"/>
    <cellStyle name="60% - Accent3 3 10 2" xfId="14914" xr:uid="{00000000-0005-0000-0000-0000ED390000}"/>
    <cellStyle name="60% - Accent3 3 10 3" xfId="14915" xr:uid="{00000000-0005-0000-0000-0000EE390000}"/>
    <cellStyle name="60% - Accent3 3 10 4" xfId="14916" xr:uid="{00000000-0005-0000-0000-0000EF390000}"/>
    <cellStyle name="60% - Accent3 3 10 5" xfId="14917" xr:uid="{00000000-0005-0000-0000-0000F0390000}"/>
    <cellStyle name="60% - Accent3 3 10 6" xfId="14918" xr:uid="{00000000-0005-0000-0000-0000F1390000}"/>
    <cellStyle name="60% - Accent3 3 10 7" xfId="14919" xr:uid="{00000000-0005-0000-0000-0000F2390000}"/>
    <cellStyle name="60% - Accent3 3 10 8" xfId="14920" xr:uid="{00000000-0005-0000-0000-0000F3390000}"/>
    <cellStyle name="60% - Accent3 3 10 9" xfId="14921" xr:uid="{00000000-0005-0000-0000-0000F4390000}"/>
    <cellStyle name="60% - Accent3 3 11" xfId="14922" xr:uid="{00000000-0005-0000-0000-0000F5390000}"/>
    <cellStyle name="60% - Accent3 3 11 10" xfId="14923" xr:uid="{00000000-0005-0000-0000-0000F6390000}"/>
    <cellStyle name="60% - Accent3 3 11 11" xfId="14924" xr:uid="{00000000-0005-0000-0000-0000F7390000}"/>
    <cellStyle name="60% - Accent3 3 11 12" xfId="14925" xr:uid="{00000000-0005-0000-0000-0000F8390000}"/>
    <cellStyle name="60% - Accent3 3 11 13" xfId="14926" xr:uid="{00000000-0005-0000-0000-0000F9390000}"/>
    <cellStyle name="60% - Accent3 3 11 14" xfId="14927" xr:uid="{00000000-0005-0000-0000-0000FA390000}"/>
    <cellStyle name="60% - Accent3 3 11 15" xfId="14928" xr:uid="{00000000-0005-0000-0000-0000FB390000}"/>
    <cellStyle name="60% - Accent3 3 11 2" xfId="14929" xr:uid="{00000000-0005-0000-0000-0000FC390000}"/>
    <cellStyle name="60% - Accent3 3 11 3" xfId="14930" xr:uid="{00000000-0005-0000-0000-0000FD390000}"/>
    <cellStyle name="60% - Accent3 3 11 4" xfId="14931" xr:uid="{00000000-0005-0000-0000-0000FE390000}"/>
    <cellStyle name="60% - Accent3 3 11 5" xfId="14932" xr:uid="{00000000-0005-0000-0000-0000FF390000}"/>
    <cellStyle name="60% - Accent3 3 11 6" xfId="14933" xr:uid="{00000000-0005-0000-0000-0000003A0000}"/>
    <cellStyle name="60% - Accent3 3 11 7" xfId="14934" xr:uid="{00000000-0005-0000-0000-0000013A0000}"/>
    <cellStyle name="60% - Accent3 3 11 8" xfId="14935" xr:uid="{00000000-0005-0000-0000-0000023A0000}"/>
    <cellStyle name="60% - Accent3 3 11 9" xfId="14936" xr:uid="{00000000-0005-0000-0000-0000033A0000}"/>
    <cellStyle name="60% - Accent3 3 12" xfId="14937" xr:uid="{00000000-0005-0000-0000-0000043A0000}"/>
    <cellStyle name="60% - Accent3 3 12 10" xfId="14938" xr:uid="{00000000-0005-0000-0000-0000053A0000}"/>
    <cellStyle name="60% - Accent3 3 12 11" xfId="14939" xr:uid="{00000000-0005-0000-0000-0000063A0000}"/>
    <cellStyle name="60% - Accent3 3 12 12" xfId="14940" xr:uid="{00000000-0005-0000-0000-0000073A0000}"/>
    <cellStyle name="60% - Accent3 3 12 13" xfId="14941" xr:uid="{00000000-0005-0000-0000-0000083A0000}"/>
    <cellStyle name="60% - Accent3 3 12 14" xfId="14942" xr:uid="{00000000-0005-0000-0000-0000093A0000}"/>
    <cellStyle name="60% - Accent3 3 12 15" xfId="14943" xr:uid="{00000000-0005-0000-0000-00000A3A0000}"/>
    <cellStyle name="60% - Accent3 3 12 2" xfId="14944" xr:uid="{00000000-0005-0000-0000-00000B3A0000}"/>
    <cellStyle name="60% - Accent3 3 12 3" xfId="14945" xr:uid="{00000000-0005-0000-0000-00000C3A0000}"/>
    <cellStyle name="60% - Accent3 3 12 4" xfId="14946" xr:uid="{00000000-0005-0000-0000-00000D3A0000}"/>
    <cellStyle name="60% - Accent3 3 12 5" xfId="14947" xr:uid="{00000000-0005-0000-0000-00000E3A0000}"/>
    <cellStyle name="60% - Accent3 3 12 6" xfId="14948" xr:uid="{00000000-0005-0000-0000-00000F3A0000}"/>
    <cellStyle name="60% - Accent3 3 12 7" xfId="14949" xr:uid="{00000000-0005-0000-0000-0000103A0000}"/>
    <cellStyle name="60% - Accent3 3 12 8" xfId="14950" xr:uid="{00000000-0005-0000-0000-0000113A0000}"/>
    <cellStyle name="60% - Accent3 3 12 9" xfId="14951" xr:uid="{00000000-0005-0000-0000-0000123A0000}"/>
    <cellStyle name="60% - Accent3 3 13" xfId="14952" xr:uid="{00000000-0005-0000-0000-0000133A0000}"/>
    <cellStyle name="60% - Accent3 3 13 10" xfId="14953" xr:uid="{00000000-0005-0000-0000-0000143A0000}"/>
    <cellStyle name="60% - Accent3 3 13 11" xfId="14954" xr:uid="{00000000-0005-0000-0000-0000153A0000}"/>
    <cellStyle name="60% - Accent3 3 13 12" xfId="14955" xr:uid="{00000000-0005-0000-0000-0000163A0000}"/>
    <cellStyle name="60% - Accent3 3 13 13" xfId="14956" xr:uid="{00000000-0005-0000-0000-0000173A0000}"/>
    <cellStyle name="60% - Accent3 3 13 14" xfId="14957" xr:uid="{00000000-0005-0000-0000-0000183A0000}"/>
    <cellStyle name="60% - Accent3 3 13 15" xfId="14958" xr:uid="{00000000-0005-0000-0000-0000193A0000}"/>
    <cellStyle name="60% - Accent3 3 13 2" xfId="14959" xr:uid="{00000000-0005-0000-0000-00001A3A0000}"/>
    <cellStyle name="60% - Accent3 3 13 3" xfId="14960" xr:uid="{00000000-0005-0000-0000-00001B3A0000}"/>
    <cellStyle name="60% - Accent3 3 13 4" xfId="14961" xr:uid="{00000000-0005-0000-0000-00001C3A0000}"/>
    <cellStyle name="60% - Accent3 3 13 5" xfId="14962" xr:uid="{00000000-0005-0000-0000-00001D3A0000}"/>
    <cellStyle name="60% - Accent3 3 13 6" xfId="14963" xr:uid="{00000000-0005-0000-0000-00001E3A0000}"/>
    <cellStyle name="60% - Accent3 3 13 7" xfId="14964" xr:uid="{00000000-0005-0000-0000-00001F3A0000}"/>
    <cellStyle name="60% - Accent3 3 13 8" xfId="14965" xr:uid="{00000000-0005-0000-0000-0000203A0000}"/>
    <cellStyle name="60% - Accent3 3 13 9" xfId="14966" xr:uid="{00000000-0005-0000-0000-0000213A0000}"/>
    <cellStyle name="60% - Accent3 3 14" xfId="14967" xr:uid="{00000000-0005-0000-0000-0000223A0000}"/>
    <cellStyle name="60% - Accent3 3 14 10" xfId="14968" xr:uid="{00000000-0005-0000-0000-0000233A0000}"/>
    <cellStyle name="60% - Accent3 3 14 11" xfId="14969" xr:uid="{00000000-0005-0000-0000-0000243A0000}"/>
    <cellStyle name="60% - Accent3 3 14 12" xfId="14970" xr:uid="{00000000-0005-0000-0000-0000253A0000}"/>
    <cellStyle name="60% - Accent3 3 14 13" xfId="14971" xr:uid="{00000000-0005-0000-0000-0000263A0000}"/>
    <cellStyle name="60% - Accent3 3 14 14" xfId="14972" xr:uid="{00000000-0005-0000-0000-0000273A0000}"/>
    <cellStyle name="60% - Accent3 3 14 15" xfId="14973" xr:uid="{00000000-0005-0000-0000-0000283A0000}"/>
    <cellStyle name="60% - Accent3 3 14 2" xfId="14974" xr:uid="{00000000-0005-0000-0000-0000293A0000}"/>
    <cellStyle name="60% - Accent3 3 14 3" xfId="14975" xr:uid="{00000000-0005-0000-0000-00002A3A0000}"/>
    <cellStyle name="60% - Accent3 3 14 4" xfId="14976" xr:uid="{00000000-0005-0000-0000-00002B3A0000}"/>
    <cellStyle name="60% - Accent3 3 14 5" xfId="14977" xr:uid="{00000000-0005-0000-0000-00002C3A0000}"/>
    <cellStyle name="60% - Accent3 3 14 6" xfId="14978" xr:uid="{00000000-0005-0000-0000-00002D3A0000}"/>
    <cellStyle name="60% - Accent3 3 14 7" xfId="14979" xr:uid="{00000000-0005-0000-0000-00002E3A0000}"/>
    <cellStyle name="60% - Accent3 3 14 8" xfId="14980" xr:uid="{00000000-0005-0000-0000-00002F3A0000}"/>
    <cellStyle name="60% - Accent3 3 14 9" xfId="14981" xr:uid="{00000000-0005-0000-0000-0000303A0000}"/>
    <cellStyle name="60% - Accent3 3 15" xfId="14982" xr:uid="{00000000-0005-0000-0000-0000313A0000}"/>
    <cellStyle name="60% - Accent3 3 15 10" xfId="14983" xr:uid="{00000000-0005-0000-0000-0000323A0000}"/>
    <cellStyle name="60% - Accent3 3 15 11" xfId="14984" xr:uid="{00000000-0005-0000-0000-0000333A0000}"/>
    <cellStyle name="60% - Accent3 3 15 12" xfId="14985" xr:uid="{00000000-0005-0000-0000-0000343A0000}"/>
    <cellStyle name="60% - Accent3 3 15 13" xfId="14986" xr:uid="{00000000-0005-0000-0000-0000353A0000}"/>
    <cellStyle name="60% - Accent3 3 15 14" xfId="14987" xr:uid="{00000000-0005-0000-0000-0000363A0000}"/>
    <cellStyle name="60% - Accent3 3 15 15" xfId="14988" xr:uid="{00000000-0005-0000-0000-0000373A0000}"/>
    <cellStyle name="60% - Accent3 3 15 2" xfId="14989" xr:uid="{00000000-0005-0000-0000-0000383A0000}"/>
    <cellStyle name="60% - Accent3 3 15 3" xfId="14990" xr:uid="{00000000-0005-0000-0000-0000393A0000}"/>
    <cellStyle name="60% - Accent3 3 15 4" xfId="14991" xr:uid="{00000000-0005-0000-0000-00003A3A0000}"/>
    <cellStyle name="60% - Accent3 3 15 5" xfId="14992" xr:uid="{00000000-0005-0000-0000-00003B3A0000}"/>
    <cellStyle name="60% - Accent3 3 15 6" xfId="14993" xr:uid="{00000000-0005-0000-0000-00003C3A0000}"/>
    <cellStyle name="60% - Accent3 3 15 7" xfId="14994" xr:uid="{00000000-0005-0000-0000-00003D3A0000}"/>
    <cellStyle name="60% - Accent3 3 15 8" xfId="14995" xr:uid="{00000000-0005-0000-0000-00003E3A0000}"/>
    <cellStyle name="60% - Accent3 3 15 9" xfId="14996" xr:uid="{00000000-0005-0000-0000-00003F3A0000}"/>
    <cellStyle name="60% - Accent3 3 16" xfId="14997" xr:uid="{00000000-0005-0000-0000-0000403A0000}"/>
    <cellStyle name="60% - Accent3 3 16 10" xfId="14998" xr:uid="{00000000-0005-0000-0000-0000413A0000}"/>
    <cellStyle name="60% - Accent3 3 16 11" xfId="14999" xr:uid="{00000000-0005-0000-0000-0000423A0000}"/>
    <cellStyle name="60% - Accent3 3 16 12" xfId="15000" xr:uid="{00000000-0005-0000-0000-0000433A0000}"/>
    <cellStyle name="60% - Accent3 3 16 13" xfId="15001" xr:uid="{00000000-0005-0000-0000-0000443A0000}"/>
    <cellStyle name="60% - Accent3 3 16 14" xfId="15002" xr:uid="{00000000-0005-0000-0000-0000453A0000}"/>
    <cellStyle name="60% - Accent3 3 16 15" xfId="15003" xr:uid="{00000000-0005-0000-0000-0000463A0000}"/>
    <cellStyle name="60% - Accent3 3 16 2" xfId="15004" xr:uid="{00000000-0005-0000-0000-0000473A0000}"/>
    <cellStyle name="60% - Accent3 3 16 3" xfId="15005" xr:uid="{00000000-0005-0000-0000-0000483A0000}"/>
    <cellStyle name="60% - Accent3 3 16 4" xfId="15006" xr:uid="{00000000-0005-0000-0000-0000493A0000}"/>
    <cellStyle name="60% - Accent3 3 16 5" xfId="15007" xr:uid="{00000000-0005-0000-0000-00004A3A0000}"/>
    <cellStyle name="60% - Accent3 3 16 6" xfId="15008" xr:uid="{00000000-0005-0000-0000-00004B3A0000}"/>
    <cellStyle name="60% - Accent3 3 16 7" xfId="15009" xr:uid="{00000000-0005-0000-0000-00004C3A0000}"/>
    <cellStyle name="60% - Accent3 3 16 8" xfId="15010" xr:uid="{00000000-0005-0000-0000-00004D3A0000}"/>
    <cellStyle name="60% - Accent3 3 16 9" xfId="15011" xr:uid="{00000000-0005-0000-0000-00004E3A0000}"/>
    <cellStyle name="60% - Accent3 3 17" xfId="15012" xr:uid="{00000000-0005-0000-0000-00004F3A0000}"/>
    <cellStyle name="60% - Accent3 3 17 10" xfId="15013" xr:uid="{00000000-0005-0000-0000-0000503A0000}"/>
    <cellStyle name="60% - Accent3 3 17 11" xfId="15014" xr:uid="{00000000-0005-0000-0000-0000513A0000}"/>
    <cellStyle name="60% - Accent3 3 17 12" xfId="15015" xr:uid="{00000000-0005-0000-0000-0000523A0000}"/>
    <cellStyle name="60% - Accent3 3 17 13" xfId="15016" xr:uid="{00000000-0005-0000-0000-0000533A0000}"/>
    <cellStyle name="60% - Accent3 3 17 14" xfId="15017" xr:uid="{00000000-0005-0000-0000-0000543A0000}"/>
    <cellStyle name="60% - Accent3 3 17 15" xfId="15018" xr:uid="{00000000-0005-0000-0000-0000553A0000}"/>
    <cellStyle name="60% - Accent3 3 17 2" xfId="15019" xr:uid="{00000000-0005-0000-0000-0000563A0000}"/>
    <cellStyle name="60% - Accent3 3 17 3" xfId="15020" xr:uid="{00000000-0005-0000-0000-0000573A0000}"/>
    <cellStyle name="60% - Accent3 3 17 4" xfId="15021" xr:uid="{00000000-0005-0000-0000-0000583A0000}"/>
    <cellStyle name="60% - Accent3 3 17 5" xfId="15022" xr:uid="{00000000-0005-0000-0000-0000593A0000}"/>
    <cellStyle name="60% - Accent3 3 17 6" xfId="15023" xr:uid="{00000000-0005-0000-0000-00005A3A0000}"/>
    <cellStyle name="60% - Accent3 3 17 7" xfId="15024" xr:uid="{00000000-0005-0000-0000-00005B3A0000}"/>
    <cellStyle name="60% - Accent3 3 17 8" xfId="15025" xr:uid="{00000000-0005-0000-0000-00005C3A0000}"/>
    <cellStyle name="60% - Accent3 3 17 9" xfId="15026" xr:uid="{00000000-0005-0000-0000-00005D3A0000}"/>
    <cellStyle name="60% - Accent3 3 18" xfId="15027" xr:uid="{00000000-0005-0000-0000-00005E3A0000}"/>
    <cellStyle name="60% - Accent3 3 18 10" xfId="15028" xr:uid="{00000000-0005-0000-0000-00005F3A0000}"/>
    <cellStyle name="60% - Accent3 3 18 11" xfId="15029" xr:uid="{00000000-0005-0000-0000-0000603A0000}"/>
    <cellStyle name="60% - Accent3 3 18 12" xfId="15030" xr:uid="{00000000-0005-0000-0000-0000613A0000}"/>
    <cellStyle name="60% - Accent3 3 18 13" xfId="15031" xr:uid="{00000000-0005-0000-0000-0000623A0000}"/>
    <cellStyle name="60% - Accent3 3 18 14" xfId="15032" xr:uid="{00000000-0005-0000-0000-0000633A0000}"/>
    <cellStyle name="60% - Accent3 3 18 15" xfId="15033" xr:uid="{00000000-0005-0000-0000-0000643A0000}"/>
    <cellStyle name="60% - Accent3 3 18 2" xfId="15034" xr:uid="{00000000-0005-0000-0000-0000653A0000}"/>
    <cellStyle name="60% - Accent3 3 18 3" xfId="15035" xr:uid="{00000000-0005-0000-0000-0000663A0000}"/>
    <cellStyle name="60% - Accent3 3 18 4" xfId="15036" xr:uid="{00000000-0005-0000-0000-0000673A0000}"/>
    <cellStyle name="60% - Accent3 3 18 5" xfId="15037" xr:uid="{00000000-0005-0000-0000-0000683A0000}"/>
    <cellStyle name="60% - Accent3 3 18 6" xfId="15038" xr:uid="{00000000-0005-0000-0000-0000693A0000}"/>
    <cellStyle name="60% - Accent3 3 18 7" xfId="15039" xr:uid="{00000000-0005-0000-0000-00006A3A0000}"/>
    <cellStyle name="60% - Accent3 3 18 8" xfId="15040" xr:uid="{00000000-0005-0000-0000-00006B3A0000}"/>
    <cellStyle name="60% - Accent3 3 18 9" xfId="15041" xr:uid="{00000000-0005-0000-0000-00006C3A0000}"/>
    <cellStyle name="60% - Accent3 3 19" xfId="15042" xr:uid="{00000000-0005-0000-0000-00006D3A0000}"/>
    <cellStyle name="60% - Accent3 3 19 10" xfId="15043" xr:uid="{00000000-0005-0000-0000-00006E3A0000}"/>
    <cellStyle name="60% - Accent3 3 19 11" xfId="15044" xr:uid="{00000000-0005-0000-0000-00006F3A0000}"/>
    <cellStyle name="60% - Accent3 3 19 12" xfId="15045" xr:uid="{00000000-0005-0000-0000-0000703A0000}"/>
    <cellStyle name="60% - Accent3 3 19 13" xfId="15046" xr:uid="{00000000-0005-0000-0000-0000713A0000}"/>
    <cellStyle name="60% - Accent3 3 19 14" xfId="15047" xr:uid="{00000000-0005-0000-0000-0000723A0000}"/>
    <cellStyle name="60% - Accent3 3 19 15" xfId="15048" xr:uid="{00000000-0005-0000-0000-0000733A0000}"/>
    <cellStyle name="60% - Accent3 3 19 2" xfId="15049" xr:uid="{00000000-0005-0000-0000-0000743A0000}"/>
    <cellStyle name="60% - Accent3 3 19 3" xfId="15050" xr:uid="{00000000-0005-0000-0000-0000753A0000}"/>
    <cellStyle name="60% - Accent3 3 19 4" xfId="15051" xr:uid="{00000000-0005-0000-0000-0000763A0000}"/>
    <cellStyle name="60% - Accent3 3 19 5" xfId="15052" xr:uid="{00000000-0005-0000-0000-0000773A0000}"/>
    <cellStyle name="60% - Accent3 3 19 6" xfId="15053" xr:uid="{00000000-0005-0000-0000-0000783A0000}"/>
    <cellStyle name="60% - Accent3 3 19 7" xfId="15054" xr:uid="{00000000-0005-0000-0000-0000793A0000}"/>
    <cellStyle name="60% - Accent3 3 19 8" xfId="15055" xr:uid="{00000000-0005-0000-0000-00007A3A0000}"/>
    <cellStyle name="60% - Accent3 3 19 9" xfId="15056" xr:uid="{00000000-0005-0000-0000-00007B3A0000}"/>
    <cellStyle name="60% - Accent3 3 2" xfId="15057" xr:uid="{00000000-0005-0000-0000-00007C3A0000}"/>
    <cellStyle name="60% - Accent3 3 2 10" xfId="15058" xr:uid="{00000000-0005-0000-0000-00007D3A0000}"/>
    <cellStyle name="60% - Accent3 3 2 11" xfId="15059" xr:uid="{00000000-0005-0000-0000-00007E3A0000}"/>
    <cellStyle name="60% - Accent3 3 2 12" xfId="15060" xr:uid="{00000000-0005-0000-0000-00007F3A0000}"/>
    <cellStyle name="60% - Accent3 3 2 13" xfId="15061" xr:uid="{00000000-0005-0000-0000-0000803A0000}"/>
    <cellStyle name="60% - Accent3 3 2 14" xfId="15062" xr:uid="{00000000-0005-0000-0000-0000813A0000}"/>
    <cellStyle name="60% - Accent3 3 2 15" xfId="15063" xr:uid="{00000000-0005-0000-0000-0000823A0000}"/>
    <cellStyle name="60% - Accent3 3 2 16" xfId="15064" xr:uid="{00000000-0005-0000-0000-0000833A0000}"/>
    <cellStyle name="60% - Accent3 3 2 17" xfId="15065" xr:uid="{00000000-0005-0000-0000-0000843A0000}"/>
    <cellStyle name="60% - Accent3 3 2 18" xfId="15066" xr:uid="{00000000-0005-0000-0000-0000853A0000}"/>
    <cellStyle name="60% - Accent3 3 2 19" xfId="15067" xr:uid="{00000000-0005-0000-0000-0000863A0000}"/>
    <cellStyle name="60% - Accent3 3 2 2" xfId="15068" xr:uid="{00000000-0005-0000-0000-0000873A0000}"/>
    <cellStyle name="60% - Accent3 3 2 20" xfId="15069" xr:uid="{00000000-0005-0000-0000-0000883A0000}"/>
    <cellStyle name="60% - Accent3 3 2 21" xfId="15070" xr:uid="{00000000-0005-0000-0000-0000893A0000}"/>
    <cellStyle name="60% - Accent3 3 2 22" xfId="15071" xr:uid="{00000000-0005-0000-0000-00008A3A0000}"/>
    <cellStyle name="60% - Accent3 3 2 23" xfId="15072" xr:uid="{00000000-0005-0000-0000-00008B3A0000}"/>
    <cellStyle name="60% - Accent3 3 2 24" xfId="15073" xr:uid="{00000000-0005-0000-0000-00008C3A0000}"/>
    <cellStyle name="60% - Accent3 3 2 25" xfId="15074" xr:uid="{00000000-0005-0000-0000-00008D3A0000}"/>
    <cellStyle name="60% - Accent3 3 2 26" xfId="15075" xr:uid="{00000000-0005-0000-0000-00008E3A0000}"/>
    <cellStyle name="60% - Accent3 3 2 27" xfId="15076" xr:uid="{00000000-0005-0000-0000-00008F3A0000}"/>
    <cellStyle name="60% - Accent3 3 2 28" xfId="15077" xr:uid="{00000000-0005-0000-0000-0000903A0000}"/>
    <cellStyle name="60% - Accent3 3 2 29" xfId="15078" xr:uid="{00000000-0005-0000-0000-0000913A0000}"/>
    <cellStyle name="60% - Accent3 3 2 3" xfId="15079" xr:uid="{00000000-0005-0000-0000-0000923A0000}"/>
    <cellStyle name="60% - Accent3 3 2 30" xfId="15080" xr:uid="{00000000-0005-0000-0000-0000933A0000}"/>
    <cellStyle name="60% - Accent3 3 2 31" xfId="15081" xr:uid="{00000000-0005-0000-0000-0000943A0000}"/>
    <cellStyle name="60% - Accent3 3 2 32" xfId="15082" xr:uid="{00000000-0005-0000-0000-0000953A0000}"/>
    <cellStyle name="60% - Accent3 3 2 33" xfId="15083" xr:uid="{00000000-0005-0000-0000-0000963A0000}"/>
    <cellStyle name="60% - Accent3 3 2 34" xfId="15084" xr:uid="{00000000-0005-0000-0000-0000973A0000}"/>
    <cellStyle name="60% - Accent3 3 2 35" xfId="15085" xr:uid="{00000000-0005-0000-0000-0000983A0000}"/>
    <cellStyle name="60% - Accent3 3 2 36" xfId="15086" xr:uid="{00000000-0005-0000-0000-0000993A0000}"/>
    <cellStyle name="60% - Accent3 3 2 37" xfId="15087" xr:uid="{00000000-0005-0000-0000-00009A3A0000}"/>
    <cellStyle name="60% - Accent3 3 2 38" xfId="15088" xr:uid="{00000000-0005-0000-0000-00009B3A0000}"/>
    <cellStyle name="60% - Accent3 3 2 39" xfId="15089" xr:uid="{00000000-0005-0000-0000-00009C3A0000}"/>
    <cellStyle name="60% - Accent3 3 2 4" xfId="15090" xr:uid="{00000000-0005-0000-0000-00009D3A0000}"/>
    <cellStyle name="60% - Accent3 3 2 40" xfId="15091" xr:uid="{00000000-0005-0000-0000-00009E3A0000}"/>
    <cellStyle name="60% - Accent3 3 2 41" xfId="15092" xr:uid="{00000000-0005-0000-0000-00009F3A0000}"/>
    <cellStyle name="60% - Accent3 3 2 42" xfId="15093" xr:uid="{00000000-0005-0000-0000-0000A03A0000}"/>
    <cellStyle name="60% - Accent3 3 2 43" xfId="15094" xr:uid="{00000000-0005-0000-0000-0000A13A0000}"/>
    <cellStyle name="60% - Accent3 3 2 44" xfId="15095" xr:uid="{00000000-0005-0000-0000-0000A23A0000}"/>
    <cellStyle name="60% - Accent3 3 2 45" xfId="15096" xr:uid="{00000000-0005-0000-0000-0000A33A0000}"/>
    <cellStyle name="60% - Accent3 3 2 46" xfId="15097" xr:uid="{00000000-0005-0000-0000-0000A43A0000}"/>
    <cellStyle name="60% - Accent3 3 2 47" xfId="15098" xr:uid="{00000000-0005-0000-0000-0000A53A0000}"/>
    <cellStyle name="60% - Accent3 3 2 48" xfId="15099" xr:uid="{00000000-0005-0000-0000-0000A63A0000}"/>
    <cellStyle name="60% - Accent3 3 2 49" xfId="15100" xr:uid="{00000000-0005-0000-0000-0000A73A0000}"/>
    <cellStyle name="60% - Accent3 3 2 5" xfId="15101" xr:uid="{00000000-0005-0000-0000-0000A83A0000}"/>
    <cellStyle name="60% - Accent3 3 2 50" xfId="15102" xr:uid="{00000000-0005-0000-0000-0000A93A0000}"/>
    <cellStyle name="60% - Accent3 3 2 51" xfId="15103" xr:uid="{00000000-0005-0000-0000-0000AA3A0000}"/>
    <cellStyle name="60% - Accent3 3 2 52" xfId="15104" xr:uid="{00000000-0005-0000-0000-0000AB3A0000}"/>
    <cellStyle name="60% - Accent3 3 2 53" xfId="15105" xr:uid="{00000000-0005-0000-0000-0000AC3A0000}"/>
    <cellStyle name="60% - Accent3 3 2 6" xfId="15106" xr:uid="{00000000-0005-0000-0000-0000AD3A0000}"/>
    <cellStyle name="60% - Accent3 3 2 7" xfId="15107" xr:uid="{00000000-0005-0000-0000-0000AE3A0000}"/>
    <cellStyle name="60% - Accent3 3 2 8" xfId="15108" xr:uid="{00000000-0005-0000-0000-0000AF3A0000}"/>
    <cellStyle name="60% - Accent3 3 2 9" xfId="15109" xr:uid="{00000000-0005-0000-0000-0000B03A0000}"/>
    <cellStyle name="60% - Accent3 3 20" xfId="15110" xr:uid="{00000000-0005-0000-0000-0000B13A0000}"/>
    <cellStyle name="60% - Accent3 3 20 10" xfId="15111" xr:uid="{00000000-0005-0000-0000-0000B23A0000}"/>
    <cellStyle name="60% - Accent3 3 20 11" xfId="15112" xr:uid="{00000000-0005-0000-0000-0000B33A0000}"/>
    <cellStyle name="60% - Accent3 3 20 12" xfId="15113" xr:uid="{00000000-0005-0000-0000-0000B43A0000}"/>
    <cellStyle name="60% - Accent3 3 20 13" xfId="15114" xr:uid="{00000000-0005-0000-0000-0000B53A0000}"/>
    <cellStyle name="60% - Accent3 3 20 14" xfId="15115" xr:uid="{00000000-0005-0000-0000-0000B63A0000}"/>
    <cellStyle name="60% - Accent3 3 20 15" xfId="15116" xr:uid="{00000000-0005-0000-0000-0000B73A0000}"/>
    <cellStyle name="60% - Accent3 3 20 2" xfId="15117" xr:uid="{00000000-0005-0000-0000-0000B83A0000}"/>
    <cellStyle name="60% - Accent3 3 20 3" xfId="15118" xr:uid="{00000000-0005-0000-0000-0000B93A0000}"/>
    <cellStyle name="60% - Accent3 3 20 4" xfId="15119" xr:uid="{00000000-0005-0000-0000-0000BA3A0000}"/>
    <cellStyle name="60% - Accent3 3 20 5" xfId="15120" xr:uid="{00000000-0005-0000-0000-0000BB3A0000}"/>
    <cellStyle name="60% - Accent3 3 20 6" xfId="15121" xr:uid="{00000000-0005-0000-0000-0000BC3A0000}"/>
    <cellStyle name="60% - Accent3 3 20 7" xfId="15122" xr:uid="{00000000-0005-0000-0000-0000BD3A0000}"/>
    <cellStyle name="60% - Accent3 3 20 8" xfId="15123" xr:uid="{00000000-0005-0000-0000-0000BE3A0000}"/>
    <cellStyle name="60% - Accent3 3 20 9" xfId="15124" xr:uid="{00000000-0005-0000-0000-0000BF3A0000}"/>
    <cellStyle name="60% - Accent3 3 21" xfId="15125" xr:uid="{00000000-0005-0000-0000-0000C03A0000}"/>
    <cellStyle name="60% - Accent3 3 21 10" xfId="15126" xr:uid="{00000000-0005-0000-0000-0000C13A0000}"/>
    <cellStyle name="60% - Accent3 3 21 11" xfId="15127" xr:uid="{00000000-0005-0000-0000-0000C23A0000}"/>
    <cellStyle name="60% - Accent3 3 21 12" xfId="15128" xr:uid="{00000000-0005-0000-0000-0000C33A0000}"/>
    <cellStyle name="60% - Accent3 3 21 13" xfId="15129" xr:uid="{00000000-0005-0000-0000-0000C43A0000}"/>
    <cellStyle name="60% - Accent3 3 21 14" xfId="15130" xr:uid="{00000000-0005-0000-0000-0000C53A0000}"/>
    <cellStyle name="60% - Accent3 3 21 15" xfId="15131" xr:uid="{00000000-0005-0000-0000-0000C63A0000}"/>
    <cellStyle name="60% - Accent3 3 21 2" xfId="15132" xr:uid="{00000000-0005-0000-0000-0000C73A0000}"/>
    <cellStyle name="60% - Accent3 3 21 3" xfId="15133" xr:uid="{00000000-0005-0000-0000-0000C83A0000}"/>
    <cellStyle name="60% - Accent3 3 21 4" xfId="15134" xr:uid="{00000000-0005-0000-0000-0000C93A0000}"/>
    <cellStyle name="60% - Accent3 3 21 5" xfId="15135" xr:uid="{00000000-0005-0000-0000-0000CA3A0000}"/>
    <cellStyle name="60% - Accent3 3 21 6" xfId="15136" xr:uid="{00000000-0005-0000-0000-0000CB3A0000}"/>
    <cellStyle name="60% - Accent3 3 21 7" xfId="15137" xr:uid="{00000000-0005-0000-0000-0000CC3A0000}"/>
    <cellStyle name="60% - Accent3 3 21 8" xfId="15138" xr:uid="{00000000-0005-0000-0000-0000CD3A0000}"/>
    <cellStyle name="60% - Accent3 3 21 9" xfId="15139" xr:uid="{00000000-0005-0000-0000-0000CE3A0000}"/>
    <cellStyle name="60% - Accent3 3 22" xfId="15140" xr:uid="{00000000-0005-0000-0000-0000CF3A0000}"/>
    <cellStyle name="60% - Accent3 3 22 10" xfId="15141" xr:uid="{00000000-0005-0000-0000-0000D03A0000}"/>
    <cellStyle name="60% - Accent3 3 22 11" xfId="15142" xr:uid="{00000000-0005-0000-0000-0000D13A0000}"/>
    <cellStyle name="60% - Accent3 3 22 12" xfId="15143" xr:uid="{00000000-0005-0000-0000-0000D23A0000}"/>
    <cellStyle name="60% - Accent3 3 22 13" xfId="15144" xr:uid="{00000000-0005-0000-0000-0000D33A0000}"/>
    <cellStyle name="60% - Accent3 3 22 14" xfId="15145" xr:uid="{00000000-0005-0000-0000-0000D43A0000}"/>
    <cellStyle name="60% - Accent3 3 22 15" xfId="15146" xr:uid="{00000000-0005-0000-0000-0000D53A0000}"/>
    <cellStyle name="60% - Accent3 3 22 2" xfId="15147" xr:uid="{00000000-0005-0000-0000-0000D63A0000}"/>
    <cellStyle name="60% - Accent3 3 22 3" xfId="15148" xr:uid="{00000000-0005-0000-0000-0000D73A0000}"/>
    <cellStyle name="60% - Accent3 3 22 4" xfId="15149" xr:uid="{00000000-0005-0000-0000-0000D83A0000}"/>
    <cellStyle name="60% - Accent3 3 22 5" xfId="15150" xr:uid="{00000000-0005-0000-0000-0000D93A0000}"/>
    <cellStyle name="60% - Accent3 3 22 6" xfId="15151" xr:uid="{00000000-0005-0000-0000-0000DA3A0000}"/>
    <cellStyle name="60% - Accent3 3 22 7" xfId="15152" xr:uid="{00000000-0005-0000-0000-0000DB3A0000}"/>
    <cellStyle name="60% - Accent3 3 22 8" xfId="15153" xr:uid="{00000000-0005-0000-0000-0000DC3A0000}"/>
    <cellStyle name="60% - Accent3 3 22 9" xfId="15154" xr:uid="{00000000-0005-0000-0000-0000DD3A0000}"/>
    <cellStyle name="60% - Accent3 3 23" xfId="15155" xr:uid="{00000000-0005-0000-0000-0000DE3A0000}"/>
    <cellStyle name="60% - Accent3 3 23 10" xfId="15156" xr:uid="{00000000-0005-0000-0000-0000DF3A0000}"/>
    <cellStyle name="60% - Accent3 3 23 11" xfId="15157" xr:uid="{00000000-0005-0000-0000-0000E03A0000}"/>
    <cellStyle name="60% - Accent3 3 23 12" xfId="15158" xr:uid="{00000000-0005-0000-0000-0000E13A0000}"/>
    <cellStyle name="60% - Accent3 3 23 13" xfId="15159" xr:uid="{00000000-0005-0000-0000-0000E23A0000}"/>
    <cellStyle name="60% - Accent3 3 23 14" xfId="15160" xr:uid="{00000000-0005-0000-0000-0000E33A0000}"/>
    <cellStyle name="60% - Accent3 3 23 15" xfId="15161" xr:uid="{00000000-0005-0000-0000-0000E43A0000}"/>
    <cellStyle name="60% - Accent3 3 23 2" xfId="15162" xr:uid="{00000000-0005-0000-0000-0000E53A0000}"/>
    <cellStyle name="60% - Accent3 3 23 3" xfId="15163" xr:uid="{00000000-0005-0000-0000-0000E63A0000}"/>
    <cellStyle name="60% - Accent3 3 23 4" xfId="15164" xr:uid="{00000000-0005-0000-0000-0000E73A0000}"/>
    <cellStyle name="60% - Accent3 3 23 5" xfId="15165" xr:uid="{00000000-0005-0000-0000-0000E83A0000}"/>
    <cellStyle name="60% - Accent3 3 23 6" xfId="15166" xr:uid="{00000000-0005-0000-0000-0000E93A0000}"/>
    <cellStyle name="60% - Accent3 3 23 7" xfId="15167" xr:uid="{00000000-0005-0000-0000-0000EA3A0000}"/>
    <cellStyle name="60% - Accent3 3 23 8" xfId="15168" xr:uid="{00000000-0005-0000-0000-0000EB3A0000}"/>
    <cellStyle name="60% - Accent3 3 23 9" xfId="15169" xr:uid="{00000000-0005-0000-0000-0000EC3A0000}"/>
    <cellStyle name="60% - Accent3 3 24" xfId="15170" xr:uid="{00000000-0005-0000-0000-0000ED3A0000}"/>
    <cellStyle name="60% - Accent3 3 24 10" xfId="15171" xr:uid="{00000000-0005-0000-0000-0000EE3A0000}"/>
    <cellStyle name="60% - Accent3 3 24 11" xfId="15172" xr:uid="{00000000-0005-0000-0000-0000EF3A0000}"/>
    <cellStyle name="60% - Accent3 3 24 12" xfId="15173" xr:uid="{00000000-0005-0000-0000-0000F03A0000}"/>
    <cellStyle name="60% - Accent3 3 24 13" xfId="15174" xr:uid="{00000000-0005-0000-0000-0000F13A0000}"/>
    <cellStyle name="60% - Accent3 3 24 14" xfId="15175" xr:uid="{00000000-0005-0000-0000-0000F23A0000}"/>
    <cellStyle name="60% - Accent3 3 24 15" xfId="15176" xr:uid="{00000000-0005-0000-0000-0000F33A0000}"/>
    <cellStyle name="60% - Accent3 3 24 2" xfId="15177" xr:uid="{00000000-0005-0000-0000-0000F43A0000}"/>
    <cellStyle name="60% - Accent3 3 24 3" xfId="15178" xr:uid="{00000000-0005-0000-0000-0000F53A0000}"/>
    <cellStyle name="60% - Accent3 3 24 4" xfId="15179" xr:uid="{00000000-0005-0000-0000-0000F63A0000}"/>
    <cellStyle name="60% - Accent3 3 24 5" xfId="15180" xr:uid="{00000000-0005-0000-0000-0000F73A0000}"/>
    <cellStyle name="60% - Accent3 3 24 6" xfId="15181" xr:uid="{00000000-0005-0000-0000-0000F83A0000}"/>
    <cellStyle name="60% - Accent3 3 24 7" xfId="15182" xr:uid="{00000000-0005-0000-0000-0000F93A0000}"/>
    <cellStyle name="60% - Accent3 3 24 8" xfId="15183" xr:uid="{00000000-0005-0000-0000-0000FA3A0000}"/>
    <cellStyle name="60% - Accent3 3 24 9" xfId="15184" xr:uid="{00000000-0005-0000-0000-0000FB3A0000}"/>
    <cellStyle name="60% - Accent3 3 25" xfId="15185" xr:uid="{00000000-0005-0000-0000-0000FC3A0000}"/>
    <cellStyle name="60% - Accent3 3 25 10" xfId="15186" xr:uid="{00000000-0005-0000-0000-0000FD3A0000}"/>
    <cellStyle name="60% - Accent3 3 25 11" xfId="15187" xr:uid="{00000000-0005-0000-0000-0000FE3A0000}"/>
    <cellStyle name="60% - Accent3 3 25 12" xfId="15188" xr:uid="{00000000-0005-0000-0000-0000FF3A0000}"/>
    <cellStyle name="60% - Accent3 3 25 13" xfId="15189" xr:uid="{00000000-0005-0000-0000-0000003B0000}"/>
    <cellStyle name="60% - Accent3 3 25 14" xfId="15190" xr:uid="{00000000-0005-0000-0000-0000013B0000}"/>
    <cellStyle name="60% - Accent3 3 25 15" xfId="15191" xr:uid="{00000000-0005-0000-0000-0000023B0000}"/>
    <cellStyle name="60% - Accent3 3 25 2" xfId="15192" xr:uid="{00000000-0005-0000-0000-0000033B0000}"/>
    <cellStyle name="60% - Accent3 3 25 3" xfId="15193" xr:uid="{00000000-0005-0000-0000-0000043B0000}"/>
    <cellStyle name="60% - Accent3 3 25 4" xfId="15194" xr:uid="{00000000-0005-0000-0000-0000053B0000}"/>
    <cellStyle name="60% - Accent3 3 25 5" xfId="15195" xr:uid="{00000000-0005-0000-0000-0000063B0000}"/>
    <cellStyle name="60% - Accent3 3 25 6" xfId="15196" xr:uid="{00000000-0005-0000-0000-0000073B0000}"/>
    <cellStyle name="60% - Accent3 3 25 7" xfId="15197" xr:uid="{00000000-0005-0000-0000-0000083B0000}"/>
    <cellStyle name="60% - Accent3 3 25 8" xfId="15198" xr:uid="{00000000-0005-0000-0000-0000093B0000}"/>
    <cellStyle name="60% - Accent3 3 25 9" xfId="15199" xr:uid="{00000000-0005-0000-0000-00000A3B0000}"/>
    <cellStyle name="60% - Accent3 3 26" xfId="15200" xr:uid="{00000000-0005-0000-0000-00000B3B0000}"/>
    <cellStyle name="60% - Accent3 3 26 10" xfId="15201" xr:uid="{00000000-0005-0000-0000-00000C3B0000}"/>
    <cellStyle name="60% - Accent3 3 26 11" xfId="15202" xr:uid="{00000000-0005-0000-0000-00000D3B0000}"/>
    <cellStyle name="60% - Accent3 3 26 12" xfId="15203" xr:uid="{00000000-0005-0000-0000-00000E3B0000}"/>
    <cellStyle name="60% - Accent3 3 26 13" xfId="15204" xr:uid="{00000000-0005-0000-0000-00000F3B0000}"/>
    <cellStyle name="60% - Accent3 3 26 14" xfId="15205" xr:uid="{00000000-0005-0000-0000-0000103B0000}"/>
    <cellStyle name="60% - Accent3 3 26 15" xfId="15206" xr:uid="{00000000-0005-0000-0000-0000113B0000}"/>
    <cellStyle name="60% - Accent3 3 26 2" xfId="15207" xr:uid="{00000000-0005-0000-0000-0000123B0000}"/>
    <cellStyle name="60% - Accent3 3 26 3" xfId="15208" xr:uid="{00000000-0005-0000-0000-0000133B0000}"/>
    <cellStyle name="60% - Accent3 3 26 4" xfId="15209" xr:uid="{00000000-0005-0000-0000-0000143B0000}"/>
    <cellStyle name="60% - Accent3 3 26 5" xfId="15210" xr:uid="{00000000-0005-0000-0000-0000153B0000}"/>
    <cellStyle name="60% - Accent3 3 26 6" xfId="15211" xr:uid="{00000000-0005-0000-0000-0000163B0000}"/>
    <cellStyle name="60% - Accent3 3 26 7" xfId="15212" xr:uid="{00000000-0005-0000-0000-0000173B0000}"/>
    <cellStyle name="60% - Accent3 3 26 8" xfId="15213" xr:uid="{00000000-0005-0000-0000-0000183B0000}"/>
    <cellStyle name="60% - Accent3 3 26 9" xfId="15214" xr:uid="{00000000-0005-0000-0000-0000193B0000}"/>
    <cellStyle name="60% - Accent3 3 27" xfId="15215" xr:uid="{00000000-0005-0000-0000-00001A3B0000}"/>
    <cellStyle name="60% - Accent3 3 27 10" xfId="15216" xr:uid="{00000000-0005-0000-0000-00001B3B0000}"/>
    <cellStyle name="60% - Accent3 3 27 11" xfId="15217" xr:uid="{00000000-0005-0000-0000-00001C3B0000}"/>
    <cellStyle name="60% - Accent3 3 27 12" xfId="15218" xr:uid="{00000000-0005-0000-0000-00001D3B0000}"/>
    <cellStyle name="60% - Accent3 3 27 13" xfId="15219" xr:uid="{00000000-0005-0000-0000-00001E3B0000}"/>
    <cellStyle name="60% - Accent3 3 27 14" xfId="15220" xr:uid="{00000000-0005-0000-0000-00001F3B0000}"/>
    <cellStyle name="60% - Accent3 3 27 15" xfId="15221" xr:uid="{00000000-0005-0000-0000-0000203B0000}"/>
    <cellStyle name="60% - Accent3 3 27 2" xfId="15222" xr:uid="{00000000-0005-0000-0000-0000213B0000}"/>
    <cellStyle name="60% - Accent3 3 27 3" xfId="15223" xr:uid="{00000000-0005-0000-0000-0000223B0000}"/>
    <cellStyle name="60% - Accent3 3 27 4" xfId="15224" xr:uid="{00000000-0005-0000-0000-0000233B0000}"/>
    <cellStyle name="60% - Accent3 3 27 5" xfId="15225" xr:uid="{00000000-0005-0000-0000-0000243B0000}"/>
    <cellStyle name="60% - Accent3 3 27 6" xfId="15226" xr:uid="{00000000-0005-0000-0000-0000253B0000}"/>
    <cellStyle name="60% - Accent3 3 27 7" xfId="15227" xr:uid="{00000000-0005-0000-0000-0000263B0000}"/>
    <cellStyle name="60% - Accent3 3 27 8" xfId="15228" xr:uid="{00000000-0005-0000-0000-0000273B0000}"/>
    <cellStyle name="60% - Accent3 3 27 9" xfId="15229" xr:uid="{00000000-0005-0000-0000-0000283B0000}"/>
    <cellStyle name="60% - Accent3 3 28" xfId="15230" xr:uid="{00000000-0005-0000-0000-0000293B0000}"/>
    <cellStyle name="60% - Accent3 3 28 10" xfId="15231" xr:uid="{00000000-0005-0000-0000-00002A3B0000}"/>
    <cellStyle name="60% - Accent3 3 28 11" xfId="15232" xr:uid="{00000000-0005-0000-0000-00002B3B0000}"/>
    <cellStyle name="60% - Accent3 3 28 12" xfId="15233" xr:uid="{00000000-0005-0000-0000-00002C3B0000}"/>
    <cellStyle name="60% - Accent3 3 28 13" xfId="15234" xr:uid="{00000000-0005-0000-0000-00002D3B0000}"/>
    <cellStyle name="60% - Accent3 3 28 14" xfId="15235" xr:uid="{00000000-0005-0000-0000-00002E3B0000}"/>
    <cellStyle name="60% - Accent3 3 28 15" xfId="15236" xr:uid="{00000000-0005-0000-0000-00002F3B0000}"/>
    <cellStyle name="60% - Accent3 3 28 2" xfId="15237" xr:uid="{00000000-0005-0000-0000-0000303B0000}"/>
    <cellStyle name="60% - Accent3 3 28 3" xfId="15238" xr:uid="{00000000-0005-0000-0000-0000313B0000}"/>
    <cellStyle name="60% - Accent3 3 28 4" xfId="15239" xr:uid="{00000000-0005-0000-0000-0000323B0000}"/>
    <cellStyle name="60% - Accent3 3 28 5" xfId="15240" xr:uid="{00000000-0005-0000-0000-0000333B0000}"/>
    <cellStyle name="60% - Accent3 3 28 6" xfId="15241" xr:uid="{00000000-0005-0000-0000-0000343B0000}"/>
    <cellStyle name="60% - Accent3 3 28 7" xfId="15242" xr:uid="{00000000-0005-0000-0000-0000353B0000}"/>
    <cellStyle name="60% - Accent3 3 28 8" xfId="15243" xr:uid="{00000000-0005-0000-0000-0000363B0000}"/>
    <cellStyle name="60% - Accent3 3 28 9" xfId="15244" xr:uid="{00000000-0005-0000-0000-0000373B0000}"/>
    <cellStyle name="60% - Accent3 3 29" xfId="15245" xr:uid="{00000000-0005-0000-0000-0000383B0000}"/>
    <cellStyle name="60% - Accent3 3 29 10" xfId="15246" xr:uid="{00000000-0005-0000-0000-0000393B0000}"/>
    <cellStyle name="60% - Accent3 3 29 11" xfId="15247" xr:uid="{00000000-0005-0000-0000-00003A3B0000}"/>
    <cellStyle name="60% - Accent3 3 29 12" xfId="15248" xr:uid="{00000000-0005-0000-0000-00003B3B0000}"/>
    <cellStyle name="60% - Accent3 3 29 13" xfId="15249" xr:uid="{00000000-0005-0000-0000-00003C3B0000}"/>
    <cellStyle name="60% - Accent3 3 29 14" xfId="15250" xr:uid="{00000000-0005-0000-0000-00003D3B0000}"/>
    <cellStyle name="60% - Accent3 3 29 15" xfId="15251" xr:uid="{00000000-0005-0000-0000-00003E3B0000}"/>
    <cellStyle name="60% - Accent3 3 29 2" xfId="15252" xr:uid="{00000000-0005-0000-0000-00003F3B0000}"/>
    <cellStyle name="60% - Accent3 3 29 3" xfId="15253" xr:uid="{00000000-0005-0000-0000-0000403B0000}"/>
    <cellStyle name="60% - Accent3 3 29 4" xfId="15254" xr:uid="{00000000-0005-0000-0000-0000413B0000}"/>
    <cellStyle name="60% - Accent3 3 29 5" xfId="15255" xr:uid="{00000000-0005-0000-0000-0000423B0000}"/>
    <cellStyle name="60% - Accent3 3 29 6" xfId="15256" xr:uid="{00000000-0005-0000-0000-0000433B0000}"/>
    <cellStyle name="60% - Accent3 3 29 7" xfId="15257" xr:uid="{00000000-0005-0000-0000-0000443B0000}"/>
    <cellStyle name="60% - Accent3 3 29 8" xfId="15258" xr:uid="{00000000-0005-0000-0000-0000453B0000}"/>
    <cellStyle name="60% - Accent3 3 29 9" xfId="15259" xr:uid="{00000000-0005-0000-0000-0000463B0000}"/>
    <cellStyle name="60% - Accent3 3 3" xfId="15260" xr:uid="{00000000-0005-0000-0000-0000473B0000}"/>
    <cellStyle name="60% - Accent3 3 3 10" xfId="15261" xr:uid="{00000000-0005-0000-0000-0000483B0000}"/>
    <cellStyle name="60% - Accent3 3 3 11" xfId="15262" xr:uid="{00000000-0005-0000-0000-0000493B0000}"/>
    <cellStyle name="60% - Accent3 3 3 12" xfId="15263" xr:uid="{00000000-0005-0000-0000-00004A3B0000}"/>
    <cellStyle name="60% - Accent3 3 3 13" xfId="15264" xr:uid="{00000000-0005-0000-0000-00004B3B0000}"/>
    <cellStyle name="60% - Accent3 3 3 14" xfId="15265" xr:uid="{00000000-0005-0000-0000-00004C3B0000}"/>
    <cellStyle name="60% - Accent3 3 3 15" xfId="15266" xr:uid="{00000000-0005-0000-0000-00004D3B0000}"/>
    <cellStyle name="60% - Accent3 3 3 16" xfId="15267" xr:uid="{00000000-0005-0000-0000-00004E3B0000}"/>
    <cellStyle name="60% - Accent3 3 3 2" xfId="15268" xr:uid="{00000000-0005-0000-0000-00004F3B0000}"/>
    <cellStyle name="60% - Accent3 3 3 3" xfId="15269" xr:uid="{00000000-0005-0000-0000-0000503B0000}"/>
    <cellStyle name="60% - Accent3 3 3 4" xfId="15270" xr:uid="{00000000-0005-0000-0000-0000513B0000}"/>
    <cellStyle name="60% - Accent3 3 3 5" xfId="15271" xr:uid="{00000000-0005-0000-0000-0000523B0000}"/>
    <cellStyle name="60% - Accent3 3 3 6" xfId="15272" xr:uid="{00000000-0005-0000-0000-0000533B0000}"/>
    <cellStyle name="60% - Accent3 3 3 7" xfId="15273" xr:uid="{00000000-0005-0000-0000-0000543B0000}"/>
    <cellStyle name="60% - Accent3 3 3 8" xfId="15274" xr:uid="{00000000-0005-0000-0000-0000553B0000}"/>
    <cellStyle name="60% - Accent3 3 3 9" xfId="15275" xr:uid="{00000000-0005-0000-0000-0000563B0000}"/>
    <cellStyle name="60% - Accent3 3 30" xfId="15276" xr:uid="{00000000-0005-0000-0000-0000573B0000}"/>
    <cellStyle name="60% - Accent3 3 30 10" xfId="15277" xr:uid="{00000000-0005-0000-0000-0000583B0000}"/>
    <cellStyle name="60% - Accent3 3 30 11" xfId="15278" xr:uid="{00000000-0005-0000-0000-0000593B0000}"/>
    <cellStyle name="60% - Accent3 3 30 12" xfId="15279" xr:uid="{00000000-0005-0000-0000-00005A3B0000}"/>
    <cellStyle name="60% - Accent3 3 30 13" xfId="15280" xr:uid="{00000000-0005-0000-0000-00005B3B0000}"/>
    <cellStyle name="60% - Accent3 3 30 14" xfId="15281" xr:uid="{00000000-0005-0000-0000-00005C3B0000}"/>
    <cellStyle name="60% - Accent3 3 30 15" xfId="15282" xr:uid="{00000000-0005-0000-0000-00005D3B0000}"/>
    <cellStyle name="60% - Accent3 3 30 2" xfId="15283" xr:uid="{00000000-0005-0000-0000-00005E3B0000}"/>
    <cellStyle name="60% - Accent3 3 30 3" xfId="15284" xr:uid="{00000000-0005-0000-0000-00005F3B0000}"/>
    <cellStyle name="60% - Accent3 3 30 4" xfId="15285" xr:uid="{00000000-0005-0000-0000-0000603B0000}"/>
    <cellStyle name="60% - Accent3 3 30 5" xfId="15286" xr:uid="{00000000-0005-0000-0000-0000613B0000}"/>
    <cellStyle name="60% - Accent3 3 30 6" xfId="15287" xr:uid="{00000000-0005-0000-0000-0000623B0000}"/>
    <cellStyle name="60% - Accent3 3 30 7" xfId="15288" xr:uid="{00000000-0005-0000-0000-0000633B0000}"/>
    <cellStyle name="60% - Accent3 3 30 8" xfId="15289" xr:uid="{00000000-0005-0000-0000-0000643B0000}"/>
    <cellStyle name="60% - Accent3 3 30 9" xfId="15290" xr:uid="{00000000-0005-0000-0000-0000653B0000}"/>
    <cellStyle name="60% - Accent3 3 31" xfId="15291" xr:uid="{00000000-0005-0000-0000-0000663B0000}"/>
    <cellStyle name="60% - Accent3 3 31 10" xfId="15292" xr:uid="{00000000-0005-0000-0000-0000673B0000}"/>
    <cellStyle name="60% - Accent3 3 31 11" xfId="15293" xr:uid="{00000000-0005-0000-0000-0000683B0000}"/>
    <cellStyle name="60% - Accent3 3 31 12" xfId="15294" xr:uid="{00000000-0005-0000-0000-0000693B0000}"/>
    <cellStyle name="60% - Accent3 3 31 13" xfId="15295" xr:uid="{00000000-0005-0000-0000-00006A3B0000}"/>
    <cellStyle name="60% - Accent3 3 31 14" xfId="15296" xr:uid="{00000000-0005-0000-0000-00006B3B0000}"/>
    <cellStyle name="60% - Accent3 3 31 15" xfId="15297" xr:uid="{00000000-0005-0000-0000-00006C3B0000}"/>
    <cellStyle name="60% - Accent3 3 31 2" xfId="15298" xr:uid="{00000000-0005-0000-0000-00006D3B0000}"/>
    <cellStyle name="60% - Accent3 3 31 3" xfId="15299" xr:uid="{00000000-0005-0000-0000-00006E3B0000}"/>
    <cellStyle name="60% - Accent3 3 31 4" xfId="15300" xr:uid="{00000000-0005-0000-0000-00006F3B0000}"/>
    <cellStyle name="60% - Accent3 3 31 5" xfId="15301" xr:uid="{00000000-0005-0000-0000-0000703B0000}"/>
    <cellStyle name="60% - Accent3 3 31 6" xfId="15302" xr:uid="{00000000-0005-0000-0000-0000713B0000}"/>
    <cellStyle name="60% - Accent3 3 31 7" xfId="15303" xr:uid="{00000000-0005-0000-0000-0000723B0000}"/>
    <cellStyle name="60% - Accent3 3 31 8" xfId="15304" xr:uid="{00000000-0005-0000-0000-0000733B0000}"/>
    <cellStyle name="60% - Accent3 3 31 9" xfId="15305" xr:uid="{00000000-0005-0000-0000-0000743B0000}"/>
    <cellStyle name="60% - Accent3 3 32" xfId="15306" xr:uid="{00000000-0005-0000-0000-0000753B0000}"/>
    <cellStyle name="60% - Accent3 3 32 10" xfId="15307" xr:uid="{00000000-0005-0000-0000-0000763B0000}"/>
    <cellStyle name="60% - Accent3 3 32 11" xfId="15308" xr:uid="{00000000-0005-0000-0000-0000773B0000}"/>
    <cellStyle name="60% - Accent3 3 32 12" xfId="15309" xr:uid="{00000000-0005-0000-0000-0000783B0000}"/>
    <cellStyle name="60% - Accent3 3 32 13" xfId="15310" xr:uid="{00000000-0005-0000-0000-0000793B0000}"/>
    <cellStyle name="60% - Accent3 3 32 14" xfId="15311" xr:uid="{00000000-0005-0000-0000-00007A3B0000}"/>
    <cellStyle name="60% - Accent3 3 32 15" xfId="15312" xr:uid="{00000000-0005-0000-0000-00007B3B0000}"/>
    <cellStyle name="60% - Accent3 3 32 2" xfId="15313" xr:uid="{00000000-0005-0000-0000-00007C3B0000}"/>
    <cellStyle name="60% - Accent3 3 32 3" xfId="15314" xr:uid="{00000000-0005-0000-0000-00007D3B0000}"/>
    <cellStyle name="60% - Accent3 3 32 4" xfId="15315" xr:uid="{00000000-0005-0000-0000-00007E3B0000}"/>
    <cellStyle name="60% - Accent3 3 32 5" xfId="15316" xr:uid="{00000000-0005-0000-0000-00007F3B0000}"/>
    <cellStyle name="60% - Accent3 3 32 6" xfId="15317" xr:uid="{00000000-0005-0000-0000-0000803B0000}"/>
    <cellStyle name="60% - Accent3 3 32 7" xfId="15318" xr:uid="{00000000-0005-0000-0000-0000813B0000}"/>
    <cellStyle name="60% - Accent3 3 32 8" xfId="15319" xr:uid="{00000000-0005-0000-0000-0000823B0000}"/>
    <cellStyle name="60% - Accent3 3 32 9" xfId="15320" xr:uid="{00000000-0005-0000-0000-0000833B0000}"/>
    <cellStyle name="60% - Accent3 3 33" xfId="15321" xr:uid="{00000000-0005-0000-0000-0000843B0000}"/>
    <cellStyle name="60% - Accent3 3 34" xfId="15322" xr:uid="{00000000-0005-0000-0000-0000853B0000}"/>
    <cellStyle name="60% - Accent3 3 35" xfId="15323" xr:uid="{00000000-0005-0000-0000-0000863B0000}"/>
    <cellStyle name="60% - Accent3 3 36" xfId="15324" xr:uid="{00000000-0005-0000-0000-0000873B0000}"/>
    <cellStyle name="60% - Accent3 3 37" xfId="15325" xr:uid="{00000000-0005-0000-0000-0000883B0000}"/>
    <cellStyle name="60% - Accent3 3 38" xfId="15326" xr:uid="{00000000-0005-0000-0000-0000893B0000}"/>
    <cellStyle name="60% - Accent3 3 39" xfId="15327" xr:uid="{00000000-0005-0000-0000-00008A3B0000}"/>
    <cellStyle name="60% - Accent3 3 4" xfId="15328" xr:uid="{00000000-0005-0000-0000-00008B3B0000}"/>
    <cellStyle name="60% - Accent3 3 4 10" xfId="15329" xr:uid="{00000000-0005-0000-0000-00008C3B0000}"/>
    <cellStyle name="60% - Accent3 3 4 11" xfId="15330" xr:uid="{00000000-0005-0000-0000-00008D3B0000}"/>
    <cellStyle name="60% - Accent3 3 4 12" xfId="15331" xr:uid="{00000000-0005-0000-0000-00008E3B0000}"/>
    <cellStyle name="60% - Accent3 3 4 13" xfId="15332" xr:uid="{00000000-0005-0000-0000-00008F3B0000}"/>
    <cellStyle name="60% - Accent3 3 4 14" xfId="15333" xr:uid="{00000000-0005-0000-0000-0000903B0000}"/>
    <cellStyle name="60% - Accent3 3 4 15" xfId="15334" xr:uid="{00000000-0005-0000-0000-0000913B0000}"/>
    <cellStyle name="60% - Accent3 3 4 2" xfId="15335" xr:uid="{00000000-0005-0000-0000-0000923B0000}"/>
    <cellStyle name="60% - Accent3 3 4 3" xfId="15336" xr:uid="{00000000-0005-0000-0000-0000933B0000}"/>
    <cellStyle name="60% - Accent3 3 4 4" xfId="15337" xr:uid="{00000000-0005-0000-0000-0000943B0000}"/>
    <cellStyle name="60% - Accent3 3 4 5" xfId="15338" xr:uid="{00000000-0005-0000-0000-0000953B0000}"/>
    <cellStyle name="60% - Accent3 3 4 6" xfId="15339" xr:uid="{00000000-0005-0000-0000-0000963B0000}"/>
    <cellStyle name="60% - Accent3 3 4 7" xfId="15340" xr:uid="{00000000-0005-0000-0000-0000973B0000}"/>
    <cellStyle name="60% - Accent3 3 4 8" xfId="15341" xr:uid="{00000000-0005-0000-0000-0000983B0000}"/>
    <cellStyle name="60% - Accent3 3 4 9" xfId="15342" xr:uid="{00000000-0005-0000-0000-0000993B0000}"/>
    <cellStyle name="60% - Accent3 3 40" xfId="15343" xr:uid="{00000000-0005-0000-0000-00009A3B0000}"/>
    <cellStyle name="60% - Accent3 3 41" xfId="15344" xr:uid="{00000000-0005-0000-0000-00009B3B0000}"/>
    <cellStyle name="60% - Accent3 3 42" xfId="15345" xr:uid="{00000000-0005-0000-0000-00009C3B0000}"/>
    <cellStyle name="60% - Accent3 3 43" xfId="15346" xr:uid="{00000000-0005-0000-0000-00009D3B0000}"/>
    <cellStyle name="60% - Accent3 3 44" xfId="15347" xr:uid="{00000000-0005-0000-0000-00009E3B0000}"/>
    <cellStyle name="60% - Accent3 3 45" xfId="15348" xr:uid="{00000000-0005-0000-0000-00009F3B0000}"/>
    <cellStyle name="60% - Accent3 3 46" xfId="15349" xr:uid="{00000000-0005-0000-0000-0000A03B0000}"/>
    <cellStyle name="60% - Accent3 3 47" xfId="15350" xr:uid="{00000000-0005-0000-0000-0000A13B0000}"/>
    <cellStyle name="60% - Accent3 3 48" xfId="15351" xr:uid="{00000000-0005-0000-0000-0000A23B0000}"/>
    <cellStyle name="60% - Accent3 3 49" xfId="15352" xr:uid="{00000000-0005-0000-0000-0000A33B0000}"/>
    <cellStyle name="60% - Accent3 3 5" xfId="15353" xr:uid="{00000000-0005-0000-0000-0000A43B0000}"/>
    <cellStyle name="60% - Accent3 3 5 10" xfId="15354" xr:uid="{00000000-0005-0000-0000-0000A53B0000}"/>
    <cellStyle name="60% - Accent3 3 5 11" xfId="15355" xr:uid="{00000000-0005-0000-0000-0000A63B0000}"/>
    <cellStyle name="60% - Accent3 3 5 12" xfId="15356" xr:uid="{00000000-0005-0000-0000-0000A73B0000}"/>
    <cellStyle name="60% - Accent3 3 5 13" xfId="15357" xr:uid="{00000000-0005-0000-0000-0000A83B0000}"/>
    <cellStyle name="60% - Accent3 3 5 14" xfId="15358" xr:uid="{00000000-0005-0000-0000-0000A93B0000}"/>
    <cellStyle name="60% - Accent3 3 5 15" xfId="15359" xr:uid="{00000000-0005-0000-0000-0000AA3B0000}"/>
    <cellStyle name="60% - Accent3 3 5 2" xfId="15360" xr:uid="{00000000-0005-0000-0000-0000AB3B0000}"/>
    <cellStyle name="60% - Accent3 3 5 3" xfId="15361" xr:uid="{00000000-0005-0000-0000-0000AC3B0000}"/>
    <cellStyle name="60% - Accent3 3 5 4" xfId="15362" xr:uid="{00000000-0005-0000-0000-0000AD3B0000}"/>
    <cellStyle name="60% - Accent3 3 5 5" xfId="15363" xr:uid="{00000000-0005-0000-0000-0000AE3B0000}"/>
    <cellStyle name="60% - Accent3 3 5 6" xfId="15364" xr:uid="{00000000-0005-0000-0000-0000AF3B0000}"/>
    <cellStyle name="60% - Accent3 3 5 7" xfId="15365" xr:uid="{00000000-0005-0000-0000-0000B03B0000}"/>
    <cellStyle name="60% - Accent3 3 5 8" xfId="15366" xr:uid="{00000000-0005-0000-0000-0000B13B0000}"/>
    <cellStyle name="60% - Accent3 3 5 9" xfId="15367" xr:uid="{00000000-0005-0000-0000-0000B23B0000}"/>
    <cellStyle name="60% - Accent3 3 50" xfId="15368" xr:uid="{00000000-0005-0000-0000-0000B33B0000}"/>
    <cellStyle name="60% - Accent3 3 51" xfId="15369" xr:uid="{00000000-0005-0000-0000-0000B43B0000}"/>
    <cellStyle name="60% - Accent3 3 52" xfId="15370" xr:uid="{00000000-0005-0000-0000-0000B53B0000}"/>
    <cellStyle name="60% - Accent3 3 53" xfId="15371" xr:uid="{00000000-0005-0000-0000-0000B63B0000}"/>
    <cellStyle name="60% - Accent3 3 6" xfId="15372" xr:uid="{00000000-0005-0000-0000-0000B73B0000}"/>
    <cellStyle name="60% - Accent3 3 6 10" xfId="15373" xr:uid="{00000000-0005-0000-0000-0000B83B0000}"/>
    <cellStyle name="60% - Accent3 3 6 11" xfId="15374" xr:uid="{00000000-0005-0000-0000-0000B93B0000}"/>
    <cellStyle name="60% - Accent3 3 6 12" xfId="15375" xr:uid="{00000000-0005-0000-0000-0000BA3B0000}"/>
    <cellStyle name="60% - Accent3 3 6 13" xfId="15376" xr:uid="{00000000-0005-0000-0000-0000BB3B0000}"/>
    <cellStyle name="60% - Accent3 3 6 14" xfId="15377" xr:uid="{00000000-0005-0000-0000-0000BC3B0000}"/>
    <cellStyle name="60% - Accent3 3 6 15" xfId="15378" xr:uid="{00000000-0005-0000-0000-0000BD3B0000}"/>
    <cellStyle name="60% - Accent3 3 6 2" xfId="15379" xr:uid="{00000000-0005-0000-0000-0000BE3B0000}"/>
    <cellStyle name="60% - Accent3 3 6 3" xfId="15380" xr:uid="{00000000-0005-0000-0000-0000BF3B0000}"/>
    <cellStyle name="60% - Accent3 3 6 4" xfId="15381" xr:uid="{00000000-0005-0000-0000-0000C03B0000}"/>
    <cellStyle name="60% - Accent3 3 6 5" xfId="15382" xr:uid="{00000000-0005-0000-0000-0000C13B0000}"/>
    <cellStyle name="60% - Accent3 3 6 6" xfId="15383" xr:uid="{00000000-0005-0000-0000-0000C23B0000}"/>
    <cellStyle name="60% - Accent3 3 6 7" xfId="15384" xr:uid="{00000000-0005-0000-0000-0000C33B0000}"/>
    <cellStyle name="60% - Accent3 3 6 8" xfId="15385" xr:uid="{00000000-0005-0000-0000-0000C43B0000}"/>
    <cellStyle name="60% - Accent3 3 6 9" xfId="15386" xr:uid="{00000000-0005-0000-0000-0000C53B0000}"/>
    <cellStyle name="60% - Accent3 3 7" xfId="15387" xr:uid="{00000000-0005-0000-0000-0000C63B0000}"/>
    <cellStyle name="60% - Accent3 3 7 10" xfId="15388" xr:uid="{00000000-0005-0000-0000-0000C73B0000}"/>
    <cellStyle name="60% - Accent3 3 7 11" xfId="15389" xr:uid="{00000000-0005-0000-0000-0000C83B0000}"/>
    <cellStyle name="60% - Accent3 3 7 12" xfId="15390" xr:uid="{00000000-0005-0000-0000-0000C93B0000}"/>
    <cellStyle name="60% - Accent3 3 7 13" xfId="15391" xr:uid="{00000000-0005-0000-0000-0000CA3B0000}"/>
    <cellStyle name="60% - Accent3 3 7 14" xfId="15392" xr:uid="{00000000-0005-0000-0000-0000CB3B0000}"/>
    <cellStyle name="60% - Accent3 3 7 15" xfId="15393" xr:uid="{00000000-0005-0000-0000-0000CC3B0000}"/>
    <cellStyle name="60% - Accent3 3 7 2" xfId="15394" xr:uid="{00000000-0005-0000-0000-0000CD3B0000}"/>
    <cellStyle name="60% - Accent3 3 7 3" xfId="15395" xr:uid="{00000000-0005-0000-0000-0000CE3B0000}"/>
    <cellStyle name="60% - Accent3 3 7 4" xfId="15396" xr:uid="{00000000-0005-0000-0000-0000CF3B0000}"/>
    <cellStyle name="60% - Accent3 3 7 5" xfId="15397" xr:uid="{00000000-0005-0000-0000-0000D03B0000}"/>
    <cellStyle name="60% - Accent3 3 7 6" xfId="15398" xr:uid="{00000000-0005-0000-0000-0000D13B0000}"/>
    <cellStyle name="60% - Accent3 3 7 7" xfId="15399" xr:uid="{00000000-0005-0000-0000-0000D23B0000}"/>
    <cellStyle name="60% - Accent3 3 7 8" xfId="15400" xr:uid="{00000000-0005-0000-0000-0000D33B0000}"/>
    <cellStyle name="60% - Accent3 3 7 9" xfId="15401" xr:uid="{00000000-0005-0000-0000-0000D43B0000}"/>
    <cellStyle name="60% - Accent3 3 8" xfId="15402" xr:uid="{00000000-0005-0000-0000-0000D53B0000}"/>
    <cellStyle name="60% - Accent3 3 8 10" xfId="15403" xr:uid="{00000000-0005-0000-0000-0000D63B0000}"/>
    <cellStyle name="60% - Accent3 3 8 11" xfId="15404" xr:uid="{00000000-0005-0000-0000-0000D73B0000}"/>
    <cellStyle name="60% - Accent3 3 8 12" xfId="15405" xr:uid="{00000000-0005-0000-0000-0000D83B0000}"/>
    <cellStyle name="60% - Accent3 3 8 13" xfId="15406" xr:uid="{00000000-0005-0000-0000-0000D93B0000}"/>
    <cellStyle name="60% - Accent3 3 8 14" xfId="15407" xr:uid="{00000000-0005-0000-0000-0000DA3B0000}"/>
    <cellStyle name="60% - Accent3 3 8 15" xfId="15408" xr:uid="{00000000-0005-0000-0000-0000DB3B0000}"/>
    <cellStyle name="60% - Accent3 3 8 2" xfId="15409" xr:uid="{00000000-0005-0000-0000-0000DC3B0000}"/>
    <cellStyle name="60% - Accent3 3 8 3" xfId="15410" xr:uid="{00000000-0005-0000-0000-0000DD3B0000}"/>
    <cellStyle name="60% - Accent3 3 8 4" xfId="15411" xr:uid="{00000000-0005-0000-0000-0000DE3B0000}"/>
    <cellStyle name="60% - Accent3 3 8 5" xfId="15412" xr:uid="{00000000-0005-0000-0000-0000DF3B0000}"/>
    <cellStyle name="60% - Accent3 3 8 6" xfId="15413" xr:uid="{00000000-0005-0000-0000-0000E03B0000}"/>
    <cellStyle name="60% - Accent3 3 8 7" xfId="15414" xr:uid="{00000000-0005-0000-0000-0000E13B0000}"/>
    <cellStyle name="60% - Accent3 3 8 8" xfId="15415" xr:uid="{00000000-0005-0000-0000-0000E23B0000}"/>
    <cellStyle name="60% - Accent3 3 8 9" xfId="15416" xr:uid="{00000000-0005-0000-0000-0000E33B0000}"/>
    <cellStyle name="60% - Accent3 3 9" xfId="15417" xr:uid="{00000000-0005-0000-0000-0000E43B0000}"/>
    <cellStyle name="60% - Accent3 3 9 10" xfId="15418" xr:uid="{00000000-0005-0000-0000-0000E53B0000}"/>
    <cellStyle name="60% - Accent3 3 9 11" xfId="15419" xr:uid="{00000000-0005-0000-0000-0000E63B0000}"/>
    <cellStyle name="60% - Accent3 3 9 12" xfId="15420" xr:uid="{00000000-0005-0000-0000-0000E73B0000}"/>
    <cellStyle name="60% - Accent3 3 9 13" xfId="15421" xr:uid="{00000000-0005-0000-0000-0000E83B0000}"/>
    <cellStyle name="60% - Accent3 3 9 14" xfId="15422" xr:uid="{00000000-0005-0000-0000-0000E93B0000}"/>
    <cellStyle name="60% - Accent3 3 9 15" xfId="15423" xr:uid="{00000000-0005-0000-0000-0000EA3B0000}"/>
    <cellStyle name="60% - Accent3 3 9 2" xfId="15424" xr:uid="{00000000-0005-0000-0000-0000EB3B0000}"/>
    <cellStyle name="60% - Accent3 3 9 3" xfId="15425" xr:uid="{00000000-0005-0000-0000-0000EC3B0000}"/>
    <cellStyle name="60% - Accent3 3 9 4" xfId="15426" xr:uid="{00000000-0005-0000-0000-0000ED3B0000}"/>
    <cellStyle name="60% - Accent3 3 9 5" xfId="15427" xr:uid="{00000000-0005-0000-0000-0000EE3B0000}"/>
    <cellStyle name="60% - Accent3 3 9 6" xfId="15428" xr:uid="{00000000-0005-0000-0000-0000EF3B0000}"/>
    <cellStyle name="60% - Accent3 3 9 7" xfId="15429" xr:uid="{00000000-0005-0000-0000-0000F03B0000}"/>
    <cellStyle name="60% - Accent3 3 9 8" xfId="15430" xr:uid="{00000000-0005-0000-0000-0000F13B0000}"/>
    <cellStyle name="60% - Accent3 3 9 9" xfId="15431" xr:uid="{00000000-0005-0000-0000-0000F23B0000}"/>
    <cellStyle name="60% - Accent3 30" xfId="15432" xr:uid="{00000000-0005-0000-0000-0000F33B0000}"/>
    <cellStyle name="60% - Accent3 30 10" xfId="15433" xr:uid="{00000000-0005-0000-0000-0000F43B0000}"/>
    <cellStyle name="60% - Accent3 30 11" xfId="15434" xr:uid="{00000000-0005-0000-0000-0000F53B0000}"/>
    <cellStyle name="60% - Accent3 30 12" xfId="15435" xr:uid="{00000000-0005-0000-0000-0000F63B0000}"/>
    <cellStyle name="60% - Accent3 30 13" xfId="15436" xr:uid="{00000000-0005-0000-0000-0000F73B0000}"/>
    <cellStyle name="60% - Accent3 30 14" xfId="15437" xr:uid="{00000000-0005-0000-0000-0000F83B0000}"/>
    <cellStyle name="60% - Accent3 30 15" xfId="15438" xr:uid="{00000000-0005-0000-0000-0000F93B0000}"/>
    <cellStyle name="60% - Accent3 30 2" xfId="15439" xr:uid="{00000000-0005-0000-0000-0000FA3B0000}"/>
    <cellStyle name="60% - Accent3 30 3" xfId="15440" xr:uid="{00000000-0005-0000-0000-0000FB3B0000}"/>
    <cellStyle name="60% - Accent3 30 4" xfId="15441" xr:uid="{00000000-0005-0000-0000-0000FC3B0000}"/>
    <cellStyle name="60% - Accent3 30 5" xfId="15442" xr:uid="{00000000-0005-0000-0000-0000FD3B0000}"/>
    <cellStyle name="60% - Accent3 30 6" xfId="15443" xr:uid="{00000000-0005-0000-0000-0000FE3B0000}"/>
    <cellStyle name="60% - Accent3 30 7" xfId="15444" xr:uid="{00000000-0005-0000-0000-0000FF3B0000}"/>
    <cellStyle name="60% - Accent3 30 8" xfId="15445" xr:uid="{00000000-0005-0000-0000-0000003C0000}"/>
    <cellStyle name="60% - Accent3 30 9" xfId="15446" xr:uid="{00000000-0005-0000-0000-0000013C0000}"/>
    <cellStyle name="60% - Accent3 31" xfId="15447" xr:uid="{00000000-0005-0000-0000-0000023C0000}"/>
    <cellStyle name="60% - Accent3 31 10" xfId="15448" xr:uid="{00000000-0005-0000-0000-0000033C0000}"/>
    <cellStyle name="60% - Accent3 31 11" xfId="15449" xr:uid="{00000000-0005-0000-0000-0000043C0000}"/>
    <cellStyle name="60% - Accent3 31 12" xfId="15450" xr:uid="{00000000-0005-0000-0000-0000053C0000}"/>
    <cellStyle name="60% - Accent3 31 13" xfId="15451" xr:uid="{00000000-0005-0000-0000-0000063C0000}"/>
    <cellStyle name="60% - Accent3 31 14" xfId="15452" xr:uid="{00000000-0005-0000-0000-0000073C0000}"/>
    <cellStyle name="60% - Accent3 31 15" xfId="15453" xr:uid="{00000000-0005-0000-0000-0000083C0000}"/>
    <cellStyle name="60% - Accent3 31 2" xfId="15454" xr:uid="{00000000-0005-0000-0000-0000093C0000}"/>
    <cellStyle name="60% - Accent3 31 3" xfId="15455" xr:uid="{00000000-0005-0000-0000-00000A3C0000}"/>
    <cellStyle name="60% - Accent3 31 4" xfId="15456" xr:uid="{00000000-0005-0000-0000-00000B3C0000}"/>
    <cellStyle name="60% - Accent3 31 5" xfId="15457" xr:uid="{00000000-0005-0000-0000-00000C3C0000}"/>
    <cellStyle name="60% - Accent3 31 6" xfId="15458" xr:uid="{00000000-0005-0000-0000-00000D3C0000}"/>
    <cellStyle name="60% - Accent3 31 7" xfId="15459" xr:uid="{00000000-0005-0000-0000-00000E3C0000}"/>
    <cellStyle name="60% - Accent3 31 8" xfId="15460" xr:uid="{00000000-0005-0000-0000-00000F3C0000}"/>
    <cellStyle name="60% - Accent3 31 9" xfId="15461" xr:uid="{00000000-0005-0000-0000-0000103C0000}"/>
    <cellStyle name="60% - Accent3 32" xfId="15462" xr:uid="{00000000-0005-0000-0000-0000113C0000}"/>
    <cellStyle name="60% - Accent3 32 10" xfId="15463" xr:uid="{00000000-0005-0000-0000-0000123C0000}"/>
    <cellStyle name="60% - Accent3 32 11" xfId="15464" xr:uid="{00000000-0005-0000-0000-0000133C0000}"/>
    <cellStyle name="60% - Accent3 32 12" xfId="15465" xr:uid="{00000000-0005-0000-0000-0000143C0000}"/>
    <cellStyle name="60% - Accent3 32 13" xfId="15466" xr:uid="{00000000-0005-0000-0000-0000153C0000}"/>
    <cellStyle name="60% - Accent3 32 14" xfId="15467" xr:uid="{00000000-0005-0000-0000-0000163C0000}"/>
    <cellStyle name="60% - Accent3 32 15" xfId="15468" xr:uid="{00000000-0005-0000-0000-0000173C0000}"/>
    <cellStyle name="60% - Accent3 32 2" xfId="15469" xr:uid="{00000000-0005-0000-0000-0000183C0000}"/>
    <cellStyle name="60% - Accent3 32 3" xfId="15470" xr:uid="{00000000-0005-0000-0000-0000193C0000}"/>
    <cellStyle name="60% - Accent3 32 4" xfId="15471" xr:uid="{00000000-0005-0000-0000-00001A3C0000}"/>
    <cellStyle name="60% - Accent3 32 5" xfId="15472" xr:uid="{00000000-0005-0000-0000-00001B3C0000}"/>
    <cellStyle name="60% - Accent3 32 6" xfId="15473" xr:uid="{00000000-0005-0000-0000-00001C3C0000}"/>
    <cellStyle name="60% - Accent3 32 7" xfId="15474" xr:uid="{00000000-0005-0000-0000-00001D3C0000}"/>
    <cellStyle name="60% - Accent3 32 8" xfId="15475" xr:uid="{00000000-0005-0000-0000-00001E3C0000}"/>
    <cellStyle name="60% - Accent3 32 9" xfId="15476" xr:uid="{00000000-0005-0000-0000-00001F3C0000}"/>
    <cellStyle name="60% - Accent3 33" xfId="15477" xr:uid="{00000000-0005-0000-0000-0000203C0000}"/>
    <cellStyle name="60% - Accent3 33 10" xfId="15478" xr:uid="{00000000-0005-0000-0000-0000213C0000}"/>
    <cellStyle name="60% - Accent3 33 11" xfId="15479" xr:uid="{00000000-0005-0000-0000-0000223C0000}"/>
    <cellStyle name="60% - Accent3 33 12" xfId="15480" xr:uid="{00000000-0005-0000-0000-0000233C0000}"/>
    <cellStyle name="60% - Accent3 33 13" xfId="15481" xr:uid="{00000000-0005-0000-0000-0000243C0000}"/>
    <cellStyle name="60% - Accent3 33 14" xfId="15482" xr:uid="{00000000-0005-0000-0000-0000253C0000}"/>
    <cellStyle name="60% - Accent3 33 15" xfId="15483" xr:uid="{00000000-0005-0000-0000-0000263C0000}"/>
    <cellStyle name="60% - Accent3 33 2" xfId="15484" xr:uid="{00000000-0005-0000-0000-0000273C0000}"/>
    <cellStyle name="60% - Accent3 33 3" xfId="15485" xr:uid="{00000000-0005-0000-0000-0000283C0000}"/>
    <cellStyle name="60% - Accent3 33 4" xfId="15486" xr:uid="{00000000-0005-0000-0000-0000293C0000}"/>
    <cellStyle name="60% - Accent3 33 5" xfId="15487" xr:uid="{00000000-0005-0000-0000-00002A3C0000}"/>
    <cellStyle name="60% - Accent3 33 6" xfId="15488" xr:uid="{00000000-0005-0000-0000-00002B3C0000}"/>
    <cellStyle name="60% - Accent3 33 7" xfId="15489" xr:uid="{00000000-0005-0000-0000-00002C3C0000}"/>
    <cellStyle name="60% - Accent3 33 8" xfId="15490" xr:uid="{00000000-0005-0000-0000-00002D3C0000}"/>
    <cellStyle name="60% - Accent3 33 9" xfId="15491" xr:uid="{00000000-0005-0000-0000-00002E3C0000}"/>
    <cellStyle name="60% - Accent3 34" xfId="15492" xr:uid="{00000000-0005-0000-0000-00002F3C0000}"/>
    <cellStyle name="60% - Accent3 34 10" xfId="15493" xr:uid="{00000000-0005-0000-0000-0000303C0000}"/>
    <cellStyle name="60% - Accent3 34 11" xfId="15494" xr:uid="{00000000-0005-0000-0000-0000313C0000}"/>
    <cellStyle name="60% - Accent3 34 12" xfId="15495" xr:uid="{00000000-0005-0000-0000-0000323C0000}"/>
    <cellStyle name="60% - Accent3 34 13" xfId="15496" xr:uid="{00000000-0005-0000-0000-0000333C0000}"/>
    <cellStyle name="60% - Accent3 34 14" xfId="15497" xr:uid="{00000000-0005-0000-0000-0000343C0000}"/>
    <cellStyle name="60% - Accent3 34 15" xfId="15498" xr:uid="{00000000-0005-0000-0000-0000353C0000}"/>
    <cellStyle name="60% - Accent3 34 2" xfId="15499" xr:uid="{00000000-0005-0000-0000-0000363C0000}"/>
    <cellStyle name="60% - Accent3 34 3" xfId="15500" xr:uid="{00000000-0005-0000-0000-0000373C0000}"/>
    <cellStyle name="60% - Accent3 34 4" xfId="15501" xr:uid="{00000000-0005-0000-0000-0000383C0000}"/>
    <cellStyle name="60% - Accent3 34 5" xfId="15502" xr:uid="{00000000-0005-0000-0000-0000393C0000}"/>
    <cellStyle name="60% - Accent3 34 6" xfId="15503" xr:uid="{00000000-0005-0000-0000-00003A3C0000}"/>
    <cellStyle name="60% - Accent3 34 7" xfId="15504" xr:uid="{00000000-0005-0000-0000-00003B3C0000}"/>
    <cellStyle name="60% - Accent3 34 8" xfId="15505" xr:uid="{00000000-0005-0000-0000-00003C3C0000}"/>
    <cellStyle name="60% - Accent3 34 9" xfId="15506" xr:uid="{00000000-0005-0000-0000-00003D3C0000}"/>
    <cellStyle name="60% - Accent3 35" xfId="15507" xr:uid="{00000000-0005-0000-0000-00003E3C0000}"/>
    <cellStyle name="60% - Accent3 35 10" xfId="15508" xr:uid="{00000000-0005-0000-0000-00003F3C0000}"/>
    <cellStyle name="60% - Accent3 35 11" xfId="15509" xr:uid="{00000000-0005-0000-0000-0000403C0000}"/>
    <cellStyle name="60% - Accent3 35 12" xfId="15510" xr:uid="{00000000-0005-0000-0000-0000413C0000}"/>
    <cellStyle name="60% - Accent3 35 13" xfId="15511" xr:uid="{00000000-0005-0000-0000-0000423C0000}"/>
    <cellStyle name="60% - Accent3 35 14" xfId="15512" xr:uid="{00000000-0005-0000-0000-0000433C0000}"/>
    <cellStyle name="60% - Accent3 35 15" xfId="15513" xr:uid="{00000000-0005-0000-0000-0000443C0000}"/>
    <cellStyle name="60% - Accent3 35 2" xfId="15514" xr:uid="{00000000-0005-0000-0000-0000453C0000}"/>
    <cellStyle name="60% - Accent3 35 3" xfId="15515" xr:uid="{00000000-0005-0000-0000-0000463C0000}"/>
    <cellStyle name="60% - Accent3 35 4" xfId="15516" xr:uid="{00000000-0005-0000-0000-0000473C0000}"/>
    <cellStyle name="60% - Accent3 35 5" xfId="15517" xr:uid="{00000000-0005-0000-0000-0000483C0000}"/>
    <cellStyle name="60% - Accent3 35 6" xfId="15518" xr:uid="{00000000-0005-0000-0000-0000493C0000}"/>
    <cellStyle name="60% - Accent3 35 7" xfId="15519" xr:uid="{00000000-0005-0000-0000-00004A3C0000}"/>
    <cellStyle name="60% - Accent3 35 8" xfId="15520" xr:uid="{00000000-0005-0000-0000-00004B3C0000}"/>
    <cellStyle name="60% - Accent3 35 9" xfId="15521" xr:uid="{00000000-0005-0000-0000-00004C3C0000}"/>
    <cellStyle name="60% - Accent3 36" xfId="15522" xr:uid="{00000000-0005-0000-0000-00004D3C0000}"/>
    <cellStyle name="60% - Accent3 36 10" xfId="15523" xr:uid="{00000000-0005-0000-0000-00004E3C0000}"/>
    <cellStyle name="60% - Accent3 36 11" xfId="15524" xr:uid="{00000000-0005-0000-0000-00004F3C0000}"/>
    <cellStyle name="60% - Accent3 36 12" xfId="15525" xr:uid="{00000000-0005-0000-0000-0000503C0000}"/>
    <cellStyle name="60% - Accent3 36 13" xfId="15526" xr:uid="{00000000-0005-0000-0000-0000513C0000}"/>
    <cellStyle name="60% - Accent3 36 14" xfId="15527" xr:uid="{00000000-0005-0000-0000-0000523C0000}"/>
    <cellStyle name="60% - Accent3 36 15" xfId="15528" xr:uid="{00000000-0005-0000-0000-0000533C0000}"/>
    <cellStyle name="60% - Accent3 36 2" xfId="15529" xr:uid="{00000000-0005-0000-0000-0000543C0000}"/>
    <cellStyle name="60% - Accent3 36 3" xfId="15530" xr:uid="{00000000-0005-0000-0000-0000553C0000}"/>
    <cellStyle name="60% - Accent3 36 4" xfId="15531" xr:uid="{00000000-0005-0000-0000-0000563C0000}"/>
    <cellStyle name="60% - Accent3 36 5" xfId="15532" xr:uid="{00000000-0005-0000-0000-0000573C0000}"/>
    <cellStyle name="60% - Accent3 36 6" xfId="15533" xr:uid="{00000000-0005-0000-0000-0000583C0000}"/>
    <cellStyle name="60% - Accent3 36 7" xfId="15534" xr:uid="{00000000-0005-0000-0000-0000593C0000}"/>
    <cellStyle name="60% - Accent3 36 8" xfId="15535" xr:uid="{00000000-0005-0000-0000-00005A3C0000}"/>
    <cellStyle name="60% - Accent3 36 9" xfId="15536" xr:uid="{00000000-0005-0000-0000-00005B3C0000}"/>
    <cellStyle name="60% - Accent3 37" xfId="15537" xr:uid="{00000000-0005-0000-0000-00005C3C0000}"/>
    <cellStyle name="60% - Accent3 37 10" xfId="15538" xr:uid="{00000000-0005-0000-0000-00005D3C0000}"/>
    <cellStyle name="60% - Accent3 37 11" xfId="15539" xr:uid="{00000000-0005-0000-0000-00005E3C0000}"/>
    <cellStyle name="60% - Accent3 37 12" xfId="15540" xr:uid="{00000000-0005-0000-0000-00005F3C0000}"/>
    <cellStyle name="60% - Accent3 37 13" xfId="15541" xr:uid="{00000000-0005-0000-0000-0000603C0000}"/>
    <cellStyle name="60% - Accent3 37 14" xfId="15542" xr:uid="{00000000-0005-0000-0000-0000613C0000}"/>
    <cellStyle name="60% - Accent3 37 15" xfId="15543" xr:uid="{00000000-0005-0000-0000-0000623C0000}"/>
    <cellStyle name="60% - Accent3 37 2" xfId="15544" xr:uid="{00000000-0005-0000-0000-0000633C0000}"/>
    <cellStyle name="60% - Accent3 37 3" xfId="15545" xr:uid="{00000000-0005-0000-0000-0000643C0000}"/>
    <cellStyle name="60% - Accent3 37 4" xfId="15546" xr:uid="{00000000-0005-0000-0000-0000653C0000}"/>
    <cellStyle name="60% - Accent3 37 5" xfId="15547" xr:uid="{00000000-0005-0000-0000-0000663C0000}"/>
    <cellStyle name="60% - Accent3 37 6" xfId="15548" xr:uid="{00000000-0005-0000-0000-0000673C0000}"/>
    <cellStyle name="60% - Accent3 37 7" xfId="15549" xr:uid="{00000000-0005-0000-0000-0000683C0000}"/>
    <cellStyle name="60% - Accent3 37 8" xfId="15550" xr:uid="{00000000-0005-0000-0000-0000693C0000}"/>
    <cellStyle name="60% - Accent3 37 9" xfId="15551" xr:uid="{00000000-0005-0000-0000-00006A3C0000}"/>
    <cellStyle name="60% - Accent3 38" xfId="15552" xr:uid="{00000000-0005-0000-0000-00006B3C0000}"/>
    <cellStyle name="60% - Accent3 38 10" xfId="15553" xr:uid="{00000000-0005-0000-0000-00006C3C0000}"/>
    <cellStyle name="60% - Accent3 38 11" xfId="15554" xr:uid="{00000000-0005-0000-0000-00006D3C0000}"/>
    <cellStyle name="60% - Accent3 38 12" xfId="15555" xr:uid="{00000000-0005-0000-0000-00006E3C0000}"/>
    <cellStyle name="60% - Accent3 38 13" xfId="15556" xr:uid="{00000000-0005-0000-0000-00006F3C0000}"/>
    <cellStyle name="60% - Accent3 38 14" xfId="15557" xr:uid="{00000000-0005-0000-0000-0000703C0000}"/>
    <cellStyle name="60% - Accent3 38 15" xfId="15558" xr:uid="{00000000-0005-0000-0000-0000713C0000}"/>
    <cellStyle name="60% - Accent3 38 2" xfId="15559" xr:uid="{00000000-0005-0000-0000-0000723C0000}"/>
    <cellStyle name="60% - Accent3 38 3" xfId="15560" xr:uid="{00000000-0005-0000-0000-0000733C0000}"/>
    <cellStyle name="60% - Accent3 38 4" xfId="15561" xr:uid="{00000000-0005-0000-0000-0000743C0000}"/>
    <cellStyle name="60% - Accent3 38 5" xfId="15562" xr:uid="{00000000-0005-0000-0000-0000753C0000}"/>
    <cellStyle name="60% - Accent3 38 6" xfId="15563" xr:uid="{00000000-0005-0000-0000-0000763C0000}"/>
    <cellStyle name="60% - Accent3 38 7" xfId="15564" xr:uid="{00000000-0005-0000-0000-0000773C0000}"/>
    <cellStyle name="60% - Accent3 38 8" xfId="15565" xr:uid="{00000000-0005-0000-0000-0000783C0000}"/>
    <cellStyle name="60% - Accent3 38 9" xfId="15566" xr:uid="{00000000-0005-0000-0000-0000793C0000}"/>
    <cellStyle name="60% - Accent3 39" xfId="15567" xr:uid="{00000000-0005-0000-0000-00007A3C0000}"/>
    <cellStyle name="60% - Accent3 39 10" xfId="15568" xr:uid="{00000000-0005-0000-0000-00007B3C0000}"/>
    <cellStyle name="60% - Accent3 39 11" xfId="15569" xr:uid="{00000000-0005-0000-0000-00007C3C0000}"/>
    <cellStyle name="60% - Accent3 39 12" xfId="15570" xr:uid="{00000000-0005-0000-0000-00007D3C0000}"/>
    <cellStyle name="60% - Accent3 39 13" xfId="15571" xr:uid="{00000000-0005-0000-0000-00007E3C0000}"/>
    <cellStyle name="60% - Accent3 39 14" xfId="15572" xr:uid="{00000000-0005-0000-0000-00007F3C0000}"/>
    <cellStyle name="60% - Accent3 39 15" xfId="15573" xr:uid="{00000000-0005-0000-0000-0000803C0000}"/>
    <cellStyle name="60% - Accent3 39 2" xfId="15574" xr:uid="{00000000-0005-0000-0000-0000813C0000}"/>
    <cellStyle name="60% - Accent3 39 3" xfId="15575" xr:uid="{00000000-0005-0000-0000-0000823C0000}"/>
    <cellStyle name="60% - Accent3 39 4" xfId="15576" xr:uid="{00000000-0005-0000-0000-0000833C0000}"/>
    <cellStyle name="60% - Accent3 39 5" xfId="15577" xr:uid="{00000000-0005-0000-0000-0000843C0000}"/>
    <cellStyle name="60% - Accent3 39 6" xfId="15578" xr:uid="{00000000-0005-0000-0000-0000853C0000}"/>
    <cellStyle name="60% - Accent3 39 7" xfId="15579" xr:uid="{00000000-0005-0000-0000-0000863C0000}"/>
    <cellStyle name="60% - Accent3 39 8" xfId="15580" xr:uid="{00000000-0005-0000-0000-0000873C0000}"/>
    <cellStyle name="60% - Accent3 39 9" xfId="15581" xr:uid="{00000000-0005-0000-0000-0000883C0000}"/>
    <cellStyle name="60% - Accent3 4" xfId="15582" xr:uid="{00000000-0005-0000-0000-0000893C0000}"/>
    <cellStyle name="60% - Accent3 4 2" xfId="15583" xr:uid="{00000000-0005-0000-0000-00008A3C0000}"/>
    <cellStyle name="60% - Accent3 4 2 2" xfId="15584" xr:uid="{00000000-0005-0000-0000-00008B3C0000}"/>
    <cellStyle name="60% - Accent3 4 3" xfId="15585" xr:uid="{00000000-0005-0000-0000-00008C3C0000}"/>
    <cellStyle name="60% - Accent3 4 3 2" xfId="15586" xr:uid="{00000000-0005-0000-0000-00008D3C0000}"/>
    <cellStyle name="60% - Accent3 4 4" xfId="15587" xr:uid="{00000000-0005-0000-0000-00008E3C0000}"/>
    <cellStyle name="60% - Accent3 4 4 2" xfId="15588" xr:uid="{00000000-0005-0000-0000-00008F3C0000}"/>
    <cellStyle name="60% - Accent3 4 5" xfId="15589" xr:uid="{00000000-0005-0000-0000-0000903C0000}"/>
    <cellStyle name="60% - Accent3 4 5 2" xfId="15590" xr:uid="{00000000-0005-0000-0000-0000913C0000}"/>
    <cellStyle name="60% - Accent3 4 6" xfId="15591" xr:uid="{00000000-0005-0000-0000-0000923C0000}"/>
    <cellStyle name="60% - Accent3 4 6 2" xfId="15592" xr:uid="{00000000-0005-0000-0000-0000933C0000}"/>
    <cellStyle name="60% - Accent3 4 7" xfId="15593" xr:uid="{00000000-0005-0000-0000-0000943C0000}"/>
    <cellStyle name="60% - Accent3 40" xfId="15594" xr:uid="{00000000-0005-0000-0000-0000953C0000}"/>
    <cellStyle name="60% - Accent3 41" xfId="15595" xr:uid="{00000000-0005-0000-0000-0000963C0000}"/>
    <cellStyle name="60% - Accent3 42" xfId="15596" xr:uid="{00000000-0005-0000-0000-0000973C0000}"/>
    <cellStyle name="60% - Accent3 43" xfId="15597" xr:uid="{00000000-0005-0000-0000-0000983C0000}"/>
    <cellStyle name="60% - Accent3 44" xfId="15598" xr:uid="{00000000-0005-0000-0000-0000993C0000}"/>
    <cellStyle name="60% - Accent3 45" xfId="15599" xr:uid="{00000000-0005-0000-0000-00009A3C0000}"/>
    <cellStyle name="60% - Accent3 46" xfId="15600" xr:uid="{00000000-0005-0000-0000-00009B3C0000}"/>
    <cellStyle name="60% - Accent3 47" xfId="15601" xr:uid="{00000000-0005-0000-0000-00009C3C0000}"/>
    <cellStyle name="60% - Accent3 48" xfId="15602" xr:uid="{00000000-0005-0000-0000-00009D3C0000}"/>
    <cellStyle name="60% - Accent3 49" xfId="15603" xr:uid="{00000000-0005-0000-0000-00009E3C0000}"/>
    <cellStyle name="60% - Accent3 5" xfId="15604" xr:uid="{00000000-0005-0000-0000-00009F3C0000}"/>
    <cellStyle name="60% - Accent3 5 2" xfId="15605" xr:uid="{00000000-0005-0000-0000-0000A03C0000}"/>
    <cellStyle name="60% - Accent3 5 2 2" xfId="15606" xr:uid="{00000000-0005-0000-0000-0000A13C0000}"/>
    <cellStyle name="60% - Accent3 5 2 3" xfId="15607" xr:uid="{00000000-0005-0000-0000-0000A23C0000}"/>
    <cellStyle name="60% - Accent3 5 2 4" xfId="15608" xr:uid="{00000000-0005-0000-0000-0000A33C0000}"/>
    <cellStyle name="60% - Accent3 5 3" xfId="15609" xr:uid="{00000000-0005-0000-0000-0000A43C0000}"/>
    <cellStyle name="60% - Accent3 5 3 2" xfId="15610" xr:uid="{00000000-0005-0000-0000-0000A53C0000}"/>
    <cellStyle name="60% - Accent3 5 3 3" xfId="15611" xr:uid="{00000000-0005-0000-0000-0000A63C0000}"/>
    <cellStyle name="60% - Accent3 5 4" xfId="15612" xr:uid="{00000000-0005-0000-0000-0000A73C0000}"/>
    <cellStyle name="60% - Accent3 50" xfId="15613" xr:uid="{00000000-0005-0000-0000-0000A83C0000}"/>
    <cellStyle name="60% - Accent3 51" xfId="15614" xr:uid="{00000000-0005-0000-0000-0000A93C0000}"/>
    <cellStyle name="60% - Accent3 52" xfId="15615" xr:uid="{00000000-0005-0000-0000-0000AA3C0000}"/>
    <cellStyle name="60% - Accent3 53" xfId="15616" xr:uid="{00000000-0005-0000-0000-0000AB3C0000}"/>
    <cellStyle name="60% - Accent3 54" xfId="15617" xr:uid="{00000000-0005-0000-0000-0000AC3C0000}"/>
    <cellStyle name="60% - Accent3 55" xfId="15618" xr:uid="{00000000-0005-0000-0000-0000AD3C0000}"/>
    <cellStyle name="60% - Accent3 56" xfId="15619" xr:uid="{00000000-0005-0000-0000-0000AE3C0000}"/>
    <cellStyle name="60% - Accent3 57" xfId="15620" xr:uid="{00000000-0005-0000-0000-0000AF3C0000}"/>
    <cellStyle name="60% - Accent3 58" xfId="15621" xr:uid="{00000000-0005-0000-0000-0000B03C0000}"/>
    <cellStyle name="60% - Accent3 59" xfId="15622" xr:uid="{00000000-0005-0000-0000-0000B13C0000}"/>
    <cellStyle name="60% - Accent3 6" xfId="15623" xr:uid="{00000000-0005-0000-0000-0000B23C0000}"/>
    <cellStyle name="60% - Accent3 6 2" xfId="15624" xr:uid="{00000000-0005-0000-0000-0000B33C0000}"/>
    <cellStyle name="60% - Accent3 60" xfId="15625" xr:uid="{00000000-0005-0000-0000-0000B43C0000}"/>
    <cellStyle name="60% - Accent3 61" xfId="15626" xr:uid="{00000000-0005-0000-0000-0000B53C0000}"/>
    <cellStyle name="60% - Accent3 62" xfId="15627" xr:uid="{00000000-0005-0000-0000-0000B63C0000}"/>
    <cellStyle name="60% - Accent3 63" xfId="15628" xr:uid="{00000000-0005-0000-0000-0000B73C0000}"/>
    <cellStyle name="60% - Accent3 64" xfId="15629" xr:uid="{00000000-0005-0000-0000-0000B83C0000}"/>
    <cellStyle name="60% - Accent3 65" xfId="15630" xr:uid="{00000000-0005-0000-0000-0000B93C0000}"/>
    <cellStyle name="60% - Accent3 66" xfId="15631" xr:uid="{00000000-0005-0000-0000-0000BA3C0000}"/>
    <cellStyle name="60% - Accent3 67" xfId="15632" xr:uid="{00000000-0005-0000-0000-0000BB3C0000}"/>
    <cellStyle name="60% - Accent3 68" xfId="15633" xr:uid="{00000000-0005-0000-0000-0000BC3C0000}"/>
    <cellStyle name="60% - Accent3 69" xfId="15634" xr:uid="{00000000-0005-0000-0000-0000BD3C0000}"/>
    <cellStyle name="60% - Accent3 7" xfId="15635" xr:uid="{00000000-0005-0000-0000-0000BE3C0000}"/>
    <cellStyle name="60% - Accent3 7 2" xfId="15636" xr:uid="{00000000-0005-0000-0000-0000BF3C0000}"/>
    <cellStyle name="60% - Accent3 70" xfId="15637" xr:uid="{00000000-0005-0000-0000-0000C03C0000}"/>
    <cellStyle name="60% - Accent3 71" xfId="15638" xr:uid="{00000000-0005-0000-0000-0000C13C0000}"/>
    <cellStyle name="60% - Accent3 72" xfId="15639" xr:uid="{00000000-0005-0000-0000-0000C23C0000}"/>
    <cellStyle name="60% - Accent3 73" xfId="15640" xr:uid="{00000000-0005-0000-0000-0000C33C0000}"/>
    <cellStyle name="60% - Accent3 74" xfId="15641" xr:uid="{00000000-0005-0000-0000-0000C43C0000}"/>
    <cellStyle name="60% - Accent3 75" xfId="15642" xr:uid="{00000000-0005-0000-0000-0000C53C0000}"/>
    <cellStyle name="60% - Accent3 76" xfId="15643" xr:uid="{00000000-0005-0000-0000-0000C63C0000}"/>
    <cellStyle name="60% - Accent3 77" xfId="15644" xr:uid="{00000000-0005-0000-0000-0000C73C0000}"/>
    <cellStyle name="60% - Accent3 78" xfId="15645" xr:uid="{00000000-0005-0000-0000-0000C83C0000}"/>
    <cellStyle name="60% - Accent3 79" xfId="15646" xr:uid="{00000000-0005-0000-0000-0000C93C0000}"/>
    <cellStyle name="60% - Accent3 79 2" xfId="15647" xr:uid="{00000000-0005-0000-0000-0000CA3C0000}"/>
    <cellStyle name="60% - Accent3 8" xfId="15648" xr:uid="{00000000-0005-0000-0000-0000CB3C0000}"/>
    <cellStyle name="60% - Accent3 8 2" xfId="15649" xr:uid="{00000000-0005-0000-0000-0000CC3C0000}"/>
    <cellStyle name="60% - Accent3 80" xfId="15650" xr:uid="{00000000-0005-0000-0000-0000CD3C0000}"/>
    <cellStyle name="60% - Accent3 80 2" xfId="15651" xr:uid="{00000000-0005-0000-0000-0000CE3C0000}"/>
    <cellStyle name="60% - Accent3 81" xfId="15652" xr:uid="{00000000-0005-0000-0000-0000CF3C0000}"/>
    <cellStyle name="60% - Accent3 81 2" xfId="15653" xr:uid="{00000000-0005-0000-0000-0000D03C0000}"/>
    <cellStyle name="60% - Accent3 82" xfId="15654" xr:uid="{00000000-0005-0000-0000-0000D13C0000}"/>
    <cellStyle name="60% - Accent3 82 2" xfId="15655" xr:uid="{00000000-0005-0000-0000-0000D23C0000}"/>
    <cellStyle name="60% - Accent3 83" xfId="15656" xr:uid="{00000000-0005-0000-0000-0000D33C0000}"/>
    <cellStyle name="60% - Accent3 83 2" xfId="15657" xr:uid="{00000000-0005-0000-0000-0000D43C0000}"/>
    <cellStyle name="60% - Accent3 84" xfId="15658" xr:uid="{00000000-0005-0000-0000-0000D53C0000}"/>
    <cellStyle name="60% - Accent3 84 2" xfId="15659" xr:uid="{00000000-0005-0000-0000-0000D63C0000}"/>
    <cellStyle name="60% - Accent3 85" xfId="15660" xr:uid="{00000000-0005-0000-0000-0000D73C0000}"/>
    <cellStyle name="60% - Accent3 85 2" xfId="15661" xr:uid="{00000000-0005-0000-0000-0000D83C0000}"/>
    <cellStyle name="60% - Accent3 86" xfId="15662" xr:uid="{00000000-0005-0000-0000-0000D93C0000}"/>
    <cellStyle name="60% - Accent3 86 2" xfId="15663" xr:uid="{00000000-0005-0000-0000-0000DA3C0000}"/>
    <cellStyle name="60% - Accent3 87" xfId="15664" xr:uid="{00000000-0005-0000-0000-0000DB3C0000}"/>
    <cellStyle name="60% - Accent3 87 2" xfId="15665" xr:uid="{00000000-0005-0000-0000-0000DC3C0000}"/>
    <cellStyle name="60% - Accent3 88" xfId="15666" xr:uid="{00000000-0005-0000-0000-0000DD3C0000}"/>
    <cellStyle name="60% - Accent3 88 2" xfId="15667" xr:uid="{00000000-0005-0000-0000-0000DE3C0000}"/>
    <cellStyle name="60% - Accent3 89" xfId="15668" xr:uid="{00000000-0005-0000-0000-0000DF3C0000}"/>
    <cellStyle name="60% - Accent3 89 2" xfId="15669" xr:uid="{00000000-0005-0000-0000-0000E03C0000}"/>
    <cellStyle name="60% - Accent3 9" xfId="15670" xr:uid="{00000000-0005-0000-0000-0000E13C0000}"/>
    <cellStyle name="60% - Accent3 9 2" xfId="15671" xr:uid="{00000000-0005-0000-0000-0000E23C0000}"/>
    <cellStyle name="60% - Accent3 90" xfId="15672" xr:uid="{00000000-0005-0000-0000-0000E33C0000}"/>
    <cellStyle name="60% - Accent3 91" xfId="15673" xr:uid="{00000000-0005-0000-0000-0000E43C0000}"/>
    <cellStyle name="60% - Accent3 92" xfId="15674" xr:uid="{00000000-0005-0000-0000-0000E53C0000}"/>
    <cellStyle name="60% - Accent3 93" xfId="15675" xr:uid="{00000000-0005-0000-0000-0000E63C0000}"/>
    <cellStyle name="60% - Accent3 94" xfId="15676" xr:uid="{00000000-0005-0000-0000-0000E73C0000}"/>
    <cellStyle name="60% - Accent3 95" xfId="15677" xr:uid="{00000000-0005-0000-0000-0000E83C0000}"/>
    <cellStyle name="60% - Accent3 96" xfId="15678" xr:uid="{00000000-0005-0000-0000-0000E93C0000}"/>
    <cellStyle name="60% - Accent3 97" xfId="15679" xr:uid="{00000000-0005-0000-0000-0000EA3C0000}"/>
    <cellStyle name="60% - Accent3 98" xfId="15680" xr:uid="{00000000-0005-0000-0000-0000EB3C0000}"/>
    <cellStyle name="60% - Accent3 99" xfId="15681" xr:uid="{00000000-0005-0000-0000-0000EC3C0000}"/>
    <cellStyle name="60% - Accent4" xfId="33" builtinId="44" customBuiltin="1"/>
    <cellStyle name="60% - Accent4 10" xfId="15682" xr:uid="{00000000-0005-0000-0000-0000EE3C0000}"/>
    <cellStyle name="60% - Accent4 10 2" xfId="15683" xr:uid="{00000000-0005-0000-0000-0000EF3C0000}"/>
    <cellStyle name="60% - Accent4 100" xfId="15684" xr:uid="{00000000-0005-0000-0000-0000F03C0000}"/>
    <cellStyle name="60% - Accent4 101" xfId="15685" xr:uid="{00000000-0005-0000-0000-0000F13C0000}"/>
    <cellStyle name="60% - Accent4 102" xfId="15686" xr:uid="{00000000-0005-0000-0000-0000F23C0000}"/>
    <cellStyle name="60% - Accent4 103" xfId="15687" xr:uid="{00000000-0005-0000-0000-0000F33C0000}"/>
    <cellStyle name="60% - Accent4 104" xfId="15688" xr:uid="{00000000-0005-0000-0000-0000F43C0000}"/>
    <cellStyle name="60% - Accent4 105" xfId="15689" xr:uid="{00000000-0005-0000-0000-0000F53C0000}"/>
    <cellStyle name="60% - Accent4 106" xfId="15690" xr:uid="{00000000-0005-0000-0000-0000F63C0000}"/>
    <cellStyle name="60% - Accent4 107" xfId="15691" xr:uid="{00000000-0005-0000-0000-0000F73C0000}"/>
    <cellStyle name="60% - Accent4 108" xfId="15692" xr:uid="{00000000-0005-0000-0000-0000F83C0000}"/>
    <cellStyle name="60% - Accent4 109" xfId="15693" xr:uid="{00000000-0005-0000-0000-0000F93C0000}"/>
    <cellStyle name="60% - Accent4 11" xfId="15694" xr:uid="{00000000-0005-0000-0000-0000FA3C0000}"/>
    <cellStyle name="60% - Accent4 11 2" xfId="15695" xr:uid="{00000000-0005-0000-0000-0000FB3C0000}"/>
    <cellStyle name="60% - Accent4 110" xfId="15696" xr:uid="{00000000-0005-0000-0000-0000FC3C0000}"/>
    <cellStyle name="60% - Accent4 111" xfId="15697" xr:uid="{00000000-0005-0000-0000-0000FD3C0000}"/>
    <cellStyle name="60% - Accent4 112" xfId="15698" xr:uid="{00000000-0005-0000-0000-0000FE3C0000}"/>
    <cellStyle name="60% - Accent4 113" xfId="15699" xr:uid="{00000000-0005-0000-0000-0000FF3C0000}"/>
    <cellStyle name="60% - Accent4 114" xfId="15700" xr:uid="{00000000-0005-0000-0000-0000003D0000}"/>
    <cellStyle name="60% - Accent4 115" xfId="15701" xr:uid="{00000000-0005-0000-0000-0000013D0000}"/>
    <cellStyle name="60% - Accent4 116" xfId="15702" xr:uid="{00000000-0005-0000-0000-0000023D0000}"/>
    <cellStyle name="60% - Accent4 117" xfId="15703" xr:uid="{00000000-0005-0000-0000-0000033D0000}"/>
    <cellStyle name="60% - Accent4 118" xfId="15704" xr:uid="{00000000-0005-0000-0000-0000043D0000}"/>
    <cellStyle name="60% - Accent4 119" xfId="15705" xr:uid="{00000000-0005-0000-0000-0000053D0000}"/>
    <cellStyle name="60% - Accent4 12" xfId="15706" xr:uid="{00000000-0005-0000-0000-0000063D0000}"/>
    <cellStyle name="60% - Accent4 12 2" xfId="15707" xr:uid="{00000000-0005-0000-0000-0000073D0000}"/>
    <cellStyle name="60% - Accent4 120" xfId="15708" xr:uid="{00000000-0005-0000-0000-0000083D0000}"/>
    <cellStyle name="60% - Accent4 121" xfId="15709" xr:uid="{00000000-0005-0000-0000-0000093D0000}"/>
    <cellStyle name="60% - Accent4 122" xfId="15710" xr:uid="{00000000-0005-0000-0000-00000A3D0000}"/>
    <cellStyle name="60% - Accent4 123" xfId="15711" xr:uid="{00000000-0005-0000-0000-00000B3D0000}"/>
    <cellStyle name="60% - Accent4 124" xfId="15712" xr:uid="{00000000-0005-0000-0000-00000C3D0000}"/>
    <cellStyle name="60% - Accent4 125" xfId="15713" xr:uid="{00000000-0005-0000-0000-00000D3D0000}"/>
    <cellStyle name="60% - Accent4 126" xfId="15714" xr:uid="{00000000-0005-0000-0000-00000E3D0000}"/>
    <cellStyle name="60% - Accent4 127" xfId="15715" xr:uid="{00000000-0005-0000-0000-00000F3D0000}"/>
    <cellStyle name="60% - Accent4 128" xfId="15716" xr:uid="{00000000-0005-0000-0000-0000103D0000}"/>
    <cellStyle name="60% - Accent4 129" xfId="15717" xr:uid="{00000000-0005-0000-0000-0000113D0000}"/>
    <cellStyle name="60% - Accent4 13" xfId="15718" xr:uid="{00000000-0005-0000-0000-0000123D0000}"/>
    <cellStyle name="60% - Accent4 13 2" xfId="15719" xr:uid="{00000000-0005-0000-0000-0000133D0000}"/>
    <cellStyle name="60% - Accent4 130" xfId="15720" xr:uid="{00000000-0005-0000-0000-0000143D0000}"/>
    <cellStyle name="60% - Accent4 131" xfId="15721" xr:uid="{00000000-0005-0000-0000-0000153D0000}"/>
    <cellStyle name="60% - Accent4 132" xfId="15722" xr:uid="{00000000-0005-0000-0000-0000163D0000}"/>
    <cellStyle name="60% - Accent4 133" xfId="15723" xr:uid="{00000000-0005-0000-0000-0000173D0000}"/>
    <cellStyle name="60% - Accent4 134" xfId="15724" xr:uid="{00000000-0005-0000-0000-0000183D0000}"/>
    <cellStyle name="60% - Accent4 135" xfId="15725" xr:uid="{00000000-0005-0000-0000-0000193D0000}"/>
    <cellStyle name="60% - Accent4 136" xfId="15726" xr:uid="{00000000-0005-0000-0000-00001A3D0000}"/>
    <cellStyle name="60% - Accent4 137" xfId="15727" xr:uid="{00000000-0005-0000-0000-00001B3D0000}"/>
    <cellStyle name="60% - Accent4 138" xfId="15728" xr:uid="{00000000-0005-0000-0000-00001C3D0000}"/>
    <cellStyle name="60% - Accent4 139" xfId="15729" xr:uid="{00000000-0005-0000-0000-00001D3D0000}"/>
    <cellStyle name="60% - Accent4 14" xfId="15730" xr:uid="{00000000-0005-0000-0000-00001E3D0000}"/>
    <cellStyle name="60% - Accent4 14 2" xfId="15731" xr:uid="{00000000-0005-0000-0000-00001F3D0000}"/>
    <cellStyle name="60% - Accent4 140" xfId="15732" xr:uid="{00000000-0005-0000-0000-0000203D0000}"/>
    <cellStyle name="60% - Accent4 141" xfId="15733" xr:uid="{00000000-0005-0000-0000-0000213D0000}"/>
    <cellStyle name="60% - Accent4 142" xfId="15734" xr:uid="{00000000-0005-0000-0000-0000223D0000}"/>
    <cellStyle name="60% - Accent4 143" xfId="15735" xr:uid="{00000000-0005-0000-0000-0000233D0000}"/>
    <cellStyle name="60% - Accent4 144" xfId="15736" xr:uid="{00000000-0005-0000-0000-0000243D0000}"/>
    <cellStyle name="60% - Accent4 145" xfId="15737" xr:uid="{00000000-0005-0000-0000-0000253D0000}"/>
    <cellStyle name="60% - Accent4 146" xfId="15738" xr:uid="{00000000-0005-0000-0000-0000263D0000}"/>
    <cellStyle name="60% - Accent4 147" xfId="15739" xr:uid="{00000000-0005-0000-0000-0000273D0000}"/>
    <cellStyle name="60% - Accent4 148" xfId="15740" xr:uid="{00000000-0005-0000-0000-0000283D0000}"/>
    <cellStyle name="60% - Accent4 149" xfId="15741" xr:uid="{00000000-0005-0000-0000-0000293D0000}"/>
    <cellStyle name="60% - Accent4 15" xfId="15742" xr:uid="{00000000-0005-0000-0000-00002A3D0000}"/>
    <cellStyle name="60% - Accent4 15 2" xfId="15743" xr:uid="{00000000-0005-0000-0000-00002B3D0000}"/>
    <cellStyle name="60% - Accent4 150" xfId="15744" xr:uid="{00000000-0005-0000-0000-00002C3D0000}"/>
    <cellStyle name="60% - Accent4 151" xfId="15745" xr:uid="{00000000-0005-0000-0000-00002D3D0000}"/>
    <cellStyle name="60% - Accent4 152" xfId="15746" xr:uid="{00000000-0005-0000-0000-00002E3D0000}"/>
    <cellStyle name="60% - Accent4 153" xfId="15747" xr:uid="{00000000-0005-0000-0000-00002F3D0000}"/>
    <cellStyle name="60% - Accent4 154" xfId="15748" xr:uid="{00000000-0005-0000-0000-0000303D0000}"/>
    <cellStyle name="60% - Accent4 155" xfId="15749" xr:uid="{00000000-0005-0000-0000-0000313D0000}"/>
    <cellStyle name="60% - Accent4 156" xfId="15750" xr:uid="{00000000-0005-0000-0000-0000323D0000}"/>
    <cellStyle name="60% - Accent4 157" xfId="15751" xr:uid="{00000000-0005-0000-0000-0000333D0000}"/>
    <cellStyle name="60% - Accent4 158" xfId="15752" xr:uid="{00000000-0005-0000-0000-0000343D0000}"/>
    <cellStyle name="60% - Accent4 159" xfId="15753" xr:uid="{00000000-0005-0000-0000-0000353D0000}"/>
    <cellStyle name="60% - Accent4 16" xfId="15754" xr:uid="{00000000-0005-0000-0000-0000363D0000}"/>
    <cellStyle name="60% - Accent4 160" xfId="15755" xr:uid="{00000000-0005-0000-0000-0000373D0000}"/>
    <cellStyle name="60% - Accent4 161" xfId="15756" xr:uid="{00000000-0005-0000-0000-0000383D0000}"/>
    <cellStyle name="60% - Accent4 162" xfId="15757" xr:uid="{00000000-0005-0000-0000-0000393D0000}"/>
    <cellStyle name="60% - Accent4 163" xfId="15758" xr:uid="{00000000-0005-0000-0000-00003A3D0000}"/>
    <cellStyle name="60% - Accent4 164" xfId="15759" xr:uid="{00000000-0005-0000-0000-00003B3D0000}"/>
    <cellStyle name="60% - Accent4 165" xfId="15760" xr:uid="{00000000-0005-0000-0000-00003C3D0000}"/>
    <cellStyle name="60% - Accent4 166" xfId="15761" xr:uid="{00000000-0005-0000-0000-00003D3D0000}"/>
    <cellStyle name="60% - Accent4 167" xfId="15762" xr:uid="{00000000-0005-0000-0000-00003E3D0000}"/>
    <cellStyle name="60% - Accent4 17" xfId="15763" xr:uid="{00000000-0005-0000-0000-00003F3D0000}"/>
    <cellStyle name="60% - Accent4 18" xfId="15764" xr:uid="{00000000-0005-0000-0000-0000403D0000}"/>
    <cellStyle name="60% - Accent4 19" xfId="15765" xr:uid="{00000000-0005-0000-0000-0000413D0000}"/>
    <cellStyle name="60% - Accent4 2" xfId="15766" xr:uid="{00000000-0005-0000-0000-0000423D0000}"/>
    <cellStyle name="60% - Accent4 2 10" xfId="15767" xr:uid="{00000000-0005-0000-0000-0000433D0000}"/>
    <cellStyle name="60% - Accent4 2 11" xfId="15768" xr:uid="{00000000-0005-0000-0000-0000443D0000}"/>
    <cellStyle name="60% - Accent4 2 12" xfId="15769" xr:uid="{00000000-0005-0000-0000-0000453D0000}"/>
    <cellStyle name="60% - Accent4 2 13" xfId="15770" xr:uid="{00000000-0005-0000-0000-0000463D0000}"/>
    <cellStyle name="60% - Accent4 2 14" xfId="15771" xr:uid="{00000000-0005-0000-0000-0000473D0000}"/>
    <cellStyle name="60% - Accent4 2 15" xfId="15772" xr:uid="{00000000-0005-0000-0000-0000483D0000}"/>
    <cellStyle name="60% - Accent4 2 16" xfId="15773" xr:uid="{00000000-0005-0000-0000-0000493D0000}"/>
    <cellStyle name="60% - Accent4 2 17" xfId="15774" xr:uid="{00000000-0005-0000-0000-00004A3D0000}"/>
    <cellStyle name="60% - Accent4 2 18" xfId="15775" xr:uid="{00000000-0005-0000-0000-00004B3D0000}"/>
    <cellStyle name="60% - Accent4 2 19" xfId="15776" xr:uid="{00000000-0005-0000-0000-00004C3D0000}"/>
    <cellStyle name="60% - Accent4 2 2" xfId="15777" xr:uid="{00000000-0005-0000-0000-00004D3D0000}"/>
    <cellStyle name="60% - Accent4 2 2 2" xfId="15778" xr:uid="{00000000-0005-0000-0000-00004E3D0000}"/>
    <cellStyle name="60% - Accent4 2 20" xfId="15779" xr:uid="{00000000-0005-0000-0000-00004F3D0000}"/>
    <cellStyle name="60% - Accent4 2 21" xfId="15780" xr:uid="{00000000-0005-0000-0000-0000503D0000}"/>
    <cellStyle name="60% - Accent4 2 22" xfId="15781" xr:uid="{00000000-0005-0000-0000-0000513D0000}"/>
    <cellStyle name="60% - Accent4 2 23" xfId="15782" xr:uid="{00000000-0005-0000-0000-0000523D0000}"/>
    <cellStyle name="60% - Accent4 2 24" xfId="15783" xr:uid="{00000000-0005-0000-0000-0000533D0000}"/>
    <cellStyle name="60% - Accent4 2 25" xfId="15784" xr:uid="{00000000-0005-0000-0000-0000543D0000}"/>
    <cellStyle name="60% - Accent4 2 26" xfId="15785" xr:uid="{00000000-0005-0000-0000-0000553D0000}"/>
    <cellStyle name="60% - Accent4 2 27" xfId="15786" xr:uid="{00000000-0005-0000-0000-0000563D0000}"/>
    <cellStyle name="60% - Accent4 2 28" xfId="15787" xr:uid="{00000000-0005-0000-0000-0000573D0000}"/>
    <cellStyle name="60% - Accent4 2 29" xfId="15788" xr:uid="{00000000-0005-0000-0000-0000583D0000}"/>
    <cellStyle name="60% - Accent4 2 3" xfId="15789" xr:uid="{00000000-0005-0000-0000-0000593D0000}"/>
    <cellStyle name="60% - Accent4 2 30" xfId="15790" xr:uid="{00000000-0005-0000-0000-00005A3D0000}"/>
    <cellStyle name="60% - Accent4 2 31" xfId="15791" xr:uid="{00000000-0005-0000-0000-00005B3D0000}"/>
    <cellStyle name="60% - Accent4 2 32" xfId="15792" xr:uid="{00000000-0005-0000-0000-00005C3D0000}"/>
    <cellStyle name="60% - Accent4 2 33" xfId="15793" xr:uid="{00000000-0005-0000-0000-00005D3D0000}"/>
    <cellStyle name="60% - Accent4 2 34" xfId="15794" xr:uid="{00000000-0005-0000-0000-00005E3D0000}"/>
    <cellStyle name="60% - Accent4 2 35" xfId="15795" xr:uid="{00000000-0005-0000-0000-00005F3D0000}"/>
    <cellStyle name="60% - Accent4 2 4" xfId="15796" xr:uid="{00000000-0005-0000-0000-0000603D0000}"/>
    <cellStyle name="60% - Accent4 2 5" xfId="15797" xr:uid="{00000000-0005-0000-0000-0000613D0000}"/>
    <cellStyle name="60% - Accent4 2 6" xfId="15798" xr:uid="{00000000-0005-0000-0000-0000623D0000}"/>
    <cellStyle name="60% - Accent4 2 7" xfId="15799" xr:uid="{00000000-0005-0000-0000-0000633D0000}"/>
    <cellStyle name="60% - Accent4 2 8" xfId="15800" xr:uid="{00000000-0005-0000-0000-0000643D0000}"/>
    <cellStyle name="60% - Accent4 2 9" xfId="15801" xr:uid="{00000000-0005-0000-0000-0000653D0000}"/>
    <cellStyle name="60% - Accent4 2_ERDF Losses" xfId="15802" xr:uid="{00000000-0005-0000-0000-0000663D0000}"/>
    <cellStyle name="60% - Accent4 20" xfId="15803" xr:uid="{00000000-0005-0000-0000-0000673D0000}"/>
    <cellStyle name="60% - Accent4 20 10" xfId="15804" xr:uid="{00000000-0005-0000-0000-0000683D0000}"/>
    <cellStyle name="60% - Accent4 20 11" xfId="15805" xr:uid="{00000000-0005-0000-0000-0000693D0000}"/>
    <cellStyle name="60% - Accent4 20 12" xfId="15806" xr:uid="{00000000-0005-0000-0000-00006A3D0000}"/>
    <cellStyle name="60% - Accent4 20 13" xfId="15807" xr:uid="{00000000-0005-0000-0000-00006B3D0000}"/>
    <cellStyle name="60% - Accent4 20 14" xfId="15808" xr:uid="{00000000-0005-0000-0000-00006C3D0000}"/>
    <cellStyle name="60% - Accent4 20 15" xfId="15809" xr:uid="{00000000-0005-0000-0000-00006D3D0000}"/>
    <cellStyle name="60% - Accent4 20 16" xfId="15810" xr:uid="{00000000-0005-0000-0000-00006E3D0000}"/>
    <cellStyle name="60% - Accent4 20 2" xfId="15811" xr:uid="{00000000-0005-0000-0000-00006F3D0000}"/>
    <cellStyle name="60% - Accent4 20 3" xfId="15812" xr:uid="{00000000-0005-0000-0000-0000703D0000}"/>
    <cellStyle name="60% - Accent4 20 4" xfId="15813" xr:uid="{00000000-0005-0000-0000-0000713D0000}"/>
    <cellStyle name="60% - Accent4 20 5" xfId="15814" xr:uid="{00000000-0005-0000-0000-0000723D0000}"/>
    <cellStyle name="60% - Accent4 20 6" xfId="15815" xr:uid="{00000000-0005-0000-0000-0000733D0000}"/>
    <cellStyle name="60% - Accent4 20 7" xfId="15816" xr:uid="{00000000-0005-0000-0000-0000743D0000}"/>
    <cellStyle name="60% - Accent4 20 8" xfId="15817" xr:uid="{00000000-0005-0000-0000-0000753D0000}"/>
    <cellStyle name="60% - Accent4 20 9" xfId="15818" xr:uid="{00000000-0005-0000-0000-0000763D0000}"/>
    <cellStyle name="60% - Accent4 21" xfId="15819" xr:uid="{00000000-0005-0000-0000-0000773D0000}"/>
    <cellStyle name="60% - Accent4 21 2" xfId="15820" xr:uid="{00000000-0005-0000-0000-0000783D0000}"/>
    <cellStyle name="60% - Accent4 21 3" xfId="15821" xr:uid="{00000000-0005-0000-0000-0000793D0000}"/>
    <cellStyle name="60% - Accent4 22" xfId="15822" xr:uid="{00000000-0005-0000-0000-00007A3D0000}"/>
    <cellStyle name="60% - Accent4 23" xfId="15823" xr:uid="{00000000-0005-0000-0000-00007B3D0000}"/>
    <cellStyle name="60% - Accent4 24" xfId="15824" xr:uid="{00000000-0005-0000-0000-00007C3D0000}"/>
    <cellStyle name="60% - Accent4 25" xfId="15825" xr:uid="{00000000-0005-0000-0000-00007D3D0000}"/>
    <cellStyle name="60% - Accent4 26" xfId="15826" xr:uid="{00000000-0005-0000-0000-00007E3D0000}"/>
    <cellStyle name="60% - Accent4 27" xfId="15827" xr:uid="{00000000-0005-0000-0000-00007F3D0000}"/>
    <cellStyle name="60% - Accent4 28" xfId="15828" xr:uid="{00000000-0005-0000-0000-0000803D0000}"/>
    <cellStyle name="60% - Accent4 29" xfId="15829" xr:uid="{00000000-0005-0000-0000-0000813D0000}"/>
    <cellStyle name="60% - Accent4 3" xfId="15830" xr:uid="{00000000-0005-0000-0000-0000823D0000}"/>
    <cellStyle name="60% - Accent4 3 10" xfId="15831" xr:uid="{00000000-0005-0000-0000-0000833D0000}"/>
    <cellStyle name="60% - Accent4 3 10 10" xfId="15832" xr:uid="{00000000-0005-0000-0000-0000843D0000}"/>
    <cellStyle name="60% - Accent4 3 10 11" xfId="15833" xr:uid="{00000000-0005-0000-0000-0000853D0000}"/>
    <cellStyle name="60% - Accent4 3 10 12" xfId="15834" xr:uid="{00000000-0005-0000-0000-0000863D0000}"/>
    <cellStyle name="60% - Accent4 3 10 13" xfId="15835" xr:uid="{00000000-0005-0000-0000-0000873D0000}"/>
    <cellStyle name="60% - Accent4 3 10 14" xfId="15836" xr:uid="{00000000-0005-0000-0000-0000883D0000}"/>
    <cellStyle name="60% - Accent4 3 10 15" xfId="15837" xr:uid="{00000000-0005-0000-0000-0000893D0000}"/>
    <cellStyle name="60% - Accent4 3 10 2" xfId="15838" xr:uid="{00000000-0005-0000-0000-00008A3D0000}"/>
    <cellStyle name="60% - Accent4 3 10 3" xfId="15839" xr:uid="{00000000-0005-0000-0000-00008B3D0000}"/>
    <cellStyle name="60% - Accent4 3 10 4" xfId="15840" xr:uid="{00000000-0005-0000-0000-00008C3D0000}"/>
    <cellStyle name="60% - Accent4 3 10 5" xfId="15841" xr:uid="{00000000-0005-0000-0000-00008D3D0000}"/>
    <cellStyle name="60% - Accent4 3 10 6" xfId="15842" xr:uid="{00000000-0005-0000-0000-00008E3D0000}"/>
    <cellStyle name="60% - Accent4 3 10 7" xfId="15843" xr:uid="{00000000-0005-0000-0000-00008F3D0000}"/>
    <cellStyle name="60% - Accent4 3 10 8" xfId="15844" xr:uid="{00000000-0005-0000-0000-0000903D0000}"/>
    <cellStyle name="60% - Accent4 3 10 9" xfId="15845" xr:uid="{00000000-0005-0000-0000-0000913D0000}"/>
    <cellStyle name="60% - Accent4 3 11" xfId="15846" xr:uid="{00000000-0005-0000-0000-0000923D0000}"/>
    <cellStyle name="60% - Accent4 3 11 10" xfId="15847" xr:uid="{00000000-0005-0000-0000-0000933D0000}"/>
    <cellStyle name="60% - Accent4 3 11 11" xfId="15848" xr:uid="{00000000-0005-0000-0000-0000943D0000}"/>
    <cellStyle name="60% - Accent4 3 11 12" xfId="15849" xr:uid="{00000000-0005-0000-0000-0000953D0000}"/>
    <cellStyle name="60% - Accent4 3 11 13" xfId="15850" xr:uid="{00000000-0005-0000-0000-0000963D0000}"/>
    <cellStyle name="60% - Accent4 3 11 14" xfId="15851" xr:uid="{00000000-0005-0000-0000-0000973D0000}"/>
    <cellStyle name="60% - Accent4 3 11 15" xfId="15852" xr:uid="{00000000-0005-0000-0000-0000983D0000}"/>
    <cellStyle name="60% - Accent4 3 11 2" xfId="15853" xr:uid="{00000000-0005-0000-0000-0000993D0000}"/>
    <cellStyle name="60% - Accent4 3 11 3" xfId="15854" xr:uid="{00000000-0005-0000-0000-00009A3D0000}"/>
    <cellStyle name="60% - Accent4 3 11 4" xfId="15855" xr:uid="{00000000-0005-0000-0000-00009B3D0000}"/>
    <cellStyle name="60% - Accent4 3 11 5" xfId="15856" xr:uid="{00000000-0005-0000-0000-00009C3D0000}"/>
    <cellStyle name="60% - Accent4 3 11 6" xfId="15857" xr:uid="{00000000-0005-0000-0000-00009D3D0000}"/>
    <cellStyle name="60% - Accent4 3 11 7" xfId="15858" xr:uid="{00000000-0005-0000-0000-00009E3D0000}"/>
    <cellStyle name="60% - Accent4 3 11 8" xfId="15859" xr:uid="{00000000-0005-0000-0000-00009F3D0000}"/>
    <cellStyle name="60% - Accent4 3 11 9" xfId="15860" xr:uid="{00000000-0005-0000-0000-0000A03D0000}"/>
    <cellStyle name="60% - Accent4 3 12" xfId="15861" xr:uid="{00000000-0005-0000-0000-0000A13D0000}"/>
    <cellStyle name="60% - Accent4 3 12 10" xfId="15862" xr:uid="{00000000-0005-0000-0000-0000A23D0000}"/>
    <cellStyle name="60% - Accent4 3 12 11" xfId="15863" xr:uid="{00000000-0005-0000-0000-0000A33D0000}"/>
    <cellStyle name="60% - Accent4 3 12 12" xfId="15864" xr:uid="{00000000-0005-0000-0000-0000A43D0000}"/>
    <cellStyle name="60% - Accent4 3 12 13" xfId="15865" xr:uid="{00000000-0005-0000-0000-0000A53D0000}"/>
    <cellStyle name="60% - Accent4 3 12 14" xfId="15866" xr:uid="{00000000-0005-0000-0000-0000A63D0000}"/>
    <cellStyle name="60% - Accent4 3 12 15" xfId="15867" xr:uid="{00000000-0005-0000-0000-0000A73D0000}"/>
    <cellStyle name="60% - Accent4 3 12 2" xfId="15868" xr:uid="{00000000-0005-0000-0000-0000A83D0000}"/>
    <cellStyle name="60% - Accent4 3 12 3" xfId="15869" xr:uid="{00000000-0005-0000-0000-0000A93D0000}"/>
    <cellStyle name="60% - Accent4 3 12 4" xfId="15870" xr:uid="{00000000-0005-0000-0000-0000AA3D0000}"/>
    <cellStyle name="60% - Accent4 3 12 5" xfId="15871" xr:uid="{00000000-0005-0000-0000-0000AB3D0000}"/>
    <cellStyle name="60% - Accent4 3 12 6" xfId="15872" xr:uid="{00000000-0005-0000-0000-0000AC3D0000}"/>
    <cellStyle name="60% - Accent4 3 12 7" xfId="15873" xr:uid="{00000000-0005-0000-0000-0000AD3D0000}"/>
    <cellStyle name="60% - Accent4 3 12 8" xfId="15874" xr:uid="{00000000-0005-0000-0000-0000AE3D0000}"/>
    <cellStyle name="60% - Accent4 3 12 9" xfId="15875" xr:uid="{00000000-0005-0000-0000-0000AF3D0000}"/>
    <cellStyle name="60% - Accent4 3 13" xfId="15876" xr:uid="{00000000-0005-0000-0000-0000B03D0000}"/>
    <cellStyle name="60% - Accent4 3 13 10" xfId="15877" xr:uid="{00000000-0005-0000-0000-0000B13D0000}"/>
    <cellStyle name="60% - Accent4 3 13 11" xfId="15878" xr:uid="{00000000-0005-0000-0000-0000B23D0000}"/>
    <cellStyle name="60% - Accent4 3 13 12" xfId="15879" xr:uid="{00000000-0005-0000-0000-0000B33D0000}"/>
    <cellStyle name="60% - Accent4 3 13 13" xfId="15880" xr:uid="{00000000-0005-0000-0000-0000B43D0000}"/>
    <cellStyle name="60% - Accent4 3 13 14" xfId="15881" xr:uid="{00000000-0005-0000-0000-0000B53D0000}"/>
    <cellStyle name="60% - Accent4 3 13 15" xfId="15882" xr:uid="{00000000-0005-0000-0000-0000B63D0000}"/>
    <cellStyle name="60% - Accent4 3 13 2" xfId="15883" xr:uid="{00000000-0005-0000-0000-0000B73D0000}"/>
    <cellStyle name="60% - Accent4 3 13 3" xfId="15884" xr:uid="{00000000-0005-0000-0000-0000B83D0000}"/>
    <cellStyle name="60% - Accent4 3 13 4" xfId="15885" xr:uid="{00000000-0005-0000-0000-0000B93D0000}"/>
    <cellStyle name="60% - Accent4 3 13 5" xfId="15886" xr:uid="{00000000-0005-0000-0000-0000BA3D0000}"/>
    <cellStyle name="60% - Accent4 3 13 6" xfId="15887" xr:uid="{00000000-0005-0000-0000-0000BB3D0000}"/>
    <cellStyle name="60% - Accent4 3 13 7" xfId="15888" xr:uid="{00000000-0005-0000-0000-0000BC3D0000}"/>
    <cellStyle name="60% - Accent4 3 13 8" xfId="15889" xr:uid="{00000000-0005-0000-0000-0000BD3D0000}"/>
    <cellStyle name="60% - Accent4 3 13 9" xfId="15890" xr:uid="{00000000-0005-0000-0000-0000BE3D0000}"/>
    <cellStyle name="60% - Accent4 3 14" xfId="15891" xr:uid="{00000000-0005-0000-0000-0000BF3D0000}"/>
    <cellStyle name="60% - Accent4 3 14 10" xfId="15892" xr:uid="{00000000-0005-0000-0000-0000C03D0000}"/>
    <cellStyle name="60% - Accent4 3 14 11" xfId="15893" xr:uid="{00000000-0005-0000-0000-0000C13D0000}"/>
    <cellStyle name="60% - Accent4 3 14 12" xfId="15894" xr:uid="{00000000-0005-0000-0000-0000C23D0000}"/>
    <cellStyle name="60% - Accent4 3 14 13" xfId="15895" xr:uid="{00000000-0005-0000-0000-0000C33D0000}"/>
    <cellStyle name="60% - Accent4 3 14 14" xfId="15896" xr:uid="{00000000-0005-0000-0000-0000C43D0000}"/>
    <cellStyle name="60% - Accent4 3 14 15" xfId="15897" xr:uid="{00000000-0005-0000-0000-0000C53D0000}"/>
    <cellStyle name="60% - Accent4 3 14 2" xfId="15898" xr:uid="{00000000-0005-0000-0000-0000C63D0000}"/>
    <cellStyle name="60% - Accent4 3 14 3" xfId="15899" xr:uid="{00000000-0005-0000-0000-0000C73D0000}"/>
    <cellStyle name="60% - Accent4 3 14 4" xfId="15900" xr:uid="{00000000-0005-0000-0000-0000C83D0000}"/>
    <cellStyle name="60% - Accent4 3 14 5" xfId="15901" xr:uid="{00000000-0005-0000-0000-0000C93D0000}"/>
    <cellStyle name="60% - Accent4 3 14 6" xfId="15902" xr:uid="{00000000-0005-0000-0000-0000CA3D0000}"/>
    <cellStyle name="60% - Accent4 3 14 7" xfId="15903" xr:uid="{00000000-0005-0000-0000-0000CB3D0000}"/>
    <cellStyle name="60% - Accent4 3 14 8" xfId="15904" xr:uid="{00000000-0005-0000-0000-0000CC3D0000}"/>
    <cellStyle name="60% - Accent4 3 14 9" xfId="15905" xr:uid="{00000000-0005-0000-0000-0000CD3D0000}"/>
    <cellStyle name="60% - Accent4 3 15" xfId="15906" xr:uid="{00000000-0005-0000-0000-0000CE3D0000}"/>
    <cellStyle name="60% - Accent4 3 15 10" xfId="15907" xr:uid="{00000000-0005-0000-0000-0000CF3D0000}"/>
    <cellStyle name="60% - Accent4 3 15 11" xfId="15908" xr:uid="{00000000-0005-0000-0000-0000D03D0000}"/>
    <cellStyle name="60% - Accent4 3 15 12" xfId="15909" xr:uid="{00000000-0005-0000-0000-0000D13D0000}"/>
    <cellStyle name="60% - Accent4 3 15 13" xfId="15910" xr:uid="{00000000-0005-0000-0000-0000D23D0000}"/>
    <cellStyle name="60% - Accent4 3 15 14" xfId="15911" xr:uid="{00000000-0005-0000-0000-0000D33D0000}"/>
    <cellStyle name="60% - Accent4 3 15 15" xfId="15912" xr:uid="{00000000-0005-0000-0000-0000D43D0000}"/>
    <cellStyle name="60% - Accent4 3 15 2" xfId="15913" xr:uid="{00000000-0005-0000-0000-0000D53D0000}"/>
    <cellStyle name="60% - Accent4 3 15 3" xfId="15914" xr:uid="{00000000-0005-0000-0000-0000D63D0000}"/>
    <cellStyle name="60% - Accent4 3 15 4" xfId="15915" xr:uid="{00000000-0005-0000-0000-0000D73D0000}"/>
    <cellStyle name="60% - Accent4 3 15 5" xfId="15916" xr:uid="{00000000-0005-0000-0000-0000D83D0000}"/>
    <cellStyle name="60% - Accent4 3 15 6" xfId="15917" xr:uid="{00000000-0005-0000-0000-0000D93D0000}"/>
    <cellStyle name="60% - Accent4 3 15 7" xfId="15918" xr:uid="{00000000-0005-0000-0000-0000DA3D0000}"/>
    <cellStyle name="60% - Accent4 3 15 8" xfId="15919" xr:uid="{00000000-0005-0000-0000-0000DB3D0000}"/>
    <cellStyle name="60% - Accent4 3 15 9" xfId="15920" xr:uid="{00000000-0005-0000-0000-0000DC3D0000}"/>
    <cellStyle name="60% - Accent4 3 16" xfId="15921" xr:uid="{00000000-0005-0000-0000-0000DD3D0000}"/>
    <cellStyle name="60% - Accent4 3 16 10" xfId="15922" xr:uid="{00000000-0005-0000-0000-0000DE3D0000}"/>
    <cellStyle name="60% - Accent4 3 16 11" xfId="15923" xr:uid="{00000000-0005-0000-0000-0000DF3D0000}"/>
    <cellStyle name="60% - Accent4 3 16 12" xfId="15924" xr:uid="{00000000-0005-0000-0000-0000E03D0000}"/>
    <cellStyle name="60% - Accent4 3 16 13" xfId="15925" xr:uid="{00000000-0005-0000-0000-0000E13D0000}"/>
    <cellStyle name="60% - Accent4 3 16 14" xfId="15926" xr:uid="{00000000-0005-0000-0000-0000E23D0000}"/>
    <cellStyle name="60% - Accent4 3 16 15" xfId="15927" xr:uid="{00000000-0005-0000-0000-0000E33D0000}"/>
    <cellStyle name="60% - Accent4 3 16 2" xfId="15928" xr:uid="{00000000-0005-0000-0000-0000E43D0000}"/>
    <cellStyle name="60% - Accent4 3 16 3" xfId="15929" xr:uid="{00000000-0005-0000-0000-0000E53D0000}"/>
    <cellStyle name="60% - Accent4 3 16 4" xfId="15930" xr:uid="{00000000-0005-0000-0000-0000E63D0000}"/>
    <cellStyle name="60% - Accent4 3 16 5" xfId="15931" xr:uid="{00000000-0005-0000-0000-0000E73D0000}"/>
    <cellStyle name="60% - Accent4 3 16 6" xfId="15932" xr:uid="{00000000-0005-0000-0000-0000E83D0000}"/>
    <cellStyle name="60% - Accent4 3 16 7" xfId="15933" xr:uid="{00000000-0005-0000-0000-0000E93D0000}"/>
    <cellStyle name="60% - Accent4 3 16 8" xfId="15934" xr:uid="{00000000-0005-0000-0000-0000EA3D0000}"/>
    <cellStyle name="60% - Accent4 3 16 9" xfId="15935" xr:uid="{00000000-0005-0000-0000-0000EB3D0000}"/>
    <cellStyle name="60% - Accent4 3 17" xfId="15936" xr:uid="{00000000-0005-0000-0000-0000EC3D0000}"/>
    <cellStyle name="60% - Accent4 3 17 10" xfId="15937" xr:uid="{00000000-0005-0000-0000-0000ED3D0000}"/>
    <cellStyle name="60% - Accent4 3 17 11" xfId="15938" xr:uid="{00000000-0005-0000-0000-0000EE3D0000}"/>
    <cellStyle name="60% - Accent4 3 17 12" xfId="15939" xr:uid="{00000000-0005-0000-0000-0000EF3D0000}"/>
    <cellStyle name="60% - Accent4 3 17 13" xfId="15940" xr:uid="{00000000-0005-0000-0000-0000F03D0000}"/>
    <cellStyle name="60% - Accent4 3 17 14" xfId="15941" xr:uid="{00000000-0005-0000-0000-0000F13D0000}"/>
    <cellStyle name="60% - Accent4 3 17 15" xfId="15942" xr:uid="{00000000-0005-0000-0000-0000F23D0000}"/>
    <cellStyle name="60% - Accent4 3 17 2" xfId="15943" xr:uid="{00000000-0005-0000-0000-0000F33D0000}"/>
    <cellStyle name="60% - Accent4 3 17 3" xfId="15944" xr:uid="{00000000-0005-0000-0000-0000F43D0000}"/>
    <cellStyle name="60% - Accent4 3 17 4" xfId="15945" xr:uid="{00000000-0005-0000-0000-0000F53D0000}"/>
    <cellStyle name="60% - Accent4 3 17 5" xfId="15946" xr:uid="{00000000-0005-0000-0000-0000F63D0000}"/>
    <cellStyle name="60% - Accent4 3 17 6" xfId="15947" xr:uid="{00000000-0005-0000-0000-0000F73D0000}"/>
    <cellStyle name="60% - Accent4 3 17 7" xfId="15948" xr:uid="{00000000-0005-0000-0000-0000F83D0000}"/>
    <cellStyle name="60% - Accent4 3 17 8" xfId="15949" xr:uid="{00000000-0005-0000-0000-0000F93D0000}"/>
    <cellStyle name="60% - Accent4 3 17 9" xfId="15950" xr:uid="{00000000-0005-0000-0000-0000FA3D0000}"/>
    <cellStyle name="60% - Accent4 3 18" xfId="15951" xr:uid="{00000000-0005-0000-0000-0000FB3D0000}"/>
    <cellStyle name="60% - Accent4 3 18 10" xfId="15952" xr:uid="{00000000-0005-0000-0000-0000FC3D0000}"/>
    <cellStyle name="60% - Accent4 3 18 11" xfId="15953" xr:uid="{00000000-0005-0000-0000-0000FD3D0000}"/>
    <cellStyle name="60% - Accent4 3 18 12" xfId="15954" xr:uid="{00000000-0005-0000-0000-0000FE3D0000}"/>
    <cellStyle name="60% - Accent4 3 18 13" xfId="15955" xr:uid="{00000000-0005-0000-0000-0000FF3D0000}"/>
    <cellStyle name="60% - Accent4 3 18 14" xfId="15956" xr:uid="{00000000-0005-0000-0000-0000003E0000}"/>
    <cellStyle name="60% - Accent4 3 18 15" xfId="15957" xr:uid="{00000000-0005-0000-0000-0000013E0000}"/>
    <cellStyle name="60% - Accent4 3 18 2" xfId="15958" xr:uid="{00000000-0005-0000-0000-0000023E0000}"/>
    <cellStyle name="60% - Accent4 3 18 3" xfId="15959" xr:uid="{00000000-0005-0000-0000-0000033E0000}"/>
    <cellStyle name="60% - Accent4 3 18 4" xfId="15960" xr:uid="{00000000-0005-0000-0000-0000043E0000}"/>
    <cellStyle name="60% - Accent4 3 18 5" xfId="15961" xr:uid="{00000000-0005-0000-0000-0000053E0000}"/>
    <cellStyle name="60% - Accent4 3 18 6" xfId="15962" xr:uid="{00000000-0005-0000-0000-0000063E0000}"/>
    <cellStyle name="60% - Accent4 3 18 7" xfId="15963" xr:uid="{00000000-0005-0000-0000-0000073E0000}"/>
    <cellStyle name="60% - Accent4 3 18 8" xfId="15964" xr:uid="{00000000-0005-0000-0000-0000083E0000}"/>
    <cellStyle name="60% - Accent4 3 18 9" xfId="15965" xr:uid="{00000000-0005-0000-0000-0000093E0000}"/>
    <cellStyle name="60% - Accent4 3 19" xfId="15966" xr:uid="{00000000-0005-0000-0000-00000A3E0000}"/>
    <cellStyle name="60% - Accent4 3 19 10" xfId="15967" xr:uid="{00000000-0005-0000-0000-00000B3E0000}"/>
    <cellStyle name="60% - Accent4 3 19 11" xfId="15968" xr:uid="{00000000-0005-0000-0000-00000C3E0000}"/>
    <cellStyle name="60% - Accent4 3 19 12" xfId="15969" xr:uid="{00000000-0005-0000-0000-00000D3E0000}"/>
    <cellStyle name="60% - Accent4 3 19 13" xfId="15970" xr:uid="{00000000-0005-0000-0000-00000E3E0000}"/>
    <cellStyle name="60% - Accent4 3 19 14" xfId="15971" xr:uid="{00000000-0005-0000-0000-00000F3E0000}"/>
    <cellStyle name="60% - Accent4 3 19 15" xfId="15972" xr:uid="{00000000-0005-0000-0000-0000103E0000}"/>
    <cellStyle name="60% - Accent4 3 19 2" xfId="15973" xr:uid="{00000000-0005-0000-0000-0000113E0000}"/>
    <cellStyle name="60% - Accent4 3 19 3" xfId="15974" xr:uid="{00000000-0005-0000-0000-0000123E0000}"/>
    <cellStyle name="60% - Accent4 3 19 4" xfId="15975" xr:uid="{00000000-0005-0000-0000-0000133E0000}"/>
    <cellStyle name="60% - Accent4 3 19 5" xfId="15976" xr:uid="{00000000-0005-0000-0000-0000143E0000}"/>
    <cellStyle name="60% - Accent4 3 19 6" xfId="15977" xr:uid="{00000000-0005-0000-0000-0000153E0000}"/>
    <cellStyle name="60% - Accent4 3 19 7" xfId="15978" xr:uid="{00000000-0005-0000-0000-0000163E0000}"/>
    <cellStyle name="60% - Accent4 3 19 8" xfId="15979" xr:uid="{00000000-0005-0000-0000-0000173E0000}"/>
    <cellStyle name="60% - Accent4 3 19 9" xfId="15980" xr:uid="{00000000-0005-0000-0000-0000183E0000}"/>
    <cellStyle name="60% - Accent4 3 2" xfId="15981" xr:uid="{00000000-0005-0000-0000-0000193E0000}"/>
    <cellStyle name="60% - Accent4 3 2 10" xfId="15982" xr:uid="{00000000-0005-0000-0000-00001A3E0000}"/>
    <cellStyle name="60% - Accent4 3 2 11" xfId="15983" xr:uid="{00000000-0005-0000-0000-00001B3E0000}"/>
    <cellStyle name="60% - Accent4 3 2 12" xfId="15984" xr:uid="{00000000-0005-0000-0000-00001C3E0000}"/>
    <cellStyle name="60% - Accent4 3 2 13" xfId="15985" xr:uid="{00000000-0005-0000-0000-00001D3E0000}"/>
    <cellStyle name="60% - Accent4 3 2 14" xfId="15986" xr:uid="{00000000-0005-0000-0000-00001E3E0000}"/>
    <cellStyle name="60% - Accent4 3 2 15" xfId="15987" xr:uid="{00000000-0005-0000-0000-00001F3E0000}"/>
    <cellStyle name="60% - Accent4 3 2 16" xfId="15988" xr:uid="{00000000-0005-0000-0000-0000203E0000}"/>
    <cellStyle name="60% - Accent4 3 2 17" xfId="15989" xr:uid="{00000000-0005-0000-0000-0000213E0000}"/>
    <cellStyle name="60% - Accent4 3 2 18" xfId="15990" xr:uid="{00000000-0005-0000-0000-0000223E0000}"/>
    <cellStyle name="60% - Accent4 3 2 19" xfId="15991" xr:uid="{00000000-0005-0000-0000-0000233E0000}"/>
    <cellStyle name="60% - Accent4 3 2 2" xfId="15992" xr:uid="{00000000-0005-0000-0000-0000243E0000}"/>
    <cellStyle name="60% - Accent4 3 2 20" xfId="15993" xr:uid="{00000000-0005-0000-0000-0000253E0000}"/>
    <cellStyle name="60% - Accent4 3 2 21" xfId="15994" xr:uid="{00000000-0005-0000-0000-0000263E0000}"/>
    <cellStyle name="60% - Accent4 3 2 22" xfId="15995" xr:uid="{00000000-0005-0000-0000-0000273E0000}"/>
    <cellStyle name="60% - Accent4 3 2 23" xfId="15996" xr:uid="{00000000-0005-0000-0000-0000283E0000}"/>
    <cellStyle name="60% - Accent4 3 2 24" xfId="15997" xr:uid="{00000000-0005-0000-0000-0000293E0000}"/>
    <cellStyle name="60% - Accent4 3 2 25" xfId="15998" xr:uid="{00000000-0005-0000-0000-00002A3E0000}"/>
    <cellStyle name="60% - Accent4 3 2 26" xfId="15999" xr:uid="{00000000-0005-0000-0000-00002B3E0000}"/>
    <cellStyle name="60% - Accent4 3 2 27" xfId="16000" xr:uid="{00000000-0005-0000-0000-00002C3E0000}"/>
    <cellStyle name="60% - Accent4 3 2 28" xfId="16001" xr:uid="{00000000-0005-0000-0000-00002D3E0000}"/>
    <cellStyle name="60% - Accent4 3 2 29" xfId="16002" xr:uid="{00000000-0005-0000-0000-00002E3E0000}"/>
    <cellStyle name="60% - Accent4 3 2 3" xfId="16003" xr:uid="{00000000-0005-0000-0000-00002F3E0000}"/>
    <cellStyle name="60% - Accent4 3 2 30" xfId="16004" xr:uid="{00000000-0005-0000-0000-0000303E0000}"/>
    <cellStyle name="60% - Accent4 3 2 31" xfId="16005" xr:uid="{00000000-0005-0000-0000-0000313E0000}"/>
    <cellStyle name="60% - Accent4 3 2 32" xfId="16006" xr:uid="{00000000-0005-0000-0000-0000323E0000}"/>
    <cellStyle name="60% - Accent4 3 2 33" xfId="16007" xr:uid="{00000000-0005-0000-0000-0000333E0000}"/>
    <cellStyle name="60% - Accent4 3 2 34" xfId="16008" xr:uid="{00000000-0005-0000-0000-0000343E0000}"/>
    <cellStyle name="60% - Accent4 3 2 35" xfId="16009" xr:uid="{00000000-0005-0000-0000-0000353E0000}"/>
    <cellStyle name="60% - Accent4 3 2 36" xfId="16010" xr:uid="{00000000-0005-0000-0000-0000363E0000}"/>
    <cellStyle name="60% - Accent4 3 2 37" xfId="16011" xr:uid="{00000000-0005-0000-0000-0000373E0000}"/>
    <cellStyle name="60% - Accent4 3 2 38" xfId="16012" xr:uid="{00000000-0005-0000-0000-0000383E0000}"/>
    <cellStyle name="60% - Accent4 3 2 39" xfId="16013" xr:uid="{00000000-0005-0000-0000-0000393E0000}"/>
    <cellStyle name="60% - Accent4 3 2 4" xfId="16014" xr:uid="{00000000-0005-0000-0000-00003A3E0000}"/>
    <cellStyle name="60% - Accent4 3 2 40" xfId="16015" xr:uid="{00000000-0005-0000-0000-00003B3E0000}"/>
    <cellStyle name="60% - Accent4 3 2 41" xfId="16016" xr:uid="{00000000-0005-0000-0000-00003C3E0000}"/>
    <cellStyle name="60% - Accent4 3 2 42" xfId="16017" xr:uid="{00000000-0005-0000-0000-00003D3E0000}"/>
    <cellStyle name="60% - Accent4 3 2 43" xfId="16018" xr:uid="{00000000-0005-0000-0000-00003E3E0000}"/>
    <cellStyle name="60% - Accent4 3 2 44" xfId="16019" xr:uid="{00000000-0005-0000-0000-00003F3E0000}"/>
    <cellStyle name="60% - Accent4 3 2 45" xfId="16020" xr:uid="{00000000-0005-0000-0000-0000403E0000}"/>
    <cellStyle name="60% - Accent4 3 2 46" xfId="16021" xr:uid="{00000000-0005-0000-0000-0000413E0000}"/>
    <cellStyle name="60% - Accent4 3 2 47" xfId="16022" xr:uid="{00000000-0005-0000-0000-0000423E0000}"/>
    <cellStyle name="60% - Accent4 3 2 48" xfId="16023" xr:uid="{00000000-0005-0000-0000-0000433E0000}"/>
    <cellStyle name="60% - Accent4 3 2 49" xfId="16024" xr:uid="{00000000-0005-0000-0000-0000443E0000}"/>
    <cellStyle name="60% - Accent4 3 2 5" xfId="16025" xr:uid="{00000000-0005-0000-0000-0000453E0000}"/>
    <cellStyle name="60% - Accent4 3 2 50" xfId="16026" xr:uid="{00000000-0005-0000-0000-0000463E0000}"/>
    <cellStyle name="60% - Accent4 3 2 51" xfId="16027" xr:uid="{00000000-0005-0000-0000-0000473E0000}"/>
    <cellStyle name="60% - Accent4 3 2 52" xfId="16028" xr:uid="{00000000-0005-0000-0000-0000483E0000}"/>
    <cellStyle name="60% - Accent4 3 2 53" xfId="16029" xr:uid="{00000000-0005-0000-0000-0000493E0000}"/>
    <cellStyle name="60% - Accent4 3 2 6" xfId="16030" xr:uid="{00000000-0005-0000-0000-00004A3E0000}"/>
    <cellStyle name="60% - Accent4 3 2 7" xfId="16031" xr:uid="{00000000-0005-0000-0000-00004B3E0000}"/>
    <cellStyle name="60% - Accent4 3 2 8" xfId="16032" xr:uid="{00000000-0005-0000-0000-00004C3E0000}"/>
    <cellStyle name="60% - Accent4 3 2 9" xfId="16033" xr:uid="{00000000-0005-0000-0000-00004D3E0000}"/>
    <cellStyle name="60% - Accent4 3 20" xfId="16034" xr:uid="{00000000-0005-0000-0000-00004E3E0000}"/>
    <cellStyle name="60% - Accent4 3 20 10" xfId="16035" xr:uid="{00000000-0005-0000-0000-00004F3E0000}"/>
    <cellStyle name="60% - Accent4 3 20 11" xfId="16036" xr:uid="{00000000-0005-0000-0000-0000503E0000}"/>
    <cellStyle name="60% - Accent4 3 20 12" xfId="16037" xr:uid="{00000000-0005-0000-0000-0000513E0000}"/>
    <cellStyle name="60% - Accent4 3 20 13" xfId="16038" xr:uid="{00000000-0005-0000-0000-0000523E0000}"/>
    <cellStyle name="60% - Accent4 3 20 14" xfId="16039" xr:uid="{00000000-0005-0000-0000-0000533E0000}"/>
    <cellStyle name="60% - Accent4 3 20 15" xfId="16040" xr:uid="{00000000-0005-0000-0000-0000543E0000}"/>
    <cellStyle name="60% - Accent4 3 20 2" xfId="16041" xr:uid="{00000000-0005-0000-0000-0000553E0000}"/>
    <cellStyle name="60% - Accent4 3 20 3" xfId="16042" xr:uid="{00000000-0005-0000-0000-0000563E0000}"/>
    <cellStyle name="60% - Accent4 3 20 4" xfId="16043" xr:uid="{00000000-0005-0000-0000-0000573E0000}"/>
    <cellStyle name="60% - Accent4 3 20 5" xfId="16044" xr:uid="{00000000-0005-0000-0000-0000583E0000}"/>
    <cellStyle name="60% - Accent4 3 20 6" xfId="16045" xr:uid="{00000000-0005-0000-0000-0000593E0000}"/>
    <cellStyle name="60% - Accent4 3 20 7" xfId="16046" xr:uid="{00000000-0005-0000-0000-00005A3E0000}"/>
    <cellStyle name="60% - Accent4 3 20 8" xfId="16047" xr:uid="{00000000-0005-0000-0000-00005B3E0000}"/>
    <cellStyle name="60% - Accent4 3 20 9" xfId="16048" xr:uid="{00000000-0005-0000-0000-00005C3E0000}"/>
    <cellStyle name="60% - Accent4 3 21" xfId="16049" xr:uid="{00000000-0005-0000-0000-00005D3E0000}"/>
    <cellStyle name="60% - Accent4 3 21 10" xfId="16050" xr:uid="{00000000-0005-0000-0000-00005E3E0000}"/>
    <cellStyle name="60% - Accent4 3 21 11" xfId="16051" xr:uid="{00000000-0005-0000-0000-00005F3E0000}"/>
    <cellStyle name="60% - Accent4 3 21 12" xfId="16052" xr:uid="{00000000-0005-0000-0000-0000603E0000}"/>
    <cellStyle name="60% - Accent4 3 21 13" xfId="16053" xr:uid="{00000000-0005-0000-0000-0000613E0000}"/>
    <cellStyle name="60% - Accent4 3 21 14" xfId="16054" xr:uid="{00000000-0005-0000-0000-0000623E0000}"/>
    <cellStyle name="60% - Accent4 3 21 15" xfId="16055" xr:uid="{00000000-0005-0000-0000-0000633E0000}"/>
    <cellStyle name="60% - Accent4 3 21 2" xfId="16056" xr:uid="{00000000-0005-0000-0000-0000643E0000}"/>
    <cellStyle name="60% - Accent4 3 21 3" xfId="16057" xr:uid="{00000000-0005-0000-0000-0000653E0000}"/>
    <cellStyle name="60% - Accent4 3 21 4" xfId="16058" xr:uid="{00000000-0005-0000-0000-0000663E0000}"/>
    <cellStyle name="60% - Accent4 3 21 5" xfId="16059" xr:uid="{00000000-0005-0000-0000-0000673E0000}"/>
    <cellStyle name="60% - Accent4 3 21 6" xfId="16060" xr:uid="{00000000-0005-0000-0000-0000683E0000}"/>
    <cellStyle name="60% - Accent4 3 21 7" xfId="16061" xr:uid="{00000000-0005-0000-0000-0000693E0000}"/>
    <cellStyle name="60% - Accent4 3 21 8" xfId="16062" xr:uid="{00000000-0005-0000-0000-00006A3E0000}"/>
    <cellStyle name="60% - Accent4 3 21 9" xfId="16063" xr:uid="{00000000-0005-0000-0000-00006B3E0000}"/>
    <cellStyle name="60% - Accent4 3 22" xfId="16064" xr:uid="{00000000-0005-0000-0000-00006C3E0000}"/>
    <cellStyle name="60% - Accent4 3 22 10" xfId="16065" xr:uid="{00000000-0005-0000-0000-00006D3E0000}"/>
    <cellStyle name="60% - Accent4 3 22 11" xfId="16066" xr:uid="{00000000-0005-0000-0000-00006E3E0000}"/>
    <cellStyle name="60% - Accent4 3 22 12" xfId="16067" xr:uid="{00000000-0005-0000-0000-00006F3E0000}"/>
    <cellStyle name="60% - Accent4 3 22 13" xfId="16068" xr:uid="{00000000-0005-0000-0000-0000703E0000}"/>
    <cellStyle name="60% - Accent4 3 22 14" xfId="16069" xr:uid="{00000000-0005-0000-0000-0000713E0000}"/>
    <cellStyle name="60% - Accent4 3 22 15" xfId="16070" xr:uid="{00000000-0005-0000-0000-0000723E0000}"/>
    <cellStyle name="60% - Accent4 3 22 2" xfId="16071" xr:uid="{00000000-0005-0000-0000-0000733E0000}"/>
    <cellStyle name="60% - Accent4 3 22 3" xfId="16072" xr:uid="{00000000-0005-0000-0000-0000743E0000}"/>
    <cellStyle name="60% - Accent4 3 22 4" xfId="16073" xr:uid="{00000000-0005-0000-0000-0000753E0000}"/>
    <cellStyle name="60% - Accent4 3 22 5" xfId="16074" xr:uid="{00000000-0005-0000-0000-0000763E0000}"/>
    <cellStyle name="60% - Accent4 3 22 6" xfId="16075" xr:uid="{00000000-0005-0000-0000-0000773E0000}"/>
    <cellStyle name="60% - Accent4 3 22 7" xfId="16076" xr:uid="{00000000-0005-0000-0000-0000783E0000}"/>
    <cellStyle name="60% - Accent4 3 22 8" xfId="16077" xr:uid="{00000000-0005-0000-0000-0000793E0000}"/>
    <cellStyle name="60% - Accent4 3 22 9" xfId="16078" xr:uid="{00000000-0005-0000-0000-00007A3E0000}"/>
    <cellStyle name="60% - Accent4 3 23" xfId="16079" xr:uid="{00000000-0005-0000-0000-00007B3E0000}"/>
    <cellStyle name="60% - Accent4 3 23 10" xfId="16080" xr:uid="{00000000-0005-0000-0000-00007C3E0000}"/>
    <cellStyle name="60% - Accent4 3 23 11" xfId="16081" xr:uid="{00000000-0005-0000-0000-00007D3E0000}"/>
    <cellStyle name="60% - Accent4 3 23 12" xfId="16082" xr:uid="{00000000-0005-0000-0000-00007E3E0000}"/>
    <cellStyle name="60% - Accent4 3 23 13" xfId="16083" xr:uid="{00000000-0005-0000-0000-00007F3E0000}"/>
    <cellStyle name="60% - Accent4 3 23 14" xfId="16084" xr:uid="{00000000-0005-0000-0000-0000803E0000}"/>
    <cellStyle name="60% - Accent4 3 23 15" xfId="16085" xr:uid="{00000000-0005-0000-0000-0000813E0000}"/>
    <cellStyle name="60% - Accent4 3 23 2" xfId="16086" xr:uid="{00000000-0005-0000-0000-0000823E0000}"/>
    <cellStyle name="60% - Accent4 3 23 3" xfId="16087" xr:uid="{00000000-0005-0000-0000-0000833E0000}"/>
    <cellStyle name="60% - Accent4 3 23 4" xfId="16088" xr:uid="{00000000-0005-0000-0000-0000843E0000}"/>
    <cellStyle name="60% - Accent4 3 23 5" xfId="16089" xr:uid="{00000000-0005-0000-0000-0000853E0000}"/>
    <cellStyle name="60% - Accent4 3 23 6" xfId="16090" xr:uid="{00000000-0005-0000-0000-0000863E0000}"/>
    <cellStyle name="60% - Accent4 3 23 7" xfId="16091" xr:uid="{00000000-0005-0000-0000-0000873E0000}"/>
    <cellStyle name="60% - Accent4 3 23 8" xfId="16092" xr:uid="{00000000-0005-0000-0000-0000883E0000}"/>
    <cellStyle name="60% - Accent4 3 23 9" xfId="16093" xr:uid="{00000000-0005-0000-0000-0000893E0000}"/>
    <cellStyle name="60% - Accent4 3 24" xfId="16094" xr:uid="{00000000-0005-0000-0000-00008A3E0000}"/>
    <cellStyle name="60% - Accent4 3 24 10" xfId="16095" xr:uid="{00000000-0005-0000-0000-00008B3E0000}"/>
    <cellStyle name="60% - Accent4 3 24 11" xfId="16096" xr:uid="{00000000-0005-0000-0000-00008C3E0000}"/>
    <cellStyle name="60% - Accent4 3 24 12" xfId="16097" xr:uid="{00000000-0005-0000-0000-00008D3E0000}"/>
    <cellStyle name="60% - Accent4 3 24 13" xfId="16098" xr:uid="{00000000-0005-0000-0000-00008E3E0000}"/>
    <cellStyle name="60% - Accent4 3 24 14" xfId="16099" xr:uid="{00000000-0005-0000-0000-00008F3E0000}"/>
    <cellStyle name="60% - Accent4 3 24 15" xfId="16100" xr:uid="{00000000-0005-0000-0000-0000903E0000}"/>
    <cellStyle name="60% - Accent4 3 24 2" xfId="16101" xr:uid="{00000000-0005-0000-0000-0000913E0000}"/>
    <cellStyle name="60% - Accent4 3 24 3" xfId="16102" xr:uid="{00000000-0005-0000-0000-0000923E0000}"/>
    <cellStyle name="60% - Accent4 3 24 4" xfId="16103" xr:uid="{00000000-0005-0000-0000-0000933E0000}"/>
    <cellStyle name="60% - Accent4 3 24 5" xfId="16104" xr:uid="{00000000-0005-0000-0000-0000943E0000}"/>
    <cellStyle name="60% - Accent4 3 24 6" xfId="16105" xr:uid="{00000000-0005-0000-0000-0000953E0000}"/>
    <cellStyle name="60% - Accent4 3 24 7" xfId="16106" xr:uid="{00000000-0005-0000-0000-0000963E0000}"/>
    <cellStyle name="60% - Accent4 3 24 8" xfId="16107" xr:uid="{00000000-0005-0000-0000-0000973E0000}"/>
    <cellStyle name="60% - Accent4 3 24 9" xfId="16108" xr:uid="{00000000-0005-0000-0000-0000983E0000}"/>
    <cellStyle name="60% - Accent4 3 25" xfId="16109" xr:uid="{00000000-0005-0000-0000-0000993E0000}"/>
    <cellStyle name="60% - Accent4 3 25 10" xfId="16110" xr:uid="{00000000-0005-0000-0000-00009A3E0000}"/>
    <cellStyle name="60% - Accent4 3 25 11" xfId="16111" xr:uid="{00000000-0005-0000-0000-00009B3E0000}"/>
    <cellStyle name="60% - Accent4 3 25 12" xfId="16112" xr:uid="{00000000-0005-0000-0000-00009C3E0000}"/>
    <cellStyle name="60% - Accent4 3 25 13" xfId="16113" xr:uid="{00000000-0005-0000-0000-00009D3E0000}"/>
    <cellStyle name="60% - Accent4 3 25 14" xfId="16114" xr:uid="{00000000-0005-0000-0000-00009E3E0000}"/>
    <cellStyle name="60% - Accent4 3 25 15" xfId="16115" xr:uid="{00000000-0005-0000-0000-00009F3E0000}"/>
    <cellStyle name="60% - Accent4 3 25 2" xfId="16116" xr:uid="{00000000-0005-0000-0000-0000A03E0000}"/>
    <cellStyle name="60% - Accent4 3 25 3" xfId="16117" xr:uid="{00000000-0005-0000-0000-0000A13E0000}"/>
    <cellStyle name="60% - Accent4 3 25 4" xfId="16118" xr:uid="{00000000-0005-0000-0000-0000A23E0000}"/>
    <cellStyle name="60% - Accent4 3 25 5" xfId="16119" xr:uid="{00000000-0005-0000-0000-0000A33E0000}"/>
    <cellStyle name="60% - Accent4 3 25 6" xfId="16120" xr:uid="{00000000-0005-0000-0000-0000A43E0000}"/>
    <cellStyle name="60% - Accent4 3 25 7" xfId="16121" xr:uid="{00000000-0005-0000-0000-0000A53E0000}"/>
    <cellStyle name="60% - Accent4 3 25 8" xfId="16122" xr:uid="{00000000-0005-0000-0000-0000A63E0000}"/>
    <cellStyle name="60% - Accent4 3 25 9" xfId="16123" xr:uid="{00000000-0005-0000-0000-0000A73E0000}"/>
    <cellStyle name="60% - Accent4 3 26" xfId="16124" xr:uid="{00000000-0005-0000-0000-0000A83E0000}"/>
    <cellStyle name="60% - Accent4 3 26 10" xfId="16125" xr:uid="{00000000-0005-0000-0000-0000A93E0000}"/>
    <cellStyle name="60% - Accent4 3 26 11" xfId="16126" xr:uid="{00000000-0005-0000-0000-0000AA3E0000}"/>
    <cellStyle name="60% - Accent4 3 26 12" xfId="16127" xr:uid="{00000000-0005-0000-0000-0000AB3E0000}"/>
    <cellStyle name="60% - Accent4 3 26 13" xfId="16128" xr:uid="{00000000-0005-0000-0000-0000AC3E0000}"/>
    <cellStyle name="60% - Accent4 3 26 14" xfId="16129" xr:uid="{00000000-0005-0000-0000-0000AD3E0000}"/>
    <cellStyle name="60% - Accent4 3 26 15" xfId="16130" xr:uid="{00000000-0005-0000-0000-0000AE3E0000}"/>
    <cellStyle name="60% - Accent4 3 26 2" xfId="16131" xr:uid="{00000000-0005-0000-0000-0000AF3E0000}"/>
    <cellStyle name="60% - Accent4 3 26 3" xfId="16132" xr:uid="{00000000-0005-0000-0000-0000B03E0000}"/>
    <cellStyle name="60% - Accent4 3 26 4" xfId="16133" xr:uid="{00000000-0005-0000-0000-0000B13E0000}"/>
    <cellStyle name="60% - Accent4 3 26 5" xfId="16134" xr:uid="{00000000-0005-0000-0000-0000B23E0000}"/>
    <cellStyle name="60% - Accent4 3 26 6" xfId="16135" xr:uid="{00000000-0005-0000-0000-0000B33E0000}"/>
    <cellStyle name="60% - Accent4 3 26 7" xfId="16136" xr:uid="{00000000-0005-0000-0000-0000B43E0000}"/>
    <cellStyle name="60% - Accent4 3 26 8" xfId="16137" xr:uid="{00000000-0005-0000-0000-0000B53E0000}"/>
    <cellStyle name="60% - Accent4 3 26 9" xfId="16138" xr:uid="{00000000-0005-0000-0000-0000B63E0000}"/>
    <cellStyle name="60% - Accent4 3 27" xfId="16139" xr:uid="{00000000-0005-0000-0000-0000B73E0000}"/>
    <cellStyle name="60% - Accent4 3 27 10" xfId="16140" xr:uid="{00000000-0005-0000-0000-0000B83E0000}"/>
    <cellStyle name="60% - Accent4 3 27 11" xfId="16141" xr:uid="{00000000-0005-0000-0000-0000B93E0000}"/>
    <cellStyle name="60% - Accent4 3 27 12" xfId="16142" xr:uid="{00000000-0005-0000-0000-0000BA3E0000}"/>
    <cellStyle name="60% - Accent4 3 27 13" xfId="16143" xr:uid="{00000000-0005-0000-0000-0000BB3E0000}"/>
    <cellStyle name="60% - Accent4 3 27 14" xfId="16144" xr:uid="{00000000-0005-0000-0000-0000BC3E0000}"/>
    <cellStyle name="60% - Accent4 3 27 15" xfId="16145" xr:uid="{00000000-0005-0000-0000-0000BD3E0000}"/>
    <cellStyle name="60% - Accent4 3 27 2" xfId="16146" xr:uid="{00000000-0005-0000-0000-0000BE3E0000}"/>
    <cellStyle name="60% - Accent4 3 27 3" xfId="16147" xr:uid="{00000000-0005-0000-0000-0000BF3E0000}"/>
    <cellStyle name="60% - Accent4 3 27 4" xfId="16148" xr:uid="{00000000-0005-0000-0000-0000C03E0000}"/>
    <cellStyle name="60% - Accent4 3 27 5" xfId="16149" xr:uid="{00000000-0005-0000-0000-0000C13E0000}"/>
    <cellStyle name="60% - Accent4 3 27 6" xfId="16150" xr:uid="{00000000-0005-0000-0000-0000C23E0000}"/>
    <cellStyle name="60% - Accent4 3 27 7" xfId="16151" xr:uid="{00000000-0005-0000-0000-0000C33E0000}"/>
    <cellStyle name="60% - Accent4 3 27 8" xfId="16152" xr:uid="{00000000-0005-0000-0000-0000C43E0000}"/>
    <cellStyle name="60% - Accent4 3 27 9" xfId="16153" xr:uid="{00000000-0005-0000-0000-0000C53E0000}"/>
    <cellStyle name="60% - Accent4 3 28" xfId="16154" xr:uid="{00000000-0005-0000-0000-0000C63E0000}"/>
    <cellStyle name="60% - Accent4 3 28 10" xfId="16155" xr:uid="{00000000-0005-0000-0000-0000C73E0000}"/>
    <cellStyle name="60% - Accent4 3 28 11" xfId="16156" xr:uid="{00000000-0005-0000-0000-0000C83E0000}"/>
    <cellStyle name="60% - Accent4 3 28 12" xfId="16157" xr:uid="{00000000-0005-0000-0000-0000C93E0000}"/>
    <cellStyle name="60% - Accent4 3 28 13" xfId="16158" xr:uid="{00000000-0005-0000-0000-0000CA3E0000}"/>
    <cellStyle name="60% - Accent4 3 28 14" xfId="16159" xr:uid="{00000000-0005-0000-0000-0000CB3E0000}"/>
    <cellStyle name="60% - Accent4 3 28 15" xfId="16160" xr:uid="{00000000-0005-0000-0000-0000CC3E0000}"/>
    <cellStyle name="60% - Accent4 3 28 2" xfId="16161" xr:uid="{00000000-0005-0000-0000-0000CD3E0000}"/>
    <cellStyle name="60% - Accent4 3 28 3" xfId="16162" xr:uid="{00000000-0005-0000-0000-0000CE3E0000}"/>
    <cellStyle name="60% - Accent4 3 28 4" xfId="16163" xr:uid="{00000000-0005-0000-0000-0000CF3E0000}"/>
    <cellStyle name="60% - Accent4 3 28 5" xfId="16164" xr:uid="{00000000-0005-0000-0000-0000D03E0000}"/>
    <cellStyle name="60% - Accent4 3 28 6" xfId="16165" xr:uid="{00000000-0005-0000-0000-0000D13E0000}"/>
    <cellStyle name="60% - Accent4 3 28 7" xfId="16166" xr:uid="{00000000-0005-0000-0000-0000D23E0000}"/>
    <cellStyle name="60% - Accent4 3 28 8" xfId="16167" xr:uid="{00000000-0005-0000-0000-0000D33E0000}"/>
    <cellStyle name="60% - Accent4 3 28 9" xfId="16168" xr:uid="{00000000-0005-0000-0000-0000D43E0000}"/>
    <cellStyle name="60% - Accent4 3 29" xfId="16169" xr:uid="{00000000-0005-0000-0000-0000D53E0000}"/>
    <cellStyle name="60% - Accent4 3 29 10" xfId="16170" xr:uid="{00000000-0005-0000-0000-0000D63E0000}"/>
    <cellStyle name="60% - Accent4 3 29 11" xfId="16171" xr:uid="{00000000-0005-0000-0000-0000D73E0000}"/>
    <cellStyle name="60% - Accent4 3 29 12" xfId="16172" xr:uid="{00000000-0005-0000-0000-0000D83E0000}"/>
    <cellStyle name="60% - Accent4 3 29 13" xfId="16173" xr:uid="{00000000-0005-0000-0000-0000D93E0000}"/>
    <cellStyle name="60% - Accent4 3 29 14" xfId="16174" xr:uid="{00000000-0005-0000-0000-0000DA3E0000}"/>
    <cellStyle name="60% - Accent4 3 29 15" xfId="16175" xr:uid="{00000000-0005-0000-0000-0000DB3E0000}"/>
    <cellStyle name="60% - Accent4 3 29 2" xfId="16176" xr:uid="{00000000-0005-0000-0000-0000DC3E0000}"/>
    <cellStyle name="60% - Accent4 3 29 3" xfId="16177" xr:uid="{00000000-0005-0000-0000-0000DD3E0000}"/>
    <cellStyle name="60% - Accent4 3 29 4" xfId="16178" xr:uid="{00000000-0005-0000-0000-0000DE3E0000}"/>
    <cellStyle name="60% - Accent4 3 29 5" xfId="16179" xr:uid="{00000000-0005-0000-0000-0000DF3E0000}"/>
    <cellStyle name="60% - Accent4 3 29 6" xfId="16180" xr:uid="{00000000-0005-0000-0000-0000E03E0000}"/>
    <cellStyle name="60% - Accent4 3 29 7" xfId="16181" xr:uid="{00000000-0005-0000-0000-0000E13E0000}"/>
    <cellStyle name="60% - Accent4 3 29 8" xfId="16182" xr:uid="{00000000-0005-0000-0000-0000E23E0000}"/>
    <cellStyle name="60% - Accent4 3 29 9" xfId="16183" xr:uid="{00000000-0005-0000-0000-0000E33E0000}"/>
    <cellStyle name="60% - Accent4 3 3" xfId="16184" xr:uid="{00000000-0005-0000-0000-0000E43E0000}"/>
    <cellStyle name="60% - Accent4 3 3 10" xfId="16185" xr:uid="{00000000-0005-0000-0000-0000E53E0000}"/>
    <cellStyle name="60% - Accent4 3 3 11" xfId="16186" xr:uid="{00000000-0005-0000-0000-0000E63E0000}"/>
    <cellStyle name="60% - Accent4 3 3 12" xfId="16187" xr:uid="{00000000-0005-0000-0000-0000E73E0000}"/>
    <cellStyle name="60% - Accent4 3 3 13" xfId="16188" xr:uid="{00000000-0005-0000-0000-0000E83E0000}"/>
    <cellStyle name="60% - Accent4 3 3 14" xfId="16189" xr:uid="{00000000-0005-0000-0000-0000E93E0000}"/>
    <cellStyle name="60% - Accent4 3 3 15" xfId="16190" xr:uid="{00000000-0005-0000-0000-0000EA3E0000}"/>
    <cellStyle name="60% - Accent4 3 3 16" xfId="16191" xr:uid="{00000000-0005-0000-0000-0000EB3E0000}"/>
    <cellStyle name="60% - Accent4 3 3 2" xfId="16192" xr:uid="{00000000-0005-0000-0000-0000EC3E0000}"/>
    <cellStyle name="60% - Accent4 3 3 3" xfId="16193" xr:uid="{00000000-0005-0000-0000-0000ED3E0000}"/>
    <cellStyle name="60% - Accent4 3 3 4" xfId="16194" xr:uid="{00000000-0005-0000-0000-0000EE3E0000}"/>
    <cellStyle name="60% - Accent4 3 3 5" xfId="16195" xr:uid="{00000000-0005-0000-0000-0000EF3E0000}"/>
    <cellStyle name="60% - Accent4 3 3 6" xfId="16196" xr:uid="{00000000-0005-0000-0000-0000F03E0000}"/>
    <cellStyle name="60% - Accent4 3 3 7" xfId="16197" xr:uid="{00000000-0005-0000-0000-0000F13E0000}"/>
    <cellStyle name="60% - Accent4 3 3 8" xfId="16198" xr:uid="{00000000-0005-0000-0000-0000F23E0000}"/>
    <cellStyle name="60% - Accent4 3 3 9" xfId="16199" xr:uid="{00000000-0005-0000-0000-0000F33E0000}"/>
    <cellStyle name="60% - Accent4 3 30" xfId="16200" xr:uid="{00000000-0005-0000-0000-0000F43E0000}"/>
    <cellStyle name="60% - Accent4 3 30 10" xfId="16201" xr:uid="{00000000-0005-0000-0000-0000F53E0000}"/>
    <cellStyle name="60% - Accent4 3 30 11" xfId="16202" xr:uid="{00000000-0005-0000-0000-0000F63E0000}"/>
    <cellStyle name="60% - Accent4 3 30 12" xfId="16203" xr:uid="{00000000-0005-0000-0000-0000F73E0000}"/>
    <cellStyle name="60% - Accent4 3 30 13" xfId="16204" xr:uid="{00000000-0005-0000-0000-0000F83E0000}"/>
    <cellStyle name="60% - Accent4 3 30 14" xfId="16205" xr:uid="{00000000-0005-0000-0000-0000F93E0000}"/>
    <cellStyle name="60% - Accent4 3 30 15" xfId="16206" xr:uid="{00000000-0005-0000-0000-0000FA3E0000}"/>
    <cellStyle name="60% - Accent4 3 30 2" xfId="16207" xr:uid="{00000000-0005-0000-0000-0000FB3E0000}"/>
    <cellStyle name="60% - Accent4 3 30 3" xfId="16208" xr:uid="{00000000-0005-0000-0000-0000FC3E0000}"/>
    <cellStyle name="60% - Accent4 3 30 4" xfId="16209" xr:uid="{00000000-0005-0000-0000-0000FD3E0000}"/>
    <cellStyle name="60% - Accent4 3 30 5" xfId="16210" xr:uid="{00000000-0005-0000-0000-0000FE3E0000}"/>
    <cellStyle name="60% - Accent4 3 30 6" xfId="16211" xr:uid="{00000000-0005-0000-0000-0000FF3E0000}"/>
    <cellStyle name="60% - Accent4 3 30 7" xfId="16212" xr:uid="{00000000-0005-0000-0000-0000003F0000}"/>
    <cellStyle name="60% - Accent4 3 30 8" xfId="16213" xr:uid="{00000000-0005-0000-0000-0000013F0000}"/>
    <cellStyle name="60% - Accent4 3 30 9" xfId="16214" xr:uid="{00000000-0005-0000-0000-0000023F0000}"/>
    <cellStyle name="60% - Accent4 3 31" xfId="16215" xr:uid="{00000000-0005-0000-0000-0000033F0000}"/>
    <cellStyle name="60% - Accent4 3 31 10" xfId="16216" xr:uid="{00000000-0005-0000-0000-0000043F0000}"/>
    <cellStyle name="60% - Accent4 3 31 11" xfId="16217" xr:uid="{00000000-0005-0000-0000-0000053F0000}"/>
    <cellStyle name="60% - Accent4 3 31 12" xfId="16218" xr:uid="{00000000-0005-0000-0000-0000063F0000}"/>
    <cellStyle name="60% - Accent4 3 31 13" xfId="16219" xr:uid="{00000000-0005-0000-0000-0000073F0000}"/>
    <cellStyle name="60% - Accent4 3 31 14" xfId="16220" xr:uid="{00000000-0005-0000-0000-0000083F0000}"/>
    <cellStyle name="60% - Accent4 3 31 15" xfId="16221" xr:uid="{00000000-0005-0000-0000-0000093F0000}"/>
    <cellStyle name="60% - Accent4 3 31 2" xfId="16222" xr:uid="{00000000-0005-0000-0000-00000A3F0000}"/>
    <cellStyle name="60% - Accent4 3 31 3" xfId="16223" xr:uid="{00000000-0005-0000-0000-00000B3F0000}"/>
    <cellStyle name="60% - Accent4 3 31 4" xfId="16224" xr:uid="{00000000-0005-0000-0000-00000C3F0000}"/>
    <cellStyle name="60% - Accent4 3 31 5" xfId="16225" xr:uid="{00000000-0005-0000-0000-00000D3F0000}"/>
    <cellStyle name="60% - Accent4 3 31 6" xfId="16226" xr:uid="{00000000-0005-0000-0000-00000E3F0000}"/>
    <cellStyle name="60% - Accent4 3 31 7" xfId="16227" xr:uid="{00000000-0005-0000-0000-00000F3F0000}"/>
    <cellStyle name="60% - Accent4 3 31 8" xfId="16228" xr:uid="{00000000-0005-0000-0000-0000103F0000}"/>
    <cellStyle name="60% - Accent4 3 31 9" xfId="16229" xr:uid="{00000000-0005-0000-0000-0000113F0000}"/>
    <cellStyle name="60% - Accent4 3 32" xfId="16230" xr:uid="{00000000-0005-0000-0000-0000123F0000}"/>
    <cellStyle name="60% - Accent4 3 32 10" xfId="16231" xr:uid="{00000000-0005-0000-0000-0000133F0000}"/>
    <cellStyle name="60% - Accent4 3 32 11" xfId="16232" xr:uid="{00000000-0005-0000-0000-0000143F0000}"/>
    <cellStyle name="60% - Accent4 3 32 12" xfId="16233" xr:uid="{00000000-0005-0000-0000-0000153F0000}"/>
    <cellStyle name="60% - Accent4 3 32 13" xfId="16234" xr:uid="{00000000-0005-0000-0000-0000163F0000}"/>
    <cellStyle name="60% - Accent4 3 32 14" xfId="16235" xr:uid="{00000000-0005-0000-0000-0000173F0000}"/>
    <cellStyle name="60% - Accent4 3 32 15" xfId="16236" xr:uid="{00000000-0005-0000-0000-0000183F0000}"/>
    <cellStyle name="60% - Accent4 3 32 2" xfId="16237" xr:uid="{00000000-0005-0000-0000-0000193F0000}"/>
    <cellStyle name="60% - Accent4 3 32 3" xfId="16238" xr:uid="{00000000-0005-0000-0000-00001A3F0000}"/>
    <cellStyle name="60% - Accent4 3 32 4" xfId="16239" xr:uid="{00000000-0005-0000-0000-00001B3F0000}"/>
    <cellStyle name="60% - Accent4 3 32 5" xfId="16240" xr:uid="{00000000-0005-0000-0000-00001C3F0000}"/>
    <cellStyle name="60% - Accent4 3 32 6" xfId="16241" xr:uid="{00000000-0005-0000-0000-00001D3F0000}"/>
    <cellStyle name="60% - Accent4 3 32 7" xfId="16242" xr:uid="{00000000-0005-0000-0000-00001E3F0000}"/>
    <cellStyle name="60% - Accent4 3 32 8" xfId="16243" xr:uid="{00000000-0005-0000-0000-00001F3F0000}"/>
    <cellStyle name="60% - Accent4 3 32 9" xfId="16244" xr:uid="{00000000-0005-0000-0000-0000203F0000}"/>
    <cellStyle name="60% - Accent4 3 33" xfId="16245" xr:uid="{00000000-0005-0000-0000-0000213F0000}"/>
    <cellStyle name="60% - Accent4 3 34" xfId="16246" xr:uid="{00000000-0005-0000-0000-0000223F0000}"/>
    <cellStyle name="60% - Accent4 3 35" xfId="16247" xr:uid="{00000000-0005-0000-0000-0000233F0000}"/>
    <cellStyle name="60% - Accent4 3 36" xfId="16248" xr:uid="{00000000-0005-0000-0000-0000243F0000}"/>
    <cellStyle name="60% - Accent4 3 37" xfId="16249" xr:uid="{00000000-0005-0000-0000-0000253F0000}"/>
    <cellStyle name="60% - Accent4 3 38" xfId="16250" xr:uid="{00000000-0005-0000-0000-0000263F0000}"/>
    <cellStyle name="60% - Accent4 3 39" xfId="16251" xr:uid="{00000000-0005-0000-0000-0000273F0000}"/>
    <cellStyle name="60% - Accent4 3 4" xfId="16252" xr:uid="{00000000-0005-0000-0000-0000283F0000}"/>
    <cellStyle name="60% - Accent4 3 4 10" xfId="16253" xr:uid="{00000000-0005-0000-0000-0000293F0000}"/>
    <cellStyle name="60% - Accent4 3 4 11" xfId="16254" xr:uid="{00000000-0005-0000-0000-00002A3F0000}"/>
    <cellStyle name="60% - Accent4 3 4 12" xfId="16255" xr:uid="{00000000-0005-0000-0000-00002B3F0000}"/>
    <cellStyle name="60% - Accent4 3 4 13" xfId="16256" xr:uid="{00000000-0005-0000-0000-00002C3F0000}"/>
    <cellStyle name="60% - Accent4 3 4 14" xfId="16257" xr:uid="{00000000-0005-0000-0000-00002D3F0000}"/>
    <cellStyle name="60% - Accent4 3 4 15" xfId="16258" xr:uid="{00000000-0005-0000-0000-00002E3F0000}"/>
    <cellStyle name="60% - Accent4 3 4 2" xfId="16259" xr:uid="{00000000-0005-0000-0000-00002F3F0000}"/>
    <cellStyle name="60% - Accent4 3 4 3" xfId="16260" xr:uid="{00000000-0005-0000-0000-0000303F0000}"/>
    <cellStyle name="60% - Accent4 3 4 4" xfId="16261" xr:uid="{00000000-0005-0000-0000-0000313F0000}"/>
    <cellStyle name="60% - Accent4 3 4 5" xfId="16262" xr:uid="{00000000-0005-0000-0000-0000323F0000}"/>
    <cellStyle name="60% - Accent4 3 4 6" xfId="16263" xr:uid="{00000000-0005-0000-0000-0000333F0000}"/>
    <cellStyle name="60% - Accent4 3 4 7" xfId="16264" xr:uid="{00000000-0005-0000-0000-0000343F0000}"/>
    <cellStyle name="60% - Accent4 3 4 8" xfId="16265" xr:uid="{00000000-0005-0000-0000-0000353F0000}"/>
    <cellStyle name="60% - Accent4 3 4 9" xfId="16266" xr:uid="{00000000-0005-0000-0000-0000363F0000}"/>
    <cellStyle name="60% - Accent4 3 40" xfId="16267" xr:uid="{00000000-0005-0000-0000-0000373F0000}"/>
    <cellStyle name="60% - Accent4 3 41" xfId="16268" xr:uid="{00000000-0005-0000-0000-0000383F0000}"/>
    <cellStyle name="60% - Accent4 3 42" xfId="16269" xr:uid="{00000000-0005-0000-0000-0000393F0000}"/>
    <cellStyle name="60% - Accent4 3 43" xfId="16270" xr:uid="{00000000-0005-0000-0000-00003A3F0000}"/>
    <cellStyle name="60% - Accent4 3 44" xfId="16271" xr:uid="{00000000-0005-0000-0000-00003B3F0000}"/>
    <cellStyle name="60% - Accent4 3 45" xfId="16272" xr:uid="{00000000-0005-0000-0000-00003C3F0000}"/>
    <cellStyle name="60% - Accent4 3 46" xfId="16273" xr:uid="{00000000-0005-0000-0000-00003D3F0000}"/>
    <cellStyle name="60% - Accent4 3 47" xfId="16274" xr:uid="{00000000-0005-0000-0000-00003E3F0000}"/>
    <cellStyle name="60% - Accent4 3 48" xfId="16275" xr:uid="{00000000-0005-0000-0000-00003F3F0000}"/>
    <cellStyle name="60% - Accent4 3 49" xfId="16276" xr:uid="{00000000-0005-0000-0000-0000403F0000}"/>
    <cellStyle name="60% - Accent4 3 5" xfId="16277" xr:uid="{00000000-0005-0000-0000-0000413F0000}"/>
    <cellStyle name="60% - Accent4 3 5 10" xfId="16278" xr:uid="{00000000-0005-0000-0000-0000423F0000}"/>
    <cellStyle name="60% - Accent4 3 5 11" xfId="16279" xr:uid="{00000000-0005-0000-0000-0000433F0000}"/>
    <cellStyle name="60% - Accent4 3 5 12" xfId="16280" xr:uid="{00000000-0005-0000-0000-0000443F0000}"/>
    <cellStyle name="60% - Accent4 3 5 13" xfId="16281" xr:uid="{00000000-0005-0000-0000-0000453F0000}"/>
    <cellStyle name="60% - Accent4 3 5 14" xfId="16282" xr:uid="{00000000-0005-0000-0000-0000463F0000}"/>
    <cellStyle name="60% - Accent4 3 5 15" xfId="16283" xr:uid="{00000000-0005-0000-0000-0000473F0000}"/>
    <cellStyle name="60% - Accent4 3 5 2" xfId="16284" xr:uid="{00000000-0005-0000-0000-0000483F0000}"/>
    <cellStyle name="60% - Accent4 3 5 3" xfId="16285" xr:uid="{00000000-0005-0000-0000-0000493F0000}"/>
    <cellStyle name="60% - Accent4 3 5 4" xfId="16286" xr:uid="{00000000-0005-0000-0000-00004A3F0000}"/>
    <cellStyle name="60% - Accent4 3 5 5" xfId="16287" xr:uid="{00000000-0005-0000-0000-00004B3F0000}"/>
    <cellStyle name="60% - Accent4 3 5 6" xfId="16288" xr:uid="{00000000-0005-0000-0000-00004C3F0000}"/>
    <cellStyle name="60% - Accent4 3 5 7" xfId="16289" xr:uid="{00000000-0005-0000-0000-00004D3F0000}"/>
    <cellStyle name="60% - Accent4 3 5 8" xfId="16290" xr:uid="{00000000-0005-0000-0000-00004E3F0000}"/>
    <cellStyle name="60% - Accent4 3 5 9" xfId="16291" xr:uid="{00000000-0005-0000-0000-00004F3F0000}"/>
    <cellStyle name="60% - Accent4 3 50" xfId="16292" xr:uid="{00000000-0005-0000-0000-0000503F0000}"/>
    <cellStyle name="60% - Accent4 3 51" xfId="16293" xr:uid="{00000000-0005-0000-0000-0000513F0000}"/>
    <cellStyle name="60% - Accent4 3 52" xfId="16294" xr:uid="{00000000-0005-0000-0000-0000523F0000}"/>
    <cellStyle name="60% - Accent4 3 53" xfId="16295" xr:uid="{00000000-0005-0000-0000-0000533F0000}"/>
    <cellStyle name="60% - Accent4 3 6" xfId="16296" xr:uid="{00000000-0005-0000-0000-0000543F0000}"/>
    <cellStyle name="60% - Accent4 3 6 10" xfId="16297" xr:uid="{00000000-0005-0000-0000-0000553F0000}"/>
    <cellStyle name="60% - Accent4 3 6 11" xfId="16298" xr:uid="{00000000-0005-0000-0000-0000563F0000}"/>
    <cellStyle name="60% - Accent4 3 6 12" xfId="16299" xr:uid="{00000000-0005-0000-0000-0000573F0000}"/>
    <cellStyle name="60% - Accent4 3 6 13" xfId="16300" xr:uid="{00000000-0005-0000-0000-0000583F0000}"/>
    <cellStyle name="60% - Accent4 3 6 14" xfId="16301" xr:uid="{00000000-0005-0000-0000-0000593F0000}"/>
    <cellStyle name="60% - Accent4 3 6 15" xfId="16302" xr:uid="{00000000-0005-0000-0000-00005A3F0000}"/>
    <cellStyle name="60% - Accent4 3 6 2" xfId="16303" xr:uid="{00000000-0005-0000-0000-00005B3F0000}"/>
    <cellStyle name="60% - Accent4 3 6 3" xfId="16304" xr:uid="{00000000-0005-0000-0000-00005C3F0000}"/>
    <cellStyle name="60% - Accent4 3 6 4" xfId="16305" xr:uid="{00000000-0005-0000-0000-00005D3F0000}"/>
    <cellStyle name="60% - Accent4 3 6 5" xfId="16306" xr:uid="{00000000-0005-0000-0000-00005E3F0000}"/>
    <cellStyle name="60% - Accent4 3 6 6" xfId="16307" xr:uid="{00000000-0005-0000-0000-00005F3F0000}"/>
    <cellStyle name="60% - Accent4 3 6 7" xfId="16308" xr:uid="{00000000-0005-0000-0000-0000603F0000}"/>
    <cellStyle name="60% - Accent4 3 6 8" xfId="16309" xr:uid="{00000000-0005-0000-0000-0000613F0000}"/>
    <cellStyle name="60% - Accent4 3 6 9" xfId="16310" xr:uid="{00000000-0005-0000-0000-0000623F0000}"/>
    <cellStyle name="60% - Accent4 3 7" xfId="16311" xr:uid="{00000000-0005-0000-0000-0000633F0000}"/>
    <cellStyle name="60% - Accent4 3 7 10" xfId="16312" xr:uid="{00000000-0005-0000-0000-0000643F0000}"/>
    <cellStyle name="60% - Accent4 3 7 11" xfId="16313" xr:uid="{00000000-0005-0000-0000-0000653F0000}"/>
    <cellStyle name="60% - Accent4 3 7 12" xfId="16314" xr:uid="{00000000-0005-0000-0000-0000663F0000}"/>
    <cellStyle name="60% - Accent4 3 7 13" xfId="16315" xr:uid="{00000000-0005-0000-0000-0000673F0000}"/>
    <cellStyle name="60% - Accent4 3 7 14" xfId="16316" xr:uid="{00000000-0005-0000-0000-0000683F0000}"/>
    <cellStyle name="60% - Accent4 3 7 15" xfId="16317" xr:uid="{00000000-0005-0000-0000-0000693F0000}"/>
    <cellStyle name="60% - Accent4 3 7 2" xfId="16318" xr:uid="{00000000-0005-0000-0000-00006A3F0000}"/>
    <cellStyle name="60% - Accent4 3 7 3" xfId="16319" xr:uid="{00000000-0005-0000-0000-00006B3F0000}"/>
    <cellStyle name="60% - Accent4 3 7 4" xfId="16320" xr:uid="{00000000-0005-0000-0000-00006C3F0000}"/>
    <cellStyle name="60% - Accent4 3 7 5" xfId="16321" xr:uid="{00000000-0005-0000-0000-00006D3F0000}"/>
    <cellStyle name="60% - Accent4 3 7 6" xfId="16322" xr:uid="{00000000-0005-0000-0000-00006E3F0000}"/>
    <cellStyle name="60% - Accent4 3 7 7" xfId="16323" xr:uid="{00000000-0005-0000-0000-00006F3F0000}"/>
    <cellStyle name="60% - Accent4 3 7 8" xfId="16324" xr:uid="{00000000-0005-0000-0000-0000703F0000}"/>
    <cellStyle name="60% - Accent4 3 7 9" xfId="16325" xr:uid="{00000000-0005-0000-0000-0000713F0000}"/>
    <cellStyle name="60% - Accent4 3 8" xfId="16326" xr:uid="{00000000-0005-0000-0000-0000723F0000}"/>
    <cellStyle name="60% - Accent4 3 8 10" xfId="16327" xr:uid="{00000000-0005-0000-0000-0000733F0000}"/>
    <cellStyle name="60% - Accent4 3 8 11" xfId="16328" xr:uid="{00000000-0005-0000-0000-0000743F0000}"/>
    <cellStyle name="60% - Accent4 3 8 12" xfId="16329" xr:uid="{00000000-0005-0000-0000-0000753F0000}"/>
    <cellStyle name="60% - Accent4 3 8 13" xfId="16330" xr:uid="{00000000-0005-0000-0000-0000763F0000}"/>
    <cellStyle name="60% - Accent4 3 8 14" xfId="16331" xr:uid="{00000000-0005-0000-0000-0000773F0000}"/>
    <cellStyle name="60% - Accent4 3 8 15" xfId="16332" xr:uid="{00000000-0005-0000-0000-0000783F0000}"/>
    <cellStyle name="60% - Accent4 3 8 2" xfId="16333" xr:uid="{00000000-0005-0000-0000-0000793F0000}"/>
    <cellStyle name="60% - Accent4 3 8 3" xfId="16334" xr:uid="{00000000-0005-0000-0000-00007A3F0000}"/>
    <cellStyle name="60% - Accent4 3 8 4" xfId="16335" xr:uid="{00000000-0005-0000-0000-00007B3F0000}"/>
    <cellStyle name="60% - Accent4 3 8 5" xfId="16336" xr:uid="{00000000-0005-0000-0000-00007C3F0000}"/>
    <cellStyle name="60% - Accent4 3 8 6" xfId="16337" xr:uid="{00000000-0005-0000-0000-00007D3F0000}"/>
    <cellStyle name="60% - Accent4 3 8 7" xfId="16338" xr:uid="{00000000-0005-0000-0000-00007E3F0000}"/>
    <cellStyle name="60% - Accent4 3 8 8" xfId="16339" xr:uid="{00000000-0005-0000-0000-00007F3F0000}"/>
    <cellStyle name="60% - Accent4 3 8 9" xfId="16340" xr:uid="{00000000-0005-0000-0000-0000803F0000}"/>
    <cellStyle name="60% - Accent4 3 9" xfId="16341" xr:uid="{00000000-0005-0000-0000-0000813F0000}"/>
    <cellStyle name="60% - Accent4 3 9 10" xfId="16342" xr:uid="{00000000-0005-0000-0000-0000823F0000}"/>
    <cellStyle name="60% - Accent4 3 9 11" xfId="16343" xr:uid="{00000000-0005-0000-0000-0000833F0000}"/>
    <cellStyle name="60% - Accent4 3 9 12" xfId="16344" xr:uid="{00000000-0005-0000-0000-0000843F0000}"/>
    <cellStyle name="60% - Accent4 3 9 13" xfId="16345" xr:uid="{00000000-0005-0000-0000-0000853F0000}"/>
    <cellStyle name="60% - Accent4 3 9 14" xfId="16346" xr:uid="{00000000-0005-0000-0000-0000863F0000}"/>
    <cellStyle name="60% - Accent4 3 9 15" xfId="16347" xr:uid="{00000000-0005-0000-0000-0000873F0000}"/>
    <cellStyle name="60% - Accent4 3 9 2" xfId="16348" xr:uid="{00000000-0005-0000-0000-0000883F0000}"/>
    <cellStyle name="60% - Accent4 3 9 3" xfId="16349" xr:uid="{00000000-0005-0000-0000-0000893F0000}"/>
    <cellStyle name="60% - Accent4 3 9 4" xfId="16350" xr:uid="{00000000-0005-0000-0000-00008A3F0000}"/>
    <cellStyle name="60% - Accent4 3 9 5" xfId="16351" xr:uid="{00000000-0005-0000-0000-00008B3F0000}"/>
    <cellStyle name="60% - Accent4 3 9 6" xfId="16352" xr:uid="{00000000-0005-0000-0000-00008C3F0000}"/>
    <cellStyle name="60% - Accent4 3 9 7" xfId="16353" xr:uid="{00000000-0005-0000-0000-00008D3F0000}"/>
    <cellStyle name="60% - Accent4 3 9 8" xfId="16354" xr:uid="{00000000-0005-0000-0000-00008E3F0000}"/>
    <cellStyle name="60% - Accent4 3 9 9" xfId="16355" xr:uid="{00000000-0005-0000-0000-00008F3F0000}"/>
    <cellStyle name="60% - Accent4 30" xfId="16356" xr:uid="{00000000-0005-0000-0000-0000903F0000}"/>
    <cellStyle name="60% - Accent4 30 10" xfId="16357" xr:uid="{00000000-0005-0000-0000-0000913F0000}"/>
    <cellStyle name="60% - Accent4 30 11" xfId="16358" xr:uid="{00000000-0005-0000-0000-0000923F0000}"/>
    <cellStyle name="60% - Accent4 30 12" xfId="16359" xr:uid="{00000000-0005-0000-0000-0000933F0000}"/>
    <cellStyle name="60% - Accent4 30 13" xfId="16360" xr:uid="{00000000-0005-0000-0000-0000943F0000}"/>
    <cellStyle name="60% - Accent4 30 14" xfId="16361" xr:uid="{00000000-0005-0000-0000-0000953F0000}"/>
    <cellStyle name="60% - Accent4 30 15" xfId="16362" xr:uid="{00000000-0005-0000-0000-0000963F0000}"/>
    <cellStyle name="60% - Accent4 30 2" xfId="16363" xr:uid="{00000000-0005-0000-0000-0000973F0000}"/>
    <cellStyle name="60% - Accent4 30 3" xfId="16364" xr:uid="{00000000-0005-0000-0000-0000983F0000}"/>
    <cellStyle name="60% - Accent4 30 4" xfId="16365" xr:uid="{00000000-0005-0000-0000-0000993F0000}"/>
    <cellStyle name="60% - Accent4 30 5" xfId="16366" xr:uid="{00000000-0005-0000-0000-00009A3F0000}"/>
    <cellStyle name="60% - Accent4 30 6" xfId="16367" xr:uid="{00000000-0005-0000-0000-00009B3F0000}"/>
    <cellStyle name="60% - Accent4 30 7" xfId="16368" xr:uid="{00000000-0005-0000-0000-00009C3F0000}"/>
    <cellStyle name="60% - Accent4 30 8" xfId="16369" xr:uid="{00000000-0005-0000-0000-00009D3F0000}"/>
    <cellStyle name="60% - Accent4 30 9" xfId="16370" xr:uid="{00000000-0005-0000-0000-00009E3F0000}"/>
    <cellStyle name="60% - Accent4 31" xfId="16371" xr:uid="{00000000-0005-0000-0000-00009F3F0000}"/>
    <cellStyle name="60% - Accent4 31 10" xfId="16372" xr:uid="{00000000-0005-0000-0000-0000A03F0000}"/>
    <cellStyle name="60% - Accent4 31 11" xfId="16373" xr:uid="{00000000-0005-0000-0000-0000A13F0000}"/>
    <cellStyle name="60% - Accent4 31 12" xfId="16374" xr:uid="{00000000-0005-0000-0000-0000A23F0000}"/>
    <cellStyle name="60% - Accent4 31 13" xfId="16375" xr:uid="{00000000-0005-0000-0000-0000A33F0000}"/>
    <cellStyle name="60% - Accent4 31 14" xfId="16376" xr:uid="{00000000-0005-0000-0000-0000A43F0000}"/>
    <cellStyle name="60% - Accent4 31 15" xfId="16377" xr:uid="{00000000-0005-0000-0000-0000A53F0000}"/>
    <cellStyle name="60% - Accent4 31 2" xfId="16378" xr:uid="{00000000-0005-0000-0000-0000A63F0000}"/>
    <cellStyle name="60% - Accent4 31 3" xfId="16379" xr:uid="{00000000-0005-0000-0000-0000A73F0000}"/>
    <cellStyle name="60% - Accent4 31 4" xfId="16380" xr:uid="{00000000-0005-0000-0000-0000A83F0000}"/>
    <cellStyle name="60% - Accent4 31 5" xfId="16381" xr:uid="{00000000-0005-0000-0000-0000A93F0000}"/>
    <cellStyle name="60% - Accent4 31 6" xfId="16382" xr:uid="{00000000-0005-0000-0000-0000AA3F0000}"/>
    <cellStyle name="60% - Accent4 31 7" xfId="16383" xr:uid="{00000000-0005-0000-0000-0000AB3F0000}"/>
    <cellStyle name="60% - Accent4 31 8" xfId="16384" xr:uid="{00000000-0005-0000-0000-0000AC3F0000}"/>
    <cellStyle name="60% - Accent4 31 9" xfId="16385" xr:uid="{00000000-0005-0000-0000-0000AD3F0000}"/>
    <cellStyle name="60% - Accent4 32" xfId="16386" xr:uid="{00000000-0005-0000-0000-0000AE3F0000}"/>
    <cellStyle name="60% - Accent4 32 10" xfId="16387" xr:uid="{00000000-0005-0000-0000-0000AF3F0000}"/>
    <cellStyle name="60% - Accent4 32 11" xfId="16388" xr:uid="{00000000-0005-0000-0000-0000B03F0000}"/>
    <cellStyle name="60% - Accent4 32 12" xfId="16389" xr:uid="{00000000-0005-0000-0000-0000B13F0000}"/>
    <cellStyle name="60% - Accent4 32 13" xfId="16390" xr:uid="{00000000-0005-0000-0000-0000B23F0000}"/>
    <cellStyle name="60% - Accent4 32 14" xfId="16391" xr:uid="{00000000-0005-0000-0000-0000B33F0000}"/>
    <cellStyle name="60% - Accent4 32 15" xfId="16392" xr:uid="{00000000-0005-0000-0000-0000B43F0000}"/>
    <cellStyle name="60% - Accent4 32 2" xfId="16393" xr:uid="{00000000-0005-0000-0000-0000B53F0000}"/>
    <cellStyle name="60% - Accent4 32 3" xfId="16394" xr:uid="{00000000-0005-0000-0000-0000B63F0000}"/>
    <cellStyle name="60% - Accent4 32 4" xfId="16395" xr:uid="{00000000-0005-0000-0000-0000B73F0000}"/>
    <cellStyle name="60% - Accent4 32 5" xfId="16396" xr:uid="{00000000-0005-0000-0000-0000B83F0000}"/>
    <cellStyle name="60% - Accent4 32 6" xfId="16397" xr:uid="{00000000-0005-0000-0000-0000B93F0000}"/>
    <cellStyle name="60% - Accent4 32 7" xfId="16398" xr:uid="{00000000-0005-0000-0000-0000BA3F0000}"/>
    <cellStyle name="60% - Accent4 32 8" xfId="16399" xr:uid="{00000000-0005-0000-0000-0000BB3F0000}"/>
    <cellStyle name="60% - Accent4 32 9" xfId="16400" xr:uid="{00000000-0005-0000-0000-0000BC3F0000}"/>
    <cellStyle name="60% - Accent4 33" xfId="16401" xr:uid="{00000000-0005-0000-0000-0000BD3F0000}"/>
    <cellStyle name="60% - Accent4 33 10" xfId="16402" xr:uid="{00000000-0005-0000-0000-0000BE3F0000}"/>
    <cellStyle name="60% - Accent4 33 11" xfId="16403" xr:uid="{00000000-0005-0000-0000-0000BF3F0000}"/>
    <cellStyle name="60% - Accent4 33 12" xfId="16404" xr:uid="{00000000-0005-0000-0000-0000C03F0000}"/>
    <cellStyle name="60% - Accent4 33 13" xfId="16405" xr:uid="{00000000-0005-0000-0000-0000C13F0000}"/>
    <cellStyle name="60% - Accent4 33 14" xfId="16406" xr:uid="{00000000-0005-0000-0000-0000C23F0000}"/>
    <cellStyle name="60% - Accent4 33 15" xfId="16407" xr:uid="{00000000-0005-0000-0000-0000C33F0000}"/>
    <cellStyle name="60% - Accent4 33 2" xfId="16408" xr:uid="{00000000-0005-0000-0000-0000C43F0000}"/>
    <cellStyle name="60% - Accent4 33 3" xfId="16409" xr:uid="{00000000-0005-0000-0000-0000C53F0000}"/>
    <cellStyle name="60% - Accent4 33 4" xfId="16410" xr:uid="{00000000-0005-0000-0000-0000C63F0000}"/>
    <cellStyle name="60% - Accent4 33 5" xfId="16411" xr:uid="{00000000-0005-0000-0000-0000C73F0000}"/>
    <cellStyle name="60% - Accent4 33 6" xfId="16412" xr:uid="{00000000-0005-0000-0000-0000C83F0000}"/>
    <cellStyle name="60% - Accent4 33 7" xfId="16413" xr:uid="{00000000-0005-0000-0000-0000C93F0000}"/>
    <cellStyle name="60% - Accent4 33 8" xfId="16414" xr:uid="{00000000-0005-0000-0000-0000CA3F0000}"/>
    <cellStyle name="60% - Accent4 33 9" xfId="16415" xr:uid="{00000000-0005-0000-0000-0000CB3F0000}"/>
    <cellStyle name="60% - Accent4 34" xfId="16416" xr:uid="{00000000-0005-0000-0000-0000CC3F0000}"/>
    <cellStyle name="60% - Accent4 34 10" xfId="16417" xr:uid="{00000000-0005-0000-0000-0000CD3F0000}"/>
    <cellStyle name="60% - Accent4 34 11" xfId="16418" xr:uid="{00000000-0005-0000-0000-0000CE3F0000}"/>
    <cellStyle name="60% - Accent4 34 12" xfId="16419" xr:uid="{00000000-0005-0000-0000-0000CF3F0000}"/>
    <cellStyle name="60% - Accent4 34 13" xfId="16420" xr:uid="{00000000-0005-0000-0000-0000D03F0000}"/>
    <cellStyle name="60% - Accent4 34 14" xfId="16421" xr:uid="{00000000-0005-0000-0000-0000D13F0000}"/>
    <cellStyle name="60% - Accent4 34 15" xfId="16422" xr:uid="{00000000-0005-0000-0000-0000D23F0000}"/>
    <cellStyle name="60% - Accent4 34 2" xfId="16423" xr:uid="{00000000-0005-0000-0000-0000D33F0000}"/>
    <cellStyle name="60% - Accent4 34 3" xfId="16424" xr:uid="{00000000-0005-0000-0000-0000D43F0000}"/>
    <cellStyle name="60% - Accent4 34 4" xfId="16425" xr:uid="{00000000-0005-0000-0000-0000D53F0000}"/>
    <cellStyle name="60% - Accent4 34 5" xfId="16426" xr:uid="{00000000-0005-0000-0000-0000D63F0000}"/>
    <cellStyle name="60% - Accent4 34 6" xfId="16427" xr:uid="{00000000-0005-0000-0000-0000D73F0000}"/>
    <cellStyle name="60% - Accent4 34 7" xfId="16428" xr:uid="{00000000-0005-0000-0000-0000D83F0000}"/>
    <cellStyle name="60% - Accent4 34 8" xfId="16429" xr:uid="{00000000-0005-0000-0000-0000D93F0000}"/>
    <cellStyle name="60% - Accent4 34 9" xfId="16430" xr:uid="{00000000-0005-0000-0000-0000DA3F0000}"/>
    <cellStyle name="60% - Accent4 35" xfId="16431" xr:uid="{00000000-0005-0000-0000-0000DB3F0000}"/>
    <cellStyle name="60% - Accent4 35 10" xfId="16432" xr:uid="{00000000-0005-0000-0000-0000DC3F0000}"/>
    <cellStyle name="60% - Accent4 35 11" xfId="16433" xr:uid="{00000000-0005-0000-0000-0000DD3F0000}"/>
    <cellStyle name="60% - Accent4 35 12" xfId="16434" xr:uid="{00000000-0005-0000-0000-0000DE3F0000}"/>
    <cellStyle name="60% - Accent4 35 13" xfId="16435" xr:uid="{00000000-0005-0000-0000-0000DF3F0000}"/>
    <cellStyle name="60% - Accent4 35 14" xfId="16436" xr:uid="{00000000-0005-0000-0000-0000E03F0000}"/>
    <cellStyle name="60% - Accent4 35 15" xfId="16437" xr:uid="{00000000-0005-0000-0000-0000E13F0000}"/>
    <cellStyle name="60% - Accent4 35 2" xfId="16438" xr:uid="{00000000-0005-0000-0000-0000E23F0000}"/>
    <cellStyle name="60% - Accent4 35 3" xfId="16439" xr:uid="{00000000-0005-0000-0000-0000E33F0000}"/>
    <cellStyle name="60% - Accent4 35 4" xfId="16440" xr:uid="{00000000-0005-0000-0000-0000E43F0000}"/>
    <cellStyle name="60% - Accent4 35 5" xfId="16441" xr:uid="{00000000-0005-0000-0000-0000E53F0000}"/>
    <cellStyle name="60% - Accent4 35 6" xfId="16442" xr:uid="{00000000-0005-0000-0000-0000E63F0000}"/>
    <cellStyle name="60% - Accent4 35 7" xfId="16443" xr:uid="{00000000-0005-0000-0000-0000E73F0000}"/>
    <cellStyle name="60% - Accent4 35 8" xfId="16444" xr:uid="{00000000-0005-0000-0000-0000E83F0000}"/>
    <cellStyle name="60% - Accent4 35 9" xfId="16445" xr:uid="{00000000-0005-0000-0000-0000E93F0000}"/>
    <cellStyle name="60% - Accent4 36" xfId="16446" xr:uid="{00000000-0005-0000-0000-0000EA3F0000}"/>
    <cellStyle name="60% - Accent4 36 10" xfId="16447" xr:uid="{00000000-0005-0000-0000-0000EB3F0000}"/>
    <cellStyle name="60% - Accent4 36 11" xfId="16448" xr:uid="{00000000-0005-0000-0000-0000EC3F0000}"/>
    <cellStyle name="60% - Accent4 36 12" xfId="16449" xr:uid="{00000000-0005-0000-0000-0000ED3F0000}"/>
    <cellStyle name="60% - Accent4 36 13" xfId="16450" xr:uid="{00000000-0005-0000-0000-0000EE3F0000}"/>
    <cellStyle name="60% - Accent4 36 14" xfId="16451" xr:uid="{00000000-0005-0000-0000-0000EF3F0000}"/>
    <cellStyle name="60% - Accent4 36 15" xfId="16452" xr:uid="{00000000-0005-0000-0000-0000F03F0000}"/>
    <cellStyle name="60% - Accent4 36 2" xfId="16453" xr:uid="{00000000-0005-0000-0000-0000F13F0000}"/>
    <cellStyle name="60% - Accent4 36 3" xfId="16454" xr:uid="{00000000-0005-0000-0000-0000F23F0000}"/>
    <cellStyle name="60% - Accent4 36 4" xfId="16455" xr:uid="{00000000-0005-0000-0000-0000F33F0000}"/>
    <cellStyle name="60% - Accent4 36 5" xfId="16456" xr:uid="{00000000-0005-0000-0000-0000F43F0000}"/>
    <cellStyle name="60% - Accent4 36 6" xfId="16457" xr:uid="{00000000-0005-0000-0000-0000F53F0000}"/>
    <cellStyle name="60% - Accent4 36 7" xfId="16458" xr:uid="{00000000-0005-0000-0000-0000F63F0000}"/>
    <cellStyle name="60% - Accent4 36 8" xfId="16459" xr:uid="{00000000-0005-0000-0000-0000F73F0000}"/>
    <cellStyle name="60% - Accent4 36 9" xfId="16460" xr:uid="{00000000-0005-0000-0000-0000F83F0000}"/>
    <cellStyle name="60% - Accent4 37" xfId="16461" xr:uid="{00000000-0005-0000-0000-0000F93F0000}"/>
    <cellStyle name="60% - Accent4 37 10" xfId="16462" xr:uid="{00000000-0005-0000-0000-0000FA3F0000}"/>
    <cellStyle name="60% - Accent4 37 11" xfId="16463" xr:uid="{00000000-0005-0000-0000-0000FB3F0000}"/>
    <cellStyle name="60% - Accent4 37 12" xfId="16464" xr:uid="{00000000-0005-0000-0000-0000FC3F0000}"/>
    <cellStyle name="60% - Accent4 37 13" xfId="16465" xr:uid="{00000000-0005-0000-0000-0000FD3F0000}"/>
    <cellStyle name="60% - Accent4 37 14" xfId="16466" xr:uid="{00000000-0005-0000-0000-0000FE3F0000}"/>
    <cellStyle name="60% - Accent4 37 15" xfId="16467" xr:uid="{00000000-0005-0000-0000-0000FF3F0000}"/>
    <cellStyle name="60% - Accent4 37 2" xfId="16468" xr:uid="{00000000-0005-0000-0000-000000400000}"/>
    <cellStyle name="60% - Accent4 37 3" xfId="16469" xr:uid="{00000000-0005-0000-0000-000001400000}"/>
    <cellStyle name="60% - Accent4 37 4" xfId="16470" xr:uid="{00000000-0005-0000-0000-000002400000}"/>
    <cellStyle name="60% - Accent4 37 5" xfId="16471" xr:uid="{00000000-0005-0000-0000-000003400000}"/>
    <cellStyle name="60% - Accent4 37 6" xfId="16472" xr:uid="{00000000-0005-0000-0000-000004400000}"/>
    <cellStyle name="60% - Accent4 37 7" xfId="16473" xr:uid="{00000000-0005-0000-0000-000005400000}"/>
    <cellStyle name="60% - Accent4 37 8" xfId="16474" xr:uid="{00000000-0005-0000-0000-000006400000}"/>
    <cellStyle name="60% - Accent4 37 9" xfId="16475" xr:uid="{00000000-0005-0000-0000-000007400000}"/>
    <cellStyle name="60% - Accent4 38" xfId="16476" xr:uid="{00000000-0005-0000-0000-000008400000}"/>
    <cellStyle name="60% - Accent4 38 10" xfId="16477" xr:uid="{00000000-0005-0000-0000-000009400000}"/>
    <cellStyle name="60% - Accent4 38 11" xfId="16478" xr:uid="{00000000-0005-0000-0000-00000A400000}"/>
    <cellStyle name="60% - Accent4 38 12" xfId="16479" xr:uid="{00000000-0005-0000-0000-00000B400000}"/>
    <cellStyle name="60% - Accent4 38 13" xfId="16480" xr:uid="{00000000-0005-0000-0000-00000C400000}"/>
    <cellStyle name="60% - Accent4 38 14" xfId="16481" xr:uid="{00000000-0005-0000-0000-00000D400000}"/>
    <cellStyle name="60% - Accent4 38 15" xfId="16482" xr:uid="{00000000-0005-0000-0000-00000E400000}"/>
    <cellStyle name="60% - Accent4 38 2" xfId="16483" xr:uid="{00000000-0005-0000-0000-00000F400000}"/>
    <cellStyle name="60% - Accent4 38 3" xfId="16484" xr:uid="{00000000-0005-0000-0000-000010400000}"/>
    <cellStyle name="60% - Accent4 38 4" xfId="16485" xr:uid="{00000000-0005-0000-0000-000011400000}"/>
    <cellStyle name="60% - Accent4 38 5" xfId="16486" xr:uid="{00000000-0005-0000-0000-000012400000}"/>
    <cellStyle name="60% - Accent4 38 6" xfId="16487" xr:uid="{00000000-0005-0000-0000-000013400000}"/>
    <cellStyle name="60% - Accent4 38 7" xfId="16488" xr:uid="{00000000-0005-0000-0000-000014400000}"/>
    <cellStyle name="60% - Accent4 38 8" xfId="16489" xr:uid="{00000000-0005-0000-0000-000015400000}"/>
    <cellStyle name="60% - Accent4 38 9" xfId="16490" xr:uid="{00000000-0005-0000-0000-000016400000}"/>
    <cellStyle name="60% - Accent4 39" xfId="16491" xr:uid="{00000000-0005-0000-0000-000017400000}"/>
    <cellStyle name="60% - Accent4 39 10" xfId="16492" xr:uid="{00000000-0005-0000-0000-000018400000}"/>
    <cellStyle name="60% - Accent4 39 11" xfId="16493" xr:uid="{00000000-0005-0000-0000-000019400000}"/>
    <cellStyle name="60% - Accent4 39 12" xfId="16494" xr:uid="{00000000-0005-0000-0000-00001A400000}"/>
    <cellStyle name="60% - Accent4 39 13" xfId="16495" xr:uid="{00000000-0005-0000-0000-00001B400000}"/>
    <cellStyle name="60% - Accent4 39 14" xfId="16496" xr:uid="{00000000-0005-0000-0000-00001C400000}"/>
    <cellStyle name="60% - Accent4 39 15" xfId="16497" xr:uid="{00000000-0005-0000-0000-00001D400000}"/>
    <cellStyle name="60% - Accent4 39 2" xfId="16498" xr:uid="{00000000-0005-0000-0000-00001E400000}"/>
    <cellStyle name="60% - Accent4 39 3" xfId="16499" xr:uid="{00000000-0005-0000-0000-00001F400000}"/>
    <cellStyle name="60% - Accent4 39 4" xfId="16500" xr:uid="{00000000-0005-0000-0000-000020400000}"/>
    <cellStyle name="60% - Accent4 39 5" xfId="16501" xr:uid="{00000000-0005-0000-0000-000021400000}"/>
    <cellStyle name="60% - Accent4 39 6" xfId="16502" xr:uid="{00000000-0005-0000-0000-000022400000}"/>
    <cellStyle name="60% - Accent4 39 7" xfId="16503" xr:uid="{00000000-0005-0000-0000-000023400000}"/>
    <cellStyle name="60% - Accent4 39 8" xfId="16504" xr:uid="{00000000-0005-0000-0000-000024400000}"/>
    <cellStyle name="60% - Accent4 39 9" xfId="16505" xr:uid="{00000000-0005-0000-0000-000025400000}"/>
    <cellStyle name="60% - Accent4 4" xfId="16506" xr:uid="{00000000-0005-0000-0000-000026400000}"/>
    <cellStyle name="60% - Accent4 4 2" xfId="16507" xr:uid="{00000000-0005-0000-0000-000027400000}"/>
    <cellStyle name="60% - Accent4 4 2 2" xfId="16508" xr:uid="{00000000-0005-0000-0000-000028400000}"/>
    <cellStyle name="60% - Accent4 4 3" xfId="16509" xr:uid="{00000000-0005-0000-0000-000029400000}"/>
    <cellStyle name="60% - Accent4 4 3 2" xfId="16510" xr:uid="{00000000-0005-0000-0000-00002A400000}"/>
    <cellStyle name="60% - Accent4 4 4" xfId="16511" xr:uid="{00000000-0005-0000-0000-00002B400000}"/>
    <cellStyle name="60% - Accent4 4 4 2" xfId="16512" xr:uid="{00000000-0005-0000-0000-00002C400000}"/>
    <cellStyle name="60% - Accent4 4 5" xfId="16513" xr:uid="{00000000-0005-0000-0000-00002D400000}"/>
    <cellStyle name="60% - Accent4 4 5 2" xfId="16514" xr:uid="{00000000-0005-0000-0000-00002E400000}"/>
    <cellStyle name="60% - Accent4 4 6" xfId="16515" xr:uid="{00000000-0005-0000-0000-00002F400000}"/>
    <cellStyle name="60% - Accent4 4 6 2" xfId="16516" xr:uid="{00000000-0005-0000-0000-000030400000}"/>
    <cellStyle name="60% - Accent4 4 7" xfId="16517" xr:uid="{00000000-0005-0000-0000-000031400000}"/>
    <cellStyle name="60% - Accent4 40" xfId="16518" xr:uid="{00000000-0005-0000-0000-000032400000}"/>
    <cellStyle name="60% - Accent4 41" xfId="16519" xr:uid="{00000000-0005-0000-0000-000033400000}"/>
    <cellStyle name="60% - Accent4 42" xfId="16520" xr:uid="{00000000-0005-0000-0000-000034400000}"/>
    <cellStyle name="60% - Accent4 43" xfId="16521" xr:uid="{00000000-0005-0000-0000-000035400000}"/>
    <cellStyle name="60% - Accent4 44" xfId="16522" xr:uid="{00000000-0005-0000-0000-000036400000}"/>
    <cellStyle name="60% - Accent4 45" xfId="16523" xr:uid="{00000000-0005-0000-0000-000037400000}"/>
    <cellStyle name="60% - Accent4 46" xfId="16524" xr:uid="{00000000-0005-0000-0000-000038400000}"/>
    <cellStyle name="60% - Accent4 47" xfId="16525" xr:uid="{00000000-0005-0000-0000-000039400000}"/>
    <cellStyle name="60% - Accent4 48" xfId="16526" xr:uid="{00000000-0005-0000-0000-00003A400000}"/>
    <cellStyle name="60% - Accent4 49" xfId="16527" xr:uid="{00000000-0005-0000-0000-00003B400000}"/>
    <cellStyle name="60% - Accent4 5" xfId="16528" xr:uid="{00000000-0005-0000-0000-00003C400000}"/>
    <cellStyle name="60% - Accent4 5 2" xfId="16529" xr:uid="{00000000-0005-0000-0000-00003D400000}"/>
    <cellStyle name="60% - Accent4 5 2 2" xfId="16530" xr:uid="{00000000-0005-0000-0000-00003E400000}"/>
    <cellStyle name="60% - Accent4 5 2 3" xfId="16531" xr:uid="{00000000-0005-0000-0000-00003F400000}"/>
    <cellStyle name="60% - Accent4 5 2 4" xfId="16532" xr:uid="{00000000-0005-0000-0000-000040400000}"/>
    <cellStyle name="60% - Accent4 5 3" xfId="16533" xr:uid="{00000000-0005-0000-0000-000041400000}"/>
    <cellStyle name="60% - Accent4 5 3 2" xfId="16534" xr:uid="{00000000-0005-0000-0000-000042400000}"/>
    <cellStyle name="60% - Accent4 5 3 3" xfId="16535" xr:uid="{00000000-0005-0000-0000-000043400000}"/>
    <cellStyle name="60% - Accent4 5 4" xfId="16536" xr:uid="{00000000-0005-0000-0000-000044400000}"/>
    <cellStyle name="60% - Accent4 50" xfId="16537" xr:uid="{00000000-0005-0000-0000-000045400000}"/>
    <cellStyle name="60% - Accent4 51" xfId="16538" xr:uid="{00000000-0005-0000-0000-000046400000}"/>
    <cellStyle name="60% - Accent4 52" xfId="16539" xr:uid="{00000000-0005-0000-0000-000047400000}"/>
    <cellStyle name="60% - Accent4 53" xfId="16540" xr:uid="{00000000-0005-0000-0000-000048400000}"/>
    <cellStyle name="60% - Accent4 54" xfId="16541" xr:uid="{00000000-0005-0000-0000-000049400000}"/>
    <cellStyle name="60% - Accent4 55" xfId="16542" xr:uid="{00000000-0005-0000-0000-00004A400000}"/>
    <cellStyle name="60% - Accent4 56" xfId="16543" xr:uid="{00000000-0005-0000-0000-00004B400000}"/>
    <cellStyle name="60% - Accent4 57" xfId="16544" xr:uid="{00000000-0005-0000-0000-00004C400000}"/>
    <cellStyle name="60% - Accent4 58" xfId="16545" xr:uid="{00000000-0005-0000-0000-00004D400000}"/>
    <cellStyle name="60% - Accent4 59" xfId="16546" xr:uid="{00000000-0005-0000-0000-00004E400000}"/>
    <cellStyle name="60% - Accent4 6" xfId="16547" xr:uid="{00000000-0005-0000-0000-00004F400000}"/>
    <cellStyle name="60% - Accent4 6 2" xfId="16548" xr:uid="{00000000-0005-0000-0000-000050400000}"/>
    <cellStyle name="60% - Accent4 60" xfId="16549" xr:uid="{00000000-0005-0000-0000-000051400000}"/>
    <cellStyle name="60% - Accent4 61" xfId="16550" xr:uid="{00000000-0005-0000-0000-000052400000}"/>
    <cellStyle name="60% - Accent4 62" xfId="16551" xr:uid="{00000000-0005-0000-0000-000053400000}"/>
    <cellStyle name="60% - Accent4 63" xfId="16552" xr:uid="{00000000-0005-0000-0000-000054400000}"/>
    <cellStyle name="60% - Accent4 64" xfId="16553" xr:uid="{00000000-0005-0000-0000-000055400000}"/>
    <cellStyle name="60% - Accent4 65" xfId="16554" xr:uid="{00000000-0005-0000-0000-000056400000}"/>
    <cellStyle name="60% - Accent4 66" xfId="16555" xr:uid="{00000000-0005-0000-0000-000057400000}"/>
    <cellStyle name="60% - Accent4 67" xfId="16556" xr:uid="{00000000-0005-0000-0000-000058400000}"/>
    <cellStyle name="60% - Accent4 68" xfId="16557" xr:uid="{00000000-0005-0000-0000-000059400000}"/>
    <cellStyle name="60% - Accent4 69" xfId="16558" xr:uid="{00000000-0005-0000-0000-00005A400000}"/>
    <cellStyle name="60% - Accent4 7" xfId="16559" xr:uid="{00000000-0005-0000-0000-00005B400000}"/>
    <cellStyle name="60% - Accent4 7 2" xfId="16560" xr:uid="{00000000-0005-0000-0000-00005C400000}"/>
    <cellStyle name="60% - Accent4 70" xfId="16561" xr:uid="{00000000-0005-0000-0000-00005D400000}"/>
    <cellStyle name="60% - Accent4 71" xfId="16562" xr:uid="{00000000-0005-0000-0000-00005E400000}"/>
    <cellStyle name="60% - Accent4 72" xfId="16563" xr:uid="{00000000-0005-0000-0000-00005F400000}"/>
    <cellStyle name="60% - Accent4 73" xfId="16564" xr:uid="{00000000-0005-0000-0000-000060400000}"/>
    <cellStyle name="60% - Accent4 74" xfId="16565" xr:uid="{00000000-0005-0000-0000-000061400000}"/>
    <cellStyle name="60% - Accent4 75" xfId="16566" xr:uid="{00000000-0005-0000-0000-000062400000}"/>
    <cellStyle name="60% - Accent4 76" xfId="16567" xr:uid="{00000000-0005-0000-0000-000063400000}"/>
    <cellStyle name="60% - Accent4 77" xfId="16568" xr:uid="{00000000-0005-0000-0000-000064400000}"/>
    <cellStyle name="60% - Accent4 78" xfId="16569" xr:uid="{00000000-0005-0000-0000-000065400000}"/>
    <cellStyle name="60% - Accent4 79" xfId="16570" xr:uid="{00000000-0005-0000-0000-000066400000}"/>
    <cellStyle name="60% - Accent4 79 2" xfId="16571" xr:uid="{00000000-0005-0000-0000-000067400000}"/>
    <cellStyle name="60% - Accent4 8" xfId="16572" xr:uid="{00000000-0005-0000-0000-000068400000}"/>
    <cellStyle name="60% - Accent4 8 2" xfId="16573" xr:uid="{00000000-0005-0000-0000-000069400000}"/>
    <cellStyle name="60% - Accent4 80" xfId="16574" xr:uid="{00000000-0005-0000-0000-00006A400000}"/>
    <cellStyle name="60% - Accent4 80 2" xfId="16575" xr:uid="{00000000-0005-0000-0000-00006B400000}"/>
    <cellStyle name="60% - Accent4 81" xfId="16576" xr:uid="{00000000-0005-0000-0000-00006C400000}"/>
    <cellStyle name="60% - Accent4 81 2" xfId="16577" xr:uid="{00000000-0005-0000-0000-00006D400000}"/>
    <cellStyle name="60% - Accent4 82" xfId="16578" xr:uid="{00000000-0005-0000-0000-00006E400000}"/>
    <cellStyle name="60% - Accent4 82 2" xfId="16579" xr:uid="{00000000-0005-0000-0000-00006F400000}"/>
    <cellStyle name="60% - Accent4 83" xfId="16580" xr:uid="{00000000-0005-0000-0000-000070400000}"/>
    <cellStyle name="60% - Accent4 83 2" xfId="16581" xr:uid="{00000000-0005-0000-0000-000071400000}"/>
    <cellStyle name="60% - Accent4 84" xfId="16582" xr:uid="{00000000-0005-0000-0000-000072400000}"/>
    <cellStyle name="60% - Accent4 84 2" xfId="16583" xr:uid="{00000000-0005-0000-0000-000073400000}"/>
    <cellStyle name="60% - Accent4 85" xfId="16584" xr:uid="{00000000-0005-0000-0000-000074400000}"/>
    <cellStyle name="60% - Accent4 85 2" xfId="16585" xr:uid="{00000000-0005-0000-0000-000075400000}"/>
    <cellStyle name="60% - Accent4 86" xfId="16586" xr:uid="{00000000-0005-0000-0000-000076400000}"/>
    <cellStyle name="60% - Accent4 86 2" xfId="16587" xr:uid="{00000000-0005-0000-0000-000077400000}"/>
    <cellStyle name="60% - Accent4 87" xfId="16588" xr:uid="{00000000-0005-0000-0000-000078400000}"/>
    <cellStyle name="60% - Accent4 87 2" xfId="16589" xr:uid="{00000000-0005-0000-0000-000079400000}"/>
    <cellStyle name="60% - Accent4 88" xfId="16590" xr:uid="{00000000-0005-0000-0000-00007A400000}"/>
    <cellStyle name="60% - Accent4 88 2" xfId="16591" xr:uid="{00000000-0005-0000-0000-00007B400000}"/>
    <cellStyle name="60% - Accent4 89" xfId="16592" xr:uid="{00000000-0005-0000-0000-00007C400000}"/>
    <cellStyle name="60% - Accent4 89 2" xfId="16593" xr:uid="{00000000-0005-0000-0000-00007D400000}"/>
    <cellStyle name="60% - Accent4 9" xfId="16594" xr:uid="{00000000-0005-0000-0000-00007E400000}"/>
    <cellStyle name="60% - Accent4 9 2" xfId="16595" xr:uid="{00000000-0005-0000-0000-00007F400000}"/>
    <cellStyle name="60% - Accent4 90" xfId="16596" xr:uid="{00000000-0005-0000-0000-000080400000}"/>
    <cellStyle name="60% - Accent4 91" xfId="16597" xr:uid="{00000000-0005-0000-0000-000081400000}"/>
    <cellStyle name="60% - Accent4 92" xfId="16598" xr:uid="{00000000-0005-0000-0000-000082400000}"/>
    <cellStyle name="60% - Accent4 93" xfId="16599" xr:uid="{00000000-0005-0000-0000-000083400000}"/>
    <cellStyle name="60% - Accent4 94" xfId="16600" xr:uid="{00000000-0005-0000-0000-000084400000}"/>
    <cellStyle name="60% - Accent4 95" xfId="16601" xr:uid="{00000000-0005-0000-0000-000085400000}"/>
    <cellStyle name="60% - Accent4 96" xfId="16602" xr:uid="{00000000-0005-0000-0000-000086400000}"/>
    <cellStyle name="60% - Accent4 97" xfId="16603" xr:uid="{00000000-0005-0000-0000-000087400000}"/>
    <cellStyle name="60% - Accent4 98" xfId="16604" xr:uid="{00000000-0005-0000-0000-000088400000}"/>
    <cellStyle name="60% - Accent4 99" xfId="16605" xr:uid="{00000000-0005-0000-0000-000089400000}"/>
    <cellStyle name="60% - Accent5" xfId="37" builtinId="48" customBuiltin="1"/>
    <cellStyle name="60% - Accent5 10" xfId="16606" xr:uid="{00000000-0005-0000-0000-00008B400000}"/>
    <cellStyle name="60% - Accent5 10 2" xfId="16607" xr:uid="{00000000-0005-0000-0000-00008C400000}"/>
    <cellStyle name="60% - Accent5 100" xfId="16608" xr:uid="{00000000-0005-0000-0000-00008D400000}"/>
    <cellStyle name="60% - Accent5 101" xfId="16609" xr:uid="{00000000-0005-0000-0000-00008E400000}"/>
    <cellStyle name="60% - Accent5 102" xfId="16610" xr:uid="{00000000-0005-0000-0000-00008F400000}"/>
    <cellStyle name="60% - Accent5 103" xfId="16611" xr:uid="{00000000-0005-0000-0000-000090400000}"/>
    <cellStyle name="60% - Accent5 104" xfId="16612" xr:uid="{00000000-0005-0000-0000-000091400000}"/>
    <cellStyle name="60% - Accent5 105" xfId="16613" xr:uid="{00000000-0005-0000-0000-000092400000}"/>
    <cellStyle name="60% - Accent5 106" xfId="16614" xr:uid="{00000000-0005-0000-0000-000093400000}"/>
    <cellStyle name="60% - Accent5 107" xfId="16615" xr:uid="{00000000-0005-0000-0000-000094400000}"/>
    <cellStyle name="60% - Accent5 108" xfId="16616" xr:uid="{00000000-0005-0000-0000-000095400000}"/>
    <cellStyle name="60% - Accent5 109" xfId="16617" xr:uid="{00000000-0005-0000-0000-000096400000}"/>
    <cellStyle name="60% - Accent5 11" xfId="16618" xr:uid="{00000000-0005-0000-0000-000097400000}"/>
    <cellStyle name="60% - Accent5 11 2" xfId="16619" xr:uid="{00000000-0005-0000-0000-000098400000}"/>
    <cellStyle name="60% - Accent5 110" xfId="16620" xr:uid="{00000000-0005-0000-0000-000099400000}"/>
    <cellStyle name="60% - Accent5 111" xfId="16621" xr:uid="{00000000-0005-0000-0000-00009A400000}"/>
    <cellStyle name="60% - Accent5 112" xfId="16622" xr:uid="{00000000-0005-0000-0000-00009B400000}"/>
    <cellStyle name="60% - Accent5 113" xfId="16623" xr:uid="{00000000-0005-0000-0000-00009C400000}"/>
    <cellStyle name="60% - Accent5 114" xfId="16624" xr:uid="{00000000-0005-0000-0000-00009D400000}"/>
    <cellStyle name="60% - Accent5 115" xfId="16625" xr:uid="{00000000-0005-0000-0000-00009E400000}"/>
    <cellStyle name="60% - Accent5 116" xfId="16626" xr:uid="{00000000-0005-0000-0000-00009F400000}"/>
    <cellStyle name="60% - Accent5 117" xfId="16627" xr:uid="{00000000-0005-0000-0000-0000A0400000}"/>
    <cellStyle name="60% - Accent5 118" xfId="16628" xr:uid="{00000000-0005-0000-0000-0000A1400000}"/>
    <cellStyle name="60% - Accent5 119" xfId="16629" xr:uid="{00000000-0005-0000-0000-0000A2400000}"/>
    <cellStyle name="60% - Accent5 12" xfId="16630" xr:uid="{00000000-0005-0000-0000-0000A3400000}"/>
    <cellStyle name="60% - Accent5 12 2" xfId="16631" xr:uid="{00000000-0005-0000-0000-0000A4400000}"/>
    <cellStyle name="60% - Accent5 120" xfId="16632" xr:uid="{00000000-0005-0000-0000-0000A5400000}"/>
    <cellStyle name="60% - Accent5 121" xfId="16633" xr:uid="{00000000-0005-0000-0000-0000A6400000}"/>
    <cellStyle name="60% - Accent5 122" xfId="16634" xr:uid="{00000000-0005-0000-0000-0000A7400000}"/>
    <cellStyle name="60% - Accent5 123" xfId="16635" xr:uid="{00000000-0005-0000-0000-0000A8400000}"/>
    <cellStyle name="60% - Accent5 124" xfId="16636" xr:uid="{00000000-0005-0000-0000-0000A9400000}"/>
    <cellStyle name="60% - Accent5 125" xfId="16637" xr:uid="{00000000-0005-0000-0000-0000AA400000}"/>
    <cellStyle name="60% - Accent5 126" xfId="16638" xr:uid="{00000000-0005-0000-0000-0000AB400000}"/>
    <cellStyle name="60% - Accent5 127" xfId="16639" xr:uid="{00000000-0005-0000-0000-0000AC400000}"/>
    <cellStyle name="60% - Accent5 128" xfId="16640" xr:uid="{00000000-0005-0000-0000-0000AD400000}"/>
    <cellStyle name="60% - Accent5 129" xfId="16641" xr:uid="{00000000-0005-0000-0000-0000AE400000}"/>
    <cellStyle name="60% - Accent5 13" xfId="16642" xr:uid="{00000000-0005-0000-0000-0000AF400000}"/>
    <cellStyle name="60% - Accent5 13 2" xfId="16643" xr:uid="{00000000-0005-0000-0000-0000B0400000}"/>
    <cellStyle name="60% - Accent5 130" xfId="16644" xr:uid="{00000000-0005-0000-0000-0000B1400000}"/>
    <cellStyle name="60% - Accent5 131" xfId="16645" xr:uid="{00000000-0005-0000-0000-0000B2400000}"/>
    <cellStyle name="60% - Accent5 132" xfId="16646" xr:uid="{00000000-0005-0000-0000-0000B3400000}"/>
    <cellStyle name="60% - Accent5 133" xfId="16647" xr:uid="{00000000-0005-0000-0000-0000B4400000}"/>
    <cellStyle name="60% - Accent5 134" xfId="16648" xr:uid="{00000000-0005-0000-0000-0000B5400000}"/>
    <cellStyle name="60% - Accent5 135" xfId="16649" xr:uid="{00000000-0005-0000-0000-0000B6400000}"/>
    <cellStyle name="60% - Accent5 136" xfId="16650" xr:uid="{00000000-0005-0000-0000-0000B7400000}"/>
    <cellStyle name="60% - Accent5 137" xfId="16651" xr:uid="{00000000-0005-0000-0000-0000B8400000}"/>
    <cellStyle name="60% - Accent5 138" xfId="16652" xr:uid="{00000000-0005-0000-0000-0000B9400000}"/>
    <cellStyle name="60% - Accent5 139" xfId="16653" xr:uid="{00000000-0005-0000-0000-0000BA400000}"/>
    <cellStyle name="60% - Accent5 14" xfId="16654" xr:uid="{00000000-0005-0000-0000-0000BB400000}"/>
    <cellStyle name="60% - Accent5 14 2" xfId="16655" xr:uid="{00000000-0005-0000-0000-0000BC400000}"/>
    <cellStyle name="60% - Accent5 140" xfId="16656" xr:uid="{00000000-0005-0000-0000-0000BD400000}"/>
    <cellStyle name="60% - Accent5 141" xfId="16657" xr:uid="{00000000-0005-0000-0000-0000BE400000}"/>
    <cellStyle name="60% - Accent5 142" xfId="16658" xr:uid="{00000000-0005-0000-0000-0000BF400000}"/>
    <cellStyle name="60% - Accent5 143" xfId="16659" xr:uid="{00000000-0005-0000-0000-0000C0400000}"/>
    <cellStyle name="60% - Accent5 144" xfId="16660" xr:uid="{00000000-0005-0000-0000-0000C1400000}"/>
    <cellStyle name="60% - Accent5 145" xfId="16661" xr:uid="{00000000-0005-0000-0000-0000C2400000}"/>
    <cellStyle name="60% - Accent5 146" xfId="16662" xr:uid="{00000000-0005-0000-0000-0000C3400000}"/>
    <cellStyle name="60% - Accent5 147" xfId="16663" xr:uid="{00000000-0005-0000-0000-0000C4400000}"/>
    <cellStyle name="60% - Accent5 148" xfId="16664" xr:uid="{00000000-0005-0000-0000-0000C5400000}"/>
    <cellStyle name="60% - Accent5 149" xfId="16665" xr:uid="{00000000-0005-0000-0000-0000C6400000}"/>
    <cellStyle name="60% - Accent5 15" xfId="16666" xr:uid="{00000000-0005-0000-0000-0000C7400000}"/>
    <cellStyle name="60% - Accent5 15 2" xfId="16667" xr:uid="{00000000-0005-0000-0000-0000C8400000}"/>
    <cellStyle name="60% - Accent5 150" xfId="16668" xr:uid="{00000000-0005-0000-0000-0000C9400000}"/>
    <cellStyle name="60% - Accent5 151" xfId="16669" xr:uid="{00000000-0005-0000-0000-0000CA400000}"/>
    <cellStyle name="60% - Accent5 152" xfId="16670" xr:uid="{00000000-0005-0000-0000-0000CB400000}"/>
    <cellStyle name="60% - Accent5 153" xfId="16671" xr:uid="{00000000-0005-0000-0000-0000CC400000}"/>
    <cellStyle name="60% - Accent5 154" xfId="16672" xr:uid="{00000000-0005-0000-0000-0000CD400000}"/>
    <cellStyle name="60% - Accent5 155" xfId="16673" xr:uid="{00000000-0005-0000-0000-0000CE400000}"/>
    <cellStyle name="60% - Accent5 156" xfId="16674" xr:uid="{00000000-0005-0000-0000-0000CF400000}"/>
    <cellStyle name="60% - Accent5 157" xfId="16675" xr:uid="{00000000-0005-0000-0000-0000D0400000}"/>
    <cellStyle name="60% - Accent5 158" xfId="16676" xr:uid="{00000000-0005-0000-0000-0000D1400000}"/>
    <cellStyle name="60% - Accent5 159" xfId="16677" xr:uid="{00000000-0005-0000-0000-0000D2400000}"/>
    <cellStyle name="60% - Accent5 16" xfId="16678" xr:uid="{00000000-0005-0000-0000-0000D3400000}"/>
    <cellStyle name="60% - Accent5 160" xfId="16679" xr:uid="{00000000-0005-0000-0000-0000D4400000}"/>
    <cellStyle name="60% - Accent5 161" xfId="16680" xr:uid="{00000000-0005-0000-0000-0000D5400000}"/>
    <cellStyle name="60% - Accent5 162" xfId="16681" xr:uid="{00000000-0005-0000-0000-0000D6400000}"/>
    <cellStyle name="60% - Accent5 163" xfId="16682" xr:uid="{00000000-0005-0000-0000-0000D7400000}"/>
    <cellStyle name="60% - Accent5 164" xfId="16683" xr:uid="{00000000-0005-0000-0000-0000D8400000}"/>
    <cellStyle name="60% - Accent5 165" xfId="16684" xr:uid="{00000000-0005-0000-0000-0000D9400000}"/>
    <cellStyle name="60% - Accent5 166" xfId="16685" xr:uid="{00000000-0005-0000-0000-0000DA400000}"/>
    <cellStyle name="60% - Accent5 167" xfId="16686" xr:uid="{00000000-0005-0000-0000-0000DB400000}"/>
    <cellStyle name="60% - Accent5 17" xfId="16687" xr:uid="{00000000-0005-0000-0000-0000DC400000}"/>
    <cellStyle name="60% - Accent5 18" xfId="16688" xr:uid="{00000000-0005-0000-0000-0000DD400000}"/>
    <cellStyle name="60% - Accent5 19" xfId="16689" xr:uid="{00000000-0005-0000-0000-0000DE400000}"/>
    <cellStyle name="60% - Accent5 2" xfId="16690" xr:uid="{00000000-0005-0000-0000-0000DF400000}"/>
    <cellStyle name="60% - Accent5 2 10" xfId="16691" xr:uid="{00000000-0005-0000-0000-0000E0400000}"/>
    <cellStyle name="60% - Accent5 2 11" xfId="16692" xr:uid="{00000000-0005-0000-0000-0000E1400000}"/>
    <cellStyle name="60% - Accent5 2 12" xfId="16693" xr:uid="{00000000-0005-0000-0000-0000E2400000}"/>
    <cellStyle name="60% - Accent5 2 13" xfId="16694" xr:uid="{00000000-0005-0000-0000-0000E3400000}"/>
    <cellStyle name="60% - Accent5 2 14" xfId="16695" xr:uid="{00000000-0005-0000-0000-0000E4400000}"/>
    <cellStyle name="60% - Accent5 2 15" xfId="16696" xr:uid="{00000000-0005-0000-0000-0000E5400000}"/>
    <cellStyle name="60% - Accent5 2 16" xfId="16697" xr:uid="{00000000-0005-0000-0000-0000E6400000}"/>
    <cellStyle name="60% - Accent5 2 17" xfId="16698" xr:uid="{00000000-0005-0000-0000-0000E7400000}"/>
    <cellStyle name="60% - Accent5 2 18" xfId="16699" xr:uid="{00000000-0005-0000-0000-0000E8400000}"/>
    <cellStyle name="60% - Accent5 2 19" xfId="16700" xr:uid="{00000000-0005-0000-0000-0000E9400000}"/>
    <cellStyle name="60% - Accent5 2 2" xfId="16701" xr:uid="{00000000-0005-0000-0000-0000EA400000}"/>
    <cellStyle name="60% - Accent5 2 20" xfId="16702" xr:uid="{00000000-0005-0000-0000-0000EB400000}"/>
    <cellStyle name="60% - Accent5 2 21" xfId="16703" xr:uid="{00000000-0005-0000-0000-0000EC400000}"/>
    <cellStyle name="60% - Accent5 2 22" xfId="16704" xr:uid="{00000000-0005-0000-0000-0000ED400000}"/>
    <cellStyle name="60% - Accent5 2 23" xfId="16705" xr:uid="{00000000-0005-0000-0000-0000EE400000}"/>
    <cellStyle name="60% - Accent5 2 24" xfId="16706" xr:uid="{00000000-0005-0000-0000-0000EF400000}"/>
    <cellStyle name="60% - Accent5 2 25" xfId="16707" xr:uid="{00000000-0005-0000-0000-0000F0400000}"/>
    <cellStyle name="60% - Accent5 2 26" xfId="16708" xr:uid="{00000000-0005-0000-0000-0000F1400000}"/>
    <cellStyle name="60% - Accent5 2 27" xfId="16709" xr:uid="{00000000-0005-0000-0000-0000F2400000}"/>
    <cellStyle name="60% - Accent5 2 28" xfId="16710" xr:uid="{00000000-0005-0000-0000-0000F3400000}"/>
    <cellStyle name="60% - Accent5 2 29" xfId="16711" xr:uid="{00000000-0005-0000-0000-0000F4400000}"/>
    <cellStyle name="60% - Accent5 2 3" xfId="16712" xr:uid="{00000000-0005-0000-0000-0000F5400000}"/>
    <cellStyle name="60% - Accent5 2 30" xfId="16713" xr:uid="{00000000-0005-0000-0000-0000F6400000}"/>
    <cellStyle name="60% - Accent5 2 31" xfId="16714" xr:uid="{00000000-0005-0000-0000-0000F7400000}"/>
    <cellStyle name="60% - Accent5 2 32" xfId="16715" xr:uid="{00000000-0005-0000-0000-0000F8400000}"/>
    <cellStyle name="60% - Accent5 2 33" xfId="16716" xr:uid="{00000000-0005-0000-0000-0000F9400000}"/>
    <cellStyle name="60% - Accent5 2 34" xfId="16717" xr:uid="{00000000-0005-0000-0000-0000FA400000}"/>
    <cellStyle name="60% - Accent5 2 35" xfId="16718" xr:uid="{00000000-0005-0000-0000-0000FB400000}"/>
    <cellStyle name="60% - Accent5 2 4" xfId="16719" xr:uid="{00000000-0005-0000-0000-0000FC400000}"/>
    <cellStyle name="60% - Accent5 2 5" xfId="16720" xr:uid="{00000000-0005-0000-0000-0000FD400000}"/>
    <cellStyle name="60% - Accent5 2 6" xfId="16721" xr:uid="{00000000-0005-0000-0000-0000FE400000}"/>
    <cellStyle name="60% - Accent5 2 7" xfId="16722" xr:uid="{00000000-0005-0000-0000-0000FF400000}"/>
    <cellStyle name="60% - Accent5 2 8" xfId="16723" xr:uid="{00000000-0005-0000-0000-000000410000}"/>
    <cellStyle name="60% - Accent5 2 9" xfId="16724" xr:uid="{00000000-0005-0000-0000-000001410000}"/>
    <cellStyle name="60% - Accent5 20" xfId="16725" xr:uid="{00000000-0005-0000-0000-000002410000}"/>
    <cellStyle name="60% - Accent5 20 10" xfId="16726" xr:uid="{00000000-0005-0000-0000-000003410000}"/>
    <cellStyle name="60% - Accent5 20 11" xfId="16727" xr:uid="{00000000-0005-0000-0000-000004410000}"/>
    <cellStyle name="60% - Accent5 20 12" xfId="16728" xr:uid="{00000000-0005-0000-0000-000005410000}"/>
    <cellStyle name="60% - Accent5 20 13" xfId="16729" xr:uid="{00000000-0005-0000-0000-000006410000}"/>
    <cellStyle name="60% - Accent5 20 14" xfId="16730" xr:uid="{00000000-0005-0000-0000-000007410000}"/>
    <cellStyle name="60% - Accent5 20 15" xfId="16731" xr:uid="{00000000-0005-0000-0000-000008410000}"/>
    <cellStyle name="60% - Accent5 20 16" xfId="16732" xr:uid="{00000000-0005-0000-0000-000009410000}"/>
    <cellStyle name="60% - Accent5 20 2" xfId="16733" xr:uid="{00000000-0005-0000-0000-00000A410000}"/>
    <cellStyle name="60% - Accent5 20 3" xfId="16734" xr:uid="{00000000-0005-0000-0000-00000B410000}"/>
    <cellStyle name="60% - Accent5 20 4" xfId="16735" xr:uid="{00000000-0005-0000-0000-00000C410000}"/>
    <cellStyle name="60% - Accent5 20 5" xfId="16736" xr:uid="{00000000-0005-0000-0000-00000D410000}"/>
    <cellStyle name="60% - Accent5 20 6" xfId="16737" xr:uid="{00000000-0005-0000-0000-00000E410000}"/>
    <cellStyle name="60% - Accent5 20 7" xfId="16738" xr:uid="{00000000-0005-0000-0000-00000F410000}"/>
    <cellStyle name="60% - Accent5 20 8" xfId="16739" xr:uid="{00000000-0005-0000-0000-000010410000}"/>
    <cellStyle name="60% - Accent5 20 9" xfId="16740" xr:uid="{00000000-0005-0000-0000-000011410000}"/>
    <cellStyle name="60% - Accent5 21" xfId="16741" xr:uid="{00000000-0005-0000-0000-000012410000}"/>
    <cellStyle name="60% - Accent5 21 2" xfId="16742" xr:uid="{00000000-0005-0000-0000-000013410000}"/>
    <cellStyle name="60% - Accent5 21 3" xfId="16743" xr:uid="{00000000-0005-0000-0000-000014410000}"/>
    <cellStyle name="60% - Accent5 22" xfId="16744" xr:uid="{00000000-0005-0000-0000-000015410000}"/>
    <cellStyle name="60% - Accent5 23" xfId="16745" xr:uid="{00000000-0005-0000-0000-000016410000}"/>
    <cellStyle name="60% - Accent5 24" xfId="16746" xr:uid="{00000000-0005-0000-0000-000017410000}"/>
    <cellStyle name="60% - Accent5 25" xfId="16747" xr:uid="{00000000-0005-0000-0000-000018410000}"/>
    <cellStyle name="60% - Accent5 26" xfId="16748" xr:uid="{00000000-0005-0000-0000-000019410000}"/>
    <cellStyle name="60% - Accent5 27" xfId="16749" xr:uid="{00000000-0005-0000-0000-00001A410000}"/>
    <cellStyle name="60% - Accent5 28" xfId="16750" xr:uid="{00000000-0005-0000-0000-00001B410000}"/>
    <cellStyle name="60% - Accent5 29" xfId="16751" xr:uid="{00000000-0005-0000-0000-00001C410000}"/>
    <cellStyle name="60% - Accent5 3" xfId="16752" xr:uid="{00000000-0005-0000-0000-00001D410000}"/>
    <cellStyle name="60% - Accent5 3 10" xfId="16753" xr:uid="{00000000-0005-0000-0000-00001E410000}"/>
    <cellStyle name="60% - Accent5 3 10 10" xfId="16754" xr:uid="{00000000-0005-0000-0000-00001F410000}"/>
    <cellStyle name="60% - Accent5 3 10 11" xfId="16755" xr:uid="{00000000-0005-0000-0000-000020410000}"/>
    <cellStyle name="60% - Accent5 3 10 12" xfId="16756" xr:uid="{00000000-0005-0000-0000-000021410000}"/>
    <cellStyle name="60% - Accent5 3 10 13" xfId="16757" xr:uid="{00000000-0005-0000-0000-000022410000}"/>
    <cellStyle name="60% - Accent5 3 10 14" xfId="16758" xr:uid="{00000000-0005-0000-0000-000023410000}"/>
    <cellStyle name="60% - Accent5 3 10 15" xfId="16759" xr:uid="{00000000-0005-0000-0000-000024410000}"/>
    <cellStyle name="60% - Accent5 3 10 2" xfId="16760" xr:uid="{00000000-0005-0000-0000-000025410000}"/>
    <cellStyle name="60% - Accent5 3 10 3" xfId="16761" xr:uid="{00000000-0005-0000-0000-000026410000}"/>
    <cellStyle name="60% - Accent5 3 10 4" xfId="16762" xr:uid="{00000000-0005-0000-0000-000027410000}"/>
    <cellStyle name="60% - Accent5 3 10 5" xfId="16763" xr:uid="{00000000-0005-0000-0000-000028410000}"/>
    <cellStyle name="60% - Accent5 3 10 6" xfId="16764" xr:uid="{00000000-0005-0000-0000-000029410000}"/>
    <cellStyle name="60% - Accent5 3 10 7" xfId="16765" xr:uid="{00000000-0005-0000-0000-00002A410000}"/>
    <cellStyle name="60% - Accent5 3 10 8" xfId="16766" xr:uid="{00000000-0005-0000-0000-00002B410000}"/>
    <cellStyle name="60% - Accent5 3 10 9" xfId="16767" xr:uid="{00000000-0005-0000-0000-00002C410000}"/>
    <cellStyle name="60% - Accent5 3 11" xfId="16768" xr:uid="{00000000-0005-0000-0000-00002D410000}"/>
    <cellStyle name="60% - Accent5 3 11 10" xfId="16769" xr:uid="{00000000-0005-0000-0000-00002E410000}"/>
    <cellStyle name="60% - Accent5 3 11 11" xfId="16770" xr:uid="{00000000-0005-0000-0000-00002F410000}"/>
    <cellStyle name="60% - Accent5 3 11 12" xfId="16771" xr:uid="{00000000-0005-0000-0000-000030410000}"/>
    <cellStyle name="60% - Accent5 3 11 13" xfId="16772" xr:uid="{00000000-0005-0000-0000-000031410000}"/>
    <cellStyle name="60% - Accent5 3 11 14" xfId="16773" xr:uid="{00000000-0005-0000-0000-000032410000}"/>
    <cellStyle name="60% - Accent5 3 11 15" xfId="16774" xr:uid="{00000000-0005-0000-0000-000033410000}"/>
    <cellStyle name="60% - Accent5 3 11 2" xfId="16775" xr:uid="{00000000-0005-0000-0000-000034410000}"/>
    <cellStyle name="60% - Accent5 3 11 3" xfId="16776" xr:uid="{00000000-0005-0000-0000-000035410000}"/>
    <cellStyle name="60% - Accent5 3 11 4" xfId="16777" xr:uid="{00000000-0005-0000-0000-000036410000}"/>
    <cellStyle name="60% - Accent5 3 11 5" xfId="16778" xr:uid="{00000000-0005-0000-0000-000037410000}"/>
    <cellStyle name="60% - Accent5 3 11 6" xfId="16779" xr:uid="{00000000-0005-0000-0000-000038410000}"/>
    <cellStyle name="60% - Accent5 3 11 7" xfId="16780" xr:uid="{00000000-0005-0000-0000-000039410000}"/>
    <cellStyle name="60% - Accent5 3 11 8" xfId="16781" xr:uid="{00000000-0005-0000-0000-00003A410000}"/>
    <cellStyle name="60% - Accent5 3 11 9" xfId="16782" xr:uid="{00000000-0005-0000-0000-00003B410000}"/>
    <cellStyle name="60% - Accent5 3 12" xfId="16783" xr:uid="{00000000-0005-0000-0000-00003C410000}"/>
    <cellStyle name="60% - Accent5 3 12 10" xfId="16784" xr:uid="{00000000-0005-0000-0000-00003D410000}"/>
    <cellStyle name="60% - Accent5 3 12 11" xfId="16785" xr:uid="{00000000-0005-0000-0000-00003E410000}"/>
    <cellStyle name="60% - Accent5 3 12 12" xfId="16786" xr:uid="{00000000-0005-0000-0000-00003F410000}"/>
    <cellStyle name="60% - Accent5 3 12 13" xfId="16787" xr:uid="{00000000-0005-0000-0000-000040410000}"/>
    <cellStyle name="60% - Accent5 3 12 14" xfId="16788" xr:uid="{00000000-0005-0000-0000-000041410000}"/>
    <cellStyle name="60% - Accent5 3 12 15" xfId="16789" xr:uid="{00000000-0005-0000-0000-000042410000}"/>
    <cellStyle name="60% - Accent5 3 12 2" xfId="16790" xr:uid="{00000000-0005-0000-0000-000043410000}"/>
    <cellStyle name="60% - Accent5 3 12 3" xfId="16791" xr:uid="{00000000-0005-0000-0000-000044410000}"/>
    <cellStyle name="60% - Accent5 3 12 4" xfId="16792" xr:uid="{00000000-0005-0000-0000-000045410000}"/>
    <cellStyle name="60% - Accent5 3 12 5" xfId="16793" xr:uid="{00000000-0005-0000-0000-000046410000}"/>
    <cellStyle name="60% - Accent5 3 12 6" xfId="16794" xr:uid="{00000000-0005-0000-0000-000047410000}"/>
    <cellStyle name="60% - Accent5 3 12 7" xfId="16795" xr:uid="{00000000-0005-0000-0000-000048410000}"/>
    <cellStyle name="60% - Accent5 3 12 8" xfId="16796" xr:uid="{00000000-0005-0000-0000-000049410000}"/>
    <cellStyle name="60% - Accent5 3 12 9" xfId="16797" xr:uid="{00000000-0005-0000-0000-00004A410000}"/>
    <cellStyle name="60% - Accent5 3 13" xfId="16798" xr:uid="{00000000-0005-0000-0000-00004B410000}"/>
    <cellStyle name="60% - Accent5 3 13 10" xfId="16799" xr:uid="{00000000-0005-0000-0000-00004C410000}"/>
    <cellStyle name="60% - Accent5 3 13 11" xfId="16800" xr:uid="{00000000-0005-0000-0000-00004D410000}"/>
    <cellStyle name="60% - Accent5 3 13 12" xfId="16801" xr:uid="{00000000-0005-0000-0000-00004E410000}"/>
    <cellStyle name="60% - Accent5 3 13 13" xfId="16802" xr:uid="{00000000-0005-0000-0000-00004F410000}"/>
    <cellStyle name="60% - Accent5 3 13 14" xfId="16803" xr:uid="{00000000-0005-0000-0000-000050410000}"/>
    <cellStyle name="60% - Accent5 3 13 15" xfId="16804" xr:uid="{00000000-0005-0000-0000-000051410000}"/>
    <cellStyle name="60% - Accent5 3 13 2" xfId="16805" xr:uid="{00000000-0005-0000-0000-000052410000}"/>
    <cellStyle name="60% - Accent5 3 13 3" xfId="16806" xr:uid="{00000000-0005-0000-0000-000053410000}"/>
    <cellStyle name="60% - Accent5 3 13 4" xfId="16807" xr:uid="{00000000-0005-0000-0000-000054410000}"/>
    <cellStyle name="60% - Accent5 3 13 5" xfId="16808" xr:uid="{00000000-0005-0000-0000-000055410000}"/>
    <cellStyle name="60% - Accent5 3 13 6" xfId="16809" xr:uid="{00000000-0005-0000-0000-000056410000}"/>
    <cellStyle name="60% - Accent5 3 13 7" xfId="16810" xr:uid="{00000000-0005-0000-0000-000057410000}"/>
    <cellStyle name="60% - Accent5 3 13 8" xfId="16811" xr:uid="{00000000-0005-0000-0000-000058410000}"/>
    <cellStyle name="60% - Accent5 3 13 9" xfId="16812" xr:uid="{00000000-0005-0000-0000-000059410000}"/>
    <cellStyle name="60% - Accent5 3 14" xfId="16813" xr:uid="{00000000-0005-0000-0000-00005A410000}"/>
    <cellStyle name="60% - Accent5 3 14 10" xfId="16814" xr:uid="{00000000-0005-0000-0000-00005B410000}"/>
    <cellStyle name="60% - Accent5 3 14 11" xfId="16815" xr:uid="{00000000-0005-0000-0000-00005C410000}"/>
    <cellStyle name="60% - Accent5 3 14 12" xfId="16816" xr:uid="{00000000-0005-0000-0000-00005D410000}"/>
    <cellStyle name="60% - Accent5 3 14 13" xfId="16817" xr:uid="{00000000-0005-0000-0000-00005E410000}"/>
    <cellStyle name="60% - Accent5 3 14 14" xfId="16818" xr:uid="{00000000-0005-0000-0000-00005F410000}"/>
    <cellStyle name="60% - Accent5 3 14 15" xfId="16819" xr:uid="{00000000-0005-0000-0000-000060410000}"/>
    <cellStyle name="60% - Accent5 3 14 2" xfId="16820" xr:uid="{00000000-0005-0000-0000-000061410000}"/>
    <cellStyle name="60% - Accent5 3 14 3" xfId="16821" xr:uid="{00000000-0005-0000-0000-000062410000}"/>
    <cellStyle name="60% - Accent5 3 14 4" xfId="16822" xr:uid="{00000000-0005-0000-0000-000063410000}"/>
    <cellStyle name="60% - Accent5 3 14 5" xfId="16823" xr:uid="{00000000-0005-0000-0000-000064410000}"/>
    <cellStyle name="60% - Accent5 3 14 6" xfId="16824" xr:uid="{00000000-0005-0000-0000-000065410000}"/>
    <cellStyle name="60% - Accent5 3 14 7" xfId="16825" xr:uid="{00000000-0005-0000-0000-000066410000}"/>
    <cellStyle name="60% - Accent5 3 14 8" xfId="16826" xr:uid="{00000000-0005-0000-0000-000067410000}"/>
    <cellStyle name="60% - Accent5 3 14 9" xfId="16827" xr:uid="{00000000-0005-0000-0000-000068410000}"/>
    <cellStyle name="60% - Accent5 3 15" xfId="16828" xr:uid="{00000000-0005-0000-0000-000069410000}"/>
    <cellStyle name="60% - Accent5 3 15 10" xfId="16829" xr:uid="{00000000-0005-0000-0000-00006A410000}"/>
    <cellStyle name="60% - Accent5 3 15 11" xfId="16830" xr:uid="{00000000-0005-0000-0000-00006B410000}"/>
    <cellStyle name="60% - Accent5 3 15 12" xfId="16831" xr:uid="{00000000-0005-0000-0000-00006C410000}"/>
    <cellStyle name="60% - Accent5 3 15 13" xfId="16832" xr:uid="{00000000-0005-0000-0000-00006D410000}"/>
    <cellStyle name="60% - Accent5 3 15 14" xfId="16833" xr:uid="{00000000-0005-0000-0000-00006E410000}"/>
    <cellStyle name="60% - Accent5 3 15 15" xfId="16834" xr:uid="{00000000-0005-0000-0000-00006F410000}"/>
    <cellStyle name="60% - Accent5 3 15 2" xfId="16835" xr:uid="{00000000-0005-0000-0000-000070410000}"/>
    <cellStyle name="60% - Accent5 3 15 3" xfId="16836" xr:uid="{00000000-0005-0000-0000-000071410000}"/>
    <cellStyle name="60% - Accent5 3 15 4" xfId="16837" xr:uid="{00000000-0005-0000-0000-000072410000}"/>
    <cellStyle name="60% - Accent5 3 15 5" xfId="16838" xr:uid="{00000000-0005-0000-0000-000073410000}"/>
    <cellStyle name="60% - Accent5 3 15 6" xfId="16839" xr:uid="{00000000-0005-0000-0000-000074410000}"/>
    <cellStyle name="60% - Accent5 3 15 7" xfId="16840" xr:uid="{00000000-0005-0000-0000-000075410000}"/>
    <cellStyle name="60% - Accent5 3 15 8" xfId="16841" xr:uid="{00000000-0005-0000-0000-000076410000}"/>
    <cellStyle name="60% - Accent5 3 15 9" xfId="16842" xr:uid="{00000000-0005-0000-0000-000077410000}"/>
    <cellStyle name="60% - Accent5 3 16" xfId="16843" xr:uid="{00000000-0005-0000-0000-000078410000}"/>
    <cellStyle name="60% - Accent5 3 16 10" xfId="16844" xr:uid="{00000000-0005-0000-0000-000079410000}"/>
    <cellStyle name="60% - Accent5 3 16 11" xfId="16845" xr:uid="{00000000-0005-0000-0000-00007A410000}"/>
    <cellStyle name="60% - Accent5 3 16 12" xfId="16846" xr:uid="{00000000-0005-0000-0000-00007B410000}"/>
    <cellStyle name="60% - Accent5 3 16 13" xfId="16847" xr:uid="{00000000-0005-0000-0000-00007C410000}"/>
    <cellStyle name="60% - Accent5 3 16 14" xfId="16848" xr:uid="{00000000-0005-0000-0000-00007D410000}"/>
    <cellStyle name="60% - Accent5 3 16 15" xfId="16849" xr:uid="{00000000-0005-0000-0000-00007E410000}"/>
    <cellStyle name="60% - Accent5 3 16 2" xfId="16850" xr:uid="{00000000-0005-0000-0000-00007F410000}"/>
    <cellStyle name="60% - Accent5 3 16 3" xfId="16851" xr:uid="{00000000-0005-0000-0000-000080410000}"/>
    <cellStyle name="60% - Accent5 3 16 4" xfId="16852" xr:uid="{00000000-0005-0000-0000-000081410000}"/>
    <cellStyle name="60% - Accent5 3 16 5" xfId="16853" xr:uid="{00000000-0005-0000-0000-000082410000}"/>
    <cellStyle name="60% - Accent5 3 16 6" xfId="16854" xr:uid="{00000000-0005-0000-0000-000083410000}"/>
    <cellStyle name="60% - Accent5 3 16 7" xfId="16855" xr:uid="{00000000-0005-0000-0000-000084410000}"/>
    <cellStyle name="60% - Accent5 3 16 8" xfId="16856" xr:uid="{00000000-0005-0000-0000-000085410000}"/>
    <cellStyle name="60% - Accent5 3 16 9" xfId="16857" xr:uid="{00000000-0005-0000-0000-000086410000}"/>
    <cellStyle name="60% - Accent5 3 17" xfId="16858" xr:uid="{00000000-0005-0000-0000-000087410000}"/>
    <cellStyle name="60% - Accent5 3 17 10" xfId="16859" xr:uid="{00000000-0005-0000-0000-000088410000}"/>
    <cellStyle name="60% - Accent5 3 17 11" xfId="16860" xr:uid="{00000000-0005-0000-0000-000089410000}"/>
    <cellStyle name="60% - Accent5 3 17 12" xfId="16861" xr:uid="{00000000-0005-0000-0000-00008A410000}"/>
    <cellStyle name="60% - Accent5 3 17 13" xfId="16862" xr:uid="{00000000-0005-0000-0000-00008B410000}"/>
    <cellStyle name="60% - Accent5 3 17 14" xfId="16863" xr:uid="{00000000-0005-0000-0000-00008C410000}"/>
    <cellStyle name="60% - Accent5 3 17 15" xfId="16864" xr:uid="{00000000-0005-0000-0000-00008D410000}"/>
    <cellStyle name="60% - Accent5 3 17 2" xfId="16865" xr:uid="{00000000-0005-0000-0000-00008E410000}"/>
    <cellStyle name="60% - Accent5 3 17 3" xfId="16866" xr:uid="{00000000-0005-0000-0000-00008F410000}"/>
    <cellStyle name="60% - Accent5 3 17 4" xfId="16867" xr:uid="{00000000-0005-0000-0000-000090410000}"/>
    <cellStyle name="60% - Accent5 3 17 5" xfId="16868" xr:uid="{00000000-0005-0000-0000-000091410000}"/>
    <cellStyle name="60% - Accent5 3 17 6" xfId="16869" xr:uid="{00000000-0005-0000-0000-000092410000}"/>
    <cellStyle name="60% - Accent5 3 17 7" xfId="16870" xr:uid="{00000000-0005-0000-0000-000093410000}"/>
    <cellStyle name="60% - Accent5 3 17 8" xfId="16871" xr:uid="{00000000-0005-0000-0000-000094410000}"/>
    <cellStyle name="60% - Accent5 3 17 9" xfId="16872" xr:uid="{00000000-0005-0000-0000-000095410000}"/>
    <cellStyle name="60% - Accent5 3 18" xfId="16873" xr:uid="{00000000-0005-0000-0000-000096410000}"/>
    <cellStyle name="60% - Accent5 3 18 10" xfId="16874" xr:uid="{00000000-0005-0000-0000-000097410000}"/>
    <cellStyle name="60% - Accent5 3 18 11" xfId="16875" xr:uid="{00000000-0005-0000-0000-000098410000}"/>
    <cellStyle name="60% - Accent5 3 18 12" xfId="16876" xr:uid="{00000000-0005-0000-0000-000099410000}"/>
    <cellStyle name="60% - Accent5 3 18 13" xfId="16877" xr:uid="{00000000-0005-0000-0000-00009A410000}"/>
    <cellStyle name="60% - Accent5 3 18 14" xfId="16878" xr:uid="{00000000-0005-0000-0000-00009B410000}"/>
    <cellStyle name="60% - Accent5 3 18 15" xfId="16879" xr:uid="{00000000-0005-0000-0000-00009C410000}"/>
    <cellStyle name="60% - Accent5 3 18 2" xfId="16880" xr:uid="{00000000-0005-0000-0000-00009D410000}"/>
    <cellStyle name="60% - Accent5 3 18 3" xfId="16881" xr:uid="{00000000-0005-0000-0000-00009E410000}"/>
    <cellStyle name="60% - Accent5 3 18 4" xfId="16882" xr:uid="{00000000-0005-0000-0000-00009F410000}"/>
    <cellStyle name="60% - Accent5 3 18 5" xfId="16883" xr:uid="{00000000-0005-0000-0000-0000A0410000}"/>
    <cellStyle name="60% - Accent5 3 18 6" xfId="16884" xr:uid="{00000000-0005-0000-0000-0000A1410000}"/>
    <cellStyle name="60% - Accent5 3 18 7" xfId="16885" xr:uid="{00000000-0005-0000-0000-0000A2410000}"/>
    <cellStyle name="60% - Accent5 3 18 8" xfId="16886" xr:uid="{00000000-0005-0000-0000-0000A3410000}"/>
    <cellStyle name="60% - Accent5 3 18 9" xfId="16887" xr:uid="{00000000-0005-0000-0000-0000A4410000}"/>
    <cellStyle name="60% - Accent5 3 19" xfId="16888" xr:uid="{00000000-0005-0000-0000-0000A5410000}"/>
    <cellStyle name="60% - Accent5 3 19 10" xfId="16889" xr:uid="{00000000-0005-0000-0000-0000A6410000}"/>
    <cellStyle name="60% - Accent5 3 19 11" xfId="16890" xr:uid="{00000000-0005-0000-0000-0000A7410000}"/>
    <cellStyle name="60% - Accent5 3 19 12" xfId="16891" xr:uid="{00000000-0005-0000-0000-0000A8410000}"/>
    <cellStyle name="60% - Accent5 3 19 13" xfId="16892" xr:uid="{00000000-0005-0000-0000-0000A9410000}"/>
    <cellStyle name="60% - Accent5 3 19 14" xfId="16893" xr:uid="{00000000-0005-0000-0000-0000AA410000}"/>
    <cellStyle name="60% - Accent5 3 19 15" xfId="16894" xr:uid="{00000000-0005-0000-0000-0000AB410000}"/>
    <cellStyle name="60% - Accent5 3 19 2" xfId="16895" xr:uid="{00000000-0005-0000-0000-0000AC410000}"/>
    <cellStyle name="60% - Accent5 3 19 3" xfId="16896" xr:uid="{00000000-0005-0000-0000-0000AD410000}"/>
    <cellStyle name="60% - Accent5 3 19 4" xfId="16897" xr:uid="{00000000-0005-0000-0000-0000AE410000}"/>
    <cellStyle name="60% - Accent5 3 19 5" xfId="16898" xr:uid="{00000000-0005-0000-0000-0000AF410000}"/>
    <cellStyle name="60% - Accent5 3 19 6" xfId="16899" xr:uid="{00000000-0005-0000-0000-0000B0410000}"/>
    <cellStyle name="60% - Accent5 3 19 7" xfId="16900" xr:uid="{00000000-0005-0000-0000-0000B1410000}"/>
    <cellStyle name="60% - Accent5 3 19 8" xfId="16901" xr:uid="{00000000-0005-0000-0000-0000B2410000}"/>
    <cellStyle name="60% - Accent5 3 19 9" xfId="16902" xr:uid="{00000000-0005-0000-0000-0000B3410000}"/>
    <cellStyle name="60% - Accent5 3 2" xfId="16903" xr:uid="{00000000-0005-0000-0000-0000B4410000}"/>
    <cellStyle name="60% - Accent5 3 2 10" xfId="16904" xr:uid="{00000000-0005-0000-0000-0000B5410000}"/>
    <cellStyle name="60% - Accent5 3 2 11" xfId="16905" xr:uid="{00000000-0005-0000-0000-0000B6410000}"/>
    <cellStyle name="60% - Accent5 3 2 12" xfId="16906" xr:uid="{00000000-0005-0000-0000-0000B7410000}"/>
    <cellStyle name="60% - Accent5 3 2 13" xfId="16907" xr:uid="{00000000-0005-0000-0000-0000B8410000}"/>
    <cellStyle name="60% - Accent5 3 2 14" xfId="16908" xr:uid="{00000000-0005-0000-0000-0000B9410000}"/>
    <cellStyle name="60% - Accent5 3 2 15" xfId="16909" xr:uid="{00000000-0005-0000-0000-0000BA410000}"/>
    <cellStyle name="60% - Accent5 3 2 16" xfId="16910" xr:uid="{00000000-0005-0000-0000-0000BB410000}"/>
    <cellStyle name="60% - Accent5 3 2 17" xfId="16911" xr:uid="{00000000-0005-0000-0000-0000BC410000}"/>
    <cellStyle name="60% - Accent5 3 2 18" xfId="16912" xr:uid="{00000000-0005-0000-0000-0000BD410000}"/>
    <cellStyle name="60% - Accent5 3 2 19" xfId="16913" xr:uid="{00000000-0005-0000-0000-0000BE410000}"/>
    <cellStyle name="60% - Accent5 3 2 2" xfId="16914" xr:uid="{00000000-0005-0000-0000-0000BF410000}"/>
    <cellStyle name="60% - Accent5 3 2 20" xfId="16915" xr:uid="{00000000-0005-0000-0000-0000C0410000}"/>
    <cellStyle name="60% - Accent5 3 2 21" xfId="16916" xr:uid="{00000000-0005-0000-0000-0000C1410000}"/>
    <cellStyle name="60% - Accent5 3 2 22" xfId="16917" xr:uid="{00000000-0005-0000-0000-0000C2410000}"/>
    <cellStyle name="60% - Accent5 3 2 23" xfId="16918" xr:uid="{00000000-0005-0000-0000-0000C3410000}"/>
    <cellStyle name="60% - Accent5 3 2 24" xfId="16919" xr:uid="{00000000-0005-0000-0000-0000C4410000}"/>
    <cellStyle name="60% - Accent5 3 2 25" xfId="16920" xr:uid="{00000000-0005-0000-0000-0000C5410000}"/>
    <cellStyle name="60% - Accent5 3 2 26" xfId="16921" xr:uid="{00000000-0005-0000-0000-0000C6410000}"/>
    <cellStyle name="60% - Accent5 3 2 27" xfId="16922" xr:uid="{00000000-0005-0000-0000-0000C7410000}"/>
    <cellStyle name="60% - Accent5 3 2 28" xfId="16923" xr:uid="{00000000-0005-0000-0000-0000C8410000}"/>
    <cellStyle name="60% - Accent5 3 2 29" xfId="16924" xr:uid="{00000000-0005-0000-0000-0000C9410000}"/>
    <cellStyle name="60% - Accent5 3 2 3" xfId="16925" xr:uid="{00000000-0005-0000-0000-0000CA410000}"/>
    <cellStyle name="60% - Accent5 3 2 30" xfId="16926" xr:uid="{00000000-0005-0000-0000-0000CB410000}"/>
    <cellStyle name="60% - Accent5 3 2 31" xfId="16927" xr:uid="{00000000-0005-0000-0000-0000CC410000}"/>
    <cellStyle name="60% - Accent5 3 2 32" xfId="16928" xr:uid="{00000000-0005-0000-0000-0000CD410000}"/>
    <cellStyle name="60% - Accent5 3 2 33" xfId="16929" xr:uid="{00000000-0005-0000-0000-0000CE410000}"/>
    <cellStyle name="60% - Accent5 3 2 34" xfId="16930" xr:uid="{00000000-0005-0000-0000-0000CF410000}"/>
    <cellStyle name="60% - Accent5 3 2 35" xfId="16931" xr:uid="{00000000-0005-0000-0000-0000D0410000}"/>
    <cellStyle name="60% - Accent5 3 2 36" xfId="16932" xr:uid="{00000000-0005-0000-0000-0000D1410000}"/>
    <cellStyle name="60% - Accent5 3 2 37" xfId="16933" xr:uid="{00000000-0005-0000-0000-0000D2410000}"/>
    <cellStyle name="60% - Accent5 3 2 38" xfId="16934" xr:uid="{00000000-0005-0000-0000-0000D3410000}"/>
    <cellStyle name="60% - Accent5 3 2 39" xfId="16935" xr:uid="{00000000-0005-0000-0000-0000D4410000}"/>
    <cellStyle name="60% - Accent5 3 2 4" xfId="16936" xr:uid="{00000000-0005-0000-0000-0000D5410000}"/>
    <cellStyle name="60% - Accent5 3 2 40" xfId="16937" xr:uid="{00000000-0005-0000-0000-0000D6410000}"/>
    <cellStyle name="60% - Accent5 3 2 41" xfId="16938" xr:uid="{00000000-0005-0000-0000-0000D7410000}"/>
    <cellStyle name="60% - Accent5 3 2 42" xfId="16939" xr:uid="{00000000-0005-0000-0000-0000D8410000}"/>
    <cellStyle name="60% - Accent5 3 2 43" xfId="16940" xr:uid="{00000000-0005-0000-0000-0000D9410000}"/>
    <cellStyle name="60% - Accent5 3 2 44" xfId="16941" xr:uid="{00000000-0005-0000-0000-0000DA410000}"/>
    <cellStyle name="60% - Accent5 3 2 45" xfId="16942" xr:uid="{00000000-0005-0000-0000-0000DB410000}"/>
    <cellStyle name="60% - Accent5 3 2 46" xfId="16943" xr:uid="{00000000-0005-0000-0000-0000DC410000}"/>
    <cellStyle name="60% - Accent5 3 2 47" xfId="16944" xr:uid="{00000000-0005-0000-0000-0000DD410000}"/>
    <cellStyle name="60% - Accent5 3 2 48" xfId="16945" xr:uid="{00000000-0005-0000-0000-0000DE410000}"/>
    <cellStyle name="60% - Accent5 3 2 49" xfId="16946" xr:uid="{00000000-0005-0000-0000-0000DF410000}"/>
    <cellStyle name="60% - Accent5 3 2 5" xfId="16947" xr:uid="{00000000-0005-0000-0000-0000E0410000}"/>
    <cellStyle name="60% - Accent5 3 2 50" xfId="16948" xr:uid="{00000000-0005-0000-0000-0000E1410000}"/>
    <cellStyle name="60% - Accent5 3 2 51" xfId="16949" xr:uid="{00000000-0005-0000-0000-0000E2410000}"/>
    <cellStyle name="60% - Accent5 3 2 52" xfId="16950" xr:uid="{00000000-0005-0000-0000-0000E3410000}"/>
    <cellStyle name="60% - Accent5 3 2 53" xfId="16951" xr:uid="{00000000-0005-0000-0000-0000E4410000}"/>
    <cellStyle name="60% - Accent5 3 2 6" xfId="16952" xr:uid="{00000000-0005-0000-0000-0000E5410000}"/>
    <cellStyle name="60% - Accent5 3 2 7" xfId="16953" xr:uid="{00000000-0005-0000-0000-0000E6410000}"/>
    <cellStyle name="60% - Accent5 3 2 8" xfId="16954" xr:uid="{00000000-0005-0000-0000-0000E7410000}"/>
    <cellStyle name="60% - Accent5 3 2 9" xfId="16955" xr:uid="{00000000-0005-0000-0000-0000E8410000}"/>
    <cellStyle name="60% - Accent5 3 20" xfId="16956" xr:uid="{00000000-0005-0000-0000-0000E9410000}"/>
    <cellStyle name="60% - Accent5 3 20 10" xfId="16957" xr:uid="{00000000-0005-0000-0000-0000EA410000}"/>
    <cellStyle name="60% - Accent5 3 20 11" xfId="16958" xr:uid="{00000000-0005-0000-0000-0000EB410000}"/>
    <cellStyle name="60% - Accent5 3 20 12" xfId="16959" xr:uid="{00000000-0005-0000-0000-0000EC410000}"/>
    <cellStyle name="60% - Accent5 3 20 13" xfId="16960" xr:uid="{00000000-0005-0000-0000-0000ED410000}"/>
    <cellStyle name="60% - Accent5 3 20 14" xfId="16961" xr:uid="{00000000-0005-0000-0000-0000EE410000}"/>
    <cellStyle name="60% - Accent5 3 20 15" xfId="16962" xr:uid="{00000000-0005-0000-0000-0000EF410000}"/>
    <cellStyle name="60% - Accent5 3 20 2" xfId="16963" xr:uid="{00000000-0005-0000-0000-0000F0410000}"/>
    <cellStyle name="60% - Accent5 3 20 3" xfId="16964" xr:uid="{00000000-0005-0000-0000-0000F1410000}"/>
    <cellStyle name="60% - Accent5 3 20 4" xfId="16965" xr:uid="{00000000-0005-0000-0000-0000F2410000}"/>
    <cellStyle name="60% - Accent5 3 20 5" xfId="16966" xr:uid="{00000000-0005-0000-0000-0000F3410000}"/>
    <cellStyle name="60% - Accent5 3 20 6" xfId="16967" xr:uid="{00000000-0005-0000-0000-0000F4410000}"/>
    <cellStyle name="60% - Accent5 3 20 7" xfId="16968" xr:uid="{00000000-0005-0000-0000-0000F5410000}"/>
    <cellStyle name="60% - Accent5 3 20 8" xfId="16969" xr:uid="{00000000-0005-0000-0000-0000F6410000}"/>
    <cellStyle name="60% - Accent5 3 20 9" xfId="16970" xr:uid="{00000000-0005-0000-0000-0000F7410000}"/>
    <cellStyle name="60% - Accent5 3 21" xfId="16971" xr:uid="{00000000-0005-0000-0000-0000F8410000}"/>
    <cellStyle name="60% - Accent5 3 21 10" xfId="16972" xr:uid="{00000000-0005-0000-0000-0000F9410000}"/>
    <cellStyle name="60% - Accent5 3 21 11" xfId="16973" xr:uid="{00000000-0005-0000-0000-0000FA410000}"/>
    <cellStyle name="60% - Accent5 3 21 12" xfId="16974" xr:uid="{00000000-0005-0000-0000-0000FB410000}"/>
    <cellStyle name="60% - Accent5 3 21 13" xfId="16975" xr:uid="{00000000-0005-0000-0000-0000FC410000}"/>
    <cellStyle name="60% - Accent5 3 21 14" xfId="16976" xr:uid="{00000000-0005-0000-0000-0000FD410000}"/>
    <cellStyle name="60% - Accent5 3 21 15" xfId="16977" xr:uid="{00000000-0005-0000-0000-0000FE410000}"/>
    <cellStyle name="60% - Accent5 3 21 2" xfId="16978" xr:uid="{00000000-0005-0000-0000-0000FF410000}"/>
    <cellStyle name="60% - Accent5 3 21 3" xfId="16979" xr:uid="{00000000-0005-0000-0000-000000420000}"/>
    <cellStyle name="60% - Accent5 3 21 4" xfId="16980" xr:uid="{00000000-0005-0000-0000-000001420000}"/>
    <cellStyle name="60% - Accent5 3 21 5" xfId="16981" xr:uid="{00000000-0005-0000-0000-000002420000}"/>
    <cellStyle name="60% - Accent5 3 21 6" xfId="16982" xr:uid="{00000000-0005-0000-0000-000003420000}"/>
    <cellStyle name="60% - Accent5 3 21 7" xfId="16983" xr:uid="{00000000-0005-0000-0000-000004420000}"/>
    <cellStyle name="60% - Accent5 3 21 8" xfId="16984" xr:uid="{00000000-0005-0000-0000-000005420000}"/>
    <cellStyle name="60% - Accent5 3 21 9" xfId="16985" xr:uid="{00000000-0005-0000-0000-000006420000}"/>
    <cellStyle name="60% - Accent5 3 22" xfId="16986" xr:uid="{00000000-0005-0000-0000-000007420000}"/>
    <cellStyle name="60% - Accent5 3 22 10" xfId="16987" xr:uid="{00000000-0005-0000-0000-000008420000}"/>
    <cellStyle name="60% - Accent5 3 22 11" xfId="16988" xr:uid="{00000000-0005-0000-0000-000009420000}"/>
    <cellStyle name="60% - Accent5 3 22 12" xfId="16989" xr:uid="{00000000-0005-0000-0000-00000A420000}"/>
    <cellStyle name="60% - Accent5 3 22 13" xfId="16990" xr:uid="{00000000-0005-0000-0000-00000B420000}"/>
    <cellStyle name="60% - Accent5 3 22 14" xfId="16991" xr:uid="{00000000-0005-0000-0000-00000C420000}"/>
    <cellStyle name="60% - Accent5 3 22 15" xfId="16992" xr:uid="{00000000-0005-0000-0000-00000D420000}"/>
    <cellStyle name="60% - Accent5 3 22 2" xfId="16993" xr:uid="{00000000-0005-0000-0000-00000E420000}"/>
    <cellStyle name="60% - Accent5 3 22 3" xfId="16994" xr:uid="{00000000-0005-0000-0000-00000F420000}"/>
    <cellStyle name="60% - Accent5 3 22 4" xfId="16995" xr:uid="{00000000-0005-0000-0000-000010420000}"/>
    <cellStyle name="60% - Accent5 3 22 5" xfId="16996" xr:uid="{00000000-0005-0000-0000-000011420000}"/>
    <cellStyle name="60% - Accent5 3 22 6" xfId="16997" xr:uid="{00000000-0005-0000-0000-000012420000}"/>
    <cellStyle name="60% - Accent5 3 22 7" xfId="16998" xr:uid="{00000000-0005-0000-0000-000013420000}"/>
    <cellStyle name="60% - Accent5 3 22 8" xfId="16999" xr:uid="{00000000-0005-0000-0000-000014420000}"/>
    <cellStyle name="60% - Accent5 3 22 9" xfId="17000" xr:uid="{00000000-0005-0000-0000-000015420000}"/>
    <cellStyle name="60% - Accent5 3 23" xfId="17001" xr:uid="{00000000-0005-0000-0000-000016420000}"/>
    <cellStyle name="60% - Accent5 3 23 10" xfId="17002" xr:uid="{00000000-0005-0000-0000-000017420000}"/>
    <cellStyle name="60% - Accent5 3 23 11" xfId="17003" xr:uid="{00000000-0005-0000-0000-000018420000}"/>
    <cellStyle name="60% - Accent5 3 23 12" xfId="17004" xr:uid="{00000000-0005-0000-0000-000019420000}"/>
    <cellStyle name="60% - Accent5 3 23 13" xfId="17005" xr:uid="{00000000-0005-0000-0000-00001A420000}"/>
    <cellStyle name="60% - Accent5 3 23 14" xfId="17006" xr:uid="{00000000-0005-0000-0000-00001B420000}"/>
    <cellStyle name="60% - Accent5 3 23 15" xfId="17007" xr:uid="{00000000-0005-0000-0000-00001C420000}"/>
    <cellStyle name="60% - Accent5 3 23 2" xfId="17008" xr:uid="{00000000-0005-0000-0000-00001D420000}"/>
    <cellStyle name="60% - Accent5 3 23 3" xfId="17009" xr:uid="{00000000-0005-0000-0000-00001E420000}"/>
    <cellStyle name="60% - Accent5 3 23 4" xfId="17010" xr:uid="{00000000-0005-0000-0000-00001F420000}"/>
    <cellStyle name="60% - Accent5 3 23 5" xfId="17011" xr:uid="{00000000-0005-0000-0000-000020420000}"/>
    <cellStyle name="60% - Accent5 3 23 6" xfId="17012" xr:uid="{00000000-0005-0000-0000-000021420000}"/>
    <cellStyle name="60% - Accent5 3 23 7" xfId="17013" xr:uid="{00000000-0005-0000-0000-000022420000}"/>
    <cellStyle name="60% - Accent5 3 23 8" xfId="17014" xr:uid="{00000000-0005-0000-0000-000023420000}"/>
    <cellStyle name="60% - Accent5 3 23 9" xfId="17015" xr:uid="{00000000-0005-0000-0000-000024420000}"/>
    <cellStyle name="60% - Accent5 3 24" xfId="17016" xr:uid="{00000000-0005-0000-0000-000025420000}"/>
    <cellStyle name="60% - Accent5 3 24 10" xfId="17017" xr:uid="{00000000-0005-0000-0000-000026420000}"/>
    <cellStyle name="60% - Accent5 3 24 11" xfId="17018" xr:uid="{00000000-0005-0000-0000-000027420000}"/>
    <cellStyle name="60% - Accent5 3 24 12" xfId="17019" xr:uid="{00000000-0005-0000-0000-000028420000}"/>
    <cellStyle name="60% - Accent5 3 24 13" xfId="17020" xr:uid="{00000000-0005-0000-0000-000029420000}"/>
    <cellStyle name="60% - Accent5 3 24 14" xfId="17021" xr:uid="{00000000-0005-0000-0000-00002A420000}"/>
    <cellStyle name="60% - Accent5 3 24 15" xfId="17022" xr:uid="{00000000-0005-0000-0000-00002B420000}"/>
    <cellStyle name="60% - Accent5 3 24 2" xfId="17023" xr:uid="{00000000-0005-0000-0000-00002C420000}"/>
    <cellStyle name="60% - Accent5 3 24 3" xfId="17024" xr:uid="{00000000-0005-0000-0000-00002D420000}"/>
    <cellStyle name="60% - Accent5 3 24 4" xfId="17025" xr:uid="{00000000-0005-0000-0000-00002E420000}"/>
    <cellStyle name="60% - Accent5 3 24 5" xfId="17026" xr:uid="{00000000-0005-0000-0000-00002F420000}"/>
    <cellStyle name="60% - Accent5 3 24 6" xfId="17027" xr:uid="{00000000-0005-0000-0000-000030420000}"/>
    <cellStyle name="60% - Accent5 3 24 7" xfId="17028" xr:uid="{00000000-0005-0000-0000-000031420000}"/>
    <cellStyle name="60% - Accent5 3 24 8" xfId="17029" xr:uid="{00000000-0005-0000-0000-000032420000}"/>
    <cellStyle name="60% - Accent5 3 24 9" xfId="17030" xr:uid="{00000000-0005-0000-0000-000033420000}"/>
    <cellStyle name="60% - Accent5 3 25" xfId="17031" xr:uid="{00000000-0005-0000-0000-000034420000}"/>
    <cellStyle name="60% - Accent5 3 25 10" xfId="17032" xr:uid="{00000000-0005-0000-0000-000035420000}"/>
    <cellStyle name="60% - Accent5 3 25 11" xfId="17033" xr:uid="{00000000-0005-0000-0000-000036420000}"/>
    <cellStyle name="60% - Accent5 3 25 12" xfId="17034" xr:uid="{00000000-0005-0000-0000-000037420000}"/>
    <cellStyle name="60% - Accent5 3 25 13" xfId="17035" xr:uid="{00000000-0005-0000-0000-000038420000}"/>
    <cellStyle name="60% - Accent5 3 25 14" xfId="17036" xr:uid="{00000000-0005-0000-0000-000039420000}"/>
    <cellStyle name="60% - Accent5 3 25 15" xfId="17037" xr:uid="{00000000-0005-0000-0000-00003A420000}"/>
    <cellStyle name="60% - Accent5 3 25 2" xfId="17038" xr:uid="{00000000-0005-0000-0000-00003B420000}"/>
    <cellStyle name="60% - Accent5 3 25 3" xfId="17039" xr:uid="{00000000-0005-0000-0000-00003C420000}"/>
    <cellStyle name="60% - Accent5 3 25 4" xfId="17040" xr:uid="{00000000-0005-0000-0000-00003D420000}"/>
    <cellStyle name="60% - Accent5 3 25 5" xfId="17041" xr:uid="{00000000-0005-0000-0000-00003E420000}"/>
    <cellStyle name="60% - Accent5 3 25 6" xfId="17042" xr:uid="{00000000-0005-0000-0000-00003F420000}"/>
    <cellStyle name="60% - Accent5 3 25 7" xfId="17043" xr:uid="{00000000-0005-0000-0000-000040420000}"/>
    <cellStyle name="60% - Accent5 3 25 8" xfId="17044" xr:uid="{00000000-0005-0000-0000-000041420000}"/>
    <cellStyle name="60% - Accent5 3 25 9" xfId="17045" xr:uid="{00000000-0005-0000-0000-000042420000}"/>
    <cellStyle name="60% - Accent5 3 26" xfId="17046" xr:uid="{00000000-0005-0000-0000-000043420000}"/>
    <cellStyle name="60% - Accent5 3 26 10" xfId="17047" xr:uid="{00000000-0005-0000-0000-000044420000}"/>
    <cellStyle name="60% - Accent5 3 26 11" xfId="17048" xr:uid="{00000000-0005-0000-0000-000045420000}"/>
    <cellStyle name="60% - Accent5 3 26 12" xfId="17049" xr:uid="{00000000-0005-0000-0000-000046420000}"/>
    <cellStyle name="60% - Accent5 3 26 13" xfId="17050" xr:uid="{00000000-0005-0000-0000-000047420000}"/>
    <cellStyle name="60% - Accent5 3 26 14" xfId="17051" xr:uid="{00000000-0005-0000-0000-000048420000}"/>
    <cellStyle name="60% - Accent5 3 26 15" xfId="17052" xr:uid="{00000000-0005-0000-0000-000049420000}"/>
    <cellStyle name="60% - Accent5 3 26 2" xfId="17053" xr:uid="{00000000-0005-0000-0000-00004A420000}"/>
    <cellStyle name="60% - Accent5 3 26 3" xfId="17054" xr:uid="{00000000-0005-0000-0000-00004B420000}"/>
    <cellStyle name="60% - Accent5 3 26 4" xfId="17055" xr:uid="{00000000-0005-0000-0000-00004C420000}"/>
    <cellStyle name="60% - Accent5 3 26 5" xfId="17056" xr:uid="{00000000-0005-0000-0000-00004D420000}"/>
    <cellStyle name="60% - Accent5 3 26 6" xfId="17057" xr:uid="{00000000-0005-0000-0000-00004E420000}"/>
    <cellStyle name="60% - Accent5 3 26 7" xfId="17058" xr:uid="{00000000-0005-0000-0000-00004F420000}"/>
    <cellStyle name="60% - Accent5 3 26 8" xfId="17059" xr:uid="{00000000-0005-0000-0000-000050420000}"/>
    <cellStyle name="60% - Accent5 3 26 9" xfId="17060" xr:uid="{00000000-0005-0000-0000-000051420000}"/>
    <cellStyle name="60% - Accent5 3 27" xfId="17061" xr:uid="{00000000-0005-0000-0000-000052420000}"/>
    <cellStyle name="60% - Accent5 3 27 10" xfId="17062" xr:uid="{00000000-0005-0000-0000-000053420000}"/>
    <cellStyle name="60% - Accent5 3 27 11" xfId="17063" xr:uid="{00000000-0005-0000-0000-000054420000}"/>
    <cellStyle name="60% - Accent5 3 27 12" xfId="17064" xr:uid="{00000000-0005-0000-0000-000055420000}"/>
    <cellStyle name="60% - Accent5 3 27 13" xfId="17065" xr:uid="{00000000-0005-0000-0000-000056420000}"/>
    <cellStyle name="60% - Accent5 3 27 14" xfId="17066" xr:uid="{00000000-0005-0000-0000-000057420000}"/>
    <cellStyle name="60% - Accent5 3 27 15" xfId="17067" xr:uid="{00000000-0005-0000-0000-000058420000}"/>
    <cellStyle name="60% - Accent5 3 27 2" xfId="17068" xr:uid="{00000000-0005-0000-0000-000059420000}"/>
    <cellStyle name="60% - Accent5 3 27 3" xfId="17069" xr:uid="{00000000-0005-0000-0000-00005A420000}"/>
    <cellStyle name="60% - Accent5 3 27 4" xfId="17070" xr:uid="{00000000-0005-0000-0000-00005B420000}"/>
    <cellStyle name="60% - Accent5 3 27 5" xfId="17071" xr:uid="{00000000-0005-0000-0000-00005C420000}"/>
    <cellStyle name="60% - Accent5 3 27 6" xfId="17072" xr:uid="{00000000-0005-0000-0000-00005D420000}"/>
    <cellStyle name="60% - Accent5 3 27 7" xfId="17073" xr:uid="{00000000-0005-0000-0000-00005E420000}"/>
    <cellStyle name="60% - Accent5 3 27 8" xfId="17074" xr:uid="{00000000-0005-0000-0000-00005F420000}"/>
    <cellStyle name="60% - Accent5 3 27 9" xfId="17075" xr:uid="{00000000-0005-0000-0000-000060420000}"/>
    <cellStyle name="60% - Accent5 3 28" xfId="17076" xr:uid="{00000000-0005-0000-0000-000061420000}"/>
    <cellStyle name="60% - Accent5 3 28 10" xfId="17077" xr:uid="{00000000-0005-0000-0000-000062420000}"/>
    <cellStyle name="60% - Accent5 3 28 11" xfId="17078" xr:uid="{00000000-0005-0000-0000-000063420000}"/>
    <cellStyle name="60% - Accent5 3 28 12" xfId="17079" xr:uid="{00000000-0005-0000-0000-000064420000}"/>
    <cellStyle name="60% - Accent5 3 28 13" xfId="17080" xr:uid="{00000000-0005-0000-0000-000065420000}"/>
    <cellStyle name="60% - Accent5 3 28 14" xfId="17081" xr:uid="{00000000-0005-0000-0000-000066420000}"/>
    <cellStyle name="60% - Accent5 3 28 15" xfId="17082" xr:uid="{00000000-0005-0000-0000-000067420000}"/>
    <cellStyle name="60% - Accent5 3 28 2" xfId="17083" xr:uid="{00000000-0005-0000-0000-000068420000}"/>
    <cellStyle name="60% - Accent5 3 28 3" xfId="17084" xr:uid="{00000000-0005-0000-0000-000069420000}"/>
    <cellStyle name="60% - Accent5 3 28 4" xfId="17085" xr:uid="{00000000-0005-0000-0000-00006A420000}"/>
    <cellStyle name="60% - Accent5 3 28 5" xfId="17086" xr:uid="{00000000-0005-0000-0000-00006B420000}"/>
    <cellStyle name="60% - Accent5 3 28 6" xfId="17087" xr:uid="{00000000-0005-0000-0000-00006C420000}"/>
    <cellStyle name="60% - Accent5 3 28 7" xfId="17088" xr:uid="{00000000-0005-0000-0000-00006D420000}"/>
    <cellStyle name="60% - Accent5 3 28 8" xfId="17089" xr:uid="{00000000-0005-0000-0000-00006E420000}"/>
    <cellStyle name="60% - Accent5 3 28 9" xfId="17090" xr:uid="{00000000-0005-0000-0000-00006F420000}"/>
    <cellStyle name="60% - Accent5 3 29" xfId="17091" xr:uid="{00000000-0005-0000-0000-000070420000}"/>
    <cellStyle name="60% - Accent5 3 29 10" xfId="17092" xr:uid="{00000000-0005-0000-0000-000071420000}"/>
    <cellStyle name="60% - Accent5 3 29 11" xfId="17093" xr:uid="{00000000-0005-0000-0000-000072420000}"/>
    <cellStyle name="60% - Accent5 3 29 12" xfId="17094" xr:uid="{00000000-0005-0000-0000-000073420000}"/>
    <cellStyle name="60% - Accent5 3 29 13" xfId="17095" xr:uid="{00000000-0005-0000-0000-000074420000}"/>
    <cellStyle name="60% - Accent5 3 29 14" xfId="17096" xr:uid="{00000000-0005-0000-0000-000075420000}"/>
    <cellStyle name="60% - Accent5 3 29 15" xfId="17097" xr:uid="{00000000-0005-0000-0000-000076420000}"/>
    <cellStyle name="60% - Accent5 3 29 2" xfId="17098" xr:uid="{00000000-0005-0000-0000-000077420000}"/>
    <cellStyle name="60% - Accent5 3 29 3" xfId="17099" xr:uid="{00000000-0005-0000-0000-000078420000}"/>
    <cellStyle name="60% - Accent5 3 29 4" xfId="17100" xr:uid="{00000000-0005-0000-0000-000079420000}"/>
    <cellStyle name="60% - Accent5 3 29 5" xfId="17101" xr:uid="{00000000-0005-0000-0000-00007A420000}"/>
    <cellStyle name="60% - Accent5 3 29 6" xfId="17102" xr:uid="{00000000-0005-0000-0000-00007B420000}"/>
    <cellStyle name="60% - Accent5 3 29 7" xfId="17103" xr:uid="{00000000-0005-0000-0000-00007C420000}"/>
    <cellStyle name="60% - Accent5 3 29 8" xfId="17104" xr:uid="{00000000-0005-0000-0000-00007D420000}"/>
    <cellStyle name="60% - Accent5 3 29 9" xfId="17105" xr:uid="{00000000-0005-0000-0000-00007E420000}"/>
    <cellStyle name="60% - Accent5 3 3" xfId="17106" xr:uid="{00000000-0005-0000-0000-00007F420000}"/>
    <cellStyle name="60% - Accent5 3 3 10" xfId="17107" xr:uid="{00000000-0005-0000-0000-000080420000}"/>
    <cellStyle name="60% - Accent5 3 3 11" xfId="17108" xr:uid="{00000000-0005-0000-0000-000081420000}"/>
    <cellStyle name="60% - Accent5 3 3 12" xfId="17109" xr:uid="{00000000-0005-0000-0000-000082420000}"/>
    <cellStyle name="60% - Accent5 3 3 13" xfId="17110" xr:uid="{00000000-0005-0000-0000-000083420000}"/>
    <cellStyle name="60% - Accent5 3 3 14" xfId="17111" xr:uid="{00000000-0005-0000-0000-000084420000}"/>
    <cellStyle name="60% - Accent5 3 3 15" xfId="17112" xr:uid="{00000000-0005-0000-0000-000085420000}"/>
    <cellStyle name="60% - Accent5 3 3 16" xfId="17113" xr:uid="{00000000-0005-0000-0000-000086420000}"/>
    <cellStyle name="60% - Accent5 3 3 2" xfId="17114" xr:uid="{00000000-0005-0000-0000-000087420000}"/>
    <cellStyle name="60% - Accent5 3 3 3" xfId="17115" xr:uid="{00000000-0005-0000-0000-000088420000}"/>
    <cellStyle name="60% - Accent5 3 3 4" xfId="17116" xr:uid="{00000000-0005-0000-0000-000089420000}"/>
    <cellStyle name="60% - Accent5 3 3 5" xfId="17117" xr:uid="{00000000-0005-0000-0000-00008A420000}"/>
    <cellStyle name="60% - Accent5 3 3 6" xfId="17118" xr:uid="{00000000-0005-0000-0000-00008B420000}"/>
    <cellStyle name="60% - Accent5 3 3 7" xfId="17119" xr:uid="{00000000-0005-0000-0000-00008C420000}"/>
    <cellStyle name="60% - Accent5 3 3 8" xfId="17120" xr:uid="{00000000-0005-0000-0000-00008D420000}"/>
    <cellStyle name="60% - Accent5 3 3 9" xfId="17121" xr:uid="{00000000-0005-0000-0000-00008E420000}"/>
    <cellStyle name="60% - Accent5 3 30" xfId="17122" xr:uid="{00000000-0005-0000-0000-00008F420000}"/>
    <cellStyle name="60% - Accent5 3 30 10" xfId="17123" xr:uid="{00000000-0005-0000-0000-000090420000}"/>
    <cellStyle name="60% - Accent5 3 30 11" xfId="17124" xr:uid="{00000000-0005-0000-0000-000091420000}"/>
    <cellStyle name="60% - Accent5 3 30 12" xfId="17125" xr:uid="{00000000-0005-0000-0000-000092420000}"/>
    <cellStyle name="60% - Accent5 3 30 13" xfId="17126" xr:uid="{00000000-0005-0000-0000-000093420000}"/>
    <cellStyle name="60% - Accent5 3 30 14" xfId="17127" xr:uid="{00000000-0005-0000-0000-000094420000}"/>
    <cellStyle name="60% - Accent5 3 30 15" xfId="17128" xr:uid="{00000000-0005-0000-0000-000095420000}"/>
    <cellStyle name="60% - Accent5 3 30 2" xfId="17129" xr:uid="{00000000-0005-0000-0000-000096420000}"/>
    <cellStyle name="60% - Accent5 3 30 3" xfId="17130" xr:uid="{00000000-0005-0000-0000-000097420000}"/>
    <cellStyle name="60% - Accent5 3 30 4" xfId="17131" xr:uid="{00000000-0005-0000-0000-000098420000}"/>
    <cellStyle name="60% - Accent5 3 30 5" xfId="17132" xr:uid="{00000000-0005-0000-0000-000099420000}"/>
    <cellStyle name="60% - Accent5 3 30 6" xfId="17133" xr:uid="{00000000-0005-0000-0000-00009A420000}"/>
    <cellStyle name="60% - Accent5 3 30 7" xfId="17134" xr:uid="{00000000-0005-0000-0000-00009B420000}"/>
    <cellStyle name="60% - Accent5 3 30 8" xfId="17135" xr:uid="{00000000-0005-0000-0000-00009C420000}"/>
    <cellStyle name="60% - Accent5 3 30 9" xfId="17136" xr:uid="{00000000-0005-0000-0000-00009D420000}"/>
    <cellStyle name="60% - Accent5 3 31" xfId="17137" xr:uid="{00000000-0005-0000-0000-00009E420000}"/>
    <cellStyle name="60% - Accent5 3 31 10" xfId="17138" xr:uid="{00000000-0005-0000-0000-00009F420000}"/>
    <cellStyle name="60% - Accent5 3 31 11" xfId="17139" xr:uid="{00000000-0005-0000-0000-0000A0420000}"/>
    <cellStyle name="60% - Accent5 3 31 12" xfId="17140" xr:uid="{00000000-0005-0000-0000-0000A1420000}"/>
    <cellStyle name="60% - Accent5 3 31 13" xfId="17141" xr:uid="{00000000-0005-0000-0000-0000A2420000}"/>
    <cellStyle name="60% - Accent5 3 31 14" xfId="17142" xr:uid="{00000000-0005-0000-0000-0000A3420000}"/>
    <cellStyle name="60% - Accent5 3 31 15" xfId="17143" xr:uid="{00000000-0005-0000-0000-0000A4420000}"/>
    <cellStyle name="60% - Accent5 3 31 2" xfId="17144" xr:uid="{00000000-0005-0000-0000-0000A5420000}"/>
    <cellStyle name="60% - Accent5 3 31 3" xfId="17145" xr:uid="{00000000-0005-0000-0000-0000A6420000}"/>
    <cellStyle name="60% - Accent5 3 31 4" xfId="17146" xr:uid="{00000000-0005-0000-0000-0000A7420000}"/>
    <cellStyle name="60% - Accent5 3 31 5" xfId="17147" xr:uid="{00000000-0005-0000-0000-0000A8420000}"/>
    <cellStyle name="60% - Accent5 3 31 6" xfId="17148" xr:uid="{00000000-0005-0000-0000-0000A9420000}"/>
    <cellStyle name="60% - Accent5 3 31 7" xfId="17149" xr:uid="{00000000-0005-0000-0000-0000AA420000}"/>
    <cellStyle name="60% - Accent5 3 31 8" xfId="17150" xr:uid="{00000000-0005-0000-0000-0000AB420000}"/>
    <cellStyle name="60% - Accent5 3 31 9" xfId="17151" xr:uid="{00000000-0005-0000-0000-0000AC420000}"/>
    <cellStyle name="60% - Accent5 3 32" xfId="17152" xr:uid="{00000000-0005-0000-0000-0000AD420000}"/>
    <cellStyle name="60% - Accent5 3 32 10" xfId="17153" xr:uid="{00000000-0005-0000-0000-0000AE420000}"/>
    <cellStyle name="60% - Accent5 3 32 11" xfId="17154" xr:uid="{00000000-0005-0000-0000-0000AF420000}"/>
    <cellStyle name="60% - Accent5 3 32 12" xfId="17155" xr:uid="{00000000-0005-0000-0000-0000B0420000}"/>
    <cellStyle name="60% - Accent5 3 32 13" xfId="17156" xr:uid="{00000000-0005-0000-0000-0000B1420000}"/>
    <cellStyle name="60% - Accent5 3 32 14" xfId="17157" xr:uid="{00000000-0005-0000-0000-0000B2420000}"/>
    <cellStyle name="60% - Accent5 3 32 15" xfId="17158" xr:uid="{00000000-0005-0000-0000-0000B3420000}"/>
    <cellStyle name="60% - Accent5 3 32 2" xfId="17159" xr:uid="{00000000-0005-0000-0000-0000B4420000}"/>
    <cellStyle name="60% - Accent5 3 32 3" xfId="17160" xr:uid="{00000000-0005-0000-0000-0000B5420000}"/>
    <cellStyle name="60% - Accent5 3 32 4" xfId="17161" xr:uid="{00000000-0005-0000-0000-0000B6420000}"/>
    <cellStyle name="60% - Accent5 3 32 5" xfId="17162" xr:uid="{00000000-0005-0000-0000-0000B7420000}"/>
    <cellStyle name="60% - Accent5 3 32 6" xfId="17163" xr:uid="{00000000-0005-0000-0000-0000B8420000}"/>
    <cellStyle name="60% - Accent5 3 32 7" xfId="17164" xr:uid="{00000000-0005-0000-0000-0000B9420000}"/>
    <cellStyle name="60% - Accent5 3 32 8" xfId="17165" xr:uid="{00000000-0005-0000-0000-0000BA420000}"/>
    <cellStyle name="60% - Accent5 3 32 9" xfId="17166" xr:uid="{00000000-0005-0000-0000-0000BB420000}"/>
    <cellStyle name="60% - Accent5 3 33" xfId="17167" xr:uid="{00000000-0005-0000-0000-0000BC420000}"/>
    <cellStyle name="60% - Accent5 3 34" xfId="17168" xr:uid="{00000000-0005-0000-0000-0000BD420000}"/>
    <cellStyle name="60% - Accent5 3 35" xfId="17169" xr:uid="{00000000-0005-0000-0000-0000BE420000}"/>
    <cellStyle name="60% - Accent5 3 36" xfId="17170" xr:uid="{00000000-0005-0000-0000-0000BF420000}"/>
    <cellStyle name="60% - Accent5 3 37" xfId="17171" xr:uid="{00000000-0005-0000-0000-0000C0420000}"/>
    <cellStyle name="60% - Accent5 3 38" xfId="17172" xr:uid="{00000000-0005-0000-0000-0000C1420000}"/>
    <cellStyle name="60% - Accent5 3 39" xfId="17173" xr:uid="{00000000-0005-0000-0000-0000C2420000}"/>
    <cellStyle name="60% - Accent5 3 4" xfId="17174" xr:uid="{00000000-0005-0000-0000-0000C3420000}"/>
    <cellStyle name="60% - Accent5 3 4 10" xfId="17175" xr:uid="{00000000-0005-0000-0000-0000C4420000}"/>
    <cellStyle name="60% - Accent5 3 4 11" xfId="17176" xr:uid="{00000000-0005-0000-0000-0000C5420000}"/>
    <cellStyle name="60% - Accent5 3 4 12" xfId="17177" xr:uid="{00000000-0005-0000-0000-0000C6420000}"/>
    <cellStyle name="60% - Accent5 3 4 13" xfId="17178" xr:uid="{00000000-0005-0000-0000-0000C7420000}"/>
    <cellStyle name="60% - Accent5 3 4 14" xfId="17179" xr:uid="{00000000-0005-0000-0000-0000C8420000}"/>
    <cellStyle name="60% - Accent5 3 4 15" xfId="17180" xr:uid="{00000000-0005-0000-0000-0000C9420000}"/>
    <cellStyle name="60% - Accent5 3 4 2" xfId="17181" xr:uid="{00000000-0005-0000-0000-0000CA420000}"/>
    <cellStyle name="60% - Accent5 3 4 3" xfId="17182" xr:uid="{00000000-0005-0000-0000-0000CB420000}"/>
    <cellStyle name="60% - Accent5 3 4 4" xfId="17183" xr:uid="{00000000-0005-0000-0000-0000CC420000}"/>
    <cellStyle name="60% - Accent5 3 4 5" xfId="17184" xr:uid="{00000000-0005-0000-0000-0000CD420000}"/>
    <cellStyle name="60% - Accent5 3 4 6" xfId="17185" xr:uid="{00000000-0005-0000-0000-0000CE420000}"/>
    <cellStyle name="60% - Accent5 3 4 7" xfId="17186" xr:uid="{00000000-0005-0000-0000-0000CF420000}"/>
    <cellStyle name="60% - Accent5 3 4 8" xfId="17187" xr:uid="{00000000-0005-0000-0000-0000D0420000}"/>
    <cellStyle name="60% - Accent5 3 4 9" xfId="17188" xr:uid="{00000000-0005-0000-0000-0000D1420000}"/>
    <cellStyle name="60% - Accent5 3 40" xfId="17189" xr:uid="{00000000-0005-0000-0000-0000D2420000}"/>
    <cellStyle name="60% - Accent5 3 41" xfId="17190" xr:uid="{00000000-0005-0000-0000-0000D3420000}"/>
    <cellStyle name="60% - Accent5 3 42" xfId="17191" xr:uid="{00000000-0005-0000-0000-0000D4420000}"/>
    <cellStyle name="60% - Accent5 3 43" xfId="17192" xr:uid="{00000000-0005-0000-0000-0000D5420000}"/>
    <cellStyle name="60% - Accent5 3 44" xfId="17193" xr:uid="{00000000-0005-0000-0000-0000D6420000}"/>
    <cellStyle name="60% - Accent5 3 45" xfId="17194" xr:uid="{00000000-0005-0000-0000-0000D7420000}"/>
    <cellStyle name="60% - Accent5 3 46" xfId="17195" xr:uid="{00000000-0005-0000-0000-0000D8420000}"/>
    <cellStyle name="60% - Accent5 3 47" xfId="17196" xr:uid="{00000000-0005-0000-0000-0000D9420000}"/>
    <cellStyle name="60% - Accent5 3 48" xfId="17197" xr:uid="{00000000-0005-0000-0000-0000DA420000}"/>
    <cellStyle name="60% - Accent5 3 49" xfId="17198" xr:uid="{00000000-0005-0000-0000-0000DB420000}"/>
    <cellStyle name="60% - Accent5 3 5" xfId="17199" xr:uid="{00000000-0005-0000-0000-0000DC420000}"/>
    <cellStyle name="60% - Accent5 3 5 10" xfId="17200" xr:uid="{00000000-0005-0000-0000-0000DD420000}"/>
    <cellStyle name="60% - Accent5 3 5 11" xfId="17201" xr:uid="{00000000-0005-0000-0000-0000DE420000}"/>
    <cellStyle name="60% - Accent5 3 5 12" xfId="17202" xr:uid="{00000000-0005-0000-0000-0000DF420000}"/>
    <cellStyle name="60% - Accent5 3 5 13" xfId="17203" xr:uid="{00000000-0005-0000-0000-0000E0420000}"/>
    <cellStyle name="60% - Accent5 3 5 14" xfId="17204" xr:uid="{00000000-0005-0000-0000-0000E1420000}"/>
    <cellStyle name="60% - Accent5 3 5 15" xfId="17205" xr:uid="{00000000-0005-0000-0000-0000E2420000}"/>
    <cellStyle name="60% - Accent5 3 5 2" xfId="17206" xr:uid="{00000000-0005-0000-0000-0000E3420000}"/>
    <cellStyle name="60% - Accent5 3 5 3" xfId="17207" xr:uid="{00000000-0005-0000-0000-0000E4420000}"/>
    <cellStyle name="60% - Accent5 3 5 4" xfId="17208" xr:uid="{00000000-0005-0000-0000-0000E5420000}"/>
    <cellStyle name="60% - Accent5 3 5 5" xfId="17209" xr:uid="{00000000-0005-0000-0000-0000E6420000}"/>
    <cellStyle name="60% - Accent5 3 5 6" xfId="17210" xr:uid="{00000000-0005-0000-0000-0000E7420000}"/>
    <cellStyle name="60% - Accent5 3 5 7" xfId="17211" xr:uid="{00000000-0005-0000-0000-0000E8420000}"/>
    <cellStyle name="60% - Accent5 3 5 8" xfId="17212" xr:uid="{00000000-0005-0000-0000-0000E9420000}"/>
    <cellStyle name="60% - Accent5 3 5 9" xfId="17213" xr:uid="{00000000-0005-0000-0000-0000EA420000}"/>
    <cellStyle name="60% - Accent5 3 50" xfId="17214" xr:uid="{00000000-0005-0000-0000-0000EB420000}"/>
    <cellStyle name="60% - Accent5 3 51" xfId="17215" xr:uid="{00000000-0005-0000-0000-0000EC420000}"/>
    <cellStyle name="60% - Accent5 3 52" xfId="17216" xr:uid="{00000000-0005-0000-0000-0000ED420000}"/>
    <cellStyle name="60% - Accent5 3 53" xfId="17217" xr:uid="{00000000-0005-0000-0000-0000EE420000}"/>
    <cellStyle name="60% - Accent5 3 6" xfId="17218" xr:uid="{00000000-0005-0000-0000-0000EF420000}"/>
    <cellStyle name="60% - Accent5 3 6 10" xfId="17219" xr:uid="{00000000-0005-0000-0000-0000F0420000}"/>
    <cellStyle name="60% - Accent5 3 6 11" xfId="17220" xr:uid="{00000000-0005-0000-0000-0000F1420000}"/>
    <cellStyle name="60% - Accent5 3 6 12" xfId="17221" xr:uid="{00000000-0005-0000-0000-0000F2420000}"/>
    <cellStyle name="60% - Accent5 3 6 13" xfId="17222" xr:uid="{00000000-0005-0000-0000-0000F3420000}"/>
    <cellStyle name="60% - Accent5 3 6 14" xfId="17223" xr:uid="{00000000-0005-0000-0000-0000F4420000}"/>
    <cellStyle name="60% - Accent5 3 6 15" xfId="17224" xr:uid="{00000000-0005-0000-0000-0000F5420000}"/>
    <cellStyle name="60% - Accent5 3 6 2" xfId="17225" xr:uid="{00000000-0005-0000-0000-0000F6420000}"/>
    <cellStyle name="60% - Accent5 3 6 3" xfId="17226" xr:uid="{00000000-0005-0000-0000-0000F7420000}"/>
    <cellStyle name="60% - Accent5 3 6 4" xfId="17227" xr:uid="{00000000-0005-0000-0000-0000F8420000}"/>
    <cellStyle name="60% - Accent5 3 6 5" xfId="17228" xr:uid="{00000000-0005-0000-0000-0000F9420000}"/>
    <cellStyle name="60% - Accent5 3 6 6" xfId="17229" xr:uid="{00000000-0005-0000-0000-0000FA420000}"/>
    <cellStyle name="60% - Accent5 3 6 7" xfId="17230" xr:uid="{00000000-0005-0000-0000-0000FB420000}"/>
    <cellStyle name="60% - Accent5 3 6 8" xfId="17231" xr:uid="{00000000-0005-0000-0000-0000FC420000}"/>
    <cellStyle name="60% - Accent5 3 6 9" xfId="17232" xr:uid="{00000000-0005-0000-0000-0000FD420000}"/>
    <cellStyle name="60% - Accent5 3 7" xfId="17233" xr:uid="{00000000-0005-0000-0000-0000FE420000}"/>
    <cellStyle name="60% - Accent5 3 7 10" xfId="17234" xr:uid="{00000000-0005-0000-0000-0000FF420000}"/>
    <cellStyle name="60% - Accent5 3 7 11" xfId="17235" xr:uid="{00000000-0005-0000-0000-000000430000}"/>
    <cellStyle name="60% - Accent5 3 7 12" xfId="17236" xr:uid="{00000000-0005-0000-0000-000001430000}"/>
    <cellStyle name="60% - Accent5 3 7 13" xfId="17237" xr:uid="{00000000-0005-0000-0000-000002430000}"/>
    <cellStyle name="60% - Accent5 3 7 14" xfId="17238" xr:uid="{00000000-0005-0000-0000-000003430000}"/>
    <cellStyle name="60% - Accent5 3 7 15" xfId="17239" xr:uid="{00000000-0005-0000-0000-000004430000}"/>
    <cellStyle name="60% - Accent5 3 7 2" xfId="17240" xr:uid="{00000000-0005-0000-0000-000005430000}"/>
    <cellStyle name="60% - Accent5 3 7 3" xfId="17241" xr:uid="{00000000-0005-0000-0000-000006430000}"/>
    <cellStyle name="60% - Accent5 3 7 4" xfId="17242" xr:uid="{00000000-0005-0000-0000-000007430000}"/>
    <cellStyle name="60% - Accent5 3 7 5" xfId="17243" xr:uid="{00000000-0005-0000-0000-000008430000}"/>
    <cellStyle name="60% - Accent5 3 7 6" xfId="17244" xr:uid="{00000000-0005-0000-0000-000009430000}"/>
    <cellStyle name="60% - Accent5 3 7 7" xfId="17245" xr:uid="{00000000-0005-0000-0000-00000A430000}"/>
    <cellStyle name="60% - Accent5 3 7 8" xfId="17246" xr:uid="{00000000-0005-0000-0000-00000B430000}"/>
    <cellStyle name="60% - Accent5 3 7 9" xfId="17247" xr:uid="{00000000-0005-0000-0000-00000C430000}"/>
    <cellStyle name="60% - Accent5 3 8" xfId="17248" xr:uid="{00000000-0005-0000-0000-00000D430000}"/>
    <cellStyle name="60% - Accent5 3 8 10" xfId="17249" xr:uid="{00000000-0005-0000-0000-00000E430000}"/>
    <cellStyle name="60% - Accent5 3 8 11" xfId="17250" xr:uid="{00000000-0005-0000-0000-00000F430000}"/>
    <cellStyle name="60% - Accent5 3 8 12" xfId="17251" xr:uid="{00000000-0005-0000-0000-000010430000}"/>
    <cellStyle name="60% - Accent5 3 8 13" xfId="17252" xr:uid="{00000000-0005-0000-0000-000011430000}"/>
    <cellStyle name="60% - Accent5 3 8 14" xfId="17253" xr:uid="{00000000-0005-0000-0000-000012430000}"/>
    <cellStyle name="60% - Accent5 3 8 15" xfId="17254" xr:uid="{00000000-0005-0000-0000-000013430000}"/>
    <cellStyle name="60% - Accent5 3 8 2" xfId="17255" xr:uid="{00000000-0005-0000-0000-000014430000}"/>
    <cellStyle name="60% - Accent5 3 8 3" xfId="17256" xr:uid="{00000000-0005-0000-0000-000015430000}"/>
    <cellStyle name="60% - Accent5 3 8 4" xfId="17257" xr:uid="{00000000-0005-0000-0000-000016430000}"/>
    <cellStyle name="60% - Accent5 3 8 5" xfId="17258" xr:uid="{00000000-0005-0000-0000-000017430000}"/>
    <cellStyle name="60% - Accent5 3 8 6" xfId="17259" xr:uid="{00000000-0005-0000-0000-000018430000}"/>
    <cellStyle name="60% - Accent5 3 8 7" xfId="17260" xr:uid="{00000000-0005-0000-0000-000019430000}"/>
    <cellStyle name="60% - Accent5 3 8 8" xfId="17261" xr:uid="{00000000-0005-0000-0000-00001A430000}"/>
    <cellStyle name="60% - Accent5 3 8 9" xfId="17262" xr:uid="{00000000-0005-0000-0000-00001B430000}"/>
    <cellStyle name="60% - Accent5 3 9" xfId="17263" xr:uid="{00000000-0005-0000-0000-00001C430000}"/>
    <cellStyle name="60% - Accent5 3 9 10" xfId="17264" xr:uid="{00000000-0005-0000-0000-00001D430000}"/>
    <cellStyle name="60% - Accent5 3 9 11" xfId="17265" xr:uid="{00000000-0005-0000-0000-00001E430000}"/>
    <cellStyle name="60% - Accent5 3 9 12" xfId="17266" xr:uid="{00000000-0005-0000-0000-00001F430000}"/>
    <cellStyle name="60% - Accent5 3 9 13" xfId="17267" xr:uid="{00000000-0005-0000-0000-000020430000}"/>
    <cellStyle name="60% - Accent5 3 9 14" xfId="17268" xr:uid="{00000000-0005-0000-0000-000021430000}"/>
    <cellStyle name="60% - Accent5 3 9 15" xfId="17269" xr:uid="{00000000-0005-0000-0000-000022430000}"/>
    <cellStyle name="60% - Accent5 3 9 2" xfId="17270" xr:uid="{00000000-0005-0000-0000-000023430000}"/>
    <cellStyle name="60% - Accent5 3 9 3" xfId="17271" xr:uid="{00000000-0005-0000-0000-000024430000}"/>
    <cellStyle name="60% - Accent5 3 9 4" xfId="17272" xr:uid="{00000000-0005-0000-0000-000025430000}"/>
    <cellStyle name="60% - Accent5 3 9 5" xfId="17273" xr:uid="{00000000-0005-0000-0000-000026430000}"/>
    <cellStyle name="60% - Accent5 3 9 6" xfId="17274" xr:uid="{00000000-0005-0000-0000-000027430000}"/>
    <cellStyle name="60% - Accent5 3 9 7" xfId="17275" xr:uid="{00000000-0005-0000-0000-000028430000}"/>
    <cellStyle name="60% - Accent5 3 9 8" xfId="17276" xr:uid="{00000000-0005-0000-0000-000029430000}"/>
    <cellStyle name="60% - Accent5 3 9 9" xfId="17277" xr:uid="{00000000-0005-0000-0000-00002A430000}"/>
    <cellStyle name="60% - Accent5 30" xfId="17278" xr:uid="{00000000-0005-0000-0000-00002B430000}"/>
    <cellStyle name="60% - Accent5 30 10" xfId="17279" xr:uid="{00000000-0005-0000-0000-00002C430000}"/>
    <cellStyle name="60% - Accent5 30 11" xfId="17280" xr:uid="{00000000-0005-0000-0000-00002D430000}"/>
    <cellStyle name="60% - Accent5 30 12" xfId="17281" xr:uid="{00000000-0005-0000-0000-00002E430000}"/>
    <cellStyle name="60% - Accent5 30 13" xfId="17282" xr:uid="{00000000-0005-0000-0000-00002F430000}"/>
    <cellStyle name="60% - Accent5 30 14" xfId="17283" xr:uid="{00000000-0005-0000-0000-000030430000}"/>
    <cellStyle name="60% - Accent5 30 15" xfId="17284" xr:uid="{00000000-0005-0000-0000-000031430000}"/>
    <cellStyle name="60% - Accent5 30 2" xfId="17285" xr:uid="{00000000-0005-0000-0000-000032430000}"/>
    <cellStyle name="60% - Accent5 30 3" xfId="17286" xr:uid="{00000000-0005-0000-0000-000033430000}"/>
    <cellStyle name="60% - Accent5 30 4" xfId="17287" xr:uid="{00000000-0005-0000-0000-000034430000}"/>
    <cellStyle name="60% - Accent5 30 5" xfId="17288" xr:uid="{00000000-0005-0000-0000-000035430000}"/>
    <cellStyle name="60% - Accent5 30 6" xfId="17289" xr:uid="{00000000-0005-0000-0000-000036430000}"/>
    <cellStyle name="60% - Accent5 30 7" xfId="17290" xr:uid="{00000000-0005-0000-0000-000037430000}"/>
    <cellStyle name="60% - Accent5 30 8" xfId="17291" xr:uid="{00000000-0005-0000-0000-000038430000}"/>
    <cellStyle name="60% - Accent5 30 9" xfId="17292" xr:uid="{00000000-0005-0000-0000-000039430000}"/>
    <cellStyle name="60% - Accent5 31" xfId="17293" xr:uid="{00000000-0005-0000-0000-00003A430000}"/>
    <cellStyle name="60% - Accent5 31 10" xfId="17294" xr:uid="{00000000-0005-0000-0000-00003B430000}"/>
    <cellStyle name="60% - Accent5 31 11" xfId="17295" xr:uid="{00000000-0005-0000-0000-00003C430000}"/>
    <cellStyle name="60% - Accent5 31 12" xfId="17296" xr:uid="{00000000-0005-0000-0000-00003D430000}"/>
    <cellStyle name="60% - Accent5 31 13" xfId="17297" xr:uid="{00000000-0005-0000-0000-00003E430000}"/>
    <cellStyle name="60% - Accent5 31 14" xfId="17298" xr:uid="{00000000-0005-0000-0000-00003F430000}"/>
    <cellStyle name="60% - Accent5 31 15" xfId="17299" xr:uid="{00000000-0005-0000-0000-000040430000}"/>
    <cellStyle name="60% - Accent5 31 2" xfId="17300" xr:uid="{00000000-0005-0000-0000-000041430000}"/>
    <cellStyle name="60% - Accent5 31 3" xfId="17301" xr:uid="{00000000-0005-0000-0000-000042430000}"/>
    <cellStyle name="60% - Accent5 31 4" xfId="17302" xr:uid="{00000000-0005-0000-0000-000043430000}"/>
    <cellStyle name="60% - Accent5 31 5" xfId="17303" xr:uid="{00000000-0005-0000-0000-000044430000}"/>
    <cellStyle name="60% - Accent5 31 6" xfId="17304" xr:uid="{00000000-0005-0000-0000-000045430000}"/>
    <cellStyle name="60% - Accent5 31 7" xfId="17305" xr:uid="{00000000-0005-0000-0000-000046430000}"/>
    <cellStyle name="60% - Accent5 31 8" xfId="17306" xr:uid="{00000000-0005-0000-0000-000047430000}"/>
    <cellStyle name="60% - Accent5 31 9" xfId="17307" xr:uid="{00000000-0005-0000-0000-000048430000}"/>
    <cellStyle name="60% - Accent5 32" xfId="17308" xr:uid="{00000000-0005-0000-0000-000049430000}"/>
    <cellStyle name="60% - Accent5 32 10" xfId="17309" xr:uid="{00000000-0005-0000-0000-00004A430000}"/>
    <cellStyle name="60% - Accent5 32 11" xfId="17310" xr:uid="{00000000-0005-0000-0000-00004B430000}"/>
    <cellStyle name="60% - Accent5 32 12" xfId="17311" xr:uid="{00000000-0005-0000-0000-00004C430000}"/>
    <cellStyle name="60% - Accent5 32 13" xfId="17312" xr:uid="{00000000-0005-0000-0000-00004D430000}"/>
    <cellStyle name="60% - Accent5 32 14" xfId="17313" xr:uid="{00000000-0005-0000-0000-00004E430000}"/>
    <cellStyle name="60% - Accent5 32 15" xfId="17314" xr:uid="{00000000-0005-0000-0000-00004F430000}"/>
    <cellStyle name="60% - Accent5 32 2" xfId="17315" xr:uid="{00000000-0005-0000-0000-000050430000}"/>
    <cellStyle name="60% - Accent5 32 3" xfId="17316" xr:uid="{00000000-0005-0000-0000-000051430000}"/>
    <cellStyle name="60% - Accent5 32 4" xfId="17317" xr:uid="{00000000-0005-0000-0000-000052430000}"/>
    <cellStyle name="60% - Accent5 32 5" xfId="17318" xr:uid="{00000000-0005-0000-0000-000053430000}"/>
    <cellStyle name="60% - Accent5 32 6" xfId="17319" xr:uid="{00000000-0005-0000-0000-000054430000}"/>
    <cellStyle name="60% - Accent5 32 7" xfId="17320" xr:uid="{00000000-0005-0000-0000-000055430000}"/>
    <cellStyle name="60% - Accent5 32 8" xfId="17321" xr:uid="{00000000-0005-0000-0000-000056430000}"/>
    <cellStyle name="60% - Accent5 32 9" xfId="17322" xr:uid="{00000000-0005-0000-0000-000057430000}"/>
    <cellStyle name="60% - Accent5 33" xfId="17323" xr:uid="{00000000-0005-0000-0000-000058430000}"/>
    <cellStyle name="60% - Accent5 33 10" xfId="17324" xr:uid="{00000000-0005-0000-0000-000059430000}"/>
    <cellStyle name="60% - Accent5 33 11" xfId="17325" xr:uid="{00000000-0005-0000-0000-00005A430000}"/>
    <cellStyle name="60% - Accent5 33 12" xfId="17326" xr:uid="{00000000-0005-0000-0000-00005B430000}"/>
    <cellStyle name="60% - Accent5 33 13" xfId="17327" xr:uid="{00000000-0005-0000-0000-00005C430000}"/>
    <cellStyle name="60% - Accent5 33 14" xfId="17328" xr:uid="{00000000-0005-0000-0000-00005D430000}"/>
    <cellStyle name="60% - Accent5 33 15" xfId="17329" xr:uid="{00000000-0005-0000-0000-00005E430000}"/>
    <cellStyle name="60% - Accent5 33 2" xfId="17330" xr:uid="{00000000-0005-0000-0000-00005F430000}"/>
    <cellStyle name="60% - Accent5 33 3" xfId="17331" xr:uid="{00000000-0005-0000-0000-000060430000}"/>
    <cellStyle name="60% - Accent5 33 4" xfId="17332" xr:uid="{00000000-0005-0000-0000-000061430000}"/>
    <cellStyle name="60% - Accent5 33 5" xfId="17333" xr:uid="{00000000-0005-0000-0000-000062430000}"/>
    <cellStyle name="60% - Accent5 33 6" xfId="17334" xr:uid="{00000000-0005-0000-0000-000063430000}"/>
    <cellStyle name="60% - Accent5 33 7" xfId="17335" xr:uid="{00000000-0005-0000-0000-000064430000}"/>
    <cellStyle name="60% - Accent5 33 8" xfId="17336" xr:uid="{00000000-0005-0000-0000-000065430000}"/>
    <cellStyle name="60% - Accent5 33 9" xfId="17337" xr:uid="{00000000-0005-0000-0000-000066430000}"/>
    <cellStyle name="60% - Accent5 34" xfId="17338" xr:uid="{00000000-0005-0000-0000-000067430000}"/>
    <cellStyle name="60% - Accent5 34 10" xfId="17339" xr:uid="{00000000-0005-0000-0000-000068430000}"/>
    <cellStyle name="60% - Accent5 34 11" xfId="17340" xr:uid="{00000000-0005-0000-0000-000069430000}"/>
    <cellStyle name="60% - Accent5 34 12" xfId="17341" xr:uid="{00000000-0005-0000-0000-00006A430000}"/>
    <cellStyle name="60% - Accent5 34 13" xfId="17342" xr:uid="{00000000-0005-0000-0000-00006B430000}"/>
    <cellStyle name="60% - Accent5 34 14" xfId="17343" xr:uid="{00000000-0005-0000-0000-00006C430000}"/>
    <cellStyle name="60% - Accent5 34 15" xfId="17344" xr:uid="{00000000-0005-0000-0000-00006D430000}"/>
    <cellStyle name="60% - Accent5 34 2" xfId="17345" xr:uid="{00000000-0005-0000-0000-00006E430000}"/>
    <cellStyle name="60% - Accent5 34 3" xfId="17346" xr:uid="{00000000-0005-0000-0000-00006F430000}"/>
    <cellStyle name="60% - Accent5 34 4" xfId="17347" xr:uid="{00000000-0005-0000-0000-000070430000}"/>
    <cellStyle name="60% - Accent5 34 5" xfId="17348" xr:uid="{00000000-0005-0000-0000-000071430000}"/>
    <cellStyle name="60% - Accent5 34 6" xfId="17349" xr:uid="{00000000-0005-0000-0000-000072430000}"/>
    <cellStyle name="60% - Accent5 34 7" xfId="17350" xr:uid="{00000000-0005-0000-0000-000073430000}"/>
    <cellStyle name="60% - Accent5 34 8" xfId="17351" xr:uid="{00000000-0005-0000-0000-000074430000}"/>
    <cellStyle name="60% - Accent5 34 9" xfId="17352" xr:uid="{00000000-0005-0000-0000-000075430000}"/>
    <cellStyle name="60% - Accent5 35" xfId="17353" xr:uid="{00000000-0005-0000-0000-000076430000}"/>
    <cellStyle name="60% - Accent5 35 10" xfId="17354" xr:uid="{00000000-0005-0000-0000-000077430000}"/>
    <cellStyle name="60% - Accent5 35 11" xfId="17355" xr:uid="{00000000-0005-0000-0000-000078430000}"/>
    <cellStyle name="60% - Accent5 35 12" xfId="17356" xr:uid="{00000000-0005-0000-0000-000079430000}"/>
    <cellStyle name="60% - Accent5 35 13" xfId="17357" xr:uid="{00000000-0005-0000-0000-00007A430000}"/>
    <cellStyle name="60% - Accent5 35 14" xfId="17358" xr:uid="{00000000-0005-0000-0000-00007B430000}"/>
    <cellStyle name="60% - Accent5 35 15" xfId="17359" xr:uid="{00000000-0005-0000-0000-00007C430000}"/>
    <cellStyle name="60% - Accent5 35 2" xfId="17360" xr:uid="{00000000-0005-0000-0000-00007D430000}"/>
    <cellStyle name="60% - Accent5 35 3" xfId="17361" xr:uid="{00000000-0005-0000-0000-00007E430000}"/>
    <cellStyle name="60% - Accent5 35 4" xfId="17362" xr:uid="{00000000-0005-0000-0000-00007F430000}"/>
    <cellStyle name="60% - Accent5 35 5" xfId="17363" xr:uid="{00000000-0005-0000-0000-000080430000}"/>
    <cellStyle name="60% - Accent5 35 6" xfId="17364" xr:uid="{00000000-0005-0000-0000-000081430000}"/>
    <cellStyle name="60% - Accent5 35 7" xfId="17365" xr:uid="{00000000-0005-0000-0000-000082430000}"/>
    <cellStyle name="60% - Accent5 35 8" xfId="17366" xr:uid="{00000000-0005-0000-0000-000083430000}"/>
    <cellStyle name="60% - Accent5 35 9" xfId="17367" xr:uid="{00000000-0005-0000-0000-000084430000}"/>
    <cellStyle name="60% - Accent5 36" xfId="17368" xr:uid="{00000000-0005-0000-0000-000085430000}"/>
    <cellStyle name="60% - Accent5 36 10" xfId="17369" xr:uid="{00000000-0005-0000-0000-000086430000}"/>
    <cellStyle name="60% - Accent5 36 11" xfId="17370" xr:uid="{00000000-0005-0000-0000-000087430000}"/>
    <cellStyle name="60% - Accent5 36 12" xfId="17371" xr:uid="{00000000-0005-0000-0000-000088430000}"/>
    <cellStyle name="60% - Accent5 36 13" xfId="17372" xr:uid="{00000000-0005-0000-0000-000089430000}"/>
    <cellStyle name="60% - Accent5 36 14" xfId="17373" xr:uid="{00000000-0005-0000-0000-00008A430000}"/>
    <cellStyle name="60% - Accent5 36 15" xfId="17374" xr:uid="{00000000-0005-0000-0000-00008B430000}"/>
    <cellStyle name="60% - Accent5 36 2" xfId="17375" xr:uid="{00000000-0005-0000-0000-00008C430000}"/>
    <cellStyle name="60% - Accent5 36 3" xfId="17376" xr:uid="{00000000-0005-0000-0000-00008D430000}"/>
    <cellStyle name="60% - Accent5 36 4" xfId="17377" xr:uid="{00000000-0005-0000-0000-00008E430000}"/>
    <cellStyle name="60% - Accent5 36 5" xfId="17378" xr:uid="{00000000-0005-0000-0000-00008F430000}"/>
    <cellStyle name="60% - Accent5 36 6" xfId="17379" xr:uid="{00000000-0005-0000-0000-000090430000}"/>
    <cellStyle name="60% - Accent5 36 7" xfId="17380" xr:uid="{00000000-0005-0000-0000-000091430000}"/>
    <cellStyle name="60% - Accent5 36 8" xfId="17381" xr:uid="{00000000-0005-0000-0000-000092430000}"/>
    <cellStyle name="60% - Accent5 36 9" xfId="17382" xr:uid="{00000000-0005-0000-0000-000093430000}"/>
    <cellStyle name="60% - Accent5 37" xfId="17383" xr:uid="{00000000-0005-0000-0000-000094430000}"/>
    <cellStyle name="60% - Accent5 37 10" xfId="17384" xr:uid="{00000000-0005-0000-0000-000095430000}"/>
    <cellStyle name="60% - Accent5 37 11" xfId="17385" xr:uid="{00000000-0005-0000-0000-000096430000}"/>
    <cellStyle name="60% - Accent5 37 12" xfId="17386" xr:uid="{00000000-0005-0000-0000-000097430000}"/>
    <cellStyle name="60% - Accent5 37 13" xfId="17387" xr:uid="{00000000-0005-0000-0000-000098430000}"/>
    <cellStyle name="60% - Accent5 37 14" xfId="17388" xr:uid="{00000000-0005-0000-0000-000099430000}"/>
    <cellStyle name="60% - Accent5 37 15" xfId="17389" xr:uid="{00000000-0005-0000-0000-00009A430000}"/>
    <cellStyle name="60% - Accent5 37 2" xfId="17390" xr:uid="{00000000-0005-0000-0000-00009B430000}"/>
    <cellStyle name="60% - Accent5 37 3" xfId="17391" xr:uid="{00000000-0005-0000-0000-00009C430000}"/>
    <cellStyle name="60% - Accent5 37 4" xfId="17392" xr:uid="{00000000-0005-0000-0000-00009D430000}"/>
    <cellStyle name="60% - Accent5 37 5" xfId="17393" xr:uid="{00000000-0005-0000-0000-00009E430000}"/>
    <cellStyle name="60% - Accent5 37 6" xfId="17394" xr:uid="{00000000-0005-0000-0000-00009F430000}"/>
    <cellStyle name="60% - Accent5 37 7" xfId="17395" xr:uid="{00000000-0005-0000-0000-0000A0430000}"/>
    <cellStyle name="60% - Accent5 37 8" xfId="17396" xr:uid="{00000000-0005-0000-0000-0000A1430000}"/>
    <cellStyle name="60% - Accent5 37 9" xfId="17397" xr:uid="{00000000-0005-0000-0000-0000A2430000}"/>
    <cellStyle name="60% - Accent5 38" xfId="17398" xr:uid="{00000000-0005-0000-0000-0000A3430000}"/>
    <cellStyle name="60% - Accent5 38 10" xfId="17399" xr:uid="{00000000-0005-0000-0000-0000A4430000}"/>
    <cellStyle name="60% - Accent5 38 11" xfId="17400" xr:uid="{00000000-0005-0000-0000-0000A5430000}"/>
    <cellStyle name="60% - Accent5 38 12" xfId="17401" xr:uid="{00000000-0005-0000-0000-0000A6430000}"/>
    <cellStyle name="60% - Accent5 38 13" xfId="17402" xr:uid="{00000000-0005-0000-0000-0000A7430000}"/>
    <cellStyle name="60% - Accent5 38 14" xfId="17403" xr:uid="{00000000-0005-0000-0000-0000A8430000}"/>
    <cellStyle name="60% - Accent5 38 15" xfId="17404" xr:uid="{00000000-0005-0000-0000-0000A9430000}"/>
    <cellStyle name="60% - Accent5 38 2" xfId="17405" xr:uid="{00000000-0005-0000-0000-0000AA430000}"/>
    <cellStyle name="60% - Accent5 38 3" xfId="17406" xr:uid="{00000000-0005-0000-0000-0000AB430000}"/>
    <cellStyle name="60% - Accent5 38 4" xfId="17407" xr:uid="{00000000-0005-0000-0000-0000AC430000}"/>
    <cellStyle name="60% - Accent5 38 5" xfId="17408" xr:uid="{00000000-0005-0000-0000-0000AD430000}"/>
    <cellStyle name="60% - Accent5 38 6" xfId="17409" xr:uid="{00000000-0005-0000-0000-0000AE430000}"/>
    <cellStyle name="60% - Accent5 38 7" xfId="17410" xr:uid="{00000000-0005-0000-0000-0000AF430000}"/>
    <cellStyle name="60% - Accent5 38 8" xfId="17411" xr:uid="{00000000-0005-0000-0000-0000B0430000}"/>
    <cellStyle name="60% - Accent5 38 9" xfId="17412" xr:uid="{00000000-0005-0000-0000-0000B1430000}"/>
    <cellStyle name="60% - Accent5 39" xfId="17413" xr:uid="{00000000-0005-0000-0000-0000B2430000}"/>
    <cellStyle name="60% - Accent5 39 10" xfId="17414" xr:uid="{00000000-0005-0000-0000-0000B3430000}"/>
    <cellStyle name="60% - Accent5 39 11" xfId="17415" xr:uid="{00000000-0005-0000-0000-0000B4430000}"/>
    <cellStyle name="60% - Accent5 39 12" xfId="17416" xr:uid="{00000000-0005-0000-0000-0000B5430000}"/>
    <cellStyle name="60% - Accent5 39 13" xfId="17417" xr:uid="{00000000-0005-0000-0000-0000B6430000}"/>
    <cellStyle name="60% - Accent5 39 14" xfId="17418" xr:uid="{00000000-0005-0000-0000-0000B7430000}"/>
    <cellStyle name="60% - Accent5 39 15" xfId="17419" xr:uid="{00000000-0005-0000-0000-0000B8430000}"/>
    <cellStyle name="60% - Accent5 39 2" xfId="17420" xr:uid="{00000000-0005-0000-0000-0000B9430000}"/>
    <cellStyle name="60% - Accent5 39 3" xfId="17421" xr:uid="{00000000-0005-0000-0000-0000BA430000}"/>
    <cellStyle name="60% - Accent5 39 4" xfId="17422" xr:uid="{00000000-0005-0000-0000-0000BB430000}"/>
    <cellStyle name="60% - Accent5 39 5" xfId="17423" xr:uid="{00000000-0005-0000-0000-0000BC430000}"/>
    <cellStyle name="60% - Accent5 39 6" xfId="17424" xr:uid="{00000000-0005-0000-0000-0000BD430000}"/>
    <cellStyle name="60% - Accent5 39 7" xfId="17425" xr:uid="{00000000-0005-0000-0000-0000BE430000}"/>
    <cellStyle name="60% - Accent5 39 8" xfId="17426" xr:uid="{00000000-0005-0000-0000-0000BF430000}"/>
    <cellStyle name="60% - Accent5 39 9" xfId="17427" xr:uid="{00000000-0005-0000-0000-0000C0430000}"/>
    <cellStyle name="60% - Accent5 4" xfId="17428" xr:uid="{00000000-0005-0000-0000-0000C1430000}"/>
    <cellStyle name="60% - Accent5 4 2" xfId="17429" xr:uid="{00000000-0005-0000-0000-0000C2430000}"/>
    <cellStyle name="60% - Accent5 4 2 2" xfId="17430" xr:uid="{00000000-0005-0000-0000-0000C3430000}"/>
    <cellStyle name="60% - Accent5 4 3" xfId="17431" xr:uid="{00000000-0005-0000-0000-0000C4430000}"/>
    <cellStyle name="60% - Accent5 4 3 2" xfId="17432" xr:uid="{00000000-0005-0000-0000-0000C5430000}"/>
    <cellStyle name="60% - Accent5 4 4" xfId="17433" xr:uid="{00000000-0005-0000-0000-0000C6430000}"/>
    <cellStyle name="60% - Accent5 4 4 2" xfId="17434" xr:uid="{00000000-0005-0000-0000-0000C7430000}"/>
    <cellStyle name="60% - Accent5 4 5" xfId="17435" xr:uid="{00000000-0005-0000-0000-0000C8430000}"/>
    <cellStyle name="60% - Accent5 4 5 2" xfId="17436" xr:uid="{00000000-0005-0000-0000-0000C9430000}"/>
    <cellStyle name="60% - Accent5 4 6" xfId="17437" xr:uid="{00000000-0005-0000-0000-0000CA430000}"/>
    <cellStyle name="60% - Accent5 4 6 2" xfId="17438" xr:uid="{00000000-0005-0000-0000-0000CB430000}"/>
    <cellStyle name="60% - Accent5 4 7" xfId="17439" xr:uid="{00000000-0005-0000-0000-0000CC430000}"/>
    <cellStyle name="60% - Accent5 40" xfId="17440" xr:uid="{00000000-0005-0000-0000-0000CD430000}"/>
    <cellStyle name="60% - Accent5 41" xfId="17441" xr:uid="{00000000-0005-0000-0000-0000CE430000}"/>
    <cellStyle name="60% - Accent5 42" xfId="17442" xr:uid="{00000000-0005-0000-0000-0000CF430000}"/>
    <cellStyle name="60% - Accent5 43" xfId="17443" xr:uid="{00000000-0005-0000-0000-0000D0430000}"/>
    <cellStyle name="60% - Accent5 44" xfId="17444" xr:uid="{00000000-0005-0000-0000-0000D1430000}"/>
    <cellStyle name="60% - Accent5 45" xfId="17445" xr:uid="{00000000-0005-0000-0000-0000D2430000}"/>
    <cellStyle name="60% - Accent5 46" xfId="17446" xr:uid="{00000000-0005-0000-0000-0000D3430000}"/>
    <cellStyle name="60% - Accent5 47" xfId="17447" xr:uid="{00000000-0005-0000-0000-0000D4430000}"/>
    <cellStyle name="60% - Accent5 48" xfId="17448" xr:uid="{00000000-0005-0000-0000-0000D5430000}"/>
    <cellStyle name="60% - Accent5 49" xfId="17449" xr:uid="{00000000-0005-0000-0000-0000D6430000}"/>
    <cellStyle name="60% - Accent5 5" xfId="17450" xr:uid="{00000000-0005-0000-0000-0000D7430000}"/>
    <cellStyle name="60% - Accent5 5 2" xfId="17451" xr:uid="{00000000-0005-0000-0000-0000D8430000}"/>
    <cellStyle name="60% - Accent5 5 2 2" xfId="17452" xr:uid="{00000000-0005-0000-0000-0000D9430000}"/>
    <cellStyle name="60% - Accent5 5 2 3" xfId="17453" xr:uid="{00000000-0005-0000-0000-0000DA430000}"/>
    <cellStyle name="60% - Accent5 5 2 4" xfId="17454" xr:uid="{00000000-0005-0000-0000-0000DB430000}"/>
    <cellStyle name="60% - Accent5 5 3" xfId="17455" xr:uid="{00000000-0005-0000-0000-0000DC430000}"/>
    <cellStyle name="60% - Accent5 5 3 2" xfId="17456" xr:uid="{00000000-0005-0000-0000-0000DD430000}"/>
    <cellStyle name="60% - Accent5 5 3 3" xfId="17457" xr:uid="{00000000-0005-0000-0000-0000DE430000}"/>
    <cellStyle name="60% - Accent5 5 4" xfId="17458" xr:uid="{00000000-0005-0000-0000-0000DF430000}"/>
    <cellStyle name="60% - Accent5 50" xfId="17459" xr:uid="{00000000-0005-0000-0000-0000E0430000}"/>
    <cellStyle name="60% - Accent5 51" xfId="17460" xr:uid="{00000000-0005-0000-0000-0000E1430000}"/>
    <cellStyle name="60% - Accent5 52" xfId="17461" xr:uid="{00000000-0005-0000-0000-0000E2430000}"/>
    <cellStyle name="60% - Accent5 53" xfId="17462" xr:uid="{00000000-0005-0000-0000-0000E3430000}"/>
    <cellStyle name="60% - Accent5 54" xfId="17463" xr:uid="{00000000-0005-0000-0000-0000E4430000}"/>
    <cellStyle name="60% - Accent5 55" xfId="17464" xr:uid="{00000000-0005-0000-0000-0000E5430000}"/>
    <cellStyle name="60% - Accent5 56" xfId="17465" xr:uid="{00000000-0005-0000-0000-0000E6430000}"/>
    <cellStyle name="60% - Accent5 57" xfId="17466" xr:uid="{00000000-0005-0000-0000-0000E7430000}"/>
    <cellStyle name="60% - Accent5 58" xfId="17467" xr:uid="{00000000-0005-0000-0000-0000E8430000}"/>
    <cellStyle name="60% - Accent5 59" xfId="17468" xr:uid="{00000000-0005-0000-0000-0000E9430000}"/>
    <cellStyle name="60% - Accent5 6" xfId="17469" xr:uid="{00000000-0005-0000-0000-0000EA430000}"/>
    <cellStyle name="60% - Accent5 6 2" xfId="17470" xr:uid="{00000000-0005-0000-0000-0000EB430000}"/>
    <cellStyle name="60% - Accent5 60" xfId="17471" xr:uid="{00000000-0005-0000-0000-0000EC430000}"/>
    <cellStyle name="60% - Accent5 61" xfId="17472" xr:uid="{00000000-0005-0000-0000-0000ED430000}"/>
    <cellStyle name="60% - Accent5 62" xfId="17473" xr:uid="{00000000-0005-0000-0000-0000EE430000}"/>
    <cellStyle name="60% - Accent5 63" xfId="17474" xr:uid="{00000000-0005-0000-0000-0000EF430000}"/>
    <cellStyle name="60% - Accent5 64" xfId="17475" xr:uid="{00000000-0005-0000-0000-0000F0430000}"/>
    <cellStyle name="60% - Accent5 65" xfId="17476" xr:uid="{00000000-0005-0000-0000-0000F1430000}"/>
    <cellStyle name="60% - Accent5 66" xfId="17477" xr:uid="{00000000-0005-0000-0000-0000F2430000}"/>
    <cellStyle name="60% - Accent5 67" xfId="17478" xr:uid="{00000000-0005-0000-0000-0000F3430000}"/>
    <cellStyle name="60% - Accent5 68" xfId="17479" xr:uid="{00000000-0005-0000-0000-0000F4430000}"/>
    <cellStyle name="60% - Accent5 69" xfId="17480" xr:uid="{00000000-0005-0000-0000-0000F5430000}"/>
    <cellStyle name="60% - Accent5 7" xfId="17481" xr:uid="{00000000-0005-0000-0000-0000F6430000}"/>
    <cellStyle name="60% - Accent5 7 2" xfId="17482" xr:uid="{00000000-0005-0000-0000-0000F7430000}"/>
    <cellStyle name="60% - Accent5 70" xfId="17483" xr:uid="{00000000-0005-0000-0000-0000F8430000}"/>
    <cellStyle name="60% - Accent5 71" xfId="17484" xr:uid="{00000000-0005-0000-0000-0000F9430000}"/>
    <cellStyle name="60% - Accent5 72" xfId="17485" xr:uid="{00000000-0005-0000-0000-0000FA430000}"/>
    <cellStyle name="60% - Accent5 73" xfId="17486" xr:uid="{00000000-0005-0000-0000-0000FB430000}"/>
    <cellStyle name="60% - Accent5 74" xfId="17487" xr:uid="{00000000-0005-0000-0000-0000FC430000}"/>
    <cellStyle name="60% - Accent5 75" xfId="17488" xr:uid="{00000000-0005-0000-0000-0000FD430000}"/>
    <cellStyle name="60% - Accent5 76" xfId="17489" xr:uid="{00000000-0005-0000-0000-0000FE430000}"/>
    <cellStyle name="60% - Accent5 77" xfId="17490" xr:uid="{00000000-0005-0000-0000-0000FF430000}"/>
    <cellStyle name="60% - Accent5 78" xfId="17491" xr:uid="{00000000-0005-0000-0000-000000440000}"/>
    <cellStyle name="60% - Accent5 79" xfId="17492" xr:uid="{00000000-0005-0000-0000-000001440000}"/>
    <cellStyle name="60% - Accent5 79 2" xfId="17493" xr:uid="{00000000-0005-0000-0000-000002440000}"/>
    <cellStyle name="60% - Accent5 8" xfId="17494" xr:uid="{00000000-0005-0000-0000-000003440000}"/>
    <cellStyle name="60% - Accent5 8 2" xfId="17495" xr:uid="{00000000-0005-0000-0000-000004440000}"/>
    <cellStyle name="60% - Accent5 80" xfId="17496" xr:uid="{00000000-0005-0000-0000-000005440000}"/>
    <cellStyle name="60% - Accent5 80 2" xfId="17497" xr:uid="{00000000-0005-0000-0000-000006440000}"/>
    <cellStyle name="60% - Accent5 81" xfId="17498" xr:uid="{00000000-0005-0000-0000-000007440000}"/>
    <cellStyle name="60% - Accent5 81 2" xfId="17499" xr:uid="{00000000-0005-0000-0000-000008440000}"/>
    <cellStyle name="60% - Accent5 82" xfId="17500" xr:uid="{00000000-0005-0000-0000-000009440000}"/>
    <cellStyle name="60% - Accent5 82 2" xfId="17501" xr:uid="{00000000-0005-0000-0000-00000A440000}"/>
    <cellStyle name="60% - Accent5 83" xfId="17502" xr:uid="{00000000-0005-0000-0000-00000B440000}"/>
    <cellStyle name="60% - Accent5 83 2" xfId="17503" xr:uid="{00000000-0005-0000-0000-00000C440000}"/>
    <cellStyle name="60% - Accent5 84" xfId="17504" xr:uid="{00000000-0005-0000-0000-00000D440000}"/>
    <cellStyle name="60% - Accent5 84 2" xfId="17505" xr:uid="{00000000-0005-0000-0000-00000E440000}"/>
    <cellStyle name="60% - Accent5 85" xfId="17506" xr:uid="{00000000-0005-0000-0000-00000F440000}"/>
    <cellStyle name="60% - Accent5 85 2" xfId="17507" xr:uid="{00000000-0005-0000-0000-000010440000}"/>
    <cellStyle name="60% - Accent5 86" xfId="17508" xr:uid="{00000000-0005-0000-0000-000011440000}"/>
    <cellStyle name="60% - Accent5 86 2" xfId="17509" xr:uid="{00000000-0005-0000-0000-000012440000}"/>
    <cellStyle name="60% - Accent5 87" xfId="17510" xr:uid="{00000000-0005-0000-0000-000013440000}"/>
    <cellStyle name="60% - Accent5 87 2" xfId="17511" xr:uid="{00000000-0005-0000-0000-000014440000}"/>
    <cellStyle name="60% - Accent5 88" xfId="17512" xr:uid="{00000000-0005-0000-0000-000015440000}"/>
    <cellStyle name="60% - Accent5 88 2" xfId="17513" xr:uid="{00000000-0005-0000-0000-000016440000}"/>
    <cellStyle name="60% - Accent5 89" xfId="17514" xr:uid="{00000000-0005-0000-0000-000017440000}"/>
    <cellStyle name="60% - Accent5 89 2" xfId="17515" xr:uid="{00000000-0005-0000-0000-000018440000}"/>
    <cellStyle name="60% - Accent5 9" xfId="17516" xr:uid="{00000000-0005-0000-0000-000019440000}"/>
    <cellStyle name="60% - Accent5 9 2" xfId="17517" xr:uid="{00000000-0005-0000-0000-00001A440000}"/>
    <cellStyle name="60% - Accent5 90" xfId="17518" xr:uid="{00000000-0005-0000-0000-00001B440000}"/>
    <cellStyle name="60% - Accent5 91" xfId="17519" xr:uid="{00000000-0005-0000-0000-00001C440000}"/>
    <cellStyle name="60% - Accent5 92" xfId="17520" xr:uid="{00000000-0005-0000-0000-00001D440000}"/>
    <cellStyle name="60% - Accent5 93" xfId="17521" xr:uid="{00000000-0005-0000-0000-00001E440000}"/>
    <cellStyle name="60% - Accent5 94" xfId="17522" xr:uid="{00000000-0005-0000-0000-00001F440000}"/>
    <cellStyle name="60% - Accent5 95" xfId="17523" xr:uid="{00000000-0005-0000-0000-000020440000}"/>
    <cellStyle name="60% - Accent5 96" xfId="17524" xr:uid="{00000000-0005-0000-0000-000021440000}"/>
    <cellStyle name="60% - Accent5 97" xfId="17525" xr:uid="{00000000-0005-0000-0000-000022440000}"/>
    <cellStyle name="60% - Accent5 98" xfId="17526" xr:uid="{00000000-0005-0000-0000-000023440000}"/>
    <cellStyle name="60% - Accent5 99" xfId="17527" xr:uid="{00000000-0005-0000-0000-000024440000}"/>
    <cellStyle name="60% - Accent6" xfId="41" builtinId="52" customBuiltin="1"/>
    <cellStyle name="60% - Accent6 10" xfId="17528" xr:uid="{00000000-0005-0000-0000-000026440000}"/>
    <cellStyle name="60% - Accent6 10 2" xfId="17529" xr:uid="{00000000-0005-0000-0000-000027440000}"/>
    <cellStyle name="60% - Accent6 100" xfId="17530" xr:uid="{00000000-0005-0000-0000-000028440000}"/>
    <cellStyle name="60% - Accent6 101" xfId="17531" xr:uid="{00000000-0005-0000-0000-000029440000}"/>
    <cellStyle name="60% - Accent6 102" xfId="17532" xr:uid="{00000000-0005-0000-0000-00002A440000}"/>
    <cellStyle name="60% - Accent6 103" xfId="17533" xr:uid="{00000000-0005-0000-0000-00002B440000}"/>
    <cellStyle name="60% - Accent6 104" xfId="17534" xr:uid="{00000000-0005-0000-0000-00002C440000}"/>
    <cellStyle name="60% - Accent6 105" xfId="17535" xr:uid="{00000000-0005-0000-0000-00002D440000}"/>
    <cellStyle name="60% - Accent6 106" xfId="17536" xr:uid="{00000000-0005-0000-0000-00002E440000}"/>
    <cellStyle name="60% - Accent6 107" xfId="17537" xr:uid="{00000000-0005-0000-0000-00002F440000}"/>
    <cellStyle name="60% - Accent6 108" xfId="17538" xr:uid="{00000000-0005-0000-0000-000030440000}"/>
    <cellStyle name="60% - Accent6 109" xfId="17539" xr:uid="{00000000-0005-0000-0000-000031440000}"/>
    <cellStyle name="60% - Accent6 11" xfId="17540" xr:uid="{00000000-0005-0000-0000-000032440000}"/>
    <cellStyle name="60% - Accent6 11 2" xfId="17541" xr:uid="{00000000-0005-0000-0000-000033440000}"/>
    <cellStyle name="60% - Accent6 110" xfId="17542" xr:uid="{00000000-0005-0000-0000-000034440000}"/>
    <cellStyle name="60% - Accent6 111" xfId="17543" xr:uid="{00000000-0005-0000-0000-000035440000}"/>
    <cellStyle name="60% - Accent6 112" xfId="17544" xr:uid="{00000000-0005-0000-0000-000036440000}"/>
    <cellStyle name="60% - Accent6 113" xfId="17545" xr:uid="{00000000-0005-0000-0000-000037440000}"/>
    <cellStyle name="60% - Accent6 114" xfId="17546" xr:uid="{00000000-0005-0000-0000-000038440000}"/>
    <cellStyle name="60% - Accent6 115" xfId="17547" xr:uid="{00000000-0005-0000-0000-000039440000}"/>
    <cellStyle name="60% - Accent6 116" xfId="17548" xr:uid="{00000000-0005-0000-0000-00003A440000}"/>
    <cellStyle name="60% - Accent6 117" xfId="17549" xr:uid="{00000000-0005-0000-0000-00003B440000}"/>
    <cellStyle name="60% - Accent6 118" xfId="17550" xr:uid="{00000000-0005-0000-0000-00003C440000}"/>
    <cellStyle name="60% - Accent6 119" xfId="17551" xr:uid="{00000000-0005-0000-0000-00003D440000}"/>
    <cellStyle name="60% - Accent6 12" xfId="17552" xr:uid="{00000000-0005-0000-0000-00003E440000}"/>
    <cellStyle name="60% - Accent6 12 2" xfId="17553" xr:uid="{00000000-0005-0000-0000-00003F440000}"/>
    <cellStyle name="60% - Accent6 120" xfId="17554" xr:uid="{00000000-0005-0000-0000-000040440000}"/>
    <cellStyle name="60% - Accent6 121" xfId="17555" xr:uid="{00000000-0005-0000-0000-000041440000}"/>
    <cellStyle name="60% - Accent6 122" xfId="17556" xr:uid="{00000000-0005-0000-0000-000042440000}"/>
    <cellStyle name="60% - Accent6 123" xfId="17557" xr:uid="{00000000-0005-0000-0000-000043440000}"/>
    <cellStyle name="60% - Accent6 124" xfId="17558" xr:uid="{00000000-0005-0000-0000-000044440000}"/>
    <cellStyle name="60% - Accent6 125" xfId="17559" xr:uid="{00000000-0005-0000-0000-000045440000}"/>
    <cellStyle name="60% - Accent6 126" xfId="17560" xr:uid="{00000000-0005-0000-0000-000046440000}"/>
    <cellStyle name="60% - Accent6 127" xfId="17561" xr:uid="{00000000-0005-0000-0000-000047440000}"/>
    <cellStyle name="60% - Accent6 128" xfId="17562" xr:uid="{00000000-0005-0000-0000-000048440000}"/>
    <cellStyle name="60% - Accent6 129" xfId="17563" xr:uid="{00000000-0005-0000-0000-000049440000}"/>
    <cellStyle name="60% - Accent6 13" xfId="17564" xr:uid="{00000000-0005-0000-0000-00004A440000}"/>
    <cellStyle name="60% - Accent6 13 2" xfId="17565" xr:uid="{00000000-0005-0000-0000-00004B440000}"/>
    <cellStyle name="60% - Accent6 130" xfId="17566" xr:uid="{00000000-0005-0000-0000-00004C440000}"/>
    <cellStyle name="60% - Accent6 131" xfId="17567" xr:uid="{00000000-0005-0000-0000-00004D440000}"/>
    <cellStyle name="60% - Accent6 132" xfId="17568" xr:uid="{00000000-0005-0000-0000-00004E440000}"/>
    <cellStyle name="60% - Accent6 133" xfId="17569" xr:uid="{00000000-0005-0000-0000-00004F440000}"/>
    <cellStyle name="60% - Accent6 134" xfId="17570" xr:uid="{00000000-0005-0000-0000-000050440000}"/>
    <cellStyle name="60% - Accent6 135" xfId="17571" xr:uid="{00000000-0005-0000-0000-000051440000}"/>
    <cellStyle name="60% - Accent6 136" xfId="17572" xr:uid="{00000000-0005-0000-0000-000052440000}"/>
    <cellStyle name="60% - Accent6 137" xfId="17573" xr:uid="{00000000-0005-0000-0000-000053440000}"/>
    <cellStyle name="60% - Accent6 138" xfId="17574" xr:uid="{00000000-0005-0000-0000-000054440000}"/>
    <cellStyle name="60% - Accent6 139" xfId="17575" xr:uid="{00000000-0005-0000-0000-000055440000}"/>
    <cellStyle name="60% - Accent6 14" xfId="17576" xr:uid="{00000000-0005-0000-0000-000056440000}"/>
    <cellStyle name="60% - Accent6 14 2" xfId="17577" xr:uid="{00000000-0005-0000-0000-000057440000}"/>
    <cellStyle name="60% - Accent6 140" xfId="17578" xr:uid="{00000000-0005-0000-0000-000058440000}"/>
    <cellStyle name="60% - Accent6 141" xfId="17579" xr:uid="{00000000-0005-0000-0000-000059440000}"/>
    <cellStyle name="60% - Accent6 142" xfId="17580" xr:uid="{00000000-0005-0000-0000-00005A440000}"/>
    <cellStyle name="60% - Accent6 143" xfId="17581" xr:uid="{00000000-0005-0000-0000-00005B440000}"/>
    <cellStyle name="60% - Accent6 144" xfId="17582" xr:uid="{00000000-0005-0000-0000-00005C440000}"/>
    <cellStyle name="60% - Accent6 145" xfId="17583" xr:uid="{00000000-0005-0000-0000-00005D440000}"/>
    <cellStyle name="60% - Accent6 146" xfId="17584" xr:uid="{00000000-0005-0000-0000-00005E440000}"/>
    <cellStyle name="60% - Accent6 147" xfId="17585" xr:uid="{00000000-0005-0000-0000-00005F440000}"/>
    <cellStyle name="60% - Accent6 148" xfId="17586" xr:uid="{00000000-0005-0000-0000-000060440000}"/>
    <cellStyle name="60% - Accent6 149" xfId="17587" xr:uid="{00000000-0005-0000-0000-000061440000}"/>
    <cellStyle name="60% - Accent6 15" xfId="17588" xr:uid="{00000000-0005-0000-0000-000062440000}"/>
    <cellStyle name="60% - Accent6 15 2" xfId="17589" xr:uid="{00000000-0005-0000-0000-000063440000}"/>
    <cellStyle name="60% - Accent6 150" xfId="17590" xr:uid="{00000000-0005-0000-0000-000064440000}"/>
    <cellStyle name="60% - Accent6 151" xfId="17591" xr:uid="{00000000-0005-0000-0000-000065440000}"/>
    <cellStyle name="60% - Accent6 152" xfId="17592" xr:uid="{00000000-0005-0000-0000-000066440000}"/>
    <cellStyle name="60% - Accent6 153" xfId="17593" xr:uid="{00000000-0005-0000-0000-000067440000}"/>
    <cellStyle name="60% - Accent6 154" xfId="17594" xr:uid="{00000000-0005-0000-0000-000068440000}"/>
    <cellStyle name="60% - Accent6 155" xfId="17595" xr:uid="{00000000-0005-0000-0000-000069440000}"/>
    <cellStyle name="60% - Accent6 156" xfId="17596" xr:uid="{00000000-0005-0000-0000-00006A440000}"/>
    <cellStyle name="60% - Accent6 157" xfId="17597" xr:uid="{00000000-0005-0000-0000-00006B440000}"/>
    <cellStyle name="60% - Accent6 158" xfId="17598" xr:uid="{00000000-0005-0000-0000-00006C440000}"/>
    <cellStyle name="60% - Accent6 159" xfId="17599" xr:uid="{00000000-0005-0000-0000-00006D440000}"/>
    <cellStyle name="60% - Accent6 16" xfId="17600" xr:uid="{00000000-0005-0000-0000-00006E440000}"/>
    <cellStyle name="60% - Accent6 160" xfId="17601" xr:uid="{00000000-0005-0000-0000-00006F440000}"/>
    <cellStyle name="60% - Accent6 161" xfId="17602" xr:uid="{00000000-0005-0000-0000-000070440000}"/>
    <cellStyle name="60% - Accent6 162" xfId="17603" xr:uid="{00000000-0005-0000-0000-000071440000}"/>
    <cellStyle name="60% - Accent6 163" xfId="17604" xr:uid="{00000000-0005-0000-0000-000072440000}"/>
    <cellStyle name="60% - Accent6 164" xfId="17605" xr:uid="{00000000-0005-0000-0000-000073440000}"/>
    <cellStyle name="60% - Accent6 165" xfId="17606" xr:uid="{00000000-0005-0000-0000-000074440000}"/>
    <cellStyle name="60% - Accent6 166" xfId="17607" xr:uid="{00000000-0005-0000-0000-000075440000}"/>
    <cellStyle name="60% - Accent6 167" xfId="17608" xr:uid="{00000000-0005-0000-0000-000076440000}"/>
    <cellStyle name="60% - Accent6 17" xfId="17609" xr:uid="{00000000-0005-0000-0000-000077440000}"/>
    <cellStyle name="60% - Accent6 18" xfId="17610" xr:uid="{00000000-0005-0000-0000-000078440000}"/>
    <cellStyle name="60% - Accent6 19" xfId="17611" xr:uid="{00000000-0005-0000-0000-000079440000}"/>
    <cellStyle name="60% - Accent6 2" xfId="17612" xr:uid="{00000000-0005-0000-0000-00007A440000}"/>
    <cellStyle name="60% - Accent6 2 10" xfId="17613" xr:uid="{00000000-0005-0000-0000-00007B440000}"/>
    <cellStyle name="60% - Accent6 2 11" xfId="17614" xr:uid="{00000000-0005-0000-0000-00007C440000}"/>
    <cellStyle name="60% - Accent6 2 12" xfId="17615" xr:uid="{00000000-0005-0000-0000-00007D440000}"/>
    <cellStyle name="60% - Accent6 2 13" xfId="17616" xr:uid="{00000000-0005-0000-0000-00007E440000}"/>
    <cellStyle name="60% - Accent6 2 14" xfId="17617" xr:uid="{00000000-0005-0000-0000-00007F440000}"/>
    <cellStyle name="60% - Accent6 2 15" xfId="17618" xr:uid="{00000000-0005-0000-0000-000080440000}"/>
    <cellStyle name="60% - Accent6 2 16" xfId="17619" xr:uid="{00000000-0005-0000-0000-000081440000}"/>
    <cellStyle name="60% - Accent6 2 17" xfId="17620" xr:uid="{00000000-0005-0000-0000-000082440000}"/>
    <cellStyle name="60% - Accent6 2 18" xfId="17621" xr:uid="{00000000-0005-0000-0000-000083440000}"/>
    <cellStyle name="60% - Accent6 2 19" xfId="17622" xr:uid="{00000000-0005-0000-0000-000084440000}"/>
    <cellStyle name="60% - Accent6 2 2" xfId="17623" xr:uid="{00000000-0005-0000-0000-000085440000}"/>
    <cellStyle name="60% - Accent6 2 2 2" xfId="17624" xr:uid="{00000000-0005-0000-0000-000086440000}"/>
    <cellStyle name="60% - Accent6 2 20" xfId="17625" xr:uid="{00000000-0005-0000-0000-000087440000}"/>
    <cellStyle name="60% - Accent6 2 21" xfId="17626" xr:uid="{00000000-0005-0000-0000-000088440000}"/>
    <cellStyle name="60% - Accent6 2 22" xfId="17627" xr:uid="{00000000-0005-0000-0000-000089440000}"/>
    <cellStyle name="60% - Accent6 2 23" xfId="17628" xr:uid="{00000000-0005-0000-0000-00008A440000}"/>
    <cellStyle name="60% - Accent6 2 24" xfId="17629" xr:uid="{00000000-0005-0000-0000-00008B440000}"/>
    <cellStyle name="60% - Accent6 2 25" xfId="17630" xr:uid="{00000000-0005-0000-0000-00008C440000}"/>
    <cellStyle name="60% - Accent6 2 26" xfId="17631" xr:uid="{00000000-0005-0000-0000-00008D440000}"/>
    <cellStyle name="60% - Accent6 2 27" xfId="17632" xr:uid="{00000000-0005-0000-0000-00008E440000}"/>
    <cellStyle name="60% - Accent6 2 28" xfId="17633" xr:uid="{00000000-0005-0000-0000-00008F440000}"/>
    <cellStyle name="60% - Accent6 2 29" xfId="17634" xr:uid="{00000000-0005-0000-0000-000090440000}"/>
    <cellStyle name="60% - Accent6 2 3" xfId="17635" xr:uid="{00000000-0005-0000-0000-000091440000}"/>
    <cellStyle name="60% - Accent6 2 30" xfId="17636" xr:uid="{00000000-0005-0000-0000-000092440000}"/>
    <cellStyle name="60% - Accent6 2 31" xfId="17637" xr:uid="{00000000-0005-0000-0000-000093440000}"/>
    <cellStyle name="60% - Accent6 2 32" xfId="17638" xr:uid="{00000000-0005-0000-0000-000094440000}"/>
    <cellStyle name="60% - Accent6 2 33" xfId="17639" xr:uid="{00000000-0005-0000-0000-000095440000}"/>
    <cellStyle name="60% - Accent6 2 34" xfId="17640" xr:uid="{00000000-0005-0000-0000-000096440000}"/>
    <cellStyle name="60% - Accent6 2 35" xfId="17641" xr:uid="{00000000-0005-0000-0000-000097440000}"/>
    <cellStyle name="60% - Accent6 2 4" xfId="17642" xr:uid="{00000000-0005-0000-0000-000098440000}"/>
    <cellStyle name="60% - Accent6 2 5" xfId="17643" xr:uid="{00000000-0005-0000-0000-000099440000}"/>
    <cellStyle name="60% - Accent6 2 6" xfId="17644" xr:uid="{00000000-0005-0000-0000-00009A440000}"/>
    <cellStyle name="60% - Accent6 2 7" xfId="17645" xr:uid="{00000000-0005-0000-0000-00009B440000}"/>
    <cellStyle name="60% - Accent6 2 8" xfId="17646" xr:uid="{00000000-0005-0000-0000-00009C440000}"/>
    <cellStyle name="60% - Accent6 2 9" xfId="17647" xr:uid="{00000000-0005-0000-0000-00009D440000}"/>
    <cellStyle name="60% - Accent6 2_ERDF Losses" xfId="17648" xr:uid="{00000000-0005-0000-0000-00009E440000}"/>
    <cellStyle name="60% - Accent6 20" xfId="17649" xr:uid="{00000000-0005-0000-0000-00009F440000}"/>
    <cellStyle name="60% - Accent6 20 10" xfId="17650" xr:uid="{00000000-0005-0000-0000-0000A0440000}"/>
    <cellStyle name="60% - Accent6 20 11" xfId="17651" xr:uid="{00000000-0005-0000-0000-0000A1440000}"/>
    <cellStyle name="60% - Accent6 20 12" xfId="17652" xr:uid="{00000000-0005-0000-0000-0000A2440000}"/>
    <cellStyle name="60% - Accent6 20 13" xfId="17653" xr:uid="{00000000-0005-0000-0000-0000A3440000}"/>
    <cellStyle name="60% - Accent6 20 14" xfId="17654" xr:uid="{00000000-0005-0000-0000-0000A4440000}"/>
    <cellStyle name="60% - Accent6 20 15" xfId="17655" xr:uid="{00000000-0005-0000-0000-0000A5440000}"/>
    <cellStyle name="60% - Accent6 20 16" xfId="17656" xr:uid="{00000000-0005-0000-0000-0000A6440000}"/>
    <cellStyle name="60% - Accent6 20 2" xfId="17657" xr:uid="{00000000-0005-0000-0000-0000A7440000}"/>
    <cellStyle name="60% - Accent6 20 3" xfId="17658" xr:uid="{00000000-0005-0000-0000-0000A8440000}"/>
    <cellStyle name="60% - Accent6 20 4" xfId="17659" xr:uid="{00000000-0005-0000-0000-0000A9440000}"/>
    <cellStyle name="60% - Accent6 20 5" xfId="17660" xr:uid="{00000000-0005-0000-0000-0000AA440000}"/>
    <cellStyle name="60% - Accent6 20 6" xfId="17661" xr:uid="{00000000-0005-0000-0000-0000AB440000}"/>
    <cellStyle name="60% - Accent6 20 7" xfId="17662" xr:uid="{00000000-0005-0000-0000-0000AC440000}"/>
    <cellStyle name="60% - Accent6 20 8" xfId="17663" xr:uid="{00000000-0005-0000-0000-0000AD440000}"/>
    <cellStyle name="60% - Accent6 20 9" xfId="17664" xr:uid="{00000000-0005-0000-0000-0000AE440000}"/>
    <cellStyle name="60% - Accent6 21" xfId="17665" xr:uid="{00000000-0005-0000-0000-0000AF440000}"/>
    <cellStyle name="60% - Accent6 21 2" xfId="17666" xr:uid="{00000000-0005-0000-0000-0000B0440000}"/>
    <cellStyle name="60% - Accent6 21 3" xfId="17667" xr:uid="{00000000-0005-0000-0000-0000B1440000}"/>
    <cellStyle name="60% - Accent6 22" xfId="17668" xr:uid="{00000000-0005-0000-0000-0000B2440000}"/>
    <cellStyle name="60% - Accent6 23" xfId="17669" xr:uid="{00000000-0005-0000-0000-0000B3440000}"/>
    <cellStyle name="60% - Accent6 24" xfId="17670" xr:uid="{00000000-0005-0000-0000-0000B4440000}"/>
    <cellStyle name="60% - Accent6 25" xfId="17671" xr:uid="{00000000-0005-0000-0000-0000B5440000}"/>
    <cellStyle name="60% - Accent6 26" xfId="17672" xr:uid="{00000000-0005-0000-0000-0000B6440000}"/>
    <cellStyle name="60% - Accent6 27" xfId="17673" xr:uid="{00000000-0005-0000-0000-0000B7440000}"/>
    <cellStyle name="60% - Accent6 28" xfId="17674" xr:uid="{00000000-0005-0000-0000-0000B8440000}"/>
    <cellStyle name="60% - Accent6 29" xfId="17675" xr:uid="{00000000-0005-0000-0000-0000B9440000}"/>
    <cellStyle name="60% - Accent6 3" xfId="17676" xr:uid="{00000000-0005-0000-0000-0000BA440000}"/>
    <cellStyle name="60% - Accent6 3 10" xfId="17677" xr:uid="{00000000-0005-0000-0000-0000BB440000}"/>
    <cellStyle name="60% - Accent6 3 10 10" xfId="17678" xr:uid="{00000000-0005-0000-0000-0000BC440000}"/>
    <cellStyle name="60% - Accent6 3 10 11" xfId="17679" xr:uid="{00000000-0005-0000-0000-0000BD440000}"/>
    <cellStyle name="60% - Accent6 3 10 12" xfId="17680" xr:uid="{00000000-0005-0000-0000-0000BE440000}"/>
    <cellStyle name="60% - Accent6 3 10 13" xfId="17681" xr:uid="{00000000-0005-0000-0000-0000BF440000}"/>
    <cellStyle name="60% - Accent6 3 10 14" xfId="17682" xr:uid="{00000000-0005-0000-0000-0000C0440000}"/>
    <cellStyle name="60% - Accent6 3 10 15" xfId="17683" xr:uid="{00000000-0005-0000-0000-0000C1440000}"/>
    <cellStyle name="60% - Accent6 3 10 2" xfId="17684" xr:uid="{00000000-0005-0000-0000-0000C2440000}"/>
    <cellStyle name="60% - Accent6 3 10 3" xfId="17685" xr:uid="{00000000-0005-0000-0000-0000C3440000}"/>
    <cellStyle name="60% - Accent6 3 10 4" xfId="17686" xr:uid="{00000000-0005-0000-0000-0000C4440000}"/>
    <cellStyle name="60% - Accent6 3 10 5" xfId="17687" xr:uid="{00000000-0005-0000-0000-0000C5440000}"/>
    <cellStyle name="60% - Accent6 3 10 6" xfId="17688" xr:uid="{00000000-0005-0000-0000-0000C6440000}"/>
    <cellStyle name="60% - Accent6 3 10 7" xfId="17689" xr:uid="{00000000-0005-0000-0000-0000C7440000}"/>
    <cellStyle name="60% - Accent6 3 10 8" xfId="17690" xr:uid="{00000000-0005-0000-0000-0000C8440000}"/>
    <cellStyle name="60% - Accent6 3 10 9" xfId="17691" xr:uid="{00000000-0005-0000-0000-0000C9440000}"/>
    <cellStyle name="60% - Accent6 3 11" xfId="17692" xr:uid="{00000000-0005-0000-0000-0000CA440000}"/>
    <cellStyle name="60% - Accent6 3 11 10" xfId="17693" xr:uid="{00000000-0005-0000-0000-0000CB440000}"/>
    <cellStyle name="60% - Accent6 3 11 11" xfId="17694" xr:uid="{00000000-0005-0000-0000-0000CC440000}"/>
    <cellStyle name="60% - Accent6 3 11 12" xfId="17695" xr:uid="{00000000-0005-0000-0000-0000CD440000}"/>
    <cellStyle name="60% - Accent6 3 11 13" xfId="17696" xr:uid="{00000000-0005-0000-0000-0000CE440000}"/>
    <cellStyle name="60% - Accent6 3 11 14" xfId="17697" xr:uid="{00000000-0005-0000-0000-0000CF440000}"/>
    <cellStyle name="60% - Accent6 3 11 15" xfId="17698" xr:uid="{00000000-0005-0000-0000-0000D0440000}"/>
    <cellStyle name="60% - Accent6 3 11 2" xfId="17699" xr:uid="{00000000-0005-0000-0000-0000D1440000}"/>
    <cellStyle name="60% - Accent6 3 11 3" xfId="17700" xr:uid="{00000000-0005-0000-0000-0000D2440000}"/>
    <cellStyle name="60% - Accent6 3 11 4" xfId="17701" xr:uid="{00000000-0005-0000-0000-0000D3440000}"/>
    <cellStyle name="60% - Accent6 3 11 5" xfId="17702" xr:uid="{00000000-0005-0000-0000-0000D4440000}"/>
    <cellStyle name="60% - Accent6 3 11 6" xfId="17703" xr:uid="{00000000-0005-0000-0000-0000D5440000}"/>
    <cellStyle name="60% - Accent6 3 11 7" xfId="17704" xr:uid="{00000000-0005-0000-0000-0000D6440000}"/>
    <cellStyle name="60% - Accent6 3 11 8" xfId="17705" xr:uid="{00000000-0005-0000-0000-0000D7440000}"/>
    <cellStyle name="60% - Accent6 3 11 9" xfId="17706" xr:uid="{00000000-0005-0000-0000-0000D8440000}"/>
    <cellStyle name="60% - Accent6 3 12" xfId="17707" xr:uid="{00000000-0005-0000-0000-0000D9440000}"/>
    <cellStyle name="60% - Accent6 3 12 10" xfId="17708" xr:uid="{00000000-0005-0000-0000-0000DA440000}"/>
    <cellStyle name="60% - Accent6 3 12 11" xfId="17709" xr:uid="{00000000-0005-0000-0000-0000DB440000}"/>
    <cellStyle name="60% - Accent6 3 12 12" xfId="17710" xr:uid="{00000000-0005-0000-0000-0000DC440000}"/>
    <cellStyle name="60% - Accent6 3 12 13" xfId="17711" xr:uid="{00000000-0005-0000-0000-0000DD440000}"/>
    <cellStyle name="60% - Accent6 3 12 14" xfId="17712" xr:uid="{00000000-0005-0000-0000-0000DE440000}"/>
    <cellStyle name="60% - Accent6 3 12 15" xfId="17713" xr:uid="{00000000-0005-0000-0000-0000DF440000}"/>
    <cellStyle name="60% - Accent6 3 12 2" xfId="17714" xr:uid="{00000000-0005-0000-0000-0000E0440000}"/>
    <cellStyle name="60% - Accent6 3 12 3" xfId="17715" xr:uid="{00000000-0005-0000-0000-0000E1440000}"/>
    <cellStyle name="60% - Accent6 3 12 4" xfId="17716" xr:uid="{00000000-0005-0000-0000-0000E2440000}"/>
    <cellStyle name="60% - Accent6 3 12 5" xfId="17717" xr:uid="{00000000-0005-0000-0000-0000E3440000}"/>
    <cellStyle name="60% - Accent6 3 12 6" xfId="17718" xr:uid="{00000000-0005-0000-0000-0000E4440000}"/>
    <cellStyle name="60% - Accent6 3 12 7" xfId="17719" xr:uid="{00000000-0005-0000-0000-0000E5440000}"/>
    <cellStyle name="60% - Accent6 3 12 8" xfId="17720" xr:uid="{00000000-0005-0000-0000-0000E6440000}"/>
    <cellStyle name="60% - Accent6 3 12 9" xfId="17721" xr:uid="{00000000-0005-0000-0000-0000E7440000}"/>
    <cellStyle name="60% - Accent6 3 13" xfId="17722" xr:uid="{00000000-0005-0000-0000-0000E8440000}"/>
    <cellStyle name="60% - Accent6 3 13 10" xfId="17723" xr:uid="{00000000-0005-0000-0000-0000E9440000}"/>
    <cellStyle name="60% - Accent6 3 13 11" xfId="17724" xr:uid="{00000000-0005-0000-0000-0000EA440000}"/>
    <cellStyle name="60% - Accent6 3 13 12" xfId="17725" xr:uid="{00000000-0005-0000-0000-0000EB440000}"/>
    <cellStyle name="60% - Accent6 3 13 13" xfId="17726" xr:uid="{00000000-0005-0000-0000-0000EC440000}"/>
    <cellStyle name="60% - Accent6 3 13 14" xfId="17727" xr:uid="{00000000-0005-0000-0000-0000ED440000}"/>
    <cellStyle name="60% - Accent6 3 13 15" xfId="17728" xr:uid="{00000000-0005-0000-0000-0000EE440000}"/>
    <cellStyle name="60% - Accent6 3 13 2" xfId="17729" xr:uid="{00000000-0005-0000-0000-0000EF440000}"/>
    <cellStyle name="60% - Accent6 3 13 3" xfId="17730" xr:uid="{00000000-0005-0000-0000-0000F0440000}"/>
    <cellStyle name="60% - Accent6 3 13 4" xfId="17731" xr:uid="{00000000-0005-0000-0000-0000F1440000}"/>
    <cellStyle name="60% - Accent6 3 13 5" xfId="17732" xr:uid="{00000000-0005-0000-0000-0000F2440000}"/>
    <cellStyle name="60% - Accent6 3 13 6" xfId="17733" xr:uid="{00000000-0005-0000-0000-0000F3440000}"/>
    <cellStyle name="60% - Accent6 3 13 7" xfId="17734" xr:uid="{00000000-0005-0000-0000-0000F4440000}"/>
    <cellStyle name="60% - Accent6 3 13 8" xfId="17735" xr:uid="{00000000-0005-0000-0000-0000F5440000}"/>
    <cellStyle name="60% - Accent6 3 13 9" xfId="17736" xr:uid="{00000000-0005-0000-0000-0000F6440000}"/>
    <cellStyle name="60% - Accent6 3 14" xfId="17737" xr:uid="{00000000-0005-0000-0000-0000F7440000}"/>
    <cellStyle name="60% - Accent6 3 14 10" xfId="17738" xr:uid="{00000000-0005-0000-0000-0000F8440000}"/>
    <cellStyle name="60% - Accent6 3 14 11" xfId="17739" xr:uid="{00000000-0005-0000-0000-0000F9440000}"/>
    <cellStyle name="60% - Accent6 3 14 12" xfId="17740" xr:uid="{00000000-0005-0000-0000-0000FA440000}"/>
    <cellStyle name="60% - Accent6 3 14 13" xfId="17741" xr:uid="{00000000-0005-0000-0000-0000FB440000}"/>
    <cellStyle name="60% - Accent6 3 14 14" xfId="17742" xr:uid="{00000000-0005-0000-0000-0000FC440000}"/>
    <cellStyle name="60% - Accent6 3 14 15" xfId="17743" xr:uid="{00000000-0005-0000-0000-0000FD440000}"/>
    <cellStyle name="60% - Accent6 3 14 2" xfId="17744" xr:uid="{00000000-0005-0000-0000-0000FE440000}"/>
    <cellStyle name="60% - Accent6 3 14 3" xfId="17745" xr:uid="{00000000-0005-0000-0000-0000FF440000}"/>
    <cellStyle name="60% - Accent6 3 14 4" xfId="17746" xr:uid="{00000000-0005-0000-0000-000000450000}"/>
    <cellStyle name="60% - Accent6 3 14 5" xfId="17747" xr:uid="{00000000-0005-0000-0000-000001450000}"/>
    <cellStyle name="60% - Accent6 3 14 6" xfId="17748" xr:uid="{00000000-0005-0000-0000-000002450000}"/>
    <cellStyle name="60% - Accent6 3 14 7" xfId="17749" xr:uid="{00000000-0005-0000-0000-000003450000}"/>
    <cellStyle name="60% - Accent6 3 14 8" xfId="17750" xr:uid="{00000000-0005-0000-0000-000004450000}"/>
    <cellStyle name="60% - Accent6 3 14 9" xfId="17751" xr:uid="{00000000-0005-0000-0000-000005450000}"/>
    <cellStyle name="60% - Accent6 3 15" xfId="17752" xr:uid="{00000000-0005-0000-0000-000006450000}"/>
    <cellStyle name="60% - Accent6 3 15 10" xfId="17753" xr:uid="{00000000-0005-0000-0000-000007450000}"/>
    <cellStyle name="60% - Accent6 3 15 11" xfId="17754" xr:uid="{00000000-0005-0000-0000-000008450000}"/>
    <cellStyle name="60% - Accent6 3 15 12" xfId="17755" xr:uid="{00000000-0005-0000-0000-000009450000}"/>
    <cellStyle name="60% - Accent6 3 15 13" xfId="17756" xr:uid="{00000000-0005-0000-0000-00000A450000}"/>
    <cellStyle name="60% - Accent6 3 15 14" xfId="17757" xr:uid="{00000000-0005-0000-0000-00000B450000}"/>
    <cellStyle name="60% - Accent6 3 15 15" xfId="17758" xr:uid="{00000000-0005-0000-0000-00000C450000}"/>
    <cellStyle name="60% - Accent6 3 15 2" xfId="17759" xr:uid="{00000000-0005-0000-0000-00000D450000}"/>
    <cellStyle name="60% - Accent6 3 15 3" xfId="17760" xr:uid="{00000000-0005-0000-0000-00000E450000}"/>
    <cellStyle name="60% - Accent6 3 15 4" xfId="17761" xr:uid="{00000000-0005-0000-0000-00000F450000}"/>
    <cellStyle name="60% - Accent6 3 15 5" xfId="17762" xr:uid="{00000000-0005-0000-0000-000010450000}"/>
    <cellStyle name="60% - Accent6 3 15 6" xfId="17763" xr:uid="{00000000-0005-0000-0000-000011450000}"/>
    <cellStyle name="60% - Accent6 3 15 7" xfId="17764" xr:uid="{00000000-0005-0000-0000-000012450000}"/>
    <cellStyle name="60% - Accent6 3 15 8" xfId="17765" xr:uid="{00000000-0005-0000-0000-000013450000}"/>
    <cellStyle name="60% - Accent6 3 15 9" xfId="17766" xr:uid="{00000000-0005-0000-0000-000014450000}"/>
    <cellStyle name="60% - Accent6 3 16" xfId="17767" xr:uid="{00000000-0005-0000-0000-000015450000}"/>
    <cellStyle name="60% - Accent6 3 16 10" xfId="17768" xr:uid="{00000000-0005-0000-0000-000016450000}"/>
    <cellStyle name="60% - Accent6 3 16 11" xfId="17769" xr:uid="{00000000-0005-0000-0000-000017450000}"/>
    <cellStyle name="60% - Accent6 3 16 12" xfId="17770" xr:uid="{00000000-0005-0000-0000-000018450000}"/>
    <cellStyle name="60% - Accent6 3 16 13" xfId="17771" xr:uid="{00000000-0005-0000-0000-000019450000}"/>
    <cellStyle name="60% - Accent6 3 16 14" xfId="17772" xr:uid="{00000000-0005-0000-0000-00001A450000}"/>
    <cellStyle name="60% - Accent6 3 16 15" xfId="17773" xr:uid="{00000000-0005-0000-0000-00001B450000}"/>
    <cellStyle name="60% - Accent6 3 16 2" xfId="17774" xr:uid="{00000000-0005-0000-0000-00001C450000}"/>
    <cellStyle name="60% - Accent6 3 16 3" xfId="17775" xr:uid="{00000000-0005-0000-0000-00001D450000}"/>
    <cellStyle name="60% - Accent6 3 16 4" xfId="17776" xr:uid="{00000000-0005-0000-0000-00001E450000}"/>
    <cellStyle name="60% - Accent6 3 16 5" xfId="17777" xr:uid="{00000000-0005-0000-0000-00001F450000}"/>
    <cellStyle name="60% - Accent6 3 16 6" xfId="17778" xr:uid="{00000000-0005-0000-0000-000020450000}"/>
    <cellStyle name="60% - Accent6 3 16 7" xfId="17779" xr:uid="{00000000-0005-0000-0000-000021450000}"/>
    <cellStyle name="60% - Accent6 3 16 8" xfId="17780" xr:uid="{00000000-0005-0000-0000-000022450000}"/>
    <cellStyle name="60% - Accent6 3 16 9" xfId="17781" xr:uid="{00000000-0005-0000-0000-000023450000}"/>
    <cellStyle name="60% - Accent6 3 17" xfId="17782" xr:uid="{00000000-0005-0000-0000-000024450000}"/>
    <cellStyle name="60% - Accent6 3 17 10" xfId="17783" xr:uid="{00000000-0005-0000-0000-000025450000}"/>
    <cellStyle name="60% - Accent6 3 17 11" xfId="17784" xr:uid="{00000000-0005-0000-0000-000026450000}"/>
    <cellStyle name="60% - Accent6 3 17 12" xfId="17785" xr:uid="{00000000-0005-0000-0000-000027450000}"/>
    <cellStyle name="60% - Accent6 3 17 13" xfId="17786" xr:uid="{00000000-0005-0000-0000-000028450000}"/>
    <cellStyle name="60% - Accent6 3 17 14" xfId="17787" xr:uid="{00000000-0005-0000-0000-000029450000}"/>
    <cellStyle name="60% - Accent6 3 17 15" xfId="17788" xr:uid="{00000000-0005-0000-0000-00002A450000}"/>
    <cellStyle name="60% - Accent6 3 17 2" xfId="17789" xr:uid="{00000000-0005-0000-0000-00002B450000}"/>
    <cellStyle name="60% - Accent6 3 17 3" xfId="17790" xr:uid="{00000000-0005-0000-0000-00002C450000}"/>
    <cellStyle name="60% - Accent6 3 17 4" xfId="17791" xr:uid="{00000000-0005-0000-0000-00002D450000}"/>
    <cellStyle name="60% - Accent6 3 17 5" xfId="17792" xr:uid="{00000000-0005-0000-0000-00002E450000}"/>
    <cellStyle name="60% - Accent6 3 17 6" xfId="17793" xr:uid="{00000000-0005-0000-0000-00002F450000}"/>
    <cellStyle name="60% - Accent6 3 17 7" xfId="17794" xr:uid="{00000000-0005-0000-0000-000030450000}"/>
    <cellStyle name="60% - Accent6 3 17 8" xfId="17795" xr:uid="{00000000-0005-0000-0000-000031450000}"/>
    <cellStyle name="60% - Accent6 3 17 9" xfId="17796" xr:uid="{00000000-0005-0000-0000-000032450000}"/>
    <cellStyle name="60% - Accent6 3 18" xfId="17797" xr:uid="{00000000-0005-0000-0000-000033450000}"/>
    <cellStyle name="60% - Accent6 3 18 10" xfId="17798" xr:uid="{00000000-0005-0000-0000-000034450000}"/>
    <cellStyle name="60% - Accent6 3 18 11" xfId="17799" xr:uid="{00000000-0005-0000-0000-000035450000}"/>
    <cellStyle name="60% - Accent6 3 18 12" xfId="17800" xr:uid="{00000000-0005-0000-0000-000036450000}"/>
    <cellStyle name="60% - Accent6 3 18 13" xfId="17801" xr:uid="{00000000-0005-0000-0000-000037450000}"/>
    <cellStyle name="60% - Accent6 3 18 14" xfId="17802" xr:uid="{00000000-0005-0000-0000-000038450000}"/>
    <cellStyle name="60% - Accent6 3 18 15" xfId="17803" xr:uid="{00000000-0005-0000-0000-000039450000}"/>
    <cellStyle name="60% - Accent6 3 18 2" xfId="17804" xr:uid="{00000000-0005-0000-0000-00003A450000}"/>
    <cellStyle name="60% - Accent6 3 18 3" xfId="17805" xr:uid="{00000000-0005-0000-0000-00003B450000}"/>
    <cellStyle name="60% - Accent6 3 18 4" xfId="17806" xr:uid="{00000000-0005-0000-0000-00003C450000}"/>
    <cellStyle name="60% - Accent6 3 18 5" xfId="17807" xr:uid="{00000000-0005-0000-0000-00003D450000}"/>
    <cellStyle name="60% - Accent6 3 18 6" xfId="17808" xr:uid="{00000000-0005-0000-0000-00003E450000}"/>
    <cellStyle name="60% - Accent6 3 18 7" xfId="17809" xr:uid="{00000000-0005-0000-0000-00003F450000}"/>
    <cellStyle name="60% - Accent6 3 18 8" xfId="17810" xr:uid="{00000000-0005-0000-0000-000040450000}"/>
    <cellStyle name="60% - Accent6 3 18 9" xfId="17811" xr:uid="{00000000-0005-0000-0000-000041450000}"/>
    <cellStyle name="60% - Accent6 3 19" xfId="17812" xr:uid="{00000000-0005-0000-0000-000042450000}"/>
    <cellStyle name="60% - Accent6 3 19 10" xfId="17813" xr:uid="{00000000-0005-0000-0000-000043450000}"/>
    <cellStyle name="60% - Accent6 3 19 11" xfId="17814" xr:uid="{00000000-0005-0000-0000-000044450000}"/>
    <cellStyle name="60% - Accent6 3 19 12" xfId="17815" xr:uid="{00000000-0005-0000-0000-000045450000}"/>
    <cellStyle name="60% - Accent6 3 19 13" xfId="17816" xr:uid="{00000000-0005-0000-0000-000046450000}"/>
    <cellStyle name="60% - Accent6 3 19 14" xfId="17817" xr:uid="{00000000-0005-0000-0000-000047450000}"/>
    <cellStyle name="60% - Accent6 3 19 15" xfId="17818" xr:uid="{00000000-0005-0000-0000-000048450000}"/>
    <cellStyle name="60% - Accent6 3 19 2" xfId="17819" xr:uid="{00000000-0005-0000-0000-000049450000}"/>
    <cellStyle name="60% - Accent6 3 19 3" xfId="17820" xr:uid="{00000000-0005-0000-0000-00004A450000}"/>
    <cellStyle name="60% - Accent6 3 19 4" xfId="17821" xr:uid="{00000000-0005-0000-0000-00004B450000}"/>
    <cellStyle name="60% - Accent6 3 19 5" xfId="17822" xr:uid="{00000000-0005-0000-0000-00004C450000}"/>
    <cellStyle name="60% - Accent6 3 19 6" xfId="17823" xr:uid="{00000000-0005-0000-0000-00004D450000}"/>
    <cellStyle name="60% - Accent6 3 19 7" xfId="17824" xr:uid="{00000000-0005-0000-0000-00004E450000}"/>
    <cellStyle name="60% - Accent6 3 19 8" xfId="17825" xr:uid="{00000000-0005-0000-0000-00004F450000}"/>
    <cellStyle name="60% - Accent6 3 19 9" xfId="17826" xr:uid="{00000000-0005-0000-0000-000050450000}"/>
    <cellStyle name="60% - Accent6 3 2" xfId="17827" xr:uid="{00000000-0005-0000-0000-000051450000}"/>
    <cellStyle name="60% - Accent6 3 2 10" xfId="17828" xr:uid="{00000000-0005-0000-0000-000052450000}"/>
    <cellStyle name="60% - Accent6 3 2 11" xfId="17829" xr:uid="{00000000-0005-0000-0000-000053450000}"/>
    <cellStyle name="60% - Accent6 3 2 12" xfId="17830" xr:uid="{00000000-0005-0000-0000-000054450000}"/>
    <cellStyle name="60% - Accent6 3 2 13" xfId="17831" xr:uid="{00000000-0005-0000-0000-000055450000}"/>
    <cellStyle name="60% - Accent6 3 2 14" xfId="17832" xr:uid="{00000000-0005-0000-0000-000056450000}"/>
    <cellStyle name="60% - Accent6 3 2 15" xfId="17833" xr:uid="{00000000-0005-0000-0000-000057450000}"/>
    <cellStyle name="60% - Accent6 3 2 16" xfId="17834" xr:uid="{00000000-0005-0000-0000-000058450000}"/>
    <cellStyle name="60% - Accent6 3 2 17" xfId="17835" xr:uid="{00000000-0005-0000-0000-000059450000}"/>
    <cellStyle name="60% - Accent6 3 2 18" xfId="17836" xr:uid="{00000000-0005-0000-0000-00005A450000}"/>
    <cellStyle name="60% - Accent6 3 2 19" xfId="17837" xr:uid="{00000000-0005-0000-0000-00005B450000}"/>
    <cellStyle name="60% - Accent6 3 2 2" xfId="17838" xr:uid="{00000000-0005-0000-0000-00005C450000}"/>
    <cellStyle name="60% - Accent6 3 2 20" xfId="17839" xr:uid="{00000000-0005-0000-0000-00005D450000}"/>
    <cellStyle name="60% - Accent6 3 2 21" xfId="17840" xr:uid="{00000000-0005-0000-0000-00005E450000}"/>
    <cellStyle name="60% - Accent6 3 2 22" xfId="17841" xr:uid="{00000000-0005-0000-0000-00005F450000}"/>
    <cellStyle name="60% - Accent6 3 2 23" xfId="17842" xr:uid="{00000000-0005-0000-0000-000060450000}"/>
    <cellStyle name="60% - Accent6 3 2 24" xfId="17843" xr:uid="{00000000-0005-0000-0000-000061450000}"/>
    <cellStyle name="60% - Accent6 3 2 25" xfId="17844" xr:uid="{00000000-0005-0000-0000-000062450000}"/>
    <cellStyle name="60% - Accent6 3 2 26" xfId="17845" xr:uid="{00000000-0005-0000-0000-000063450000}"/>
    <cellStyle name="60% - Accent6 3 2 27" xfId="17846" xr:uid="{00000000-0005-0000-0000-000064450000}"/>
    <cellStyle name="60% - Accent6 3 2 28" xfId="17847" xr:uid="{00000000-0005-0000-0000-000065450000}"/>
    <cellStyle name="60% - Accent6 3 2 29" xfId="17848" xr:uid="{00000000-0005-0000-0000-000066450000}"/>
    <cellStyle name="60% - Accent6 3 2 3" xfId="17849" xr:uid="{00000000-0005-0000-0000-000067450000}"/>
    <cellStyle name="60% - Accent6 3 2 30" xfId="17850" xr:uid="{00000000-0005-0000-0000-000068450000}"/>
    <cellStyle name="60% - Accent6 3 2 31" xfId="17851" xr:uid="{00000000-0005-0000-0000-000069450000}"/>
    <cellStyle name="60% - Accent6 3 2 32" xfId="17852" xr:uid="{00000000-0005-0000-0000-00006A450000}"/>
    <cellStyle name="60% - Accent6 3 2 33" xfId="17853" xr:uid="{00000000-0005-0000-0000-00006B450000}"/>
    <cellStyle name="60% - Accent6 3 2 34" xfId="17854" xr:uid="{00000000-0005-0000-0000-00006C450000}"/>
    <cellStyle name="60% - Accent6 3 2 35" xfId="17855" xr:uid="{00000000-0005-0000-0000-00006D450000}"/>
    <cellStyle name="60% - Accent6 3 2 36" xfId="17856" xr:uid="{00000000-0005-0000-0000-00006E450000}"/>
    <cellStyle name="60% - Accent6 3 2 37" xfId="17857" xr:uid="{00000000-0005-0000-0000-00006F450000}"/>
    <cellStyle name="60% - Accent6 3 2 38" xfId="17858" xr:uid="{00000000-0005-0000-0000-000070450000}"/>
    <cellStyle name="60% - Accent6 3 2 39" xfId="17859" xr:uid="{00000000-0005-0000-0000-000071450000}"/>
    <cellStyle name="60% - Accent6 3 2 4" xfId="17860" xr:uid="{00000000-0005-0000-0000-000072450000}"/>
    <cellStyle name="60% - Accent6 3 2 40" xfId="17861" xr:uid="{00000000-0005-0000-0000-000073450000}"/>
    <cellStyle name="60% - Accent6 3 2 41" xfId="17862" xr:uid="{00000000-0005-0000-0000-000074450000}"/>
    <cellStyle name="60% - Accent6 3 2 42" xfId="17863" xr:uid="{00000000-0005-0000-0000-000075450000}"/>
    <cellStyle name="60% - Accent6 3 2 43" xfId="17864" xr:uid="{00000000-0005-0000-0000-000076450000}"/>
    <cellStyle name="60% - Accent6 3 2 44" xfId="17865" xr:uid="{00000000-0005-0000-0000-000077450000}"/>
    <cellStyle name="60% - Accent6 3 2 45" xfId="17866" xr:uid="{00000000-0005-0000-0000-000078450000}"/>
    <cellStyle name="60% - Accent6 3 2 46" xfId="17867" xr:uid="{00000000-0005-0000-0000-000079450000}"/>
    <cellStyle name="60% - Accent6 3 2 47" xfId="17868" xr:uid="{00000000-0005-0000-0000-00007A450000}"/>
    <cellStyle name="60% - Accent6 3 2 48" xfId="17869" xr:uid="{00000000-0005-0000-0000-00007B450000}"/>
    <cellStyle name="60% - Accent6 3 2 49" xfId="17870" xr:uid="{00000000-0005-0000-0000-00007C450000}"/>
    <cellStyle name="60% - Accent6 3 2 5" xfId="17871" xr:uid="{00000000-0005-0000-0000-00007D450000}"/>
    <cellStyle name="60% - Accent6 3 2 50" xfId="17872" xr:uid="{00000000-0005-0000-0000-00007E450000}"/>
    <cellStyle name="60% - Accent6 3 2 51" xfId="17873" xr:uid="{00000000-0005-0000-0000-00007F450000}"/>
    <cellStyle name="60% - Accent6 3 2 52" xfId="17874" xr:uid="{00000000-0005-0000-0000-000080450000}"/>
    <cellStyle name="60% - Accent6 3 2 53" xfId="17875" xr:uid="{00000000-0005-0000-0000-000081450000}"/>
    <cellStyle name="60% - Accent6 3 2 6" xfId="17876" xr:uid="{00000000-0005-0000-0000-000082450000}"/>
    <cellStyle name="60% - Accent6 3 2 7" xfId="17877" xr:uid="{00000000-0005-0000-0000-000083450000}"/>
    <cellStyle name="60% - Accent6 3 2 8" xfId="17878" xr:uid="{00000000-0005-0000-0000-000084450000}"/>
    <cellStyle name="60% - Accent6 3 2 9" xfId="17879" xr:uid="{00000000-0005-0000-0000-000085450000}"/>
    <cellStyle name="60% - Accent6 3 20" xfId="17880" xr:uid="{00000000-0005-0000-0000-000086450000}"/>
    <cellStyle name="60% - Accent6 3 20 10" xfId="17881" xr:uid="{00000000-0005-0000-0000-000087450000}"/>
    <cellStyle name="60% - Accent6 3 20 11" xfId="17882" xr:uid="{00000000-0005-0000-0000-000088450000}"/>
    <cellStyle name="60% - Accent6 3 20 12" xfId="17883" xr:uid="{00000000-0005-0000-0000-000089450000}"/>
    <cellStyle name="60% - Accent6 3 20 13" xfId="17884" xr:uid="{00000000-0005-0000-0000-00008A450000}"/>
    <cellStyle name="60% - Accent6 3 20 14" xfId="17885" xr:uid="{00000000-0005-0000-0000-00008B450000}"/>
    <cellStyle name="60% - Accent6 3 20 15" xfId="17886" xr:uid="{00000000-0005-0000-0000-00008C450000}"/>
    <cellStyle name="60% - Accent6 3 20 2" xfId="17887" xr:uid="{00000000-0005-0000-0000-00008D450000}"/>
    <cellStyle name="60% - Accent6 3 20 3" xfId="17888" xr:uid="{00000000-0005-0000-0000-00008E450000}"/>
    <cellStyle name="60% - Accent6 3 20 4" xfId="17889" xr:uid="{00000000-0005-0000-0000-00008F450000}"/>
    <cellStyle name="60% - Accent6 3 20 5" xfId="17890" xr:uid="{00000000-0005-0000-0000-000090450000}"/>
    <cellStyle name="60% - Accent6 3 20 6" xfId="17891" xr:uid="{00000000-0005-0000-0000-000091450000}"/>
    <cellStyle name="60% - Accent6 3 20 7" xfId="17892" xr:uid="{00000000-0005-0000-0000-000092450000}"/>
    <cellStyle name="60% - Accent6 3 20 8" xfId="17893" xr:uid="{00000000-0005-0000-0000-000093450000}"/>
    <cellStyle name="60% - Accent6 3 20 9" xfId="17894" xr:uid="{00000000-0005-0000-0000-000094450000}"/>
    <cellStyle name="60% - Accent6 3 21" xfId="17895" xr:uid="{00000000-0005-0000-0000-000095450000}"/>
    <cellStyle name="60% - Accent6 3 21 10" xfId="17896" xr:uid="{00000000-0005-0000-0000-000096450000}"/>
    <cellStyle name="60% - Accent6 3 21 11" xfId="17897" xr:uid="{00000000-0005-0000-0000-000097450000}"/>
    <cellStyle name="60% - Accent6 3 21 12" xfId="17898" xr:uid="{00000000-0005-0000-0000-000098450000}"/>
    <cellStyle name="60% - Accent6 3 21 13" xfId="17899" xr:uid="{00000000-0005-0000-0000-000099450000}"/>
    <cellStyle name="60% - Accent6 3 21 14" xfId="17900" xr:uid="{00000000-0005-0000-0000-00009A450000}"/>
    <cellStyle name="60% - Accent6 3 21 15" xfId="17901" xr:uid="{00000000-0005-0000-0000-00009B450000}"/>
    <cellStyle name="60% - Accent6 3 21 2" xfId="17902" xr:uid="{00000000-0005-0000-0000-00009C450000}"/>
    <cellStyle name="60% - Accent6 3 21 3" xfId="17903" xr:uid="{00000000-0005-0000-0000-00009D450000}"/>
    <cellStyle name="60% - Accent6 3 21 4" xfId="17904" xr:uid="{00000000-0005-0000-0000-00009E450000}"/>
    <cellStyle name="60% - Accent6 3 21 5" xfId="17905" xr:uid="{00000000-0005-0000-0000-00009F450000}"/>
    <cellStyle name="60% - Accent6 3 21 6" xfId="17906" xr:uid="{00000000-0005-0000-0000-0000A0450000}"/>
    <cellStyle name="60% - Accent6 3 21 7" xfId="17907" xr:uid="{00000000-0005-0000-0000-0000A1450000}"/>
    <cellStyle name="60% - Accent6 3 21 8" xfId="17908" xr:uid="{00000000-0005-0000-0000-0000A2450000}"/>
    <cellStyle name="60% - Accent6 3 21 9" xfId="17909" xr:uid="{00000000-0005-0000-0000-0000A3450000}"/>
    <cellStyle name="60% - Accent6 3 22" xfId="17910" xr:uid="{00000000-0005-0000-0000-0000A4450000}"/>
    <cellStyle name="60% - Accent6 3 22 10" xfId="17911" xr:uid="{00000000-0005-0000-0000-0000A5450000}"/>
    <cellStyle name="60% - Accent6 3 22 11" xfId="17912" xr:uid="{00000000-0005-0000-0000-0000A6450000}"/>
    <cellStyle name="60% - Accent6 3 22 12" xfId="17913" xr:uid="{00000000-0005-0000-0000-0000A7450000}"/>
    <cellStyle name="60% - Accent6 3 22 13" xfId="17914" xr:uid="{00000000-0005-0000-0000-0000A8450000}"/>
    <cellStyle name="60% - Accent6 3 22 14" xfId="17915" xr:uid="{00000000-0005-0000-0000-0000A9450000}"/>
    <cellStyle name="60% - Accent6 3 22 15" xfId="17916" xr:uid="{00000000-0005-0000-0000-0000AA450000}"/>
    <cellStyle name="60% - Accent6 3 22 2" xfId="17917" xr:uid="{00000000-0005-0000-0000-0000AB450000}"/>
    <cellStyle name="60% - Accent6 3 22 3" xfId="17918" xr:uid="{00000000-0005-0000-0000-0000AC450000}"/>
    <cellStyle name="60% - Accent6 3 22 4" xfId="17919" xr:uid="{00000000-0005-0000-0000-0000AD450000}"/>
    <cellStyle name="60% - Accent6 3 22 5" xfId="17920" xr:uid="{00000000-0005-0000-0000-0000AE450000}"/>
    <cellStyle name="60% - Accent6 3 22 6" xfId="17921" xr:uid="{00000000-0005-0000-0000-0000AF450000}"/>
    <cellStyle name="60% - Accent6 3 22 7" xfId="17922" xr:uid="{00000000-0005-0000-0000-0000B0450000}"/>
    <cellStyle name="60% - Accent6 3 22 8" xfId="17923" xr:uid="{00000000-0005-0000-0000-0000B1450000}"/>
    <cellStyle name="60% - Accent6 3 22 9" xfId="17924" xr:uid="{00000000-0005-0000-0000-0000B2450000}"/>
    <cellStyle name="60% - Accent6 3 23" xfId="17925" xr:uid="{00000000-0005-0000-0000-0000B3450000}"/>
    <cellStyle name="60% - Accent6 3 23 10" xfId="17926" xr:uid="{00000000-0005-0000-0000-0000B4450000}"/>
    <cellStyle name="60% - Accent6 3 23 11" xfId="17927" xr:uid="{00000000-0005-0000-0000-0000B5450000}"/>
    <cellStyle name="60% - Accent6 3 23 12" xfId="17928" xr:uid="{00000000-0005-0000-0000-0000B6450000}"/>
    <cellStyle name="60% - Accent6 3 23 13" xfId="17929" xr:uid="{00000000-0005-0000-0000-0000B7450000}"/>
    <cellStyle name="60% - Accent6 3 23 14" xfId="17930" xr:uid="{00000000-0005-0000-0000-0000B8450000}"/>
    <cellStyle name="60% - Accent6 3 23 15" xfId="17931" xr:uid="{00000000-0005-0000-0000-0000B9450000}"/>
    <cellStyle name="60% - Accent6 3 23 2" xfId="17932" xr:uid="{00000000-0005-0000-0000-0000BA450000}"/>
    <cellStyle name="60% - Accent6 3 23 3" xfId="17933" xr:uid="{00000000-0005-0000-0000-0000BB450000}"/>
    <cellStyle name="60% - Accent6 3 23 4" xfId="17934" xr:uid="{00000000-0005-0000-0000-0000BC450000}"/>
    <cellStyle name="60% - Accent6 3 23 5" xfId="17935" xr:uid="{00000000-0005-0000-0000-0000BD450000}"/>
    <cellStyle name="60% - Accent6 3 23 6" xfId="17936" xr:uid="{00000000-0005-0000-0000-0000BE450000}"/>
    <cellStyle name="60% - Accent6 3 23 7" xfId="17937" xr:uid="{00000000-0005-0000-0000-0000BF450000}"/>
    <cellStyle name="60% - Accent6 3 23 8" xfId="17938" xr:uid="{00000000-0005-0000-0000-0000C0450000}"/>
    <cellStyle name="60% - Accent6 3 23 9" xfId="17939" xr:uid="{00000000-0005-0000-0000-0000C1450000}"/>
    <cellStyle name="60% - Accent6 3 24" xfId="17940" xr:uid="{00000000-0005-0000-0000-0000C2450000}"/>
    <cellStyle name="60% - Accent6 3 24 10" xfId="17941" xr:uid="{00000000-0005-0000-0000-0000C3450000}"/>
    <cellStyle name="60% - Accent6 3 24 11" xfId="17942" xr:uid="{00000000-0005-0000-0000-0000C4450000}"/>
    <cellStyle name="60% - Accent6 3 24 12" xfId="17943" xr:uid="{00000000-0005-0000-0000-0000C5450000}"/>
    <cellStyle name="60% - Accent6 3 24 13" xfId="17944" xr:uid="{00000000-0005-0000-0000-0000C6450000}"/>
    <cellStyle name="60% - Accent6 3 24 14" xfId="17945" xr:uid="{00000000-0005-0000-0000-0000C7450000}"/>
    <cellStyle name="60% - Accent6 3 24 15" xfId="17946" xr:uid="{00000000-0005-0000-0000-0000C8450000}"/>
    <cellStyle name="60% - Accent6 3 24 2" xfId="17947" xr:uid="{00000000-0005-0000-0000-0000C9450000}"/>
    <cellStyle name="60% - Accent6 3 24 3" xfId="17948" xr:uid="{00000000-0005-0000-0000-0000CA450000}"/>
    <cellStyle name="60% - Accent6 3 24 4" xfId="17949" xr:uid="{00000000-0005-0000-0000-0000CB450000}"/>
    <cellStyle name="60% - Accent6 3 24 5" xfId="17950" xr:uid="{00000000-0005-0000-0000-0000CC450000}"/>
    <cellStyle name="60% - Accent6 3 24 6" xfId="17951" xr:uid="{00000000-0005-0000-0000-0000CD450000}"/>
    <cellStyle name="60% - Accent6 3 24 7" xfId="17952" xr:uid="{00000000-0005-0000-0000-0000CE450000}"/>
    <cellStyle name="60% - Accent6 3 24 8" xfId="17953" xr:uid="{00000000-0005-0000-0000-0000CF450000}"/>
    <cellStyle name="60% - Accent6 3 24 9" xfId="17954" xr:uid="{00000000-0005-0000-0000-0000D0450000}"/>
    <cellStyle name="60% - Accent6 3 25" xfId="17955" xr:uid="{00000000-0005-0000-0000-0000D1450000}"/>
    <cellStyle name="60% - Accent6 3 25 10" xfId="17956" xr:uid="{00000000-0005-0000-0000-0000D2450000}"/>
    <cellStyle name="60% - Accent6 3 25 11" xfId="17957" xr:uid="{00000000-0005-0000-0000-0000D3450000}"/>
    <cellStyle name="60% - Accent6 3 25 12" xfId="17958" xr:uid="{00000000-0005-0000-0000-0000D4450000}"/>
    <cellStyle name="60% - Accent6 3 25 13" xfId="17959" xr:uid="{00000000-0005-0000-0000-0000D5450000}"/>
    <cellStyle name="60% - Accent6 3 25 14" xfId="17960" xr:uid="{00000000-0005-0000-0000-0000D6450000}"/>
    <cellStyle name="60% - Accent6 3 25 15" xfId="17961" xr:uid="{00000000-0005-0000-0000-0000D7450000}"/>
    <cellStyle name="60% - Accent6 3 25 2" xfId="17962" xr:uid="{00000000-0005-0000-0000-0000D8450000}"/>
    <cellStyle name="60% - Accent6 3 25 3" xfId="17963" xr:uid="{00000000-0005-0000-0000-0000D9450000}"/>
    <cellStyle name="60% - Accent6 3 25 4" xfId="17964" xr:uid="{00000000-0005-0000-0000-0000DA450000}"/>
    <cellStyle name="60% - Accent6 3 25 5" xfId="17965" xr:uid="{00000000-0005-0000-0000-0000DB450000}"/>
    <cellStyle name="60% - Accent6 3 25 6" xfId="17966" xr:uid="{00000000-0005-0000-0000-0000DC450000}"/>
    <cellStyle name="60% - Accent6 3 25 7" xfId="17967" xr:uid="{00000000-0005-0000-0000-0000DD450000}"/>
    <cellStyle name="60% - Accent6 3 25 8" xfId="17968" xr:uid="{00000000-0005-0000-0000-0000DE450000}"/>
    <cellStyle name="60% - Accent6 3 25 9" xfId="17969" xr:uid="{00000000-0005-0000-0000-0000DF450000}"/>
    <cellStyle name="60% - Accent6 3 26" xfId="17970" xr:uid="{00000000-0005-0000-0000-0000E0450000}"/>
    <cellStyle name="60% - Accent6 3 26 10" xfId="17971" xr:uid="{00000000-0005-0000-0000-0000E1450000}"/>
    <cellStyle name="60% - Accent6 3 26 11" xfId="17972" xr:uid="{00000000-0005-0000-0000-0000E2450000}"/>
    <cellStyle name="60% - Accent6 3 26 12" xfId="17973" xr:uid="{00000000-0005-0000-0000-0000E3450000}"/>
    <cellStyle name="60% - Accent6 3 26 13" xfId="17974" xr:uid="{00000000-0005-0000-0000-0000E4450000}"/>
    <cellStyle name="60% - Accent6 3 26 14" xfId="17975" xr:uid="{00000000-0005-0000-0000-0000E5450000}"/>
    <cellStyle name="60% - Accent6 3 26 15" xfId="17976" xr:uid="{00000000-0005-0000-0000-0000E6450000}"/>
    <cellStyle name="60% - Accent6 3 26 2" xfId="17977" xr:uid="{00000000-0005-0000-0000-0000E7450000}"/>
    <cellStyle name="60% - Accent6 3 26 3" xfId="17978" xr:uid="{00000000-0005-0000-0000-0000E8450000}"/>
    <cellStyle name="60% - Accent6 3 26 4" xfId="17979" xr:uid="{00000000-0005-0000-0000-0000E9450000}"/>
    <cellStyle name="60% - Accent6 3 26 5" xfId="17980" xr:uid="{00000000-0005-0000-0000-0000EA450000}"/>
    <cellStyle name="60% - Accent6 3 26 6" xfId="17981" xr:uid="{00000000-0005-0000-0000-0000EB450000}"/>
    <cellStyle name="60% - Accent6 3 26 7" xfId="17982" xr:uid="{00000000-0005-0000-0000-0000EC450000}"/>
    <cellStyle name="60% - Accent6 3 26 8" xfId="17983" xr:uid="{00000000-0005-0000-0000-0000ED450000}"/>
    <cellStyle name="60% - Accent6 3 26 9" xfId="17984" xr:uid="{00000000-0005-0000-0000-0000EE450000}"/>
    <cellStyle name="60% - Accent6 3 27" xfId="17985" xr:uid="{00000000-0005-0000-0000-0000EF450000}"/>
    <cellStyle name="60% - Accent6 3 27 10" xfId="17986" xr:uid="{00000000-0005-0000-0000-0000F0450000}"/>
    <cellStyle name="60% - Accent6 3 27 11" xfId="17987" xr:uid="{00000000-0005-0000-0000-0000F1450000}"/>
    <cellStyle name="60% - Accent6 3 27 12" xfId="17988" xr:uid="{00000000-0005-0000-0000-0000F2450000}"/>
    <cellStyle name="60% - Accent6 3 27 13" xfId="17989" xr:uid="{00000000-0005-0000-0000-0000F3450000}"/>
    <cellStyle name="60% - Accent6 3 27 14" xfId="17990" xr:uid="{00000000-0005-0000-0000-0000F4450000}"/>
    <cellStyle name="60% - Accent6 3 27 15" xfId="17991" xr:uid="{00000000-0005-0000-0000-0000F5450000}"/>
    <cellStyle name="60% - Accent6 3 27 2" xfId="17992" xr:uid="{00000000-0005-0000-0000-0000F6450000}"/>
    <cellStyle name="60% - Accent6 3 27 3" xfId="17993" xr:uid="{00000000-0005-0000-0000-0000F7450000}"/>
    <cellStyle name="60% - Accent6 3 27 4" xfId="17994" xr:uid="{00000000-0005-0000-0000-0000F8450000}"/>
    <cellStyle name="60% - Accent6 3 27 5" xfId="17995" xr:uid="{00000000-0005-0000-0000-0000F9450000}"/>
    <cellStyle name="60% - Accent6 3 27 6" xfId="17996" xr:uid="{00000000-0005-0000-0000-0000FA450000}"/>
    <cellStyle name="60% - Accent6 3 27 7" xfId="17997" xr:uid="{00000000-0005-0000-0000-0000FB450000}"/>
    <cellStyle name="60% - Accent6 3 27 8" xfId="17998" xr:uid="{00000000-0005-0000-0000-0000FC450000}"/>
    <cellStyle name="60% - Accent6 3 27 9" xfId="17999" xr:uid="{00000000-0005-0000-0000-0000FD450000}"/>
    <cellStyle name="60% - Accent6 3 28" xfId="18000" xr:uid="{00000000-0005-0000-0000-0000FE450000}"/>
    <cellStyle name="60% - Accent6 3 28 10" xfId="18001" xr:uid="{00000000-0005-0000-0000-0000FF450000}"/>
    <cellStyle name="60% - Accent6 3 28 11" xfId="18002" xr:uid="{00000000-0005-0000-0000-000000460000}"/>
    <cellStyle name="60% - Accent6 3 28 12" xfId="18003" xr:uid="{00000000-0005-0000-0000-000001460000}"/>
    <cellStyle name="60% - Accent6 3 28 13" xfId="18004" xr:uid="{00000000-0005-0000-0000-000002460000}"/>
    <cellStyle name="60% - Accent6 3 28 14" xfId="18005" xr:uid="{00000000-0005-0000-0000-000003460000}"/>
    <cellStyle name="60% - Accent6 3 28 15" xfId="18006" xr:uid="{00000000-0005-0000-0000-000004460000}"/>
    <cellStyle name="60% - Accent6 3 28 2" xfId="18007" xr:uid="{00000000-0005-0000-0000-000005460000}"/>
    <cellStyle name="60% - Accent6 3 28 3" xfId="18008" xr:uid="{00000000-0005-0000-0000-000006460000}"/>
    <cellStyle name="60% - Accent6 3 28 4" xfId="18009" xr:uid="{00000000-0005-0000-0000-000007460000}"/>
    <cellStyle name="60% - Accent6 3 28 5" xfId="18010" xr:uid="{00000000-0005-0000-0000-000008460000}"/>
    <cellStyle name="60% - Accent6 3 28 6" xfId="18011" xr:uid="{00000000-0005-0000-0000-000009460000}"/>
    <cellStyle name="60% - Accent6 3 28 7" xfId="18012" xr:uid="{00000000-0005-0000-0000-00000A460000}"/>
    <cellStyle name="60% - Accent6 3 28 8" xfId="18013" xr:uid="{00000000-0005-0000-0000-00000B460000}"/>
    <cellStyle name="60% - Accent6 3 28 9" xfId="18014" xr:uid="{00000000-0005-0000-0000-00000C460000}"/>
    <cellStyle name="60% - Accent6 3 29" xfId="18015" xr:uid="{00000000-0005-0000-0000-00000D460000}"/>
    <cellStyle name="60% - Accent6 3 29 10" xfId="18016" xr:uid="{00000000-0005-0000-0000-00000E460000}"/>
    <cellStyle name="60% - Accent6 3 29 11" xfId="18017" xr:uid="{00000000-0005-0000-0000-00000F460000}"/>
    <cellStyle name="60% - Accent6 3 29 12" xfId="18018" xr:uid="{00000000-0005-0000-0000-000010460000}"/>
    <cellStyle name="60% - Accent6 3 29 13" xfId="18019" xr:uid="{00000000-0005-0000-0000-000011460000}"/>
    <cellStyle name="60% - Accent6 3 29 14" xfId="18020" xr:uid="{00000000-0005-0000-0000-000012460000}"/>
    <cellStyle name="60% - Accent6 3 29 15" xfId="18021" xr:uid="{00000000-0005-0000-0000-000013460000}"/>
    <cellStyle name="60% - Accent6 3 29 2" xfId="18022" xr:uid="{00000000-0005-0000-0000-000014460000}"/>
    <cellStyle name="60% - Accent6 3 29 3" xfId="18023" xr:uid="{00000000-0005-0000-0000-000015460000}"/>
    <cellStyle name="60% - Accent6 3 29 4" xfId="18024" xr:uid="{00000000-0005-0000-0000-000016460000}"/>
    <cellStyle name="60% - Accent6 3 29 5" xfId="18025" xr:uid="{00000000-0005-0000-0000-000017460000}"/>
    <cellStyle name="60% - Accent6 3 29 6" xfId="18026" xr:uid="{00000000-0005-0000-0000-000018460000}"/>
    <cellStyle name="60% - Accent6 3 29 7" xfId="18027" xr:uid="{00000000-0005-0000-0000-000019460000}"/>
    <cellStyle name="60% - Accent6 3 29 8" xfId="18028" xr:uid="{00000000-0005-0000-0000-00001A460000}"/>
    <cellStyle name="60% - Accent6 3 29 9" xfId="18029" xr:uid="{00000000-0005-0000-0000-00001B460000}"/>
    <cellStyle name="60% - Accent6 3 3" xfId="18030" xr:uid="{00000000-0005-0000-0000-00001C460000}"/>
    <cellStyle name="60% - Accent6 3 3 10" xfId="18031" xr:uid="{00000000-0005-0000-0000-00001D460000}"/>
    <cellStyle name="60% - Accent6 3 3 11" xfId="18032" xr:uid="{00000000-0005-0000-0000-00001E460000}"/>
    <cellStyle name="60% - Accent6 3 3 12" xfId="18033" xr:uid="{00000000-0005-0000-0000-00001F460000}"/>
    <cellStyle name="60% - Accent6 3 3 13" xfId="18034" xr:uid="{00000000-0005-0000-0000-000020460000}"/>
    <cellStyle name="60% - Accent6 3 3 14" xfId="18035" xr:uid="{00000000-0005-0000-0000-000021460000}"/>
    <cellStyle name="60% - Accent6 3 3 15" xfId="18036" xr:uid="{00000000-0005-0000-0000-000022460000}"/>
    <cellStyle name="60% - Accent6 3 3 16" xfId="18037" xr:uid="{00000000-0005-0000-0000-000023460000}"/>
    <cellStyle name="60% - Accent6 3 3 2" xfId="18038" xr:uid="{00000000-0005-0000-0000-000024460000}"/>
    <cellStyle name="60% - Accent6 3 3 3" xfId="18039" xr:uid="{00000000-0005-0000-0000-000025460000}"/>
    <cellStyle name="60% - Accent6 3 3 4" xfId="18040" xr:uid="{00000000-0005-0000-0000-000026460000}"/>
    <cellStyle name="60% - Accent6 3 3 5" xfId="18041" xr:uid="{00000000-0005-0000-0000-000027460000}"/>
    <cellStyle name="60% - Accent6 3 3 6" xfId="18042" xr:uid="{00000000-0005-0000-0000-000028460000}"/>
    <cellStyle name="60% - Accent6 3 3 7" xfId="18043" xr:uid="{00000000-0005-0000-0000-000029460000}"/>
    <cellStyle name="60% - Accent6 3 3 8" xfId="18044" xr:uid="{00000000-0005-0000-0000-00002A460000}"/>
    <cellStyle name="60% - Accent6 3 3 9" xfId="18045" xr:uid="{00000000-0005-0000-0000-00002B460000}"/>
    <cellStyle name="60% - Accent6 3 30" xfId="18046" xr:uid="{00000000-0005-0000-0000-00002C460000}"/>
    <cellStyle name="60% - Accent6 3 30 10" xfId="18047" xr:uid="{00000000-0005-0000-0000-00002D460000}"/>
    <cellStyle name="60% - Accent6 3 30 11" xfId="18048" xr:uid="{00000000-0005-0000-0000-00002E460000}"/>
    <cellStyle name="60% - Accent6 3 30 12" xfId="18049" xr:uid="{00000000-0005-0000-0000-00002F460000}"/>
    <cellStyle name="60% - Accent6 3 30 13" xfId="18050" xr:uid="{00000000-0005-0000-0000-000030460000}"/>
    <cellStyle name="60% - Accent6 3 30 14" xfId="18051" xr:uid="{00000000-0005-0000-0000-000031460000}"/>
    <cellStyle name="60% - Accent6 3 30 15" xfId="18052" xr:uid="{00000000-0005-0000-0000-000032460000}"/>
    <cellStyle name="60% - Accent6 3 30 2" xfId="18053" xr:uid="{00000000-0005-0000-0000-000033460000}"/>
    <cellStyle name="60% - Accent6 3 30 3" xfId="18054" xr:uid="{00000000-0005-0000-0000-000034460000}"/>
    <cellStyle name="60% - Accent6 3 30 4" xfId="18055" xr:uid="{00000000-0005-0000-0000-000035460000}"/>
    <cellStyle name="60% - Accent6 3 30 5" xfId="18056" xr:uid="{00000000-0005-0000-0000-000036460000}"/>
    <cellStyle name="60% - Accent6 3 30 6" xfId="18057" xr:uid="{00000000-0005-0000-0000-000037460000}"/>
    <cellStyle name="60% - Accent6 3 30 7" xfId="18058" xr:uid="{00000000-0005-0000-0000-000038460000}"/>
    <cellStyle name="60% - Accent6 3 30 8" xfId="18059" xr:uid="{00000000-0005-0000-0000-000039460000}"/>
    <cellStyle name="60% - Accent6 3 30 9" xfId="18060" xr:uid="{00000000-0005-0000-0000-00003A460000}"/>
    <cellStyle name="60% - Accent6 3 31" xfId="18061" xr:uid="{00000000-0005-0000-0000-00003B460000}"/>
    <cellStyle name="60% - Accent6 3 31 10" xfId="18062" xr:uid="{00000000-0005-0000-0000-00003C460000}"/>
    <cellStyle name="60% - Accent6 3 31 11" xfId="18063" xr:uid="{00000000-0005-0000-0000-00003D460000}"/>
    <cellStyle name="60% - Accent6 3 31 12" xfId="18064" xr:uid="{00000000-0005-0000-0000-00003E460000}"/>
    <cellStyle name="60% - Accent6 3 31 13" xfId="18065" xr:uid="{00000000-0005-0000-0000-00003F460000}"/>
    <cellStyle name="60% - Accent6 3 31 14" xfId="18066" xr:uid="{00000000-0005-0000-0000-000040460000}"/>
    <cellStyle name="60% - Accent6 3 31 15" xfId="18067" xr:uid="{00000000-0005-0000-0000-000041460000}"/>
    <cellStyle name="60% - Accent6 3 31 2" xfId="18068" xr:uid="{00000000-0005-0000-0000-000042460000}"/>
    <cellStyle name="60% - Accent6 3 31 3" xfId="18069" xr:uid="{00000000-0005-0000-0000-000043460000}"/>
    <cellStyle name="60% - Accent6 3 31 4" xfId="18070" xr:uid="{00000000-0005-0000-0000-000044460000}"/>
    <cellStyle name="60% - Accent6 3 31 5" xfId="18071" xr:uid="{00000000-0005-0000-0000-000045460000}"/>
    <cellStyle name="60% - Accent6 3 31 6" xfId="18072" xr:uid="{00000000-0005-0000-0000-000046460000}"/>
    <cellStyle name="60% - Accent6 3 31 7" xfId="18073" xr:uid="{00000000-0005-0000-0000-000047460000}"/>
    <cellStyle name="60% - Accent6 3 31 8" xfId="18074" xr:uid="{00000000-0005-0000-0000-000048460000}"/>
    <cellStyle name="60% - Accent6 3 31 9" xfId="18075" xr:uid="{00000000-0005-0000-0000-000049460000}"/>
    <cellStyle name="60% - Accent6 3 32" xfId="18076" xr:uid="{00000000-0005-0000-0000-00004A460000}"/>
    <cellStyle name="60% - Accent6 3 32 10" xfId="18077" xr:uid="{00000000-0005-0000-0000-00004B460000}"/>
    <cellStyle name="60% - Accent6 3 32 11" xfId="18078" xr:uid="{00000000-0005-0000-0000-00004C460000}"/>
    <cellStyle name="60% - Accent6 3 32 12" xfId="18079" xr:uid="{00000000-0005-0000-0000-00004D460000}"/>
    <cellStyle name="60% - Accent6 3 32 13" xfId="18080" xr:uid="{00000000-0005-0000-0000-00004E460000}"/>
    <cellStyle name="60% - Accent6 3 32 14" xfId="18081" xr:uid="{00000000-0005-0000-0000-00004F460000}"/>
    <cellStyle name="60% - Accent6 3 32 15" xfId="18082" xr:uid="{00000000-0005-0000-0000-000050460000}"/>
    <cellStyle name="60% - Accent6 3 32 2" xfId="18083" xr:uid="{00000000-0005-0000-0000-000051460000}"/>
    <cellStyle name="60% - Accent6 3 32 3" xfId="18084" xr:uid="{00000000-0005-0000-0000-000052460000}"/>
    <cellStyle name="60% - Accent6 3 32 4" xfId="18085" xr:uid="{00000000-0005-0000-0000-000053460000}"/>
    <cellStyle name="60% - Accent6 3 32 5" xfId="18086" xr:uid="{00000000-0005-0000-0000-000054460000}"/>
    <cellStyle name="60% - Accent6 3 32 6" xfId="18087" xr:uid="{00000000-0005-0000-0000-000055460000}"/>
    <cellStyle name="60% - Accent6 3 32 7" xfId="18088" xr:uid="{00000000-0005-0000-0000-000056460000}"/>
    <cellStyle name="60% - Accent6 3 32 8" xfId="18089" xr:uid="{00000000-0005-0000-0000-000057460000}"/>
    <cellStyle name="60% - Accent6 3 32 9" xfId="18090" xr:uid="{00000000-0005-0000-0000-000058460000}"/>
    <cellStyle name="60% - Accent6 3 33" xfId="18091" xr:uid="{00000000-0005-0000-0000-000059460000}"/>
    <cellStyle name="60% - Accent6 3 34" xfId="18092" xr:uid="{00000000-0005-0000-0000-00005A460000}"/>
    <cellStyle name="60% - Accent6 3 35" xfId="18093" xr:uid="{00000000-0005-0000-0000-00005B460000}"/>
    <cellStyle name="60% - Accent6 3 36" xfId="18094" xr:uid="{00000000-0005-0000-0000-00005C460000}"/>
    <cellStyle name="60% - Accent6 3 37" xfId="18095" xr:uid="{00000000-0005-0000-0000-00005D460000}"/>
    <cellStyle name="60% - Accent6 3 38" xfId="18096" xr:uid="{00000000-0005-0000-0000-00005E460000}"/>
    <cellStyle name="60% - Accent6 3 39" xfId="18097" xr:uid="{00000000-0005-0000-0000-00005F460000}"/>
    <cellStyle name="60% - Accent6 3 4" xfId="18098" xr:uid="{00000000-0005-0000-0000-000060460000}"/>
    <cellStyle name="60% - Accent6 3 4 10" xfId="18099" xr:uid="{00000000-0005-0000-0000-000061460000}"/>
    <cellStyle name="60% - Accent6 3 4 11" xfId="18100" xr:uid="{00000000-0005-0000-0000-000062460000}"/>
    <cellStyle name="60% - Accent6 3 4 12" xfId="18101" xr:uid="{00000000-0005-0000-0000-000063460000}"/>
    <cellStyle name="60% - Accent6 3 4 13" xfId="18102" xr:uid="{00000000-0005-0000-0000-000064460000}"/>
    <cellStyle name="60% - Accent6 3 4 14" xfId="18103" xr:uid="{00000000-0005-0000-0000-000065460000}"/>
    <cellStyle name="60% - Accent6 3 4 15" xfId="18104" xr:uid="{00000000-0005-0000-0000-000066460000}"/>
    <cellStyle name="60% - Accent6 3 4 2" xfId="18105" xr:uid="{00000000-0005-0000-0000-000067460000}"/>
    <cellStyle name="60% - Accent6 3 4 3" xfId="18106" xr:uid="{00000000-0005-0000-0000-000068460000}"/>
    <cellStyle name="60% - Accent6 3 4 4" xfId="18107" xr:uid="{00000000-0005-0000-0000-000069460000}"/>
    <cellStyle name="60% - Accent6 3 4 5" xfId="18108" xr:uid="{00000000-0005-0000-0000-00006A460000}"/>
    <cellStyle name="60% - Accent6 3 4 6" xfId="18109" xr:uid="{00000000-0005-0000-0000-00006B460000}"/>
    <cellStyle name="60% - Accent6 3 4 7" xfId="18110" xr:uid="{00000000-0005-0000-0000-00006C460000}"/>
    <cellStyle name="60% - Accent6 3 4 8" xfId="18111" xr:uid="{00000000-0005-0000-0000-00006D460000}"/>
    <cellStyle name="60% - Accent6 3 4 9" xfId="18112" xr:uid="{00000000-0005-0000-0000-00006E460000}"/>
    <cellStyle name="60% - Accent6 3 40" xfId="18113" xr:uid="{00000000-0005-0000-0000-00006F460000}"/>
    <cellStyle name="60% - Accent6 3 41" xfId="18114" xr:uid="{00000000-0005-0000-0000-000070460000}"/>
    <cellStyle name="60% - Accent6 3 42" xfId="18115" xr:uid="{00000000-0005-0000-0000-000071460000}"/>
    <cellStyle name="60% - Accent6 3 43" xfId="18116" xr:uid="{00000000-0005-0000-0000-000072460000}"/>
    <cellStyle name="60% - Accent6 3 44" xfId="18117" xr:uid="{00000000-0005-0000-0000-000073460000}"/>
    <cellStyle name="60% - Accent6 3 45" xfId="18118" xr:uid="{00000000-0005-0000-0000-000074460000}"/>
    <cellStyle name="60% - Accent6 3 46" xfId="18119" xr:uid="{00000000-0005-0000-0000-000075460000}"/>
    <cellStyle name="60% - Accent6 3 47" xfId="18120" xr:uid="{00000000-0005-0000-0000-000076460000}"/>
    <cellStyle name="60% - Accent6 3 48" xfId="18121" xr:uid="{00000000-0005-0000-0000-000077460000}"/>
    <cellStyle name="60% - Accent6 3 49" xfId="18122" xr:uid="{00000000-0005-0000-0000-000078460000}"/>
    <cellStyle name="60% - Accent6 3 5" xfId="18123" xr:uid="{00000000-0005-0000-0000-000079460000}"/>
    <cellStyle name="60% - Accent6 3 5 10" xfId="18124" xr:uid="{00000000-0005-0000-0000-00007A460000}"/>
    <cellStyle name="60% - Accent6 3 5 11" xfId="18125" xr:uid="{00000000-0005-0000-0000-00007B460000}"/>
    <cellStyle name="60% - Accent6 3 5 12" xfId="18126" xr:uid="{00000000-0005-0000-0000-00007C460000}"/>
    <cellStyle name="60% - Accent6 3 5 13" xfId="18127" xr:uid="{00000000-0005-0000-0000-00007D460000}"/>
    <cellStyle name="60% - Accent6 3 5 14" xfId="18128" xr:uid="{00000000-0005-0000-0000-00007E460000}"/>
    <cellStyle name="60% - Accent6 3 5 15" xfId="18129" xr:uid="{00000000-0005-0000-0000-00007F460000}"/>
    <cellStyle name="60% - Accent6 3 5 2" xfId="18130" xr:uid="{00000000-0005-0000-0000-000080460000}"/>
    <cellStyle name="60% - Accent6 3 5 3" xfId="18131" xr:uid="{00000000-0005-0000-0000-000081460000}"/>
    <cellStyle name="60% - Accent6 3 5 4" xfId="18132" xr:uid="{00000000-0005-0000-0000-000082460000}"/>
    <cellStyle name="60% - Accent6 3 5 5" xfId="18133" xr:uid="{00000000-0005-0000-0000-000083460000}"/>
    <cellStyle name="60% - Accent6 3 5 6" xfId="18134" xr:uid="{00000000-0005-0000-0000-000084460000}"/>
    <cellStyle name="60% - Accent6 3 5 7" xfId="18135" xr:uid="{00000000-0005-0000-0000-000085460000}"/>
    <cellStyle name="60% - Accent6 3 5 8" xfId="18136" xr:uid="{00000000-0005-0000-0000-000086460000}"/>
    <cellStyle name="60% - Accent6 3 5 9" xfId="18137" xr:uid="{00000000-0005-0000-0000-000087460000}"/>
    <cellStyle name="60% - Accent6 3 50" xfId="18138" xr:uid="{00000000-0005-0000-0000-000088460000}"/>
    <cellStyle name="60% - Accent6 3 51" xfId="18139" xr:uid="{00000000-0005-0000-0000-000089460000}"/>
    <cellStyle name="60% - Accent6 3 52" xfId="18140" xr:uid="{00000000-0005-0000-0000-00008A460000}"/>
    <cellStyle name="60% - Accent6 3 53" xfId="18141" xr:uid="{00000000-0005-0000-0000-00008B460000}"/>
    <cellStyle name="60% - Accent6 3 6" xfId="18142" xr:uid="{00000000-0005-0000-0000-00008C460000}"/>
    <cellStyle name="60% - Accent6 3 6 10" xfId="18143" xr:uid="{00000000-0005-0000-0000-00008D460000}"/>
    <cellStyle name="60% - Accent6 3 6 11" xfId="18144" xr:uid="{00000000-0005-0000-0000-00008E460000}"/>
    <cellStyle name="60% - Accent6 3 6 12" xfId="18145" xr:uid="{00000000-0005-0000-0000-00008F460000}"/>
    <cellStyle name="60% - Accent6 3 6 13" xfId="18146" xr:uid="{00000000-0005-0000-0000-000090460000}"/>
    <cellStyle name="60% - Accent6 3 6 14" xfId="18147" xr:uid="{00000000-0005-0000-0000-000091460000}"/>
    <cellStyle name="60% - Accent6 3 6 15" xfId="18148" xr:uid="{00000000-0005-0000-0000-000092460000}"/>
    <cellStyle name="60% - Accent6 3 6 2" xfId="18149" xr:uid="{00000000-0005-0000-0000-000093460000}"/>
    <cellStyle name="60% - Accent6 3 6 3" xfId="18150" xr:uid="{00000000-0005-0000-0000-000094460000}"/>
    <cellStyle name="60% - Accent6 3 6 4" xfId="18151" xr:uid="{00000000-0005-0000-0000-000095460000}"/>
    <cellStyle name="60% - Accent6 3 6 5" xfId="18152" xr:uid="{00000000-0005-0000-0000-000096460000}"/>
    <cellStyle name="60% - Accent6 3 6 6" xfId="18153" xr:uid="{00000000-0005-0000-0000-000097460000}"/>
    <cellStyle name="60% - Accent6 3 6 7" xfId="18154" xr:uid="{00000000-0005-0000-0000-000098460000}"/>
    <cellStyle name="60% - Accent6 3 6 8" xfId="18155" xr:uid="{00000000-0005-0000-0000-000099460000}"/>
    <cellStyle name="60% - Accent6 3 6 9" xfId="18156" xr:uid="{00000000-0005-0000-0000-00009A460000}"/>
    <cellStyle name="60% - Accent6 3 7" xfId="18157" xr:uid="{00000000-0005-0000-0000-00009B460000}"/>
    <cellStyle name="60% - Accent6 3 7 10" xfId="18158" xr:uid="{00000000-0005-0000-0000-00009C460000}"/>
    <cellStyle name="60% - Accent6 3 7 11" xfId="18159" xr:uid="{00000000-0005-0000-0000-00009D460000}"/>
    <cellStyle name="60% - Accent6 3 7 12" xfId="18160" xr:uid="{00000000-0005-0000-0000-00009E460000}"/>
    <cellStyle name="60% - Accent6 3 7 13" xfId="18161" xr:uid="{00000000-0005-0000-0000-00009F460000}"/>
    <cellStyle name="60% - Accent6 3 7 14" xfId="18162" xr:uid="{00000000-0005-0000-0000-0000A0460000}"/>
    <cellStyle name="60% - Accent6 3 7 15" xfId="18163" xr:uid="{00000000-0005-0000-0000-0000A1460000}"/>
    <cellStyle name="60% - Accent6 3 7 2" xfId="18164" xr:uid="{00000000-0005-0000-0000-0000A2460000}"/>
    <cellStyle name="60% - Accent6 3 7 3" xfId="18165" xr:uid="{00000000-0005-0000-0000-0000A3460000}"/>
    <cellStyle name="60% - Accent6 3 7 4" xfId="18166" xr:uid="{00000000-0005-0000-0000-0000A4460000}"/>
    <cellStyle name="60% - Accent6 3 7 5" xfId="18167" xr:uid="{00000000-0005-0000-0000-0000A5460000}"/>
    <cellStyle name="60% - Accent6 3 7 6" xfId="18168" xr:uid="{00000000-0005-0000-0000-0000A6460000}"/>
    <cellStyle name="60% - Accent6 3 7 7" xfId="18169" xr:uid="{00000000-0005-0000-0000-0000A7460000}"/>
    <cellStyle name="60% - Accent6 3 7 8" xfId="18170" xr:uid="{00000000-0005-0000-0000-0000A8460000}"/>
    <cellStyle name="60% - Accent6 3 7 9" xfId="18171" xr:uid="{00000000-0005-0000-0000-0000A9460000}"/>
    <cellStyle name="60% - Accent6 3 8" xfId="18172" xr:uid="{00000000-0005-0000-0000-0000AA460000}"/>
    <cellStyle name="60% - Accent6 3 8 10" xfId="18173" xr:uid="{00000000-0005-0000-0000-0000AB460000}"/>
    <cellStyle name="60% - Accent6 3 8 11" xfId="18174" xr:uid="{00000000-0005-0000-0000-0000AC460000}"/>
    <cellStyle name="60% - Accent6 3 8 12" xfId="18175" xr:uid="{00000000-0005-0000-0000-0000AD460000}"/>
    <cellStyle name="60% - Accent6 3 8 13" xfId="18176" xr:uid="{00000000-0005-0000-0000-0000AE460000}"/>
    <cellStyle name="60% - Accent6 3 8 14" xfId="18177" xr:uid="{00000000-0005-0000-0000-0000AF460000}"/>
    <cellStyle name="60% - Accent6 3 8 15" xfId="18178" xr:uid="{00000000-0005-0000-0000-0000B0460000}"/>
    <cellStyle name="60% - Accent6 3 8 2" xfId="18179" xr:uid="{00000000-0005-0000-0000-0000B1460000}"/>
    <cellStyle name="60% - Accent6 3 8 3" xfId="18180" xr:uid="{00000000-0005-0000-0000-0000B2460000}"/>
    <cellStyle name="60% - Accent6 3 8 4" xfId="18181" xr:uid="{00000000-0005-0000-0000-0000B3460000}"/>
    <cellStyle name="60% - Accent6 3 8 5" xfId="18182" xr:uid="{00000000-0005-0000-0000-0000B4460000}"/>
    <cellStyle name="60% - Accent6 3 8 6" xfId="18183" xr:uid="{00000000-0005-0000-0000-0000B5460000}"/>
    <cellStyle name="60% - Accent6 3 8 7" xfId="18184" xr:uid="{00000000-0005-0000-0000-0000B6460000}"/>
    <cellStyle name="60% - Accent6 3 8 8" xfId="18185" xr:uid="{00000000-0005-0000-0000-0000B7460000}"/>
    <cellStyle name="60% - Accent6 3 8 9" xfId="18186" xr:uid="{00000000-0005-0000-0000-0000B8460000}"/>
    <cellStyle name="60% - Accent6 3 9" xfId="18187" xr:uid="{00000000-0005-0000-0000-0000B9460000}"/>
    <cellStyle name="60% - Accent6 3 9 10" xfId="18188" xr:uid="{00000000-0005-0000-0000-0000BA460000}"/>
    <cellStyle name="60% - Accent6 3 9 11" xfId="18189" xr:uid="{00000000-0005-0000-0000-0000BB460000}"/>
    <cellStyle name="60% - Accent6 3 9 12" xfId="18190" xr:uid="{00000000-0005-0000-0000-0000BC460000}"/>
    <cellStyle name="60% - Accent6 3 9 13" xfId="18191" xr:uid="{00000000-0005-0000-0000-0000BD460000}"/>
    <cellStyle name="60% - Accent6 3 9 14" xfId="18192" xr:uid="{00000000-0005-0000-0000-0000BE460000}"/>
    <cellStyle name="60% - Accent6 3 9 15" xfId="18193" xr:uid="{00000000-0005-0000-0000-0000BF460000}"/>
    <cellStyle name="60% - Accent6 3 9 2" xfId="18194" xr:uid="{00000000-0005-0000-0000-0000C0460000}"/>
    <cellStyle name="60% - Accent6 3 9 3" xfId="18195" xr:uid="{00000000-0005-0000-0000-0000C1460000}"/>
    <cellStyle name="60% - Accent6 3 9 4" xfId="18196" xr:uid="{00000000-0005-0000-0000-0000C2460000}"/>
    <cellStyle name="60% - Accent6 3 9 5" xfId="18197" xr:uid="{00000000-0005-0000-0000-0000C3460000}"/>
    <cellStyle name="60% - Accent6 3 9 6" xfId="18198" xr:uid="{00000000-0005-0000-0000-0000C4460000}"/>
    <cellStyle name="60% - Accent6 3 9 7" xfId="18199" xr:uid="{00000000-0005-0000-0000-0000C5460000}"/>
    <cellStyle name="60% - Accent6 3 9 8" xfId="18200" xr:uid="{00000000-0005-0000-0000-0000C6460000}"/>
    <cellStyle name="60% - Accent6 3 9 9" xfId="18201" xr:uid="{00000000-0005-0000-0000-0000C7460000}"/>
    <cellStyle name="60% - Accent6 30" xfId="18202" xr:uid="{00000000-0005-0000-0000-0000C8460000}"/>
    <cellStyle name="60% - Accent6 30 10" xfId="18203" xr:uid="{00000000-0005-0000-0000-0000C9460000}"/>
    <cellStyle name="60% - Accent6 30 11" xfId="18204" xr:uid="{00000000-0005-0000-0000-0000CA460000}"/>
    <cellStyle name="60% - Accent6 30 12" xfId="18205" xr:uid="{00000000-0005-0000-0000-0000CB460000}"/>
    <cellStyle name="60% - Accent6 30 13" xfId="18206" xr:uid="{00000000-0005-0000-0000-0000CC460000}"/>
    <cellStyle name="60% - Accent6 30 14" xfId="18207" xr:uid="{00000000-0005-0000-0000-0000CD460000}"/>
    <cellStyle name="60% - Accent6 30 15" xfId="18208" xr:uid="{00000000-0005-0000-0000-0000CE460000}"/>
    <cellStyle name="60% - Accent6 30 2" xfId="18209" xr:uid="{00000000-0005-0000-0000-0000CF460000}"/>
    <cellStyle name="60% - Accent6 30 3" xfId="18210" xr:uid="{00000000-0005-0000-0000-0000D0460000}"/>
    <cellStyle name="60% - Accent6 30 4" xfId="18211" xr:uid="{00000000-0005-0000-0000-0000D1460000}"/>
    <cellStyle name="60% - Accent6 30 5" xfId="18212" xr:uid="{00000000-0005-0000-0000-0000D2460000}"/>
    <cellStyle name="60% - Accent6 30 6" xfId="18213" xr:uid="{00000000-0005-0000-0000-0000D3460000}"/>
    <cellStyle name="60% - Accent6 30 7" xfId="18214" xr:uid="{00000000-0005-0000-0000-0000D4460000}"/>
    <cellStyle name="60% - Accent6 30 8" xfId="18215" xr:uid="{00000000-0005-0000-0000-0000D5460000}"/>
    <cellStyle name="60% - Accent6 30 9" xfId="18216" xr:uid="{00000000-0005-0000-0000-0000D6460000}"/>
    <cellStyle name="60% - Accent6 31" xfId="18217" xr:uid="{00000000-0005-0000-0000-0000D7460000}"/>
    <cellStyle name="60% - Accent6 31 10" xfId="18218" xr:uid="{00000000-0005-0000-0000-0000D8460000}"/>
    <cellStyle name="60% - Accent6 31 11" xfId="18219" xr:uid="{00000000-0005-0000-0000-0000D9460000}"/>
    <cellStyle name="60% - Accent6 31 12" xfId="18220" xr:uid="{00000000-0005-0000-0000-0000DA460000}"/>
    <cellStyle name="60% - Accent6 31 13" xfId="18221" xr:uid="{00000000-0005-0000-0000-0000DB460000}"/>
    <cellStyle name="60% - Accent6 31 14" xfId="18222" xr:uid="{00000000-0005-0000-0000-0000DC460000}"/>
    <cellStyle name="60% - Accent6 31 15" xfId="18223" xr:uid="{00000000-0005-0000-0000-0000DD460000}"/>
    <cellStyle name="60% - Accent6 31 2" xfId="18224" xr:uid="{00000000-0005-0000-0000-0000DE460000}"/>
    <cellStyle name="60% - Accent6 31 3" xfId="18225" xr:uid="{00000000-0005-0000-0000-0000DF460000}"/>
    <cellStyle name="60% - Accent6 31 4" xfId="18226" xr:uid="{00000000-0005-0000-0000-0000E0460000}"/>
    <cellStyle name="60% - Accent6 31 5" xfId="18227" xr:uid="{00000000-0005-0000-0000-0000E1460000}"/>
    <cellStyle name="60% - Accent6 31 6" xfId="18228" xr:uid="{00000000-0005-0000-0000-0000E2460000}"/>
    <cellStyle name="60% - Accent6 31 7" xfId="18229" xr:uid="{00000000-0005-0000-0000-0000E3460000}"/>
    <cellStyle name="60% - Accent6 31 8" xfId="18230" xr:uid="{00000000-0005-0000-0000-0000E4460000}"/>
    <cellStyle name="60% - Accent6 31 9" xfId="18231" xr:uid="{00000000-0005-0000-0000-0000E5460000}"/>
    <cellStyle name="60% - Accent6 32" xfId="18232" xr:uid="{00000000-0005-0000-0000-0000E6460000}"/>
    <cellStyle name="60% - Accent6 32 10" xfId="18233" xr:uid="{00000000-0005-0000-0000-0000E7460000}"/>
    <cellStyle name="60% - Accent6 32 11" xfId="18234" xr:uid="{00000000-0005-0000-0000-0000E8460000}"/>
    <cellStyle name="60% - Accent6 32 12" xfId="18235" xr:uid="{00000000-0005-0000-0000-0000E9460000}"/>
    <cellStyle name="60% - Accent6 32 13" xfId="18236" xr:uid="{00000000-0005-0000-0000-0000EA460000}"/>
    <cellStyle name="60% - Accent6 32 14" xfId="18237" xr:uid="{00000000-0005-0000-0000-0000EB460000}"/>
    <cellStyle name="60% - Accent6 32 15" xfId="18238" xr:uid="{00000000-0005-0000-0000-0000EC460000}"/>
    <cellStyle name="60% - Accent6 32 2" xfId="18239" xr:uid="{00000000-0005-0000-0000-0000ED460000}"/>
    <cellStyle name="60% - Accent6 32 3" xfId="18240" xr:uid="{00000000-0005-0000-0000-0000EE460000}"/>
    <cellStyle name="60% - Accent6 32 4" xfId="18241" xr:uid="{00000000-0005-0000-0000-0000EF460000}"/>
    <cellStyle name="60% - Accent6 32 5" xfId="18242" xr:uid="{00000000-0005-0000-0000-0000F0460000}"/>
    <cellStyle name="60% - Accent6 32 6" xfId="18243" xr:uid="{00000000-0005-0000-0000-0000F1460000}"/>
    <cellStyle name="60% - Accent6 32 7" xfId="18244" xr:uid="{00000000-0005-0000-0000-0000F2460000}"/>
    <cellStyle name="60% - Accent6 32 8" xfId="18245" xr:uid="{00000000-0005-0000-0000-0000F3460000}"/>
    <cellStyle name="60% - Accent6 32 9" xfId="18246" xr:uid="{00000000-0005-0000-0000-0000F4460000}"/>
    <cellStyle name="60% - Accent6 33" xfId="18247" xr:uid="{00000000-0005-0000-0000-0000F5460000}"/>
    <cellStyle name="60% - Accent6 33 10" xfId="18248" xr:uid="{00000000-0005-0000-0000-0000F6460000}"/>
    <cellStyle name="60% - Accent6 33 11" xfId="18249" xr:uid="{00000000-0005-0000-0000-0000F7460000}"/>
    <cellStyle name="60% - Accent6 33 12" xfId="18250" xr:uid="{00000000-0005-0000-0000-0000F8460000}"/>
    <cellStyle name="60% - Accent6 33 13" xfId="18251" xr:uid="{00000000-0005-0000-0000-0000F9460000}"/>
    <cellStyle name="60% - Accent6 33 14" xfId="18252" xr:uid="{00000000-0005-0000-0000-0000FA460000}"/>
    <cellStyle name="60% - Accent6 33 15" xfId="18253" xr:uid="{00000000-0005-0000-0000-0000FB460000}"/>
    <cellStyle name="60% - Accent6 33 2" xfId="18254" xr:uid="{00000000-0005-0000-0000-0000FC460000}"/>
    <cellStyle name="60% - Accent6 33 3" xfId="18255" xr:uid="{00000000-0005-0000-0000-0000FD460000}"/>
    <cellStyle name="60% - Accent6 33 4" xfId="18256" xr:uid="{00000000-0005-0000-0000-0000FE460000}"/>
    <cellStyle name="60% - Accent6 33 5" xfId="18257" xr:uid="{00000000-0005-0000-0000-0000FF460000}"/>
    <cellStyle name="60% - Accent6 33 6" xfId="18258" xr:uid="{00000000-0005-0000-0000-000000470000}"/>
    <cellStyle name="60% - Accent6 33 7" xfId="18259" xr:uid="{00000000-0005-0000-0000-000001470000}"/>
    <cellStyle name="60% - Accent6 33 8" xfId="18260" xr:uid="{00000000-0005-0000-0000-000002470000}"/>
    <cellStyle name="60% - Accent6 33 9" xfId="18261" xr:uid="{00000000-0005-0000-0000-000003470000}"/>
    <cellStyle name="60% - Accent6 34" xfId="18262" xr:uid="{00000000-0005-0000-0000-000004470000}"/>
    <cellStyle name="60% - Accent6 34 10" xfId="18263" xr:uid="{00000000-0005-0000-0000-000005470000}"/>
    <cellStyle name="60% - Accent6 34 11" xfId="18264" xr:uid="{00000000-0005-0000-0000-000006470000}"/>
    <cellStyle name="60% - Accent6 34 12" xfId="18265" xr:uid="{00000000-0005-0000-0000-000007470000}"/>
    <cellStyle name="60% - Accent6 34 13" xfId="18266" xr:uid="{00000000-0005-0000-0000-000008470000}"/>
    <cellStyle name="60% - Accent6 34 14" xfId="18267" xr:uid="{00000000-0005-0000-0000-000009470000}"/>
    <cellStyle name="60% - Accent6 34 15" xfId="18268" xr:uid="{00000000-0005-0000-0000-00000A470000}"/>
    <cellStyle name="60% - Accent6 34 2" xfId="18269" xr:uid="{00000000-0005-0000-0000-00000B470000}"/>
    <cellStyle name="60% - Accent6 34 3" xfId="18270" xr:uid="{00000000-0005-0000-0000-00000C470000}"/>
    <cellStyle name="60% - Accent6 34 4" xfId="18271" xr:uid="{00000000-0005-0000-0000-00000D470000}"/>
    <cellStyle name="60% - Accent6 34 5" xfId="18272" xr:uid="{00000000-0005-0000-0000-00000E470000}"/>
    <cellStyle name="60% - Accent6 34 6" xfId="18273" xr:uid="{00000000-0005-0000-0000-00000F470000}"/>
    <cellStyle name="60% - Accent6 34 7" xfId="18274" xr:uid="{00000000-0005-0000-0000-000010470000}"/>
    <cellStyle name="60% - Accent6 34 8" xfId="18275" xr:uid="{00000000-0005-0000-0000-000011470000}"/>
    <cellStyle name="60% - Accent6 34 9" xfId="18276" xr:uid="{00000000-0005-0000-0000-000012470000}"/>
    <cellStyle name="60% - Accent6 35" xfId="18277" xr:uid="{00000000-0005-0000-0000-000013470000}"/>
    <cellStyle name="60% - Accent6 35 10" xfId="18278" xr:uid="{00000000-0005-0000-0000-000014470000}"/>
    <cellStyle name="60% - Accent6 35 11" xfId="18279" xr:uid="{00000000-0005-0000-0000-000015470000}"/>
    <cellStyle name="60% - Accent6 35 12" xfId="18280" xr:uid="{00000000-0005-0000-0000-000016470000}"/>
    <cellStyle name="60% - Accent6 35 13" xfId="18281" xr:uid="{00000000-0005-0000-0000-000017470000}"/>
    <cellStyle name="60% - Accent6 35 14" xfId="18282" xr:uid="{00000000-0005-0000-0000-000018470000}"/>
    <cellStyle name="60% - Accent6 35 15" xfId="18283" xr:uid="{00000000-0005-0000-0000-000019470000}"/>
    <cellStyle name="60% - Accent6 35 2" xfId="18284" xr:uid="{00000000-0005-0000-0000-00001A470000}"/>
    <cellStyle name="60% - Accent6 35 3" xfId="18285" xr:uid="{00000000-0005-0000-0000-00001B470000}"/>
    <cellStyle name="60% - Accent6 35 4" xfId="18286" xr:uid="{00000000-0005-0000-0000-00001C470000}"/>
    <cellStyle name="60% - Accent6 35 5" xfId="18287" xr:uid="{00000000-0005-0000-0000-00001D470000}"/>
    <cellStyle name="60% - Accent6 35 6" xfId="18288" xr:uid="{00000000-0005-0000-0000-00001E470000}"/>
    <cellStyle name="60% - Accent6 35 7" xfId="18289" xr:uid="{00000000-0005-0000-0000-00001F470000}"/>
    <cellStyle name="60% - Accent6 35 8" xfId="18290" xr:uid="{00000000-0005-0000-0000-000020470000}"/>
    <cellStyle name="60% - Accent6 35 9" xfId="18291" xr:uid="{00000000-0005-0000-0000-000021470000}"/>
    <cellStyle name="60% - Accent6 36" xfId="18292" xr:uid="{00000000-0005-0000-0000-000022470000}"/>
    <cellStyle name="60% - Accent6 36 10" xfId="18293" xr:uid="{00000000-0005-0000-0000-000023470000}"/>
    <cellStyle name="60% - Accent6 36 11" xfId="18294" xr:uid="{00000000-0005-0000-0000-000024470000}"/>
    <cellStyle name="60% - Accent6 36 12" xfId="18295" xr:uid="{00000000-0005-0000-0000-000025470000}"/>
    <cellStyle name="60% - Accent6 36 13" xfId="18296" xr:uid="{00000000-0005-0000-0000-000026470000}"/>
    <cellStyle name="60% - Accent6 36 14" xfId="18297" xr:uid="{00000000-0005-0000-0000-000027470000}"/>
    <cellStyle name="60% - Accent6 36 15" xfId="18298" xr:uid="{00000000-0005-0000-0000-000028470000}"/>
    <cellStyle name="60% - Accent6 36 2" xfId="18299" xr:uid="{00000000-0005-0000-0000-000029470000}"/>
    <cellStyle name="60% - Accent6 36 3" xfId="18300" xr:uid="{00000000-0005-0000-0000-00002A470000}"/>
    <cellStyle name="60% - Accent6 36 4" xfId="18301" xr:uid="{00000000-0005-0000-0000-00002B470000}"/>
    <cellStyle name="60% - Accent6 36 5" xfId="18302" xr:uid="{00000000-0005-0000-0000-00002C470000}"/>
    <cellStyle name="60% - Accent6 36 6" xfId="18303" xr:uid="{00000000-0005-0000-0000-00002D470000}"/>
    <cellStyle name="60% - Accent6 36 7" xfId="18304" xr:uid="{00000000-0005-0000-0000-00002E470000}"/>
    <cellStyle name="60% - Accent6 36 8" xfId="18305" xr:uid="{00000000-0005-0000-0000-00002F470000}"/>
    <cellStyle name="60% - Accent6 36 9" xfId="18306" xr:uid="{00000000-0005-0000-0000-000030470000}"/>
    <cellStyle name="60% - Accent6 37" xfId="18307" xr:uid="{00000000-0005-0000-0000-000031470000}"/>
    <cellStyle name="60% - Accent6 37 10" xfId="18308" xr:uid="{00000000-0005-0000-0000-000032470000}"/>
    <cellStyle name="60% - Accent6 37 11" xfId="18309" xr:uid="{00000000-0005-0000-0000-000033470000}"/>
    <cellStyle name="60% - Accent6 37 12" xfId="18310" xr:uid="{00000000-0005-0000-0000-000034470000}"/>
    <cellStyle name="60% - Accent6 37 13" xfId="18311" xr:uid="{00000000-0005-0000-0000-000035470000}"/>
    <cellStyle name="60% - Accent6 37 14" xfId="18312" xr:uid="{00000000-0005-0000-0000-000036470000}"/>
    <cellStyle name="60% - Accent6 37 15" xfId="18313" xr:uid="{00000000-0005-0000-0000-000037470000}"/>
    <cellStyle name="60% - Accent6 37 2" xfId="18314" xr:uid="{00000000-0005-0000-0000-000038470000}"/>
    <cellStyle name="60% - Accent6 37 3" xfId="18315" xr:uid="{00000000-0005-0000-0000-000039470000}"/>
    <cellStyle name="60% - Accent6 37 4" xfId="18316" xr:uid="{00000000-0005-0000-0000-00003A470000}"/>
    <cellStyle name="60% - Accent6 37 5" xfId="18317" xr:uid="{00000000-0005-0000-0000-00003B470000}"/>
    <cellStyle name="60% - Accent6 37 6" xfId="18318" xr:uid="{00000000-0005-0000-0000-00003C470000}"/>
    <cellStyle name="60% - Accent6 37 7" xfId="18319" xr:uid="{00000000-0005-0000-0000-00003D470000}"/>
    <cellStyle name="60% - Accent6 37 8" xfId="18320" xr:uid="{00000000-0005-0000-0000-00003E470000}"/>
    <cellStyle name="60% - Accent6 37 9" xfId="18321" xr:uid="{00000000-0005-0000-0000-00003F470000}"/>
    <cellStyle name="60% - Accent6 38" xfId="18322" xr:uid="{00000000-0005-0000-0000-000040470000}"/>
    <cellStyle name="60% - Accent6 38 10" xfId="18323" xr:uid="{00000000-0005-0000-0000-000041470000}"/>
    <cellStyle name="60% - Accent6 38 11" xfId="18324" xr:uid="{00000000-0005-0000-0000-000042470000}"/>
    <cellStyle name="60% - Accent6 38 12" xfId="18325" xr:uid="{00000000-0005-0000-0000-000043470000}"/>
    <cellStyle name="60% - Accent6 38 13" xfId="18326" xr:uid="{00000000-0005-0000-0000-000044470000}"/>
    <cellStyle name="60% - Accent6 38 14" xfId="18327" xr:uid="{00000000-0005-0000-0000-000045470000}"/>
    <cellStyle name="60% - Accent6 38 15" xfId="18328" xr:uid="{00000000-0005-0000-0000-000046470000}"/>
    <cellStyle name="60% - Accent6 38 2" xfId="18329" xr:uid="{00000000-0005-0000-0000-000047470000}"/>
    <cellStyle name="60% - Accent6 38 3" xfId="18330" xr:uid="{00000000-0005-0000-0000-000048470000}"/>
    <cellStyle name="60% - Accent6 38 4" xfId="18331" xr:uid="{00000000-0005-0000-0000-000049470000}"/>
    <cellStyle name="60% - Accent6 38 5" xfId="18332" xr:uid="{00000000-0005-0000-0000-00004A470000}"/>
    <cellStyle name="60% - Accent6 38 6" xfId="18333" xr:uid="{00000000-0005-0000-0000-00004B470000}"/>
    <cellStyle name="60% - Accent6 38 7" xfId="18334" xr:uid="{00000000-0005-0000-0000-00004C470000}"/>
    <cellStyle name="60% - Accent6 38 8" xfId="18335" xr:uid="{00000000-0005-0000-0000-00004D470000}"/>
    <cellStyle name="60% - Accent6 38 9" xfId="18336" xr:uid="{00000000-0005-0000-0000-00004E470000}"/>
    <cellStyle name="60% - Accent6 39" xfId="18337" xr:uid="{00000000-0005-0000-0000-00004F470000}"/>
    <cellStyle name="60% - Accent6 39 10" xfId="18338" xr:uid="{00000000-0005-0000-0000-000050470000}"/>
    <cellStyle name="60% - Accent6 39 11" xfId="18339" xr:uid="{00000000-0005-0000-0000-000051470000}"/>
    <cellStyle name="60% - Accent6 39 12" xfId="18340" xr:uid="{00000000-0005-0000-0000-000052470000}"/>
    <cellStyle name="60% - Accent6 39 13" xfId="18341" xr:uid="{00000000-0005-0000-0000-000053470000}"/>
    <cellStyle name="60% - Accent6 39 14" xfId="18342" xr:uid="{00000000-0005-0000-0000-000054470000}"/>
    <cellStyle name="60% - Accent6 39 15" xfId="18343" xr:uid="{00000000-0005-0000-0000-000055470000}"/>
    <cellStyle name="60% - Accent6 39 2" xfId="18344" xr:uid="{00000000-0005-0000-0000-000056470000}"/>
    <cellStyle name="60% - Accent6 39 3" xfId="18345" xr:uid="{00000000-0005-0000-0000-000057470000}"/>
    <cellStyle name="60% - Accent6 39 4" xfId="18346" xr:uid="{00000000-0005-0000-0000-000058470000}"/>
    <cellStyle name="60% - Accent6 39 5" xfId="18347" xr:uid="{00000000-0005-0000-0000-000059470000}"/>
    <cellStyle name="60% - Accent6 39 6" xfId="18348" xr:uid="{00000000-0005-0000-0000-00005A470000}"/>
    <cellStyle name="60% - Accent6 39 7" xfId="18349" xr:uid="{00000000-0005-0000-0000-00005B470000}"/>
    <cellStyle name="60% - Accent6 39 8" xfId="18350" xr:uid="{00000000-0005-0000-0000-00005C470000}"/>
    <cellStyle name="60% - Accent6 39 9" xfId="18351" xr:uid="{00000000-0005-0000-0000-00005D470000}"/>
    <cellStyle name="60% - Accent6 4" xfId="18352" xr:uid="{00000000-0005-0000-0000-00005E470000}"/>
    <cellStyle name="60% - Accent6 4 2" xfId="18353" xr:uid="{00000000-0005-0000-0000-00005F470000}"/>
    <cellStyle name="60% - Accent6 4 2 2" xfId="18354" xr:uid="{00000000-0005-0000-0000-000060470000}"/>
    <cellStyle name="60% - Accent6 4 3" xfId="18355" xr:uid="{00000000-0005-0000-0000-000061470000}"/>
    <cellStyle name="60% - Accent6 4 3 2" xfId="18356" xr:uid="{00000000-0005-0000-0000-000062470000}"/>
    <cellStyle name="60% - Accent6 4 4" xfId="18357" xr:uid="{00000000-0005-0000-0000-000063470000}"/>
    <cellStyle name="60% - Accent6 4 4 2" xfId="18358" xr:uid="{00000000-0005-0000-0000-000064470000}"/>
    <cellStyle name="60% - Accent6 4 5" xfId="18359" xr:uid="{00000000-0005-0000-0000-000065470000}"/>
    <cellStyle name="60% - Accent6 4 5 2" xfId="18360" xr:uid="{00000000-0005-0000-0000-000066470000}"/>
    <cellStyle name="60% - Accent6 4 6" xfId="18361" xr:uid="{00000000-0005-0000-0000-000067470000}"/>
    <cellStyle name="60% - Accent6 4 6 2" xfId="18362" xr:uid="{00000000-0005-0000-0000-000068470000}"/>
    <cellStyle name="60% - Accent6 4 7" xfId="18363" xr:uid="{00000000-0005-0000-0000-000069470000}"/>
    <cellStyle name="60% - Accent6 40" xfId="18364" xr:uid="{00000000-0005-0000-0000-00006A470000}"/>
    <cellStyle name="60% - Accent6 41" xfId="18365" xr:uid="{00000000-0005-0000-0000-00006B470000}"/>
    <cellStyle name="60% - Accent6 42" xfId="18366" xr:uid="{00000000-0005-0000-0000-00006C470000}"/>
    <cellStyle name="60% - Accent6 43" xfId="18367" xr:uid="{00000000-0005-0000-0000-00006D470000}"/>
    <cellStyle name="60% - Accent6 44" xfId="18368" xr:uid="{00000000-0005-0000-0000-00006E470000}"/>
    <cellStyle name="60% - Accent6 45" xfId="18369" xr:uid="{00000000-0005-0000-0000-00006F470000}"/>
    <cellStyle name="60% - Accent6 46" xfId="18370" xr:uid="{00000000-0005-0000-0000-000070470000}"/>
    <cellStyle name="60% - Accent6 47" xfId="18371" xr:uid="{00000000-0005-0000-0000-000071470000}"/>
    <cellStyle name="60% - Accent6 48" xfId="18372" xr:uid="{00000000-0005-0000-0000-000072470000}"/>
    <cellStyle name="60% - Accent6 49" xfId="18373" xr:uid="{00000000-0005-0000-0000-000073470000}"/>
    <cellStyle name="60% - Accent6 5" xfId="18374" xr:uid="{00000000-0005-0000-0000-000074470000}"/>
    <cellStyle name="60% - Accent6 5 2" xfId="18375" xr:uid="{00000000-0005-0000-0000-000075470000}"/>
    <cellStyle name="60% - Accent6 5 2 2" xfId="18376" xr:uid="{00000000-0005-0000-0000-000076470000}"/>
    <cellStyle name="60% - Accent6 5 2 3" xfId="18377" xr:uid="{00000000-0005-0000-0000-000077470000}"/>
    <cellStyle name="60% - Accent6 5 2 4" xfId="18378" xr:uid="{00000000-0005-0000-0000-000078470000}"/>
    <cellStyle name="60% - Accent6 5 3" xfId="18379" xr:uid="{00000000-0005-0000-0000-000079470000}"/>
    <cellStyle name="60% - Accent6 5 3 2" xfId="18380" xr:uid="{00000000-0005-0000-0000-00007A470000}"/>
    <cellStyle name="60% - Accent6 5 3 3" xfId="18381" xr:uid="{00000000-0005-0000-0000-00007B470000}"/>
    <cellStyle name="60% - Accent6 5 4" xfId="18382" xr:uid="{00000000-0005-0000-0000-00007C470000}"/>
    <cellStyle name="60% - Accent6 50" xfId="18383" xr:uid="{00000000-0005-0000-0000-00007D470000}"/>
    <cellStyle name="60% - Accent6 51" xfId="18384" xr:uid="{00000000-0005-0000-0000-00007E470000}"/>
    <cellStyle name="60% - Accent6 52" xfId="18385" xr:uid="{00000000-0005-0000-0000-00007F470000}"/>
    <cellStyle name="60% - Accent6 53" xfId="18386" xr:uid="{00000000-0005-0000-0000-000080470000}"/>
    <cellStyle name="60% - Accent6 54" xfId="18387" xr:uid="{00000000-0005-0000-0000-000081470000}"/>
    <cellStyle name="60% - Accent6 55" xfId="18388" xr:uid="{00000000-0005-0000-0000-000082470000}"/>
    <cellStyle name="60% - Accent6 56" xfId="18389" xr:uid="{00000000-0005-0000-0000-000083470000}"/>
    <cellStyle name="60% - Accent6 57" xfId="18390" xr:uid="{00000000-0005-0000-0000-000084470000}"/>
    <cellStyle name="60% - Accent6 58" xfId="18391" xr:uid="{00000000-0005-0000-0000-000085470000}"/>
    <cellStyle name="60% - Accent6 59" xfId="18392" xr:uid="{00000000-0005-0000-0000-000086470000}"/>
    <cellStyle name="60% - Accent6 6" xfId="18393" xr:uid="{00000000-0005-0000-0000-000087470000}"/>
    <cellStyle name="60% - Accent6 6 2" xfId="18394" xr:uid="{00000000-0005-0000-0000-000088470000}"/>
    <cellStyle name="60% - Accent6 60" xfId="18395" xr:uid="{00000000-0005-0000-0000-000089470000}"/>
    <cellStyle name="60% - Accent6 61" xfId="18396" xr:uid="{00000000-0005-0000-0000-00008A470000}"/>
    <cellStyle name="60% - Accent6 62" xfId="18397" xr:uid="{00000000-0005-0000-0000-00008B470000}"/>
    <cellStyle name="60% - Accent6 63" xfId="18398" xr:uid="{00000000-0005-0000-0000-00008C470000}"/>
    <cellStyle name="60% - Accent6 64" xfId="18399" xr:uid="{00000000-0005-0000-0000-00008D470000}"/>
    <cellStyle name="60% - Accent6 65" xfId="18400" xr:uid="{00000000-0005-0000-0000-00008E470000}"/>
    <cellStyle name="60% - Accent6 66" xfId="18401" xr:uid="{00000000-0005-0000-0000-00008F470000}"/>
    <cellStyle name="60% - Accent6 67" xfId="18402" xr:uid="{00000000-0005-0000-0000-000090470000}"/>
    <cellStyle name="60% - Accent6 68" xfId="18403" xr:uid="{00000000-0005-0000-0000-000091470000}"/>
    <cellStyle name="60% - Accent6 69" xfId="18404" xr:uid="{00000000-0005-0000-0000-000092470000}"/>
    <cellStyle name="60% - Accent6 7" xfId="18405" xr:uid="{00000000-0005-0000-0000-000093470000}"/>
    <cellStyle name="60% - Accent6 7 2" xfId="18406" xr:uid="{00000000-0005-0000-0000-000094470000}"/>
    <cellStyle name="60% - Accent6 70" xfId="18407" xr:uid="{00000000-0005-0000-0000-000095470000}"/>
    <cellStyle name="60% - Accent6 71" xfId="18408" xr:uid="{00000000-0005-0000-0000-000096470000}"/>
    <cellStyle name="60% - Accent6 72" xfId="18409" xr:uid="{00000000-0005-0000-0000-000097470000}"/>
    <cellStyle name="60% - Accent6 73" xfId="18410" xr:uid="{00000000-0005-0000-0000-000098470000}"/>
    <cellStyle name="60% - Accent6 74" xfId="18411" xr:uid="{00000000-0005-0000-0000-000099470000}"/>
    <cellStyle name="60% - Accent6 75" xfId="18412" xr:uid="{00000000-0005-0000-0000-00009A470000}"/>
    <cellStyle name="60% - Accent6 76" xfId="18413" xr:uid="{00000000-0005-0000-0000-00009B470000}"/>
    <cellStyle name="60% - Accent6 77" xfId="18414" xr:uid="{00000000-0005-0000-0000-00009C470000}"/>
    <cellStyle name="60% - Accent6 78" xfId="18415" xr:uid="{00000000-0005-0000-0000-00009D470000}"/>
    <cellStyle name="60% - Accent6 79" xfId="18416" xr:uid="{00000000-0005-0000-0000-00009E470000}"/>
    <cellStyle name="60% - Accent6 79 2" xfId="18417" xr:uid="{00000000-0005-0000-0000-00009F470000}"/>
    <cellStyle name="60% - Accent6 8" xfId="18418" xr:uid="{00000000-0005-0000-0000-0000A0470000}"/>
    <cellStyle name="60% - Accent6 8 2" xfId="18419" xr:uid="{00000000-0005-0000-0000-0000A1470000}"/>
    <cellStyle name="60% - Accent6 80" xfId="18420" xr:uid="{00000000-0005-0000-0000-0000A2470000}"/>
    <cellStyle name="60% - Accent6 80 2" xfId="18421" xr:uid="{00000000-0005-0000-0000-0000A3470000}"/>
    <cellStyle name="60% - Accent6 81" xfId="18422" xr:uid="{00000000-0005-0000-0000-0000A4470000}"/>
    <cellStyle name="60% - Accent6 81 2" xfId="18423" xr:uid="{00000000-0005-0000-0000-0000A5470000}"/>
    <cellStyle name="60% - Accent6 82" xfId="18424" xr:uid="{00000000-0005-0000-0000-0000A6470000}"/>
    <cellStyle name="60% - Accent6 82 2" xfId="18425" xr:uid="{00000000-0005-0000-0000-0000A7470000}"/>
    <cellStyle name="60% - Accent6 83" xfId="18426" xr:uid="{00000000-0005-0000-0000-0000A8470000}"/>
    <cellStyle name="60% - Accent6 83 2" xfId="18427" xr:uid="{00000000-0005-0000-0000-0000A9470000}"/>
    <cellStyle name="60% - Accent6 84" xfId="18428" xr:uid="{00000000-0005-0000-0000-0000AA470000}"/>
    <cellStyle name="60% - Accent6 84 2" xfId="18429" xr:uid="{00000000-0005-0000-0000-0000AB470000}"/>
    <cellStyle name="60% - Accent6 85" xfId="18430" xr:uid="{00000000-0005-0000-0000-0000AC470000}"/>
    <cellStyle name="60% - Accent6 85 2" xfId="18431" xr:uid="{00000000-0005-0000-0000-0000AD470000}"/>
    <cellStyle name="60% - Accent6 86" xfId="18432" xr:uid="{00000000-0005-0000-0000-0000AE470000}"/>
    <cellStyle name="60% - Accent6 86 2" xfId="18433" xr:uid="{00000000-0005-0000-0000-0000AF470000}"/>
    <cellStyle name="60% - Accent6 87" xfId="18434" xr:uid="{00000000-0005-0000-0000-0000B0470000}"/>
    <cellStyle name="60% - Accent6 87 2" xfId="18435" xr:uid="{00000000-0005-0000-0000-0000B1470000}"/>
    <cellStyle name="60% - Accent6 88" xfId="18436" xr:uid="{00000000-0005-0000-0000-0000B2470000}"/>
    <cellStyle name="60% - Accent6 88 2" xfId="18437" xr:uid="{00000000-0005-0000-0000-0000B3470000}"/>
    <cellStyle name="60% - Accent6 89" xfId="18438" xr:uid="{00000000-0005-0000-0000-0000B4470000}"/>
    <cellStyle name="60% - Accent6 89 2" xfId="18439" xr:uid="{00000000-0005-0000-0000-0000B5470000}"/>
    <cellStyle name="60% - Accent6 9" xfId="18440" xr:uid="{00000000-0005-0000-0000-0000B6470000}"/>
    <cellStyle name="60% - Accent6 9 2" xfId="18441" xr:uid="{00000000-0005-0000-0000-0000B7470000}"/>
    <cellStyle name="60% - Accent6 90" xfId="18442" xr:uid="{00000000-0005-0000-0000-0000B8470000}"/>
    <cellStyle name="60% - Accent6 91" xfId="18443" xr:uid="{00000000-0005-0000-0000-0000B9470000}"/>
    <cellStyle name="60% - Accent6 92" xfId="18444" xr:uid="{00000000-0005-0000-0000-0000BA470000}"/>
    <cellStyle name="60% - Accent6 93" xfId="18445" xr:uid="{00000000-0005-0000-0000-0000BB470000}"/>
    <cellStyle name="60% - Accent6 94" xfId="18446" xr:uid="{00000000-0005-0000-0000-0000BC470000}"/>
    <cellStyle name="60% - Accent6 95" xfId="18447" xr:uid="{00000000-0005-0000-0000-0000BD470000}"/>
    <cellStyle name="60% - Accent6 96" xfId="18448" xr:uid="{00000000-0005-0000-0000-0000BE470000}"/>
    <cellStyle name="60% - Accent6 97" xfId="18449" xr:uid="{00000000-0005-0000-0000-0000BF470000}"/>
    <cellStyle name="60% - Accent6 98" xfId="18450" xr:uid="{00000000-0005-0000-0000-0000C0470000}"/>
    <cellStyle name="60% - Accent6 99" xfId="18451" xr:uid="{00000000-0005-0000-0000-0000C1470000}"/>
    <cellStyle name="60% - akcent 1" xfId="18452" xr:uid="{00000000-0005-0000-0000-0000C2470000}"/>
    <cellStyle name="60% - akcent 2" xfId="18453" xr:uid="{00000000-0005-0000-0000-0000C3470000}"/>
    <cellStyle name="60% - akcent 3" xfId="18454" xr:uid="{00000000-0005-0000-0000-0000C4470000}"/>
    <cellStyle name="60% - akcent 4" xfId="18455" xr:uid="{00000000-0005-0000-0000-0000C5470000}"/>
    <cellStyle name="60% - akcent 5" xfId="18456" xr:uid="{00000000-0005-0000-0000-0000C6470000}"/>
    <cellStyle name="60% - akcent 6" xfId="18457" xr:uid="{00000000-0005-0000-0000-0000C7470000}"/>
    <cellStyle name="A¨­???O [0]_C¡IAo_AoAUAy¡ÆeC¡I " xfId="18458" xr:uid="{00000000-0005-0000-0000-0000C8470000}"/>
    <cellStyle name="A¨­???O_AoAUAy¡ÆeC¡I " xfId="18459" xr:uid="{00000000-0005-0000-0000-0000C9470000}"/>
    <cellStyle name="A¨­￠￢￠O [0]_C¡IAo_AoAUAy¡ÆeC¡I " xfId="18460" xr:uid="{00000000-0005-0000-0000-0000CA470000}"/>
    <cellStyle name="A¨­￠￢￠O_AoAUAy¡ÆeC¡I " xfId="18461" xr:uid="{00000000-0005-0000-0000-0000CB470000}"/>
    <cellStyle name="Accent1" xfId="18" builtinId="29" customBuiltin="1"/>
    <cellStyle name="Accent1 10" xfId="18462" xr:uid="{00000000-0005-0000-0000-0000CD470000}"/>
    <cellStyle name="Accent1 10 2" xfId="18463" xr:uid="{00000000-0005-0000-0000-0000CE470000}"/>
    <cellStyle name="Accent1 100" xfId="18464" xr:uid="{00000000-0005-0000-0000-0000CF470000}"/>
    <cellStyle name="Accent1 101" xfId="18465" xr:uid="{00000000-0005-0000-0000-0000D0470000}"/>
    <cellStyle name="Accent1 102" xfId="18466" xr:uid="{00000000-0005-0000-0000-0000D1470000}"/>
    <cellStyle name="Accent1 103" xfId="18467" xr:uid="{00000000-0005-0000-0000-0000D2470000}"/>
    <cellStyle name="Accent1 104" xfId="18468" xr:uid="{00000000-0005-0000-0000-0000D3470000}"/>
    <cellStyle name="Accent1 105" xfId="18469" xr:uid="{00000000-0005-0000-0000-0000D4470000}"/>
    <cellStyle name="Accent1 106" xfId="18470" xr:uid="{00000000-0005-0000-0000-0000D5470000}"/>
    <cellStyle name="Accent1 107" xfId="18471" xr:uid="{00000000-0005-0000-0000-0000D6470000}"/>
    <cellStyle name="Accent1 108" xfId="18472" xr:uid="{00000000-0005-0000-0000-0000D7470000}"/>
    <cellStyle name="Accent1 109" xfId="18473" xr:uid="{00000000-0005-0000-0000-0000D8470000}"/>
    <cellStyle name="Accent1 11" xfId="18474" xr:uid="{00000000-0005-0000-0000-0000D9470000}"/>
    <cellStyle name="Accent1 11 2" xfId="18475" xr:uid="{00000000-0005-0000-0000-0000DA470000}"/>
    <cellStyle name="Accent1 110" xfId="18476" xr:uid="{00000000-0005-0000-0000-0000DB470000}"/>
    <cellStyle name="Accent1 111" xfId="18477" xr:uid="{00000000-0005-0000-0000-0000DC470000}"/>
    <cellStyle name="Accent1 112" xfId="18478" xr:uid="{00000000-0005-0000-0000-0000DD470000}"/>
    <cellStyle name="Accent1 113" xfId="18479" xr:uid="{00000000-0005-0000-0000-0000DE470000}"/>
    <cellStyle name="Accent1 114" xfId="18480" xr:uid="{00000000-0005-0000-0000-0000DF470000}"/>
    <cellStyle name="Accent1 115" xfId="18481" xr:uid="{00000000-0005-0000-0000-0000E0470000}"/>
    <cellStyle name="Accent1 116" xfId="18482" xr:uid="{00000000-0005-0000-0000-0000E1470000}"/>
    <cellStyle name="Accent1 117" xfId="18483" xr:uid="{00000000-0005-0000-0000-0000E2470000}"/>
    <cellStyle name="Accent1 118" xfId="18484" xr:uid="{00000000-0005-0000-0000-0000E3470000}"/>
    <cellStyle name="Accent1 119" xfId="18485" xr:uid="{00000000-0005-0000-0000-0000E4470000}"/>
    <cellStyle name="Accent1 12" xfId="18486" xr:uid="{00000000-0005-0000-0000-0000E5470000}"/>
    <cellStyle name="Accent1 12 2" xfId="18487" xr:uid="{00000000-0005-0000-0000-0000E6470000}"/>
    <cellStyle name="Accent1 120" xfId="18488" xr:uid="{00000000-0005-0000-0000-0000E7470000}"/>
    <cellStyle name="Accent1 121" xfId="18489" xr:uid="{00000000-0005-0000-0000-0000E8470000}"/>
    <cellStyle name="Accent1 122" xfId="18490" xr:uid="{00000000-0005-0000-0000-0000E9470000}"/>
    <cellStyle name="Accent1 123" xfId="18491" xr:uid="{00000000-0005-0000-0000-0000EA470000}"/>
    <cellStyle name="Accent1 124" xfId="18492" xr:uid="{00000000-0005-0000-0000-0000EB470000}"/>
    <cellStyle name="Accent1 125" xfId="18493" xr:uid="{00000000-0005-0000-0000-0000EC470000}"/>
    <cellStyle name="Accent1 126" xfId="18494" xr:uid="{00000000-0005-0000-0000-0000ED470000}"/>
    <cellStyle name="Accent1 127" xfId="18495" xr:uid="{00000000-0005-0000-0000-0000EE470000}"/>
    <cellStyle name="Accent1 128" xfId="18496" xr:uid="{00000000-0005-0000-0000-0000EF470000}"/>
    <cellStyle name="Accent1 129" xfId="18497" xr:uid="{00000000-0005-0000-0000-0000F0470000}"/>
    <cellStyle name="Accent1 13" xfId="18498" xr:uid="{00000000-0005-0000-0000-0000F1470000}"/>
    <cellStyle name="Accent1 13 2" xfId="18499" xr:uid="{00000000-0005-0000-0000-0000F2470000}"/>
    <cellStyle name="Accent1 130" xfId="18500" xr:uid="{00000000-0005-0000-0000-0000F3470000}"/>
    <cellStyle name="Accent1 131" xfId="18501" xr:uid="{00000000-0005-0000-0000-0000F4470000}"/>
    <cellStyle name="Accent1 132" xfId="18502" xr:uid="{00000000-0005-0000-0000-0000F5470000}"/>
    <cellStyle name="Accent1 133" xfId="18503" xr:uid="{00000000-0005-0000-0000-0000F6470000}"/>
    <cellStyle name="Accent1 134" xfId="18504" xr:uid="{00000000-0005-0000-0000-0000F7470000}"/>
    <cellStyle name="Accent1 135" xfId="18505" xr:uid="{00000000-0005-0000-0000-0000F8470000}"/>
    <cellStyle name="Accent1 136" xfId="18506" xr:uid="{00000000-0005-0000-0000-0000F9470000}"/>
    <cellStyle name="Accent1 137" xfId="18507" xr:uid="{00000000-0005-0000-0000-0000FA470000}"/>
    <cellStyle name="Accent1 138" xfId="18508" xr:uid="{00000000-0005-0000-0000-0000FB470000}"/>
    <cellStyle name="Accent1 139" xfId="18509" xr:uid="{00000000-0005-0000-0000-0000FC470000}"/>
    <cellStyle name="Accent1 14" xfId="18510" xr:uid="{00000000-0005-0000-0000-0000FD470000}"/>
    <cellStyle name="Accent1 14 2" xfId="18511" xr:uid="{00000000-0005-0000-0000-0000FE470000}"/>
    <cellStyle name="Accent1 140" xfId="18512" xr:uid="{00000000-0005-0000-0000-0000FF470000}"/>
    <cellStyle name="Accent1 141" xfId="18513" xr:uid="{00000000-0005-0000-0000-000000480000}"/>
    <cellStyle name="Accent1 142" xfId="18514" xr:uid="{00000000-0005-0000-0000-000001480000}"/>
    <cellStyle name="Accent1 143" xfId="18515" xr:uid="{00000000-0005-0000-0000-000002480000}"/>
    <cellStyle name="Accent1 144" xfId="18516" xr:uid="{00000000-0005-0000-0000-000003480000}"/>
    <cellStyle name="Accent1 145" xfId="18517" xr:uid="{00000000-0005-0000-0000-000004480000}"/>
    <cellStyle name="Accent1 146" xfId="18518" xr:uid="{00000000-0005-0000-0000-000005480000}"/>
    <cellStyle name="Accent1 147" xfId="18519" xr:uid="{00000000-0005-0000-0000-000006480000}"/>
    <cellStyle name="Accent1 148" xfId="18520" xr:uid="{00000000-0005-0000-0000-000007480000}"/>
    <cellStyle name="Accent1 149" xfId="18521" xr:uid="{00000000-0005-0000-0000-000008480000}"/>
    <cellStyle name="Accent1 15" xfId="18522" xr:uid="{00000000-0005-0000-0000-000009480000}"/>
    <cellStyle name="Accent1 15 2" xfId="18523" xr:uid="{00000000-0005-0000-0000-00000A480000}"/>
    <cellStyle name="Accent1 150" xfId="18524" xr:uid="{00000000-0005-0000-0000-00000B480000}"/>
    <cellStyle name="Accent1 151" xfId="18525" xr:uid="{00000000-0005-0000-0000-00000C480000}"/>
    <cellStyle name="Accent1 152" xfId="18526" xr:uid="{00000000-0005-0000-0000-00000D480000}"/>
    <cellStyle name="Accent1 153" xfId="18527" xr:uid="{00000000-0005-0000-0000-00000E480000}"/>
    <cellStyle name="Accent1 154" xfId="18528" xr:uid="{00000000-0005-0000-0000-00000F480000}"/>
    <cellStyle name="Accent1 155" xfId="18529" xr:uid="{00000000-0005-0000-0000-000010480000}"/>
    <cellStyle name="Accent1 156" xfId="18530" xr:uid="{00000000-0005-0000-0000-000011480000}"/>
    <cellStyle name="Accent1 157" xfId="18531" xr:uid="{00000000-0005-0000-0000-000012480000}"/>
    <cellStyle name="Accent1 158" xfId="18532" xr:uid="{00000000-0005-0000-0000-000013480000}"/>
    <cellStyle name="Accent1 159" xfId="18533" xr:uid="{00000000-0005-0000-0000-000014480000}"/>
    <cellStyle name="Accent1 16" xfId="18534" xr:uid="{00000000-0005-0000-0000-000015480000}"/>
    <cellStyle name="Accent1 160" xfId="18535" xr:uid="{00000000-0005-0000-0000-000016480000}"/>
    <cellStyle name="Accent1 161" xfId="18536" xr:uid="{00000000-0005-0000-0000-000017480000}"/>
    <cellStyle name="Accent1 162" xfId="18537" xr:uid="{00000000-0005-0000-0000-000018480000}"/>
    <cellStyle name="Accent1 163" xfId="18538" xr:uid="{00000000-0005-0000-0000-000019480000}"/>
    <cellStyle name="Accent1 164" xfId="18539" xr:uid="{00000000-0005-0000-0000-00001A480000}"/>
    <cellStyle name="Accent1 165" xfId="18540" xr:uid="{00000000-0005-0000-0000-00001B480000}"/>
    <cellStyle name="Accent1 166" xfId="18541" xr:uid="{00000000-0005-0000-0000-00001C480000}"/>
    <cellStyle name="Accent1 167" xfId="18542" xr:uid="{00000000-0005-0000-0000-00001D480000}"/>
    <cellStyle name="Accent1 17" xfId="18543" xr:uid="{00000000-0005-0000-0000-00001E480000}"/>
    <cellStyle name="Accent1 18" xfId="18544" xr:uid="{00000000-0005-0000-0000-00001F480000}"/>
    <cellStyle name="Accent1 19" xfId="18545" xr:uid="{00000000-0005-0000-0000-000020480000}"/>
    <cellStyle name="Accent1 2" xfId="18546" xr:uid="{00000000-0005-0000-0000-000021480000}"/>
    <cellStyle name="Accent1 2 10" xfId="18547" xr:uid="{00000000-0005-0000-0000-000022480000}"/>
    <cellStyle name="Accent1 2 11" xfId="18548" xr:uid="{00000000-0005-0000-0000-000023480000}"/>
    <cellStyle name="Accent1 2 12" xfId="18549" xr:uid="{00000000-0005-0000-0000-000024480000}"/>
    <cellStyle name="Accent1 2 13" xfId="18550" xr:uid="{00000000-0005-0000-0000-000025480000}"/>
    <cellStyle name="Accent1 2 14" xfId="18551" xr:uid="{00000000-0005-0000-0000-000026480000}"/>
    <cellStyle name="Accent1 2 15" xfId="18552" xr:uid="{00000000-0005-0000-0000-000027480000}"/>
    <cellStyle name="Accent1 2 16" xfId="18553" xr:uid="{00000000-0005-0000-0000-000028480000}"/>
    <cellStyle name="Accent1 2 17" xfId="18554" xr:uid="{00000000-0005-0000-0000-000029480000}"/>
    <cellStyle name="Accent1 2 18" xfId="18555" xr:uid="{00000000-0005-0000-0000-00002A480000}"/>
    <cellStyle name="Accent1 2 19" xfId="18556" xr:uid="{00000000-0005-0000-0000-00002B480000}"/>
    <cellStyle name="Accent1 2 2" xfId="18557" xr:uid="{00000000-0005-0000-0000-00002C480000}"/>
    <cellStyle name="Accent1 2 2 2" xfId="18558" xr:uid="{00000000-0005-0000-0000-00002D480000}"/>
    <cellStyle name="Accent1 2 20" xfId="18559" xr:uid="{00000000-0005-0000-0000-00002E480000}"/>
    <cellStyle name="Accent1 2 21" xfId="18560" xr:uid="{00000000-0005-0000-0000-00002F480000}"/>
    <cellStyle name="Accent1 2 22" xfId="18561" xr:uid="{00000000-0005-0000-0000-000030480000}"/>
    <cellStyle name="Accent1 2 23" xfId="18562" xr:uid="{00000000-0005-0000-0000-000031480000}"/>
    <cellStyle name="Accent1 2 24" xfId="18563" xr:uid="{00000000-0005-0000-0000-000032480000}"/>
    <cellStyle name="Accent1 2 25" xfId="18564" xr:uid="{00000000-0005-0000-0000-000033480000}"/>
    <cellStyle name="Accent1 2 26" xfId="18565" xr:uid="{00000000-0005-0000-0000-000034480000}"/>
    <cellStyle name="Accent1 2 27" xfId="18566" xr:uid="{00000000-0005-0000-0000-000035480000}"/>
    <cellStyle name="Accent1 2 28" xfId="18567" xr:uid="{00000000-0005-0000-0000-000036480000}"/>
    <cellStyle name="Accent1 2 29" xfId="18568" xr:uid="{00000000-0005-0000-0000-000037480000}"/>
    <cellStyle name="Accent1 2 3" xfId="18569" xr:uid="{00000000-0005-0000-0000-000038480000}"/>
    <cellStyle name="Accent1 2 30" xfId="18570" xr:uid="{00000000-0005-0000-0000-000039480000}"/>
    <cellStyle name="Accent1 2 31" xfId="18571" xr:uid="{00000000-0005-0000-0000-00003A480000}"/>
    <cellStyle name="Accent1 2 32" xfId="18572" xr:uid="{00000000-0005-0000-0000-00003B480000}"/>
    <cellStyle name="Accent1 2 33" xfId="18573" xr:uid="{00000000-0005-0000-0000-00003C480000}"/>
    <cellStyle name="Accent1 2 34" xfId="18574" xr:uid="{00000000-0005-0000-0000-00003D480000}"/>
    <cellStyle name="Accent1 2 35" xfId="18575" xr:uid="{00000000-0005-0000-0000-00003E480000}"/>
    <cellStyle name="Accent1 2 4" xfId="18576" xr:uid="{00000000-0005-0000-0000-00003F480000}"/>
    <cellStyle name="Accent1 2 5" xfId="18577" xr:uid="{00000000-0005-0000-0000-000040480000}"/>
    <cellStyle name="Accent1 2 6" xfId="18578" xr:uid="{00000000-0005-0000-0000-000041480000}"/>
    <cellStyle name="Accent1 2 7" xfId="18579" xr:uid="{00000000-0005-0000-0000-000042480000}"/>
    <cellStyle name="Accent1 2 8" xfId="18580" xr:uid="{00000000-0005-0000-0000-000043480000}"/>
    <cellStyle name="Accent1 2 9" xfId="18581" xr:uid="{00000000-0005-0000-0000-000044480000}"/>
    <cellStyle name="Accent1 2_ERDF Losses" xfId="18582" xr:uid="{00000000-0005-0000-0000-000045480000}"/>
    <cellStyle name="Accent1 20" xfId="18583" xr:uid="{00000000-0005-0000-0000-000046480000}"/>
    <cellStyle name="Accent1 20 10" xfId="18584" xr:uid="{00000000-0005-0000-0000-000047480000}"/>
    <cellStyle name="Accent1 20 11" xfId="18585" xr:uid="{00000000-0005-0000-0000-000048480000}"/>
    <cellStyle name="Accent1 20 12" xfId="18586" xr:uid="{00000000-0005-0000-0000-000049480000}"/>
    <cellStyle name="Accent1 20 13" xfId="18587" xr:uid="{00000000-0005-0000-0000-00004A480000}"/>
    <cellStyle name="Accent1 20 14" xfId="18588" xr:uid="{00000000-0005-0000-0000-00004B480000}"/>
    <cellStyle name="Accent1 20 15" xfId="18589" xr:uid="{00000000-0005-0000-0000-00004C480000}"/>
    <cellStyle name="Accent1 20 16" xfId="18590" xr:uid="{00000000-0005-0000-0000-00004D480000}"/>
    <cellStyle name="Accent1 20 2" xfId="18591" xr:uid="{00000000-0005-0000-0000-00004E480000}"/>
    <cellStyle name="Accent1 20 3" xfId="18592" xr:uid="{00000000-0005-0000-0000-00004F480000}"/>
    <cellStyle name="Accent1 20 4" xfId="18593" xr:uid="{00000000-0005-0000-0000-000050480000}"/>
    <cellStyle name="Accent1 20 5" xfId="18594" xr:uid="{00000000-0005-0000-0000-000051480000}"/>
    <cellStyle name="Accent1 20 6" xfId="18595" xr:uid="{00000000-0005-0000-0000-000052480000}"/>
    <cellStyle name="Accent1 20 7" xfId="18596" xr:uid="{00000000-0005-0000-0000-000053480000}"/>
    <cellStyle name="Accent1 20 8" xfId="18597" xr:uid="{00000000-0005-0000-0000-000054480000}"/>
    <cellStyle name="Accent1 20 9" xfId="18598" xr:uid="{00000000-0005-0000-0000-000055480000}"/>
    <cellStyle name="Accent1 21" xfId="18599" xr:uid="{00000000-0005-0000-0000-000056480000}"/>
    <cellStyle name="Accent1 21 2" xfId="18600" xr:uid="{00000000-0005-0000-0000-000057480000}"/>
    <cellStyle name="Accent1 21 3" xfId="18601" xr:uid="{00000000-0005-0000-0000-000058480000}"/>
    <cellStyle name="Accent1 22" xfId="18602" xr:uid="{00000000-0005-0000-0000-000059480000}"/>
    <cellStyle name="Accent1 23" xfId="18603" xr:uid="{00000000-0005-0000-0000-00005A480000}"/>
    <cellStyle name="Accent1 24" xfId="18604" xr:uid="{00000000-0005-0000-0000-00005B480000}"/>
    <cellStyle name="Accent1 25" xfId="18605" xr:uid="{00000000-0005-0000-0000-00005C480000}"/>
    <cellStyle name="Accent1 26" xfId="18606" xr:uid="{00000000-0005-0000-0000-00005D480000}"/>
    <cellStyle name="Accent1 27" xfId="18607" xr:uid="{00000000-0005-0000-0000-00005E480000}"/>
    <cellStyle name="Accent1 28" xfId="18608" xr:uid="{00000000-0005-0000-0000-00005F480000}"/>
    <cellStyle name="Accent1 29" xfId="18609" xr:uid="{00000000-0005-0000-0000-000060480000}"/>
    <cellStyle name="Accent1 3" xfId="18610" xr:uid="{00000000-0005-0000-0000-000061480000}"/>
    <cellStyle name="Accent1 3 10" xfId="18611" xr:uid="{00000000-0005-0000-0000-000062480000}"/>
    <cellStyle name="Accent1 3 10 10" xfId="18612" xr:uid="{00000000-0005-0000-0000-000063480000}"/>
    <cellStyle name="Accent1 3 10 11" xfId="18613" xr:uid="{00000000-0005-0000-0000-000064480000}"/>
    <cellStyle name="Accent1 3 10 12" xfId="18614" xr:uid="{00000000-0005-0000-0000-000065480000}"/>
    <cellStyle name="Accent1 3 10 13" xfId="18615" xr:uid="{00000000-0005-0000-0000-000066480000}"/>
    <cellStyle name="Accent1 3 10 14" xfId="18616" xr:uid="{00000000-0005-0000-0000-000067480000}"/>
    <cellStyle name="Accent1 3 10 15" xfId="18617" xr:uid="{00000000-0005-0000-0000-000068480000}"/>
    <cellStyle name="Accent1 3 10 2" xfId="18618" xr:uid="{00000000-0005-0000-0000-000069480000}"/>
    <cellStyle name="Accent1 3 10 3" xfId="18619" xr:uid="{00000000-0005-0000-0000-00006A480000}"/>
    <cellStyle name="Accent1 3 10 4" xfId="18620" xr:uid="{00000000-0005-0000-0000-00006B480000}"/>
    <cellStyle name="Accent1 3 10 5" xfId="18621" xr:uid="{00000000-0005-0000-0000-00006C480000}"/>
    <cellStyle name="Accent1 3 10 6" xfId="18622" xr:uid="{00000000-0005-0000-0000-00006D480000}"/>
    <cellStyle name="Accent1 3 10 7" xfId="18623" xr:uid="{00000000-0005-0000-0000-00006E480000}"/>
    <cellStyle name="Accent1 3 10 8" xfId="18624" xr:uid="{00000000-0005-0000-0000-00006F480000}"/>
    <cellStyle name="Accent1 3 10 9" xfId="18625" xr:uid="{00000000-0005-0000-0000-000070480000}"/>
    <cellStyle name="Accent1 3 11" xfId="18626" xr:uid="{00000000-0005-0000-0000-000071480000}"/>
    <cellStyle name="Accent1 3 11 10" xfId="18627" xr:uid="{00000000-0005-0000-0000-000072480000}"/>
    <cellStyle name="Accent1 3 11 11" xfId="18628" xr:uid="{00000000-0005-0000-0000-000073480000}"/>
    <cellStyle name="Accent1 3 11 12" xfId="18629" xr:uid="{00000000-0005-0000-0000-000074480000}"/>
    <cellStyle name="Accent1 3 11 13" xfId="18630" xr:uid="{00000000-0005-0000-0000-000075480000}"/>
    <cellStyle name="Accent1 3 11 14" xfId="18631" xr:uid="{00000000-0005-0000-0000-000076480000}"/>
    <cellStyle name="Accent1 3 11 15" xfId="18632" xr:uid="{00000000-0005-0000-0000-000077480000}"/>
    <cellStyle name="Accent1 3 11 2" xfId="18633" xr:uid="{00000000-0005-0000-0000-000078480000}"/>
    <cellStyle name="Accent1 3 11 3" xfId="18634" xr:uid="{00000000-0005-0000-0000-000079480000}"/>
    <cellStyle name="Accent1 3 11 4" xfId="18635" xr:uid="{00000000-0005-0000-0000-00007A480000}"/>
    <cellStyle name="Accent1 3 11 5" xfId="18636" xr:uid="{00000000-0005-0000-0000-00007B480000}"/>
    <cellStyle name="Accent1 3 11 6" xfId="18637" xr:uid="{00000000-0005-0000-0000-00007C480000}"/>
    <cellStyle name="Accent1 3 11 7" xfId="18638" xr:uid="{00000000-0005-0000-0000-00007D480000}"/>
    <cellStyle name="Accent1 3 11 8" xfId="18639" xr:uid="{00000000-0005-0000-0000-00007E480000}"/>
    <cellStyle name="Accent1 3 11 9" xfId="18640" xr:uid="{00000000-0005-0000-0000-00007F480000}"/>
    <cellStyle name="Accent1 3 12" xfId="18641" xr:uid="{00000000-0005-0000-0000-000080480000}"/>
    <cellStyle name="Accent1 3 12 10" xfId="18642" xr:uid="{00000000-0005-0000-0000-000081480000}"/>
    <cellStyle name="Accent1 3 12 11" xfId="18643" xr:uid="{00000000-0005-0000-0000-000082480000}"/>
    <cellStyle name="Accent1 3 12 12" xfId="18644" xr:uid="{00000000-0005-0000-0000-000083480000}"/>
    <cellStyle name="Accent1 3 12 13" xfId="18645" xr:uid="{00000000-0005-0000-0000-000084480000}"/>
    <cellStyle name="Accent1 3 12 14" xfId="18646" xr:uid="{00000000-0005-0000-0000-000085480000}"/>
    <cellStyle name="Accent1 3 12 15" xfId="18647" xr:uid="{00000000-0005-0000-0000-000086480000}"/>
    <cellStyle name="Accent1 3 12 2" xfId="18648" xr:uid="{00000000-0005-0000-0000-000087480000}"/>
    <cellStyle name="Accent1 3 12 3" xfId="18649" xr:uid="{00000000-0005-0000-0000-000088480000}"/>
    <cellStyle name="Accent1 3 12 4" xfId="18650" xr:uid="{00000000-0005-0000-0000-000089480000}"/>
    <cellStyle name="Accent1 3 12 5" xfId="18651" xr:uid="{00000000-0005-0000-0000-00008A480000}"/>
    <cellStyle name="Accent1 3 12 6" xfId="18652" xr:uid="{00000000-0005-0000-0000-00008B480000}"/>
    <cellStyle name="Accent1 3 12 7" xfId="18653" xr:uid="{00000000-0005-0000-0000-00008C480000}"/>
    <cellStyle name="Accent1 3 12 8" xfId="18654" xr:uid="{00000000-0005-0000-0000-00008D480000}"/>
    <cellStyle name="Accent1 3 12 9" xfId="18655" xr:uid="{00000000-0005-0000-0000-00008E480000}"/>
    <cellStyle name="Accent1 3 13" xfId="18656" xr:uid="{00000000-0005-0000-0000-00008F480000}"/>
    <cellStyle name="Accent1 3 13 10" xfId="18657" xr:uid="{00000000-0005-0000-0000-000090480000}"/>
    <cellStyle name="Accent1 3 13 11" xfId="18658" xr:uid="{00000000-0005-0000-0000-000091480000}"/>
    <cellStyle name="Accent1 3 13 12" xfId="18659" xr:uid="{00000000-0005-0000-0000-000092480000}"/>
    <cellStyle name="Accent1 3 13 13" xfId="18660" xr:uid="{00000000-0005-0000-0000-000093480000}"/>
    <cellStyle name="Accent1 3 13 14" xfId="18661" xr:uid="{00000000-0005-0000-0000-000094480000}"/>
    <cellStyle name="Accent1 3 13 15" xfId="18662" xr:uid="{00000000-0005-0000-0000-000095480000}"/>
    <cellStyle name="Accent1 3 13 2" xfId="18663" xr:uid="{00000000-0005-0000-0000-000096480000}"/>
    <cellStyle name="Accent1 3 13 3" xfId="18664" xr:uid="{00000000-0005-0000-0000-000097480000}"/>
    <cellStyle name="Accent1 3 13 4" xfId="18665" xr:uid="{00000000-0005-0000-0000-000098480000}"/>
    <cellStyle name="Accent1 3 13 5" xfId="18666" xr:uid="{00000000-0005-0000-0000-000099480000}"/>
    <cellStyle name="Accent1 3 13 6" xfId="18667" xr:uid="{00000000-0005-0000-0000-00009A480000}"/>
    <cellStyle name="Accent1 3 13 7" xfId="18668" xr:uid="{00000000-0005-0000-0000-00009B480000}"/>
    <cellStyle name="Accent1 3 13 8" xfId="18669" xr:uid="{00000000-0005-0000-0000-00009C480000}"/>
    <cellStyle name="Accent1 3 13 9" xfId="18670" xr:uid="{00000000-0005-0000-0000-00009D480000}"/>
    <cellStyle name="Accent1 3 14" xfId="18671" xr:uid="{00000000-0005-0000-0000-00009E480000}"/>
    <cellStyle name="Accent1 3 14 10" xfId="18672" xr:uid="{00000000-0005-0000-0000-00009F480000}"/>
    <cellStyle name="Accent1 3 14 11" xfId="18673" xr:uid="{00000000-0005-0000-0000-0000A0480000}"/>
    <cellStyle name="Accent1 3 14 12" xfId="18674" xr:uid="{00000000-0005-0000-0000-0000A1480000}"/>
    <cellStyle name="Accent1 3 14 13" xfId="18675" xr:uid="{00000000-0005-0000-0000-0000A2480000}"/>
    <cellStyle name="Accent1 3 14 14" xfId="18676" xr:uid="{00000000-0005-0000-0000-0000A3480000}"/>
    <cellStyle name="Accent1 3 14 15" xfId="18677" xr:uid="{00000000-0005-0000-0000-0000A4480000}"/>
    <cellStyle name="Accent1 3 14 2" xfId="18678" xr:uid="{00000000-0005-0000-0000-0000A5480000}"/>
    <cellStyle name="Accent1 3 14 3" xfId="18679" xr:uid="{00000000-0005-0000-0000-0000A6480000}"/>
    <cellStyle name="Accent1 3 14 4" xfId="18680" xr:uid="{00000000-0005-0000-0000-0000A7480000}"/>
    <cellStyle name="Accent1 3 14 5" xfId="18681" xr:uid="{00000000-0005-0000-0000-0000A8480000}"/>
    <cellStyle name="Accent1 3 14 6" xfId="18682" xr:uid="{00000000-0005-0000-0000-0000A9480000}"/>
    <cellStyle name="Accent1 3 14 7" xfId="18683" xr:uid="{00000000-0005-0000-0000-0000AA480000}"/>
    <cellStyle name="Accent1 3 14 8" xfId="18684" xr:uid="{00000000-0005-0000-0000-0000AB480000}"/>
    <cellStyle name="Accent1 3 14 9" xfId="18685" xr:uid="{00000000-0005-0000-0000-0000AC480000}"/>
    <cellStyle name="Accent1 3 15" xfId="18686" xr:uid="{00000000-0005-0000-0000-0000AD480000}"/>
    <cellStyle name="Accent1 3 15 10" xfId="18687" xr:uid="{00000000-0005-0000-0000-0000AE480000}"/>
    <cellStyle name="Accent1 3 15 11" xfId="18688" xr:uid="{00000000-0005-0000-0000-0000AF480000}"/>
    <cellStyle name="Accent1 3 15 12" xfId="18689" xr:uid="{00000000-0005-0000-0000-0000B0480000}"/>
    <cellStyle name="Accent1 3 15 13" xfId="18690" xr:uid="{00000000-0005-0000-0000-0000B1480000}"/>
    <cellStyle name="Accent1 3 15 14" xfId="18691" xr:uid="{00000000-0005-0000-0000-0000B2480000}"/>
    <cellStyle name="Accent1 3 15 15" xfId="18692" xr:uid="{00000000-0005-0000-0000-0000B3480000}"/>
    <cellStyle name="Accent1 3 15 2" xfId="18693" xr:uid="{00000000-0005-0000-0000-0000B4480000}"/>
    <cellStyle name="Accent1 3 15 3" xfId="18694" xr:uid="{00000000-0005-0000-0000-0000B5480000}"/>
    <cellStyle name="Accent1 3 15 4" xfId="18695" xr:uid="{00000000-0005-0000-0000-0000B6480000}"/>
    <cellStyle name="Accent1 3 15 5" xfId="18696" xr:uid="{00000000-0005-0000-0000-0000B7480000}"/>
    <cellStyle name="Accent1 3 15 6" xfId="18697" xr:uid="{00000000-0005-0000-0000-0000B8480000}"/>
    <cellStyle name="Accent1 3 15 7" xfId="18698" xr:uid="{00000000-0005-0000-0000-0000B9480000}"/>
    <cellStyle name="Accent1 3 15 8" xfId="18699" xr:uid="{00000000-0005-0000-0000-0000BA480000}"/>
    <cellStyle name="Accent1 3 15 9" xfId="18700" xr:uid="{00000000-0005-0000-0000-0000BB480000}"/>
    <cellStyle name="Accent1 3 16" xfId="18701" xr:uid="{00000000-0005-0000-0000-0000BC480000}"/>
    <cellStyle name="Accent1 3 16 10" xfId="18702" xr:uid="{00000000-0005-0000-0000-0000BD480000}"/>
    <cellStyle name="Accent1 3 16 11" xfId="18703" xr:uid="{00000000-0005-0000-0000-0000BE480000}"/>
    <cellStyle name="Accent1 3 16 12" xfId="18704" xr:uid="{00000000-0005-0000-0000-0000BF480000}"/>
    <cellStyle name="Accent1 3 16 13" xfId="18705" xr:uid="{00000000-0005-0000-0000-0000C0480000}"/>
    <cellStyle name="Accent1 3 16 14" xfId="18706" xr:uid="{00000000-0005-0000-0000-0000C1480000}"/>
    <cellStyle name="Accent1 3 16 15" xfId="18707" xr:uid="{00000000-0005-0000-0000-0000C2480000}"/>
    <cellStyle name="Accent1 3 16 2" xfId="18708" xr:uid="{00000000-0005-0000-0000-0000C3480000}"/>
    <cellStyle name="Accent1 3 16 3" xfId="18709" xr:uid="{00000000-0005-0000-0000-0000C4480000}"/>
    <cellStyle name="Accent1 3 16 4" xfId="18710" xr:uid="{00000000-0005-0000-0000-0000C5480000}"/>
    <cellStyle name="Accent1 3 16 5" xfId="18711" xr:uid="{00000000-0005-0000-0000-0000C6480000}"/>
    <cellStyle name="Accent1 3 16 6" xfId="18712" xr:uid="{00000000-0005-0000-0000-0000C7480000}"/>
    <cellStyle name="Accent1 3 16 7" xfId="18713" xr:uid="{00000000-0005-0000-0000-0000C8480000}"/>
    <cellStyle name="Accent1 3 16 8" xfId="18714" xr:uid="{00000000-0005-0000-0000-0000C9480000}"/>
    <cellStyle name="Accent1 3 16 9" xfId="18715" xr:uid="{00000000-0005-0000-0000-0000CA480000}"/>
    <cellStyle name="Accent1 3 17" xfId="18716" xr:uid="{00000000-0005-0000-0000-0000CB480000}"/>
    <cellStyle name="Accent1 3 17 10" xfId="18717" xr:uid="{00000000-0005-0000-0000-0000CC480000}"/>
    <cellStyle name="Accent1 3 17 11" xfId="18718" xr:uid="{00000000-0005-0000-0000-0000CD480000}"/>
    <cellStyle name="Accent1 3 17 12" xfId="18719" xr:uid="{00000000-0005-0000-0000-0000CE480000}"/>
    <cellStyle name="Accent1 3 17 13" xfId="18720" xr:uid="{00000000-0005-0000-0000-0000CF480000}"/>
    <cellStyle name="Accent1 3 17 14" xfId="18721" xr:uid="{00000000-0005-0000-0000-0000D0480000}"/>
    <cellStyle name="Accent1 3 17 15" xfId="18722" xr:uid="{00000000-0005-0000-0000-0000D1480000}"/>
    <cellStyle name="Accent1 3 17 2" xfId="18723" xr:uid="{00000000-0005-0000-0000-0000D2480000}"/>
    <cellStyle name="Accent1 3 17 3" xfId="18724" xr:uid="{00000000-0005-0000-0000-0000D3480000}"/>
    <cellStyle name="Accent1 3 17 4" xfId="18725" xr:uid="{00000000-0005-0000-0000-0000D4480000}"/>
    <cellStyle name="Accent1 3 17 5" xfId="18726" xr:uid="{00000000-0005-0000-0000-0000D5480000}"/>
    <cellStyle name="Accent1 3 17 6" xfId="18727" xr:uid="{00000000-0005-0000-0000-0000D6480000}"/>
    <cellStyle name="Accent1 3 17 7" xfId="18728" xr:uid="{00000000-0005-0000-0000-0000D7480000}"/>
    <cellStyle name="Accent1 3 17 8" xfId="18729" xr:uid="{00000000-0005-0000-0000-0000D8480000}"/>
    <cellStyle name="Accent1 3 17 9" xfId="18730" xr:uid="{00000000-0005-0000-0000-0000D9480000}"/>
    <cellStyle name="Accent1 3 18" xfId="18731" xr:uid="{00000000-0005-0000-0000-0000DA480000}"/>
    <cellStyle name="Accent1 3 18 10" xfId="18732" xr:uid="{00000000-0005-0000-0000-0000DB480000}"/>
    <cellStyle name="Accent1 3 18 11" xfId="18733" xr:uid="{00000000-0005-0000-0000-0000DC480000}"/>
    <cellStyle name="Accent1 3 18 12" xfId="18734" xr:uid="{00000000-0005-0000-0000-0000DD480000}"/>
    <cellStyle name="Accent1 3 18 13" xfId="18735" xr:uid="{00000000-0005-0000-0000-0000DE480000}"/>
    <cellStyle name="Accent1 3 18 14" xfId="18736" xr:uid="{00000000-0005-0000-0000-0000DF480000}"/>
    <cellStyle name="Accent1 3 18 15" xfId="18737" xr:uid="{00000000-0005-0000-0000-0000E0480000}"/>
    <cellStyle name="Accent1 3 18 2" xfId="18738" xr:uid="{00000000-0005-0000-0000-0000E1480000}"/>
    <cellStyle name="Accent1 3 18 3" xfId="18739" xr:uid="{00000000-0005-0000-0000-0000E2480000}"/>
    <cellStyle name="Accent1 3 18 4" xfId="18740" xr:uid="{00000000-0005-0000-0000-0000E3480000}"/>
    <cellStyle name="Accent1 3 18 5" xfId="18741" xr:uid="{00000000-0005-0000-0000-0000E4480000}"/>
    <cellStyle name="Accent1 3 18 6" xfId="18742" xr:uid="{00000000-0005-0000-0000-0000E5480000}"/>
    <cellStyle name="Accent1 3 18 7" xfId="18743" xr:uid="{00000000-0005-0000-0000-0000E6480000}"/>
    <cellStyle name="Accent1 3 18 8" xfId="18744" xr:uid="{00000000-0005-0000-0000-0000E7480000}"/>
    <cellStyle name="Accent1 3 18 9" xfId="18745" xr:uid="{00000000-0005-0000-0000-0000E8480000}"/>
    <cellStyle name="Accent1 3 19" xfId="18746" xr:uid="{00000000-0005-0000-0000-0000E9480000}"/>
    <cellStyle name="Accent1 3 19 10" xfId="18747" xr:uid="{00000000-0005-0000-0000-0000EA480000}"/>
    <cellStyle name="Accent1 3 19 11" xfId="18748" xr:uid="{00000000-0005-0000-0000-0000EB480000}"/>
    <cellStyle name="Accent1 3 19 12" xfId="18749" xr:uid="{00000000-0005-0000-0000-0000EC480000}"/>
    <cellStyle name="Accent1 3 19 13" xfId="18750" xr:uid="{00000000-0005-0000-0000-0000ED480000}"/>
    <cellStyle name="Accent1 3 19 14" xfId="18751" xr:uid="{00000000-0005-0000-0000-0000EE480000}"/>
    <cellStyle name="Accent1 3 19 15" xfId="18752" xr:uid="{00000000-0005-0000-0000-0000EF480000}"/>
    <cellStyle name="Accent1 3 19 2" xfId="18753" xr:uid="{00000000-0005-0000-0000-0000F0480000}"/>
    <cellStyle name="Accent1 3 19 3" xfId="18754" xr:uid="{00000000-0005-0000-0000-0000F1480000}"/>
    <cellStyle name="Accent1 3 19 4" xfId="18755" xr:uid="{00000000-0005-0000-0000-0000F2480000}"/>
    <cellStyle name="Accent1 3 19 5" xfId="18756" xr:uid="{00000000-0005-0000-0000-0000F3480000}"/>
    <cellStyle name="Accent1 3 19 6" xfId="18757" xr:uid="{00000000-0005-0000-0000-0000F4480000}"/>
    <cellStyle name="Accent1 3 19 7" xfId="18758" xr:uid="{00000000-0005-0000-0000-0000F5480000}"/>
    <cellStyle name="Accent1 3 19 8" xfId="18759" xr:uid="{00000000-0005-0000-0000-0000F6480000}"/>
    <cellStyle name="Accent1 3 19 9" xfId="18760" xr:uid="{00000000-0005-0000-0000-0000F7480000}"/>
    <cellStyle name="Accent1 3 2" xfId="18761" xr:uid="{00000000-0005-0000-0000-0000F8480000}"/>
    <cellStyle name="Accent1 3 2 10" xfId="18762" xr:uid="{00000000-0005-0000-0000-0000F9480000}"/>
    <cellStyle name="Accent1 3 2 11" xfId="18763" xr:uid="{00000000-0005-0000-0000-0000FA480000}"/>
    <cellStyle name="Accent1 3 2 12" xfId="18764" xr:uid="{00000000-0005-0000-0000-0000FB480000}"/>
    <cellStyle name="Accent1 3 2 13" xfId="18765" xr:uid="{00000000-0005-0000-0000-0000FC480000}"/>
    <cellStyle name="Accent1 3 2 14" xfId="18766" xr:uid="{00000000-0005-0000-0000-0000FD480000}"/>
    <cellStyle name="Accent1 3 2 15" xfId="18767" xr:uid="{00000000-0005-0000-0000-0000FE480000}"/>
    <cellStyle name="Accent1 3 2 16" xfId="18768" xr:uid="{00000000-0005-0000-0000-0000FF480000}"/>
    <cellStyle name="Accent1 3 2 17" xfId="18769" xr:uid="{00000000-0005-0000-0000-000000490000}"/>
    <cellStyle name="Accent1 3 2 18" xfId="18770" xr:uid="{00000000-0005-0000-0000-000001490000}"/>
    <cellStyle name="Accent1 3 2 19" xfId="18771" xr:uid="{00000000-0005-0000-0000-000002490000}"/>
    <cellStyle name="Accent1 3 2 2" xfId="18772" xr:uid="{00000000-0005-0000-0000-000003490000}"/>
    <cellStyle name="Accent1 3 2 20" xfId="18773" xr:uid="{00000000-0005-0000-0000-000004490000}"/>
    <cellStyle name="Accent1 3 2 21" xfId="18774" xr:uid="{00000000-0005-0000-0000-000005490000}"/>
    <cellStyle name="Accent1 3 2 22" xfId="18775" xr:uid="{00000000-0005-0000-0000-000006490000}"/>
    <cellStyle name="Accent1 3 2 23" xfId="18776" xr:uid="{00000000-0005-0000-0000-000007490000}"/>
    <cellStyle name="Accent1 3 2 24" xfId="18777" xr:uid="{00000000-0005-0000-0000-000008490000}"/>
    <cellStyle name="Accent1 3 2 25" xfId="18778" xr:uid="{00000000-0005-0000-0000-000009490000}"/>
    <cellStyle name="Accent1 3 2 26" xfId="18779" xr:uid="{00000000-0005-0000-0000-00000A490000}"/>
    <cellStyle name="Accent1 3 2 27" xfId="18780" xr:uid="{00000000-0005-0000-0000-00000B490000}"/>
    <cellStyle name="Accent1 3 2 28" xfId="18781" xr:uid="{00000000-0005-0000-0000-00000C490000}"/>
    <cellStyle name="Accent1 3 2 29" xfId="18782" xr:uid="{00000000-0005-0000-0000-00000D490000}"/>
    <cellStyle name="Accent1 3 2 3" xfId="18783" xr:uid="{00000000-0005-0000-0000-00000E490000}"/>
    <cellStyle name="Accent1 3 2 30" xfId="18784" xr:uid="{00000000-0005-0000-0000-00000F490000}"/>
    <cellStyle name="Accent1 3 2 31" xfId="18785" xr:uid="{00000000-0005-0000-0000-000010490000}"/>
    <cellStyle name="Accent1 3 2 32" xfId="18786" xr:uid="{00000000-0005-0000-0000-000011490000}"/>
    <cellStyle name="Accent1 3 2 33" xfId="18787" xr:uid="{00000000-0005-0000-0000-000012490000}"/>
    <cellStyle name="Accent1 3 2 34" xfId="18788" xr:uid="{00000000-0005-0000-0000-000013490000}"/>
    <cellStyle name="Accent1 3 2 35" xfId="18789" xr:uid="{00000000-0005-0000-0000-000014490000}"/>
    <cellStyle name="Accent1 3 2 36" xfId="18790" xr:uid="{00000000-0005-0000-0000-000015490000}"/>
    <cellStyle name="Accent1 3 2 37" xfId="18791" xr:uid="{00000000-0005-0000-0000-000016490000}"/>
    <cellStyle name="Accent1 3 2 38" xfId="18792" xr:uid="{00000000-0005-0000-0000-000017490000}"/>
    <cellStyle name="Accent1 3 2 39" xfId="18793" xr:uid="{00000000-0005-0000-0000-000018490000}"/>
    <cellStyle name="Accent1 3 2 4" xfId="18794" xr:uid="{00000000-0005-0000-0000-000019490000}"/>
    <cellStyle name="Accent1 3 2 40" xfId="18795" xr:uid="{00000000-0005-0000-0000-00001A490000}"/>
    <cellStyle name="Accent1 3 2 41" xfId="18796" xr:uid="{00000000-0005-0000-0000-00001B490000}"/>
    <cellStyle name="Accent1 3 2 42" xfId="18797" xr:uid="{00000000-0005-0000-0000-00001C490000}"/>
    <cellStyle name="Accent1 3 2 43" xfId="18798" xr:uid="{00000000-0005-0000-0000-00001D490000}"/>
    <cellStyle name="Accent1 3 2 44" xfId="18799" xr:uid="{00000000-0005-0000-0000-00001E490000}"/>
    <cellStyle name="Accent1 3 2 45" xfId="18800" xr:uid="{00000000-0005-0000-0000-00001F490000}"/>
    <cellStyle name="Accent1 3 2 46" xfId="18801" xr:uid="{00000000-0005-0000-0000-000020490000}"/>
    <cellStyle name="Accent1 3 2 47" xfId="18802" xr:uid="{00000000-0005-0000-0000-000021490000}"/>
    <cellStyle name="Accent1 3 2 48" xfId="18803" xr:uid="{00000000-0005-0000-0000-000022490000}"/>
    <cellStyle name="Accent1 3 2 49" xfId="18804" xr:uid="{00000000-0005-0000-0000-000023490000}"/>
    <cellStyle name="Accent1 3 2 5" xfId="18805" xr:uid="{00000000-0005-0000-0000-000024490000}"/>
    <cellStyle name="Accent1 3 2 50" xfId="18806" xr:uid="{00000000-0005-0000-0000-000025490000}"/>
    <cellStyle name="Accent1 3 2 51" xfId="18807" xr:uid="{00000000-0005-0000-0000-000026490000}"/>
    <cellStyle name="Accent1 3 2 52" xfId="18808" xr:uid="{00000000-0005-0000-0000-000027490000}"/>
    <cellStyle name="Accent1 3 2 53" xfId="18809" xr:uid="{00000000-0005-0000-0000-000028490000}"/>
    <cellStyle name="Accent1 3 2 6" xfId="18810" xr:uid="{00000000-0005-0000-0000-000029490000}"/>
    <cellStyle name="Accent1 3 2 7" xfId="18811" xr:uid="{00000000-0005-0000-0000-00002A490000}"/>
    <cellStyle name="Accent1 3 2 8" xfId="18812" xr:uid="{00000000-0005-0000-0000-00002B490000}"/>
    <cellStyle name="Accent1 3 2 9" xfId="18813" xr:uid="{00000000-0005-0000-0000-00002C490000}"/>
    <cellStyle name="Accent1 3 20" xfId="18814" xr:uid="{00000000-0005-0000-0000-00002D490000}"/>
    <cellStyle name="Accent1 3 20 10" xfId="18815" xr:uid="{00000000-0005-0000-0000-00002E490000}"/>
    <cellStyle name="Accent1 3 20 11" xfId="18816" xr:uid="{00000000-0005-0000-0000-00002F490000}"/>
    <cellStyle name="Accent1 3 20 12" xfId="18817" xr:uid="{00000000-0005-0000-0000-000030490000}"/>
    <cellStyle name="Accent1 3 20 13" xfId="18818" xr:uid="{00000000-0005-0000-0000-000031490000}"/>
    <cellStyle name="Accent1 3 20 14" xfId="18819" xr:uid="{00000000-0005-0000-0000-000032490000}"/>
    <cellStyle name="Accent1 3 20 15" xfId="18820" xr:uid="{00000000-0005-0000-0000-000033490000}"/>
    <cellStyle name="Accent1 3 20 2" xfId="18821" xr:uid="{00000000-0005-0000-0000-000034490000}"/>
    <cellStyle name="Accent1 3 20 3" xfId="18822" xr:uid="{00000000-0005-0000-0000-000035490000}"/>
    <cellStyle name="Accent1 3 20 4" xfId="18823" xr:uid="{00000000-0005-0000-0000-000036490000}"/>
    <cellStyle name="Accent1 3 20 5" xfId="18824" xr:uid="{00000000-0005-0000-0000-000037490000}"/>
    <cellStyle name="Accent1 3 20 6" xfId="18825" xr:uid="{00000000-0005-0000-0000-000038490000}"/>
    <cellStyle name="Accent1 3 20 7" xfId="18826" xr:uid="{00000000-0005-0000-0000-000039490000}"/>
    <cellStyle name="Accent1 3 20 8" xfId="18827" xr:uid="{00000000-0005-0000-0000-00003A490000}"/>
    <cellStyle name="Accent1 3 20 9" xfId="18828" xr:uid="{00000000-0005-0000-0000-00003B490000}"/>
    <cellStyle name="Accent1 3 21" xfId="18829" xr:uid="{00000000-0005-0000-0000-00003C490000}"/>
    <cellStyle name="Accent1 3 21 10" xfId="18830" xr:uid="{00000000-0005-0000-0000-00003D490000}"/>
    <cellStyle name="Accent1 3 21 11" xfId="18831" xr:uid="{00000000-0005-0000-0000-00003E490000}"/>
    <cellStyle name="Accent1 3 21 12" xfId="18832" xr:uid="{00000000-0005-0000-0000-00003F490000}"/>
    <cellStyle name="Accent1 3 21 13" xfId="18833" xr:uid="{00000000-0005-0000-0000-000040490000}"/>
    <cellStyle name="Accent1 3 21 14" xfId="18834" xr:uid="{00000000-0005-0000-0000-000041490000}"/>
    <cellStyle name="Accent1 3 21 15" xfId="18835" xr:uid="{00000000-0005-0000-0000-000042490000}"/>
    <cellStyle name="Accent1 3 21 2" xfId="18836" xr:uid="{00000000-0005-0000-0000-000043490000}"/>
    <cellStyle name="Accent1 3 21 3" xfId="18837" xr:uid="{00000000-0005-0000-0000-000044490000}"/>
    <cellStyle name="Accent1 3 21 4" xfId="18838" xr:uid="{00000000-0005-0000-0000-000045490000}"/>
    <cellStyle name="Accent1 3 21 5" xfId="18839" xr:uid="{00000000-0005-0000-0000-000046490000}"/>
    <cellStyle name="Accent1 3 21 6" xfId="18840" xr:uid="{00000000-0005-0000-0000-000047490000}"/>
    <cellStyle name="Accent1 3 21 7" xfId="18841" xr:uid="{00000000-0005-0000-0000-000048490000}"/>
    <cellStyle name="Accent1 3 21 8" xfId="18842" xr:uid="{00000000-0005-0000-0000-000049490000}"/>
    <cellStyle name="Accent1 3 21 9" xfId="18843" xr:uid="{00000000-0005-0000-0000-00004A490000}"/>
    <cellStyle name="Accent1 3 22" xfId="18844" xr:uid="{00000000-0005-0000-0000-00004B490000}"/>
    <cellStyle name="Accent1 3 22 10" xfId="18845" xr:uid="{00000000-0005-0000-0000-00004C490000}"/>
    <cellStyle name="Accent1 3 22 11" xfId="18846" xr:uid="{00000000-0005-0000-0000-00004D490000}"/>
    <cellStyle name="Accent1 3 22 12" xfId="18847" xr:uid="{00000000-0005-0000-0000-00004E490000}"/>
    <cellStyle name="Accent1 3 22 13" xfId="18848" xr:uid="{00000000-0005-0000-0000-00004F490000}"/>
    <cellStyle name="Accent1 3 22 14" xfId="18849" xr:uid="{00000000-0005-0000-0000-000050490000}"/>
    <cellStyle name="Accent1 3 22 15" xfId="18850" xr:uid="{00000000-0005-0000-0000-000051490000}"/>
    <cellStyle name="Accent1 3 22 2" xfId="18851" xr:uid="{00000000-0005-0000-0000-000052490000}"/>
    <cellStyle name="Accent1 3 22 3" xfId="18852" xr:uid="{00000000-0005-0000-0000-000053490000}"/>
    <cellStyle name="Accent1 3 22 4" xfId="18853" xr:uid="{00000000-0005-0000-0000-000054490000}"/>
    <cellStyle name="Accent1 3 22 5" xfId="18854" xr:uid="{00000000-0005-0000-0000-000055490000}"/>
    <cellStyle name="Accent1 3 22 6" xfId="18855" xr:uid="{00000000-0005-0000-0000-000056490000}"/>
    <cellStyle name="Accent1 3 22 7" xfId="18856" xr:uid="{00000000-0005-0000-0000-000057490000}"/>
    <cellStyle name="Accent1 3 22 8" xfId="18857" xr:uid="{00000000-0005-0000-0000-000058490000}"/>
    <cellStyle name="Accent1 3 22 9" xfId="18858" xr:uid="{00000000-0005-0000-0000-000059490000}"/>
    <cellStyle name="Accent1 3 23" xfId="18859" xr:uid="{00000000-0005-0000-0000-00005A490000}"/>
    <cellStyle name="Accent1 3 23 10" xfId="18860" xr:uid="{00000000-0005-0000-0000-00005B490000}"/>
    <cellStyle name="Accent1 3 23 11" xfId="18861" xr:uid="{00000000-0005-0000-0000-00005C490000}"/>
    <cellStyle name="Accent1 3 23 12" xfId="18862" xr:uid="{00000000-0005-0000-0000-00005D490000}"/>
    <cellStyle name="Accent1 3 23 13" xfId="18863" xr:uid="{00000000-0005-0000-0000-00005E490000}"/>
    <cellStyle name="Accent1 3 23 14" xfId="18864" xr:uid="{00000000-0005-0000-0000-00005F490000}"/>
    <cellStyle name="Accent1 3 23 15" xfId="18865" xr:uid="{00000000-0005-0000-0000-000060490000}"/>
    <cellStyle name="Accent1 3 23 2" xfId="18866" xr:uid="{00000000-0005-0000-0000-000061490000}"/>
    <cellStyle name="Accent1 3 23 3" xfId="18867" xr:uid="{00000000-0005-0000-0000-000062490000}"/>
    <cellStyle name="Accent1 3 23 4" xfId="18868" xr:uid="{00000000-0005-0000-0000-000063490000}"/>
    <cellStyle name="Accent1 3 23 5" xfId="18869" xr:uid="{00000000-0005-0000-0000-000064490000}"/>
    <cellStyle name="Accent1 3 23 6" xfId="18870" xr:uid="{00000000-0005-0000-0000-000065490000}"/>
    <cellStyle name="Accent1 3 23 7" xfId="18871" xr:uid="{00000000-0005-0000-0000-000066490000}"/>
    <cellStyle name="Accent1 3 23 8" xfId="18872" xr:uid="{00000000-0005-0000-0000-000067490000}"/>
    <cellStyle name="Accent1 3 23 9" xfId="18873" xr:uid="{00000000-0005-0000-0000-000068490000}"/>
    <cellStyle name="Accent1 3 24" xfId="18874" xr:uid="{00000000-0005-0000-0000-000069490000}"/>
    <cellStyle name="Accent1 3 24 10" xfId="18875" xr:uid="{00000000-0005-0000-0000-00006A490000}"/>
    <cellStyle name="Accent1 3 24 11" xfId="18876" xr:uid="{00000000-0005-0000-0000-00006B490000}"/>
    <cellStyle name="Accent1 3 24 12" xfId="18877" xr:uid="{00000000-0005-0000-0000-00006C490000}"/>
    <cellStyle name="Accent1 3 24 13" xfId="18878" xr:uid="{00000000-0005-0000-0000-00006D490000}"/>
    <cellStyle name="Accent1 3 24 14" xfId="18879" xr:uid="{00000000-0005-0000-0000-00006E490000}"/>
    <cellStyle name="Accent1 3 24 15" xfId="18880" xr:uid="{00000000-0005-0000-0000-00006F490000}"/>
    <cellStyle name="Accent1 3 24 2" xfId="18881" xr:uid="{00000000-0005-0000-0000-000070490000}"/>
    <cellStyle name="Accent1 3 24 3" xfId="18882" xr:uid="{00000000-0005-0000-0000-000071490000}"/>
    <cellStyle name="Accent1 3 24 4" xfId="18883" xr:uid="{00000000-0005-0000-0000-000072490000}"/>
    <cellStyle name="Accent1 3 24 5" xfId="18884" xr:uid="{00000000-0005-0000-0000-000073490000}"/>
    <cellStyle name="Accent1 3 24 6" xfId="18885" xr:uid="{00000000-0005-0000-0000-000074490000}"/>
    <cellStyle name="Accent1 3 24 7" xfId="18886" xr:uid="{00000000-0005-0000-0000-000075490000}"/>
    <cellStyle name="Accent1 3 24 8" xfId="18887" xr:uid="{00000000-0005-0000-0000-000076490000}"/>
    <cellStyle name="Accent1 3 24 9" xfId="18888" xr:uid="{00000000-0005-0000-0000-000077490000}"/>
    <cellStyle name="Accent1 3 25" xfId="18889" xr:uid="{00000000-0005-0000-0000-000078490000}"/>
    <cellStyle name="Accent1 3 25 10" xfId="18890" xr:uid="{00000000-0005-0000-0000-000079490000}"/>
    <cellStyle name="Accent1 3 25 11" xfId="18891" xr:uid="{00000000-0005-0000-0000-00007A490000}"/>
    <cellStyle name="Accent1 3 25 12" xfId="18892" xr:uid="{00000000-0005-0000-0000-00007B490000}"/>
    <cellStyle name="Accent1 3 25 13" xfId="18893" xr:uid="{00000000-0005-0000-0000-00007C490000}"/>
    <cellStyle name="Accent1 3 25 14" xfId="18894" xr:uid="{00000000-0005-0000-0000-00007D490000}"/>
    <cellStyle name="Accent1 3 25 15" xfId="18895" xr:uid="{00000000-0005-0000-0000-00007E490000}"/>
    <cellStyle name="Accent1 3 25 2" xfId="18896" xr:uid="{00000000-0005-0000-0000-00007F490000}"/>
    <cellStyle name="Accent1 3 25 3" xfId="18897" xr:uid="{00000000-0005-0000-0000-000080490000}"/>
    <cellStyle name="Accent1 3 25 4" xfId="18898" xr:uid="{00000000-0005-0000-0000-000081490000}"/>
    <cellStyle name="Accent1 3 25 5" xfId="18899" xr:uid="{00000000-0005-0000-0000-000082490000}"/>
    <cellStyle name="Accent1 3 25 6" xfId="18900" xr:uid="{00000000-0005-0000-0000-000083490000}"/>
    <cellStyle name="Accent1 3 25 7" xfId="18901" xr:uid="{00000000-0005-0000-0000-000084490000}"/>
    <cellStyle name="Accent1 3 25 8" xfId="18902" xr:uid="{00000000-0005-0000-0000-000085490000}"/>
    <cellStyle name="Accent1 3 25 9" xfId="18903" xr:uid="{00000000-0005-0000-0000-000086490000}"/>
    <cellStyle name="Accent1 3 26" xfId="18904" xr:uid="{00000000-0005-0000-0000-000087490000}"/>
    <cellStyle name="Accent1 3 26 10" xfId="18905" xr:uid="{00000000-0005-0000-0000-000088490000}"/>
    <cellStyle name="Accent1 3 26 11" xfId="18906" xr:uid="{00000000-0005-0000-0000-000089490000}"/>
    <cellStyle name="Accent1 3 26 12" xfId="18907" xr:uid="{00000000-0005-0000-0000-00008A490000}"/>
    <cellStyle name="Accent1 3 26 13" xfId="18908" xr:uid="{00000000-0005-0000-0000-00008B490000}"/>
    <cellStyle name="Accent1 3 26 14" xfId="18909" xr:uid="{00000000-0005-0000-0000-00008C490000}"/>
    <cellStyle name="Accent1 3 26 15" xfId="18910" xr:uid="{00000000-0005-0000-0000-00008D490000}"/>
    <cellStyle name="Accent1 3 26 2" xfId="18911" xr:uid="{00000000-0005-0000-0000-00008E490000}"/>
    <cellStyle name="Accent1 3 26 3" xfId="18912" xr:uid="{00000000-0005-0000-0000-00008F490000}"/>
    <cellStyle name="Accent1 3 26 4" xfId="18913" xr:uid="{00000000-0005-0000-0000-000090490000}"/>
    <cellStyle name="Accent1 3 26 5" xfId="18914" xr:uid="{00000000-0005-0000-0000-000091490000}"/>
    <cellStyle name="Accent1 3 26 6" xfId="18915" xr:uid="{00000000-0005-0000-0000-000092490000}"/>
    <cellStyle name="Accent1 3 26 7" xfId="18916" xr:uid="{00000000-0005-0000-0000-000093490000}"/>
    <cellStyle name="Accent1 3 26 8" xfId="18917" xr:uid="{00000000-0005-0000-0000-000094490000}"/>
    <cellStyle name="Accent1 3 26 9" xfId="18918" xr:uid="{00000000-0005-0000-0000-000095490000}"/>
    <cellStyle name="Accent1 3 27" xfId="18919" xr:uid="{00000000-0005-0000-0000-000096490000}"/>
    <cellStyle name="Accent1 3 27 10" xfId="18920" xr:uid="{00000000-0005-0000-0000-000097490000}"/>
    <cellStyle name="Accent1 3 27 11" xfId="18921" xr:uid="{00000000-0005-0000-0000-000098490000}"/>
    <cellStyle name="Accent1 3 27 12" xfId="18922" xr:uid="{00000000-0005-0000-0000-000099490000}"/>
    <cellStyle name="Accent1 3 27 13" xfId="18923" xr:uid="{00000000-0005-0000-0000-00009A490000}"/>
    <cellStyle name="Accent1 3 27 14" xfId="18924" xr:uid="{00000000-0005-0000-0000-00009B490000}"/>
    <cellStyle name="Accent1 3 27 15" xfId="18925" xr:uid="{00000000-0005-0000-0000-00009C490000}"/>
    <cellStyle name="Accent1 3 27 2" xfId="18926" xr:uid="{00000000-0005-0000-0000-00009D490000}"/>
    <cellStyle name="Accent1 3 27 3" xfId="18927" xr:uid="{00000000-0005-0000-0000-00009E490000}"/>
    <cellStyle name="Accent1 3 27 4" xfId="18928" xr:uid="{00000000-0005-0000-0000-00009F490000}"/>
    <cellStyle name="Accent1 3 27 5" xfId="18929" xr:uid="{00000000-0005-0000-0000-0000A0490000}"/>
    <cellStyle name="Accent1 3 27 6" xfId="18930" xr:uid="{00000000-0005-0000-0000-0000A1490000}"/>
    <cellStyle name="Accent1 3 27 7" xfId="18931" xr:uid="{00000000-0005-0000-0000-0000A2490000}"/>
    <cellStyle name="Accent1 3 27 8" xfId="18932" xr:uid="{00000000-0005-0000-0000-0000A3490000}"/>
    <cellStyle name="Accent1 3 27 9" xfId="18933" xr:uid="{00000000-0005-0000-0000-0000A4490000}"/>
    <cellStyle name="Accent1 3 28" xfId="18934" xr:uid="{00000000-0005-0000-0000-0000A5490000}"/>
    <cellStyle name="Accent1 3 28 10" xfId="18935" xr:uid="{00000000-0005-0000-0000-0000A6490000}"/>
    <cellStyle name="Accent1 3 28 11" xfId="18936" xr:uid="{00000000-0005-0000-0000-0000A7490000}"/>
    <cellStyle name="Accent1 3 28 12" xfId="18937" xr:uid="{00000000-0005-0000-0000-0000A8490000}"/>
    <cellStyle name="Accent1 3 28 13" xfId="18938" xr:uid="{00000000-0005-0000-0000-0000A9490000}"/>
    <cellStyle name="Accent1 3 28 14" xfId="18939" xr:uid="{00000000-0005-0000-0000-0000AA490000}"/>
    <cellStyle name="Accent1 3 28 15" xfId="18940" xr:uid="{00000000-0005-0000-0000-0000AB490000}"/>
    <cellStyle name="Accent1 3 28 2" xfId="18941" xr:uid="{00000000-0005-0000-0000-0000AC490000}"/>
    <cellStyle name="Accent1 3 28 3" xfId="18942" xr:uid="{00000000-0005-0000-0000-0000AD490000}"/>
    <cellStyle name="Accent1 3 28 4" xfId="18943" xr:uid="{00000000-0005-0000-0000-0000AE490000}"/>
    <cellStyle name="Accent1 3 28 5" xfId="18944" xr:uid="{00000000-0005-0000-0000-0000AF490000}"/>
    <cellStyle name="Accent1 3 28 6" xfId="18945" xr:uid="{00000000-0005-0000-0000-0000B0490000}"/>
    <cellStyle name="Accent1 3 28 7" xfId="18946" xr:uid="{00000000-0005-0000-0000-0000B1490000}"/>
    <cellStyle name="Accent1 3 28 8" xfId="18947" xr:uid="{00000000-0005-0000-0000-0000B2490000}"/>
    <cellStyle name="Accent1 3 28 9" xfId="18948" xr:uid="{00000000-0005-0000-0000-0000B3490000}"/>
    <cellStyle name="Accent1 3 29" xfId="18949" xr:uid="{00000000-0005-0000-0000-0000B4490000}"/>
    <cellStyle name="Accent1 3 29 10" xfId="18950" xr:uid="{00000000-0005-0000-0000-0000B5490000}"/>
    <cellStyle name="Accent1 3 29 11" xfId="18951" xr:uid="{00000000-0005-0000-0000-0000B6490000}"/>
    <cellStyle name="Accent1 3 29 12" xfId="18952" xr:uid="{00000000-0005-0000-0000-0000B7490000}"/>
    <cellStyle name="Accent1 3 29 13" xfId="18953" xr:uid="{00000000-0005-0000-0000-0000B8490000}"/>
    <cellStyle name="Accent1 3 29 14" xfId="18954" xr:uid="{00000000-0005-0000-0000-0000B9490000}"/>
    <cellStyle name="Accent1 3 29 15" xfId="18955" xr:uid="{00000000-0005-0000-0000-0000BA490000}"/>
    <cellStyle name="Accent1 3 29 2" xfId="18956" xr:uid="{00000000-0005-0000-0000-0000BB490000}"/>
    <cellStyle name="Accent1 3 29 3" xfId="18957" xr:uid="{00000000-0005-0000-0000-0000BC490000}"/>
    <cellStyle name="Accent1 3 29 4" xfId="18958" xr:uid="{00000000-0005-0000-0000-0000BD490000}"/>
    <cellStyle name="Accent1 3 29 5" xfId="18959" xr:uid="{00000000-0005-0000-0000-0000BE490000}"/>
    <cellStyle name="Accent1 3 29 6" xfId="18960" xr:uid="{00000000-0005-0000-0000-0000BF490000}"/>
    <cellStyle name="Accent1 3 29 7" xfId="18961" xr:uid="{00000000-0005-0000-0000-0000C0490000}"/>
    <cellStyle name="Accent1 3 29 8" xfId="18962" xr:uid="{00000000-0005-0000-0000-0000C1490000}"/>
    <cellStyle name="Accent1 3 29 9" xfId="18963" xr:uid="{00000000-0005-0000-0000-0000C2490000}"/>
    <cellStyle name="Accent1 3 3" xfId="18964" xr:uid="{00000000-0005-0000-0000-0000C3490000}"/>
    <cellStyle name="Accent1 3 3 10" xfId="18965" xr:uid="{00000000-0005-0000-0000-0000C4490000}"/>
    <cellStyle name="Accent1 3 3 11" xfId="18966" xr:uid="{00000000-0005-0000-0000-0000C5490000}"/>
    <cellStyle name="Accent1 3 3 12" xfId="18967" xr:uid="{00000000-0005-0000-0000-0000C6490000}"/>
    <cellStyle name="Accent1 3 3 13" xfId="18968" xr:uid="{00000000-0005-0000-0000-0000C7490000}"/>
    <cellStyle name="Accent1 3 3 14" xfId="18969" xr:uid="{00000000-0005-0000-0000-0000C8490000}"/>
    <cellStyle name="Accent1 3 3 15" xfId="18970" xr:uid="{00000000-0005-0000-0000-0000C9490000}"/>
    <cellStyle name="Accent1 3 3 16" xfId="18971" xr:uid="{00000000-0005-0000-0000-0000CA490000}"/>
    <cellStyle name="Accent1 3 3 2" xfId="18972" xr:uid="{00000000-0005-0000-0000-0000CB490000}"/>
    <cellStyle name="Accent1 3 3 3" xfId="18973" xr:uid="{00000000-0005-0000-0000-0000CC490000}"/>
    <cellStyle name="Accent1 3 3 4" xfId="18974" xr:uid="{00000000-0005-0000-0000-0000CD490000}"/>
    <cellStyle name="Accent1 3 3 5" xfId="18975" xr:uid="{00000000-0005-0000-0000-0000CE490000}"/>
    <cellStyle name="Accent1 3 3 6" xfId="18976" xr:uid="{00000000-0005-0000-0000-0000CF490000}"/>
    <cellStyle name="Accent1 3 3 7" xfId="18977" xr:uid="{00000000-0005-0000-0000-0000D0490000}"/>
    <cellStyle name="Accent1 3 3 8" xfId="18978" xr:uid="{00000000-0005-0000-0000-0000D1490000}"/>
    <cellStyle name="Accent1 3 3 9" xfId="18979" xr:uid="{00000000-0005-0000-0000-0000D2490000}"/>
    <cellStyle name="Accent1 3 30" xfId="18980" xr:uid="{00000000-0005-0000-0000-0000D3490000}"/>
    <cellStyle name="Accent1 3 30 10" xfId="18981" xr:uid="{00000000-0005-0000-0000-0000D4490000}"/>
    <cellStyle name="Accent1 3 30 11" xfId="18982" xr:uid="{00000000-0005-0000-0000-0000D5490000}"/>
    <cellStyle name="Accent1 3 30 12" xfId="18983" xr:uid="{00000000-0005-0000-0000-0000D6490000}"/>
    <cellStyle name="Accent1 3 30 13" xfId="18984" xr:uid="{00000000-0005-0000-0000-0000D7490000}"/>
    <cellStyle name="Accent1 3 30 14" xfId="18985" xr:uid="{00000000-0005-0000-0000-0000D8490000}"/>
    <cellStyle name="Accent1 3 30 15" xfId="18986" xr:uid="{00000000-0005-0000-0000-0000D9490000}"/>
    <cellStyle name="Accent1 3 30 2" xfId="18987" xr:uid="{00000000-0005-0000-0000-0000DA490000}"/>
    <cellStyle name="Accent1 3 30 3" xfId="18988" xr:uid="{00000000-0005-0000-0000-0000DB490000}"/>
    <cellStyle name="Accent1 3 30 4" xfId="18989" xr:uid="{00000000-0005-0000-0000-0000DC490000}"/>
    <cellStyle name="Accent1 3 30 5" xfId="18990" xr:uid="{00000000-0005-0000-0000-0000DD490000}"/>
    <cellStyle name="Accent1 3 30 6" xfId="18991" xr:uid="{00000000-0005-0000-0000-0000DE490000}"/>
    <cellStyle name="Accent1 3 30 7" xfId="18992" xr:uid="{00000000-0005-0000-0000-0000DF490000}"/>
    <cellStyle name="Accent1 3 30 8" xfId="18993" xr:uid="{00000000-0005-0000-0000-0000E0490000}"/>
    <cellStyle name="Accent1 3 30 9" xfId="18994" xr:uid="{00000000-0005-0000-0000-0000E1490000}"/>
    <cellStyle name="Accent1 3 31" xfId="18995" xr:uid="{00000000-0005-0000-0000-0000E2490000}"/>
    <cellStyle name="Accent1 3 31 10" xfId="18996" xr:uid="{00000000-0005-0000-0000-0000E3490000}"/>
    <cellStyle name="Accent1 3 31 11" xfId="18997" xr:uid="{00000000-0005-0000-0000-0000E4490000}"/>
    <cellStyle name="Accent1 3 31 12" xfId="18998" xr:uid="{00000000-0005-0000-0000-0000E5490000}"/>
    <cellStyle name="Accent1 3 31 13" xfId="18999" xr:uid="{00000000-0005-0000-0000-0000E6490000}"/>
    <cellStyle name="Accent1 3 31 14" xfId="19000" xr:uid="{00000000-0005-0000-0000-0000E7490000}"/>
    <cellStyle name="Accent1 3 31 15" xfId="19001" xr:uid="{00000000-0005-0000-0000-0000E8490000}"/>
    <cellStyle name="Accent1 3 31 2" xfId="19002" xr:uid="{00000000-0005-0000-0000-0000E9490000}"/>
    <cellStyle name="Accent1 3 31 3" xfId="19003" xr:uid="{00000000-0005-0000-0000-0000EA490000}"/>
    <cellStyle name="Accent1 3 31 4" xfId="19004" xr:uid="{00000000-0005-0000-0000-0000EB490000}"/>
    <cellStyle name="Accent1 3 31 5" xfId="19005" xr:uid="{00000000-0005-0000-0000-0000EC490000}"/>
    <cellStyle name="Accent1 3 31 6" xfId="19006" xr:uid="{00000000-0005-0000-0000-0000ED490000}"/>
    <cellStyle name="Accent1 3 31 7" xfId="19007" xr:uid="{00000000-0005-0000-0000-0000EE490000}"/>
    <cellStyle name="Accent1 3 31 8" xfId="19008" xr:uid="{00000000-0005-0000-0000-0000EF490000}"/>
    <cellStyle name="Accent1 3 31 9" xfId="19009" xr:uid="{00000000-0005-0000-0000-0000F0490000}"/>
    <cellStyle name="Accent1 3 32" xfId="19010" xr:uid="{00000000-0005-0000-0000-0000F1490000}"/>
    <cellStyle name="Accent1 3 32 10" xfId="19011" xr:uid="{00000000-0005-0000-0000-0000F2490000}"/>
    <cellStyle name="Accent1 3 32 11" xfId="19012" xr:uid="{00000000-0005-0000-0000-0000F3490000}"/>
    <cellStyle name="Accent1 3 32 12" xfId="19013" xr:uid="{00000000-0005-0000-0000-0000F4490000}"/>
    <cellStyle name="Accent1 3 32 13" xfId="19014" xr:uid="{00000000-0005-0000-0000-0000F5490000}"/>
    <cellStyle name="Accent1 3 32 14" xfId="19015" xr:uid="{00000000-0005-0000-0000-0000F6490000}"/>
    <cellStyle name="Accent1 3 32 15" xfId="19016" xr:uid="{00000000-0005-0000-0000-0000F7490000}"/>
    <cellStyle name="Accent1 3 32 2" xfId="19017" xr:uid="{00000000-0005-0000-0000-0000F8490000}"/>
    <cellStyle name="Accent1 3 32 3" xfId="19018" xr:uid="{00000000-0005-0000-0000-0000F9490000}"/>
    <cellStyle name="Accent1 3 32 4" xfId="19019" xr:uid="{00000000-0005-0000-0000-0000FA490000}"/>
    <cellStyle name="Accent1 3 32 5" xfId="19020" xr:uid="{00000000-0005-0000-0000-0000FB490000}"/>
    <cellStyle name="Accent1 3 32 6" xfId="19021" xr:uid="{00000000-0005-0000-0000-0000FC490000}"/>
    <cellStyle name="Accent1 3 32 7" xfId="19022" xr:uid="{00000000-0005-0000-0000-0000FD490000}"/>
    <cellStyle name="Accent1 3 32 8" xfId="19023" xr:uid="{00000000-0005-0000-0000-0000FE490000}"/>
    <cellStyle name="Accent1 3 32 9" xfId="19024" xr:uid="{00000000-0005-0000-0000-0000FF490000}"/>
    <cellStyle name="Accent1 3 33" xfId="19025" xr:uid="{00000000-0005-0000-0000-0000004A0000}"/>
    <cellStyle name="Accent1 3 34" xfId="19026" xr:uid="{00000000-0005-0000-0000-0000014A0000}"/>
    <cellStyle name="Accent1 3 35" xfId="19027" xr:uid="{00000000-0005-0000-0000-0000024A0000}"/>
    <cellStyle name="Accent1 3 36" xfId="19028" xr:uid="{00000000-0005-0000-0000-0000034A0000}"/>
    <cellStyle name="Accent1 3 37" xfId="19029" xr:uid="{00000000-0005-0000-0000-0000044A0000}"/>
    <cellStyle name="Accent1 3 38" xfId="19030" xr:uid="{00000000-0005-0000-0000-0000054A0000}"/>
    <cellStyle name="Accent1 3 39" xfId="19031" xr:uid="{00000000-0005-0000-0000-0000064A0000}"/>
    <cellStyle name="Accent1 3 4" xfId="19032" xr:uid="{00000000-0005-0000-0000-0000074A0000}"/>
    <cellStyle name="Accent1 3 4 10" xfId="19033" xr:uid="{00000000-0005-0000-0000-0000084A0000}"/>
    <cellStyle name="Accent1 3 4 11" xfId="19034" xr:uid="{00000000-0005-0000-0000-0000094A0000}"/>
    <cellStyle name="Accent1 3 4 12" xfId="19035" xr:uid="{00000000-0005-0000-0000-00000A4A0000}"/>
    <cellStyle name="Accent1 3 4 13" xfId="19036" xr:uid="{00000000-0005-0000-0000-00000B4A0000}"/>
    <cellStyle name="Accent1 3 4 14" xfId="19037" xr:uid="{00000000-0005-0000-0000-00000C4A0000}"/>
    <cellStyle name="Accent1 3 4 15" xfId="19038" xr:uid="{00000000-0005-0000-0000-00000D4A0000}"/>
    <cellStyle name="Accent1 3 4 2" xfId="19039" xr:uid="{00000000-0005-0000-0000-00000E4A0000}"/>
    <cellStyle name="Accent1 3 4 3" xfId="19040" xr:uid="{00000000-0005-0000-0000-00000F4A0000}"/>
    <cellStyle name="Accent1 3 4 4" xfId="19041" xr:uid="{00000000-0005-0000-0000-0000104A0000}"/>
    <cellStyle name="Accent1 3 4 5" xfId="19042" xr:uid="{00000000-0005-0000-0000-0000114A0000}"/>
    <cellStyle name="Accent1 3 4 6" xfId="19043" xr:uid="{00000000-0005-0000-0000-0000124A0000}"/>
    <cellStyle name="Accent1 3 4 7" xfId="19044" xr:uid="{00000000-0005-0000-0000-0000134A0000}"/>
    <cellStyle name="Accent1 3 4 8" xfId="19045" xr:uid="{00000000-0005-0000-0000-0000144A0000}"/>
    <cellStyle name="Accent1 3 4 9" xfId="19046" xr:uid="{00000000-0005-0000-0000-0000154A0000}"/>
    <cellStyle name="Accent1 3 40" xfId="19047" xr:uid="{00000000-0005-0000-0000-0000164A0000}"/>
    <cellStyle name="Accent1 3 41" xfId="19048" xr:uid="{00000000-0005-0000-0000-0000174A0000}"/>
    <cellStyle name="Accent1 3 42" xfId="19049" xr:uid="{00000000-0005-0000-0000-0000184A0000}"/>
    <cellStyle name="Accent1 3 43" xfId="19050" xr:uid="{00000000-0005-0000-0000-0000194A0000}"/>
    <cellStyle name="Accent1 3 44" xfId="19051" xr:uid="{00000000-0005-0000-0000-00001A4A0000}"/>
    <cellStyle name="Accent1 3 45" xfId="19052" xr:uid="{00000000-0005-0000-0000-00001B4A0000}"/>
    <cellStyle name="Accent1 3 46" xfId="19053" xr:uid="{00000000-0005-0000-0000-00001C4A0000}"/>
    <cellStyle name="Accent1 3 47" xfId="19054" xr:uid="{00000000-0005-0000-0000-00001D4A0000}"/>
    <cellStyle name="Accent1 3 48" xfId="19055" xr:uid="{00000000-0005-0000-0000-00001E4A0000}"/>
    <cellStyle name="Accent1 3 49" xfId="19056" xr:uid="{00000000-0005-0000-0000-00001F4A0000}"/>
    <cellStyle name="Accent1 3 5" xfId="19057" xr:uid="{00000000-0005-0000-0000-0000204A0000}"/>
    <cellStyle name="Accent1 3 5 10" xfId="19058" xr:uid="{00000000-0005-0000-0000-0000214A0000}"/>
    <cellStyle name="Accent1 3 5 11" xfId="19059" xr:uid="{00000000-0005-0000-0000-0000224A0000}"/>
    <cellStyle name="Accent1 3 5 12" xfId="19060" xr:uid="{00000000-0005-0000-0000-0000234A0000}"/>
    <cellStyle name="Accent1 3 5 13" xfId="19061" xr:uid="{00000000-0005-0000-0000-0000244A0000}"/>
    <cellStyle name="Accent1 3 5 14" xfId="19062" xr:uid="{00000000-0005-0000-0000-0000254A0000}"/>
    <cellStyle name="Accent1 3 5 15" xfId="19063" xr:uid="{00000000-0005-0000-0000-0000264A0000}"/>
    <cellStyle name="Accent1 3 5 2" xfId="19064" xr:uid="{00000000-0005-0000-0000-0000274A0000}"/>
    <cellStyle name="Accent1 3 5 3" xfId="19065" xr:uid="{00000000-0005-0000-0000-0000284A0000}"/>
    <cellStyle name="Accent1 3 5 4" xfId="19066" xr:uid="{00000000-0005-0000-0000-0000294A0000}"/>
    <cellStyle name="Accent1 3 5 5" xfId="19067" xr:uid="{00000000-0005-0000-0000-00002A4A0000}"/>
    <cellStyle name="Accent1 3 5 6" xfId="19068" xr:uid="{00000000-0005-0000-0000-00002B4A0000}"/>
    <cellStyle name="Accent1 3 5 7" xfId="19069" xr:uid="{00000000-0005-0000-0000-00002C4A0000}"/>
    <cellStyle name="Accent1 3 5 8" xfId="19070" xr:uid="{00000000-0005-0000-0000-00002D4A0000}"/>
    <cellStyle name="Accent1 3 5 9" xfId="19071" xr:uid="{00000000-0005-0000-0000-00002E4A0000}"/>
    <cellStyle name="Accent1 3 50" xfId="19072" xr:uid="{00000000-0005-0000-0000-00002F4A0000}"/>
    <cellStyle name="Accent1 3 51" xfId="19073" xr:uid="{00000000-0005-0000-0000-0000304A0000}"/>
    <cellStyle name="Accent1 3 52" xfId="19074" xr:uid="{00000000-0005-0000-0000-0000314A0000}"/>
    <cellStyle name="Accent1 3 53" xfId="19075" xr:uid="{00000000-0005-0000-0000-0000324A0000}"/>
    <cellStyle name="Accent1 3 6" xfId="19076" xr:uid="{00000000-0005-0000-0000-0000334A0000}"/>
    <cellStyle name="Accent1 3 6 10" xfId="19077" xr:uid="{00000000-0005-0000-0000-0000344A0000}"/>
    <cellStyle name="Accent1 3 6 11" xfId="19078" xr:uid="{00000000-0005-0000-0000-0000354A0000}"/>
    <cellStyle name="Accent1 3 6 12" xfId="19079" xr:uid="{00000000-0005-0000-0000-0000364A0000}"/>
    <cellStyle name="Accent1 3 6 13" xfId="19080" xr:uid="{00000000-0005-0000-0000-0000374A0000}"/>
    <cellStyle name="Accent1 3 6 14" xfId="19081" xr:uid="{00000000-0005-0000-0000-0000384A0000}"/>
    <cellStyle name="Accent1 3 6 15" xfId="19082" xr:uid="{00000000-0005-0000-0000-0000394A0000}"/>
    <cellStyle name="Accent1 3 6 2" xfId="19083" xr:uid="{00000000-0005-0000-0000-00003A4A0000}"/>
    <cellStyle name="Accent1 3 6 3" xfId="19084" xr:uid="{00000000-0005-0000-0000-00003B4A0000}"/>
    <cellStyle name="Accent1 3 6 4" xfId="19085" xr:uid="{00000000-0005-0000-0000-00003C4A0000}"/>
    <cellStyle name="Accent1 3 6 5" xfId="19086" xr:uid="{00000000-0005-0000-0000-00003D4A0000}"/>
    <cellStyle name="Accent1 3 6 6" xfId="19087" xr:uid="{00000000-0005-0000-0000-00003E4A0000}"/>
    <cellStyle name="Accent1 3 6 7" xfId="19088" xr:uid="{00000000-0005-0000-0000-00003F4A0000}"/>
    <cellStyle name="Accent1 3 6 8" xfId="19089" xr:uid="{00000000-0005-0000-0000-0000404A0000}"/>
    <cellStyle name="Accent1 3 6 9" xfId="19090" xr:uid="{00000000-0005-0000-0000-0000414A0000}"/>
    <cellStyle name="Accent1 3 7" xfId="19091" xr:uid="{00000000-0005-0000-0000-0000424A0000}"/>
    <cellStyle name="Accent1 3 7 10" xfId="19092" xr:uid="{00000000-0005-0000-0000-0000434A0000}"/>
    <cellStyle name="Accent1 3 7 11" xfId="19093" xr:uid="{00000000-0005-0000-0000-0000444A0000}"/>
    <cellStyle name="Accent1 3 7 12" xfId="19094" xr:uid="{00000000-0005-0000-0000-0000454A0000}"/>
    <cellStyle name="Accent1 3 7 13" xfId="19095" xr:uid="{00000000-0005-0000-0000-0000464A0000}"/>
    <cellStyle name="Accent1 3 7 14" xfId="19096" xr:uid="{00000000-0005-0000-0000-0000474A0000}"/>
    <cellStyle name="Accent1 3 7 15" xfId="19097" xr:uid="{00000000-0005-0000-0000-0000484A0000}"/>
    <cellStyle name="Accent1 3 7 2" xfId="19098" xr:uid="{00000000-0005-0000-0000-0000494A0000}"/>
    <cellStyle name="Accent1 3 7 3" xfId="19099" xr:uid="{00000000-0005-0000-0000-00004A4A0000}"/>
    <cellStyle name="Accent1 3 7 4" xfId="19100" xr:uid="{00000000-0005-0000-0000-00004B4A0000}"/>
    <cellStyle name="Accent1 3 7 5" xfId="19101" xr:uid="{00000000-0005-0000-0000-00004C4A0000}"/>
    <cellStyle name="Accent1 3 7 6" xfId="19102" xr:uid="{00000000-0005-0000-0000-00004D4A0000}"/>
    <cellStyle name="Accent1 3 7 7" xfId="19103" xr:uid="{00000000-0005-0000-0000-00004E4A0000}"/>
    <cellStyle name="Accent1 3 7 8" xfId="19104" xr:uid="{00000000-0005-0000-0000-00004F4A0000}"/>
    <cellStyle name="Accent1 3 7 9" xfId="19105" xr:uid="{00000000-0005-0000-0000-0000504A0000}"/>
    <cellStyle name="Accent1 3 8" xfId="19106" xr:uid="{00000000-0005-0000-0000-0000514A0000}"/>
    <cellStyle name="Accent1 3 8 10" xfId="19107" xr:uid="{00000000-0005-0000-0000-0000524A0000}"/>
    <cellStyle name="Accent1 3 8 11" xfId="19108" xr:uid="{00000000-0005-0000-0000-0000534A0000}"/>
    <cellStyle name="Accent1 3 8 12" xfId="19109" xr:uid="{00000000-0005-0000-0000-0000544A0000}"/>
    <cellStyle name="Accent1 3 8 13" xfId="19110" xr:uid="{00000000-0005-0000-0000-0000554A0000}"/>
    <cellStyle name="Accent1 3 8 14" xfId="19111" xr:uid="{00000000-0005-0000-0000-0000564A0000}"/>
    <cellStyle name="Accent1 3 8 15" xfId="19112" xr:uid="{00000000-0005-0000-0000-0000574A0000}"/>
    <cellStyle name="Accent1 3 8 2" xfId="19113" xr:uid="{00000000-0005-0000-0000-0000584A0000}"/>
    <cellStyle name="Accent1 3 8 3" xfId="19114" xr:uid="{00000000-0005-0000-0000-0000594A0000}"/>
    <cellStyle name="Accent1 3 8 4" xfId="19115" xr:uid="{00000000-0005-0000-0000-00005A4A0000}"/>
    <cellStyle name="Accent1 3 8 5" xfId="19116" xr:uid="{00000000-0005-0000-0000-00005B4A0000}"/>
    <cellStyle name="Accent1 3 8 6" xfId="19117" xr:uid="{00000000-0005-0000-0000-00005C4A0000}"/>
    <cellStyle name="Accent1 3 8 7" xfId="19118" xr:uid="{00000000-0005-0000-0000-00005D4A0000}"/>
    <cellStyle name="Accent1 3 8 8" xfId="19119" xr:uid="{00000000-0005-0000-0000-00005E4A0000}"/>
    <cellStyle name="Accent1 3 8 9" xfId="19120" xr:uid="{00000000-0005-0000-0000-00005F4A0000}"/>
    <cellStyle name="Accent1 3 9" xfId="19121" xr:uid="{00000000-0005-0000-0000-0000604A0000}"/>
    <cellStyle name="Accent1 3 9 10" xfId="19122" xr:uid="{00000000-0005-0000-0000-0000614A0000}"/>
    <cellStyle name="Accent1 3 9 11" xfId="19123" xr:uid="{00000000-0005-0000-0000-0000624A0000}"/>
    <cellStyle name="Accent1 3 9 12" xfId="19124" xr:uid="{00000000-0005-0000-0000-0000634A0000}"/>
    <cellStyle name="Accent1 3 9 13" xfId="19125" xr:uid="{00000000-0005-0000-0000-0000644A0000}"/>
    <cellStyle name="Accent1 3 9 14" xfId="19126" xr:uid="{00000000-0005-0000-0000-0000654A0000}"/>
    <cellStyle name="Accent1 3 9 15" xfId="19127" xr:uid="{00000000-0005-0000-0000-0000664A0000}"/>
    <cellStyle name="Accent1 3 9 2" xfId="19128" xr:uid="{00000000-0005-0000-0000-0000674A0000}"/>
    <cellStyle name="Accent1 3 9 3" xfId="19129" xr:uid="{00000000-0005-0000-0000-0000684A0000}"/>
    <cellStyle name="Accent1 3 9 4" xfId="19130" xr:uid="{00000000-0005-0000-0000-0000694A0000}"/>
    <cellStyle name="Accent1 3 9 5" xfId="19131" xr:uid="{00000000-0005-0000-0000-00006A4A0000}"/>
    <cellStyle name="Accent1 3 9 6" xfId="19132" xr:uid="{00000000-0005-0000-0000-00006B4A0000}"/>
    <cellStyle name="Accent1 3 9 7" xfId="19133" xr:uid="{00000000-0005-0000-0000-00006C4A0000}"/>
    <cellStyle name="Accent1 3 9 8" xfId="19134" xr:uid="{00000000-0005-0000-0000-00006D4A0000}"/>
    <cellStyle name="Accent1 3 9 9" xfId="19135" xr:uid="{00000000-0005-0000-0000-00006E4A0000}"/>
    <cellStyle name="Accent1 30" xfId="19136" xr:uid="{00000000-0005-0000-0000-00006F4A0000}"/>
    <cellStyle name="Accent1 30 10" xfId="19137" xr:uid="{00000000-0005-0000-0000-0000704A0000}"/>
    <cellStyle name="Accent1 30 11" xfId="19138" xr:uid="{00000000-0005-0000-0000-0000714A0000}"/>
    <cellStyle name="Accent1 30 12" xfId="19139" xr:uid="{00000000-0005-0000-0000-0000724A0000}"/>
    <cellStyle name="Accent1 30 13" xfId="19140" xr:uid="{00000000-0005-0000-0000-0000734A0000}"/>
    <cellStyle name="Accent1 30 14" xfId="19141" xr:uid="{00000000-0005-0000-0000-0000744A0000}"/>
    <cellStyle name="Accent1 30 15" xfId="19142" xr:uid="{00000000-0005-0000-0000-0000754A0000}"/>
    <cellStyle name="Accent1 30 2" xfId="19143" xr:uid="{00000000-0005-0000-0000-0000764A0000}"/>
    <cellStyle name="Accent1 30 3" xfId="19144" xr:uid="{00000000-0005-0000-0000-0000774A0000}"/>
    <cellStyle name="Accent1 30 4" xfId="19145" xr:uid="{00000000-0005-0000-0000-0000784A0000}"/>
    <cellStyle name="Accent1 30 5" xfId="19146" xr:uid="{00000000-0005-0000-0000-0000794A0000}"/>
    <cellStyle name="Accent1 30 6" xfId="19147" xr:uid="{00000000-0005-0000-0000-00007A4A0000}"/>
    <cellStyle name="Accent1 30 7" xfId="19148" xr:uid="{00000000-0005-0000-0000-00007B4A0000}"/>
    <cellStyle name="Accent1 30 8" xfId="19149" xr:uid="{00000000-0005-0000-0000-00007C4A0000}"/>
    <cellStyle name="Accent1 30 9" xfId="19150" xr:uid="{00000000-0005-0000-0000-00007D4A0000}"/>
    <cellStyle name="Accent1 31" xfId="19151" xr:uid="{00000000-0005-0000-0000-00007E4A0000}"/>
    <cellStyle name="Accent1 31 10" xfId="19152" xr:uid="{00000000-0005-0000-0000-00007F4A0000}"/>
    <cellStyle name="Accent1 31 11" xfId="19153" xr:uid="{00000000-0005-0000-0000-0000804A0000}"/>
    <cellStyle name="Accent1 31 12" xfId="19154" xr:uid="{00000000-0005-0000-0000-0000814A0000}"/>
    <cellStyle name="Accent1 31 13" xfId="19155" xr:uid="{00000000-0005-0000-0000-0000824A0000}"/>
    <cellStyle name="Accent1 31 14" xfId="19156" xr:uid="{00000000-0005-0000-0000-0000834A0000}"/>
    <cellStyle name="Accent1 31 15" xfId="19157" xr:uid="{00000000-0005-0000-0000-0000844A0000}"/>
    <cellStyle name="Accent1 31 2" xfId="19158" xr:uid="{00000000-0005-0000-0000-0000854A0000}"/>
    <cellStyle name="Accent1 31 3" xfId="19159" xr:uid="{00000000-0005-0000-0000-0000864A0000}"/>
    <cellStyle name="Accent1 31 4" xfId="19160" xr:uid="{00000000-0005-0000-0000-0000874A0000}"/>
    <cellStyle name="Accent1 31 5" xfId="19161" xr:uid="{00000000-0005-0000-0000-0000884A0000}"/>
    <cellStyle name="Accent1 31 6" xfId="19162" xr:uid="{00000000-0005-0000-0000-0000894A0000}"/>
    <cellStyle name="Accent1 31 7" xfId="19163" xr:uid="{00000000-0005-0000-0000-00008A4A0000}"/>
    <cellStyle name="Accent1 31 8" xfId="19164" xr:uid="{00000000-0005-0000-0000-00008B4A0000}"/>
    <cellStyle name="Accent1 31 9" xfId="19165" xr:uid="{00000000-0005-0000-0000-00008C4A0000}"/>
    <cellStyle name="Accent1 32" xfId="19166" xr:uid="{00000000-0005-0000-0000-00008D4A0000}"/>
    <cellStyle name="Accent1 32 10" xfId="19167" xr:uid="{00000000-0005-0000-0000-00008E4A0000}"/>
    <cellStyle name="Accent1 32 11" xfId="19168" xr:uid="{00000000-0005-0000-0000-00008F4A0000}"/>
    <cellStyle name="Accent1 32 12" xfId="19169" xr:uid="{00000000-0005-0000-0000-0000904A0000}"/>
    <cellStyle name="Accent1 32 13" xfId="19170" xr:uid="{00000000-0005-0000-0000-0000914A0000}"/>
    <cellStyle name="Accent1 32 14" xfId="19171" xr:uid="{00000000-0005-0000-0000-0000924A0000}"/>
    <cellStyle name="Accent1 32 15" xfId="19172" xr:uid="{00000000-0005-0000-0000-0000934A0000}"/>
    <cellStyle name="Accent1 32 2" xfId="19173" xr:uid="{00000000-0005-0000-0000-0000944A0000}"/>
    <cellStyle name="Accent1 32 3" xfId="19174" xr:uid="{00000000-0005-0000-0000-0000954A0000}"/>
    <cellStyle name="Accent1 32 4" xfId="19175" xr:uid="{00000000-0005-0000-0000-0000964A0000}"/>
    <cellStyle name="Accent1 32 5" xfId="19176" xr:uid="{00000000-0005-0000-0000-0000974A0000}"/>
    <cellStyle name="Accent1 32 6" xfId="19177" xr:uid="{00000000-0005-0000-0000-0000984A0000}"/>
    <cellStyle name="Accent1 32 7" xfId="19178" xr:uid="{00000000-0005-0000-0000-0000994A0000}"/>
    <cellStyle name="Accent1 32 8" xfId="19179" xr:uid="{00000000-0005-0000-0000-00009A4A0000}"/>
    <cellStyle name="Accent1 32 9" xfId="19180" xr:uid="{00000000-0005-0000-0000-00009B4A0000}"/>
    <cellStyle name="Accent1 33" xfId="19181" xr:uid="{00000000-0005-0000-0000-00009C4A0000}"/>
    <cellStyle name="Accent1 33 10" xfId="19182" xr:uid="{00000000-0005-0000-0000-00009D4A0000}"/>
    <cellStyle name="Accent1 33 11" xfId="19183" xr:uid="{00000000-0005-0000-0000-00009E4A0000}"/>
    <cellStyle name="Accent1 33 12" xfId="19184" xr:uid="{00000000-0005-0000-0000-00009F4A0000}"/>
    <cellStyle name="Accent1 33 13" xfId="19185" xr:uid="{00000000-0005-0000-0000-0000A04A0000}"/>
    <cellStyle name="Accent1 33 14" xfId="19186" xr:uid="{00000000-0005-0000-0000-0000A14A0000}"/>
    <cellStyle name="Accent1 33 15" xfId="19187" xr:uid="{00000000-0005-0000-0000-0000A24A0000}"/>
    <cellStyle name="Accent1 33 2" xfId="19188" xr:uid="{00000000-0005-0000-0000-0000A34A0000}"/>
    <cellStyle name="Accent1 33 3" xfId="19189" xr:uid="{00000000-0005-0000-0000-0000A44A0000}"/>
    <cellStyle name="Accent1 33 4" xfId="19190" xr:uid="{00000000-0005-0000-0000-0000A54A0000}"/>
    <cellStyle name="Accent1 33 5" xfId="19191" xr:uid="{00000000-0005-0000-0000-0000A64A0000}"/>
    <cellStyle name="Accent1 33 6" xfId="19192" xr:uid="{00000000-0005-0000-0000-0000A74A0000}"/>
    <cellStyle name="Accent1 33 7" xfId="19193" xr:uid="{00000000-0005-0000-0000-0000A84A0000}"/>
    <cellStyle name="Accent1 33 8" xfId="19194" xr:uid="{00000000-0005-0000-0000-0000A94A0000}"/>
    <cellStyle name="Accent1 33 9" xfId="19195" xr:uid="{00000000-0005-0000-0000-0000AA4A0000}"/>
    <cellStyle name="Accent1 34" xfId="19196" xr:uid="{00000000-0005-0000-0000-0000AB4A0000}"/>
    <cellStyle name="Accent1 34 10" xfId="19197" xr:uid="{00000000-0005-0000-0000-0000AC4A0000}"/>
    <cellStyle name="Accent1 34 11" xfId="19198" xr:uid="{00000000-0005-0000-0000-0000AD4A0000}"/>
    <cellStyle name="Accent1 34 12" xfId="19199" xr:uid="{00000000-0005-0000-0000-0000AE4A0000}"/>
    <cellStyle name="Accent1 34 13" xfId="19200" xr:uid="{00000000-0005-0000-0000-0000AF4A0000}"/>
    <cellStyle name="Accent1 34 14" xfId="19201" xr:uid="{00000000-0005-0000-0000-0000B04A0000}"/>
    <cellStyle name="Accent1 34 15" xfId="19202" xr:uid="{00000000-0005-0000-0000-0000B14A0000}"/>
    <cellStyle name="Accent1 34 2" xfId="19203" xr:uid="{00000000-0005-0000-0000-0000B24A0000}"/>
    <cellStyle name="Accent1 34 3" xfId="19204" xr:uid="{00000000-0005-0000-0000-0000B34A0000}"/>
    <cellStyle name="Accent1 34 4" xfId="19205" xr:uid="{00000000-0005-0000-0000-0000B44A0000}"/>
    <cellStyle name="Accent1 34 5" xfId="19206" xr:uid="{00000000-0005-0000-0000-0000B54A0000}"/>
    <cellStyle name="Accent1 34 6" xfId="19207" xr:uid="{00000000-0005-0000-0000-0000B64A0000}"/>
    <cellStyle name="Accent1 34 7" xfId="19208" xr:uid="{00000000-0005-0000-0000-0000B74A0000}"/>
    <cellStyle name="Accent1 34 8" xfId="19209" xr:uid="{00000000-0005-0000-0000-0000B84A0000}"/>
    <cellStyle name="Accent1 34 9" xfId="19210" xr:uid="{00000000-0005-0000-0000-0000B94A0000}"/>
    <cellStyle name="Accent1 35" xfId="19211" xr:uid="{00000000-0005-0000-0000-0000BA4A0000}"/>
    <cellStyle name="Accent1 35 10" xfId="19212" xr:uid="{00000000-0005-0000-0000-0000BB4A0000}"/>
    <cellStyle name="Accent1 35 11" xfId="19213" xr:uid="{00000000-0005-0000-0000-0000BC4A0000}"/>
    <cellStyle name="Accent1 35 12" xfId="19214" xr:uid="{00000000-0005-0000-0000-0000BD4A0000}"/>
    <cellStyle name="Accent1 35 13" xfId="19215" xr:uid="{00000000-0005-0000-0000-0000BE4A0000}"/>
    <cellStyle name="Accent1 35 14" xfId="19216" xr:uid="{00000000-0005-0000-0000-0000BF4A0000}"/>
    <cellStyle name="Accent1 35 15" xfId="19217" xr:uid="{00000000-0005-0000-0000-0000C04A0000}"/>
    <cellStyle name="Accent1 35 2" xfId="19218" xr:uid="{00000000-0005-0000-0000-0000C14A0000}"/>
    <cellStyle name="Accent1 35 3" xfId="19219" xr:uid="{00000000-0005-0000-0000-0000C24A0000}"/>
    <cellStyle name="Accent1 35 4" xfId="19220" xr:uid="{00000000-0005-0000-0000-0000C34A0000}"/>
    <cellStyle name="Accent1 35 5" xfId="19221" xr:uid="{00000000-0005-0000-0000-0000C44A0000}"/>
    <cellStyle name="Accent1 35 6" xfId="19222" xr:uid="{00000000-0005-0000-0000-0000C54A0000}"/>
    <cellStyle name="Accent1 35 7" xfId="19223" xr:uid="{00000000-0005-0000-0000-0000C64A0000}"/>
    <cellStyle name="Accent1 35 8" xfId="19224" xr:uid="{00000000-0005-0000-0000-0000C74A0000}"/>
    <cellStyle name="Accent1 35 9" xfId="19225" xr:uid="{00000000-0005-0000-0000-0000C84A0000}"/>
    <cellStyle name="Accent1 36" xfId="19226" xr:uid="{00000000-0005-0000-0000-0000C94A0000}"/>
    <cellStyle name="Accent1 36 10" xfId="19227" xr:uid="{00000000-0005-0000-0000-0000CA4A0000}"/>
    <cellStyle name="Accent1 36 11" xfId="19228" xr:uid="{00000000-0005-0000-0000-0000CB4A0000}"/>
    <cellStyle name="Accent1 36 12" xfId="19229" xr:uid="{00000000-0005-0000-0000-0000CC4A0000}"/>
    <cellStyle name="Accent1 36 13" xfId="19230" xr:uid="{00000000-0005-0000-0000-0000CD4A0000}"/>
    <cellStyle name="Accent1 36 14" xfId="19231" xr:uid="{00000000-0005-0000-0000-0000CE4A0000}"/>
    <cellStyle name="Accent1 36 15" xfId="19232" xr:uid="{00000000-0005-0000-0000-0000CF4A0000}"/>
    <cellStyle name="Accent1 36 2" xfId="19233" xr:uid="{00000000-0005-0000-0000-0000D04A0000}"/>
    <cellStyle name="Accent1 36 3" xfId="19234" xr:uid="{00000000-0005-0000-0000-0000D14A0000}"/>
    <cellStyle name="Accent1 36 4" xfId="19235" xr:uid="{00000000-0005-0000-0000-0000D24A0000}"/>
    <cellStyle name="Accent1 36 5" xfId="19236" xr:uid="{00000000-0005-0000-0000-0000D34A0000}"/>
    <cellStyle name="Accent1 36 6" xfId="19237" xr:uid="{00000000-0005-0000-0000-0000D44A0000}"/>
    <cellStyle name="Accent1 36 7" xfId="19238" xr:uid="{00000000-0005-0000-0000-0000D54A0000}"/>
    <cellStyle name="Accent1 36 8" xfId="19239" xr:uid="{00000000-0005-0000-0000-0000D64A0000}"/>
    <cellStyle name="Accent1 36 9" xfId="19240" xr:uid="{00000000-0005-0000-0000-0000D74A0000}"/>
    <cellStyle name="Accent1 37" xfId="19241" xr:uid="{00000000-0005-0000-0000-0000D84A0000}"/>
    <cellStyle name="Accent1 37 10" xfId="19242" xr:uid="{00000000-0005-0000-0000-0000D94A0000}"/>
    <cellStyle name="Accent1 37 11" xfId="19243" xr:uid="{00000000-0005-0000-0000-0000DA4A0000}"/>
    <cellStyle name="Accent1 37 12" xfId="19244" xr:uid="{00000000-0005-0000-0000-0000DB4A0000}"/>
    <cellStyle name="Accent1 37 13" xfId="19245" xr:uid="{00000000-0005-0000-0000-0000DC4A0000}"/>
    <cellStyle name="Accent1 37 14" xfId="19246" xr:uid="{00000000-0005-0000-0000-0000DD4A0000}"/>
    <cellStyle name="Accent1 37 15" xfId="19247" xr:uid="{00000000-0005-0000-0000-0000DE4A0000}"/>
    <cellStyle name="Accent1 37 2" xfId="19248" xr:uid="{00000000-0005-0000-0000-0000DF4A0000}"/>
    <cellStyle name="Accent1 37 3" xfId="19249" xr:uid="{00000000-0005-0000-0000-0000E04A0000}"/>
    <cellStyle name="Accent1 37 4" xfId="19250" xr:uid="{00000000-0005-0000-0000-0000E14A0000}"/>
    <cellStyle name="Accent1 37 5" xfId="19251" xr:uid="{00000000-0005-0000-0000-0000E24A0000}"/>
    <cellStyle name="Accent1 37 6" xfId="19252" xr:uid="{00000000-0005-0000-0000-0000E34A0000}"/>
    <cellStyle name="Accent1 37 7" xfId="19253" xr:uid="{00000000-0005-0000-0000-0000E44A0000}"/>
    <cellStyle name="Accent1 37 8" xfId="19254" xr:uid="{00000000-0005-0000-0000-0000E54A0000}"/>
    <cellStyle name="Accent1 37 9" xfId="19255" xr:uid="{00000000-0005-0000-0000-0000E64A0000}"/>
    <cellStyle name="Accent1 38" xfId="19256" xr:uid="{00000000-0005-0000-0000-0000E74A0000}"/>
    <cellStyle name="Accent1 38 10" xfId="19257" xr:uid="{00000000-0005-0000-0000-0000E84A0000}"/>
    <cellStyle name="Accent1 38 11" xfId="19258" xr:uid="{00000000-0005-0000-0000-0000E94A0000}"/>
    <cellStyle name="Accent1 38 12" xfId="19259" xr:uid="{00000000-0005-0000-0000-0000EA4A0000}"/>
    <cellStyle name="Accent1 38 13" xfId="19260" xr:uid="{00000000-0005-0000-0000-0000EB4A0000}"/>
    <cellStyle name="Accent1 38 14" xfId="19261" xr:uid="{00000000-0005-0000-0000-0000EC4A0000}"/>
    <cellStyle name="Accent1 38 15" xfId="19262" xr:uid="{00000000-0005-0000-0000-0000ED4A0000}"/>
    <cellStyle name="Accent1 38 2" xfId="19263" xr:uid="{00000000-0005-0000-0000-0000EE4A0000}"/>
    <cellStyle name="Accent1 38 3" xfId="19264" xr:uid="{00000000-0005-0000-0000-0000EF4A0000}"/>
    <cellStyle name="Accent1 38 4" xfId="19265" xr:uid="{00000000-0005-0000-0000-0000F04A0000}"/>
    <cellStyle name="Accent1 38 5" xfId="19266" xr:uid="{00000000-0005-0000-0000-0000F14A0000}"/>
    <cellStyle name="Accent1 38 6" xfId="19267" xr:uid="{00000000-0005-0000-0000-0000F24A0000}"/>
    <cellStyle name="Accent1 38 7" xfId="19268" xr:uid="{00000000-0005-0000-0000-0000F34A0000}"/>
    <cellStyle name="Accent1 38 8" xfId="19269" xr:uid="{00000000-0005-0000-0000-0000F44A0000}"/>
    <cellStyle name="Accent1 38 9" xfId="19270" xr:uid="{00000000-0005-0000-0000-0000F54A0000}"/>
    <cellStyle name="Accent1 39" xfId="19271" xr:uid="{00000000-0005-0000-0000-0000F64A0000}"/>
    <cellStyle name="Accent1 39 10" xfId="19272" xr:uid="{00000000-0005-0000-0000-0000F74A0000}"/>
    <cellStyle name="Accent1 39 11" xfId="19273" xr:uid="{00000000-0005-0000-0000-0000F84A0000}"/>
    <cellStyle name="Accent1 39 12" xfId="19274" xr:uid="{00000000-0005-0000-0000-0000F94A0000}"/>
    <cellStyle name="Accent1 39 13" xfId="19275" xr:uid="{00000000-0005-0000-0000-0000FA4A0000}"/>
    <cellStyle name="Accent1 39 14" xfId="19276" xr:uid="{00000000-0005-0000-0000-0000FB4A0000}"/>
    <cellStyle name="Accent1 39 15" xfId="19277" xr:uid="{00000000-0005-0000-0000-0000FC4A0000}"/>
    <cellStyle name="Accent1 39 2" xfId="19278" xr:uid="{00000000-0005-0000-0000-0000FD4A0000}"/>
    <cellStyle name="Accent1 39 3" xfId="19279" xr:uid="{00000000-0005-0000-0000-0000FE4A0000}"/>
    <cellStyle name="Accent1 39 4" xfId="19280" xr:uid="{00000000-0005-0000-0000-0000FF4A0000}"/>
    <cellStyle name="Accent1 39 5" xfId="19281" xr:uid="{00000000-0005-0000-0000-0000004B0000}"/>
    <cellStyle name="Accent1 39 6" xfId="19282" xr:uid="{00000000-0005-0000-0000-0000014B0000}"/>
    <cellStyle name="Accent1 39 7" xfId="19283" xr:uid="{00000000-0005-0000-0000-0000024B0000}"/>
    <cellStyle name="Accent1 39 8" xfId="19284" xr:uid="{00000000-0005-0000-0000-0000034B0000}"/>
    <cellStyle name="Accent1 39 9" xfId="19285" xr:uid="{00000000-0005-0000-0000-0000044B0000}"/>
    <cellStyle name="Accent1 4" xfId="19286" xr:uid="{00000000-0005-0000-0000-0000054B0000}"/>
    <cellStyle name="Accent1 4 2" xfId="19287" xr:uid="{00000000-0005-0000-0000-0000064B0000}"/>
    <cellStyle name="Accent1 4 2 2" xfId="19288" xr:uid="{00000000-0005-0000-0000-0000074B0000}"/>
    <cellStyle name="Accent1 4 3" xfId="19289" xr:uid="{00000000-0005-0000-0000-0000084B0000}"/>
    <cellStyle name="Accent1 4 3 2" xfId="19290" xr:uid="{00000000-0005-0000-0000-0000094B0000}"/>
    <cellStyle name="Accent1 4 4" xfId="19291" xr:uid="{00000000-0005-0000-0000-00000A4B0000}"/>
    <cellStyle name="Accent1 4 4 2" xfId="19292" xr:uid="{00000000-0005-0000-0000-00000B4B0000}"/>
    <cellStyle name="Accent1 4 5" xfId="19293" xr:uid="{00000000-0005-0000-0000-00000C4B0000}"/>
    <cellStyle name="Accent1 4 5 2" xfId="19294" xr:uid="{00000000-0005-0000-0000-00000D4B0000}"/>
    <cellStyle name="Accent1 4 6" xfId="19295" xr:uid="{00000000-0005-0000-0000-00000E4B0000}"/>
    <cellStyle name="Accent1 4 6 2" xfId="19296" xr:uid="{00000000-0005-0000-0000-00000F4B0000}"/>
    <cellStyle name="Accent1 4 7" xfId="19297" xr:uid="{00000000-0005-0000-0000-0000104B0000}"/>
    <cellStyle name="Accent1 40" xfId="19298" xr:uid="{00000000-0005-0000-0000-0000114B0000}"/>
    <cellStyle name="Accent1 41" xfId="19299" xr:uid="{00000000-0005-0000-0000-0000124B0000}"/>
    <cellStyle name="Accent1 42" xfId="19300" xr:uid="{00000000-0005-0000-0000-0000134B0000}"/>
    <cellStyle name="Accent1 43" xfId="19301" xr:uid="{00000000-0005-0000-0000-0000144B0000}"/>
    <cellStyle name="Accent1 44" xfId="19302" xr:uid="{00000000-0005-0000-0000-0000154B0000}"/>
    <cellStyle name="Accent1 45" xfId="19303" xr:uid="{00000000-0005-0000-0000-0000164B0000}"/>
    <cellStyle name="Accent1 46" xfId="19304" xr:uid="{00000000-0005-0000-0000-0000174B0000}"/>
    <cellStyle name="Accent1 47" xfId="19305" xr:uid="{00000000-0005-0000-0000-0000184B0000}"/>
    <cellStyle name="Accent1 48" xfId="19306" xr:uid="{00000000-0005-0000-0000-0000194B0000}"/>
    <cellStyle name="Accent1 49" xfId="19307" xr:uid="{00000000-0005-0000-0000-00001A4B0000}"/>
    <cellStyle name="Accent1 5" xfId="19308" xr:uid="{00000000-0005-0000-0000-00001B4B0000}"/>
    <cellStyle name="Accent1 5 2" xfId="19309" xr:uid="{00000000-0005-0000-0000-00001C4B0000}"/>
    <cellStyle name="Accent1 5 2 2" xfId="19310" xr:uid="{00000000-0005-0000-0000-00001D4B0000}"/>
    <cellStyle name="Accent1 5 2 3" xfId="19311" xr:uid="{00000000-0005-0000-0000-00001E4B0000}"/>
    <cellStyle name="Accent1 5 2 4" xfId="19312" xr:uid="{00000000-0005-0000-0000-00001F4B0000}"/>
    <cellStyle name="Accent1 5 3" xfId="19313" xr:uid="{00000000-0005-0000-0000-0000204B0000}"/>
    <cellStyle name="Accent1 5 3 2" xfId="19314" xr:uid="{00000000-0005-0000-0000-0000214B0000}"/>
    <cellStyle name="Accent1 5 3 3" xfId="19315" xr:uid="{00000000-0005-0000-0000-0000224B0000}"/>
    <cellStyle name="Accent1 5 4" xfId="19316" xr:uid="{00000000-0005-0000-0000-0000234B0000}"/>
    <cellStyle name="Accent1 50" xfId="19317" xr:uid="{00000000-0005-0000-0000-0000244B0000}"/>
    <cellStyle name="Accent1 51" xfId="19318" xr:uid="{00000000-0005-0000-0000-0000254B0000}"/>
    <cellStyle name="Accent1 52" xfId="19319" xr:uid="{00000000-0005-0000-0000-0000264B0000}"/>
    <cellStyle name="Accent1 53" xfId="19320" xr:uid="{00000000-0005-0000-0000-0000274B0000}"/>
    <cellStyle name="Accent1 54" xfId="19321" xr:uid="{00000000-0005-0000-0000-0000284B0000}"/>
    <cellStyle name="Accent1 55" xfId="19322" xr:uid="{00000000-0005-0000-0000-0000294B0000}"/>
    <cellStyle name="Accent1 56" xfId="19323" xr:uid="{00000000-0005-0000-0000-00002A4B0000}"/>
    <cellStyle name="Accent1 57" xfId="19324" xr:uid="{00000000-0005-0000-0000-00002B4B0000}"/>
    <cellStyle name="Accent1 58" xfId="19325" xr:uid="{00000000-0005-0000-0000-00002C4B0000}"/>
    <cellStyle name="Accent1 59" xfId="19326" xr:uid="{00000000-0005-0000-0000-00002D4B0000}"/>
    <cellStyle name="Accent1 6" xfId="19327" xr:uid="{00000000-0005-0000-0000-00002E4B0000}"/>
    <cellStyle name="Accent1 6 2" xfId="19328" xr:uid="{00000000-0005-0000-0000-00002F4B0000}"/>
    <cellStyle name="Accent1 60" xfId="19329" xr:uid="{00000000-0005-0000-0000-0000304B0000}"/>
    <cellStyle name="Accent1 61" xfId="19330" xr:uid="{00000000-0005-0000-0000-0000314B0000}"/>
    <cellStyle name="Accent1 62" xfId="19331" xr:uid="{00000000-0005-0000-0000-0000324B0000}"/>
    <cellStyle name="Accent1 63" xfId="19332" xr:uid="{00000000-0005-0000-0000-0000334B0000}"/>
    <cellStyle name="Accent1 64" xfId="19333" xr:uid="{00000000-0005-0000-0000-0000344B0000}"/>
    <cellStyle name="Accent1 65" xfId="19334" xr:uid="{00000000-0005-0000-0000-0000354B0000}"/>
    <cellStyle name="Accent1 66" xfId="19335" xr:uid="{00000000-0005-0000-0000-0000364B0000}"/>
    <cellStyle name="Accent1 67" xfId="19336" xr:uid="{00000000-0005-0000-0000-0000374B0000}"/>
    <cellStyle name="Accent1 68" xfId="19337" xr:uid="{00000000-0005-0000-0000-0000384B0000}"/>
    <cellStyle name="Accent1 69" xfId="19338" xr:uid="{00000000-0005-0000-0000-0000394B0000}"/>
    <cellStyle name="Accent1 7" xfId="19339" xr:uid="{00000000-0005-0000-0000-00003A4B0000}"/>
    <cellStyle name="Accent1 7 2" xfId="19340" xr:uid="{00000000-0005-0000-0000-00003B4B0000}"/>
    <cellStyle name="Accent1 70" xfId="19341" xr:uid="{00000000-0005-0000-0000-00003C4B0000}"/>
    <cellStyle name="Accent1 71" xfId="19342" xr:uid="{00000000-0005-0000-0000-00003D4B0000}"/>
    <cellStyle name="Accent1 72" xfId="19343" xr:uid="{00000000-0005-0000-0000-00003E4B0000}"/>
    <cellStyle name="Accent1 73" xfId="19344" xr:uid="{00000000-0005-0000-0000-00003F4B0000}"/>
    <cellStyle name="Accent1 74" xfId="19345" xr:uid="{00000000-0005-0000-0000-0000404B0000}"/>
    <cellStyle name="Accent1 75" xfId="19346" xr:uid="{00000000-0005-0000-0000-0000414B0000}"/>
    <cellStyle name="Accent1 76" xfId="19347" xr:uid="{00000000-0005-0000-0000-0000424B0000}"/>
    <cellStyle name="Accent1 77" xfId="19348" xr:uid="{00000000-0005-0000-0000-0000434B0000}"/>
    <cellStyle name="Accent1 78" xfId="19349" xr:uid="{00000000-0005-0000-0000-0000444B0000}"/>
    <cellStyle name="Accent1 79" xfId="19350" xr:uid="{00000000-0005-0000-0000-0000454B0000}"/>
    <cellStyle name="Accent1 79 2" xfId="19351" xr:uid="{00000000-0005-0000-0000-0000464B0000}"/>
    <cellStyle name="Accent1 8" xfId="19352" xr:uid="{00000000-0005-0000-0000-0000474B0000}"/>
    <cellStyle name="Accent1 8 2" xfId="19353" xr:uid="{00000000-0005-0000-0000-0000484B0000}"/>
    <cellStyle name="Accent1 80" xfId="19354" xr:uid="{00000000-0005-0000-0000-0000494B0000}"/>
    <cellStyle name="Accent1 80 2" xfId="19355" xr:uid="{00000000-0005-0000-0000-00004A4B0000}"/>
    <cellStyle name="Accent1 81" xfId="19356" xr:uid="{00000000-0005-0000-0000-00004B4B0000}"/>
    <cellStyle name="Accent1 81 2" xfId="19357" xr:uid="{00000000-0005-0000-0000-00004C4B0000}"/>
    <cellStyle name="Accent1 82" xfId="19358" xr:uid="{00000000-0005-0000-0000-00004D4B0000}"/>
    <cellStyle name="Accent1 82 2" xfId="19359" xr:uid="{00000000-0005-0000-0000-00004E4B0000}"/>
    <cellStyle name="Accent1 83" xfId="19360" xr:uid="{00000000-0005-0000-0000-00004F4B0000}"/>
    <cellStyle name="Accent1 83 2" xfId="19361" xr:uid="{00000000-0005-0000-0000-0000504B0000}"/>
    <cellStyle name="Accent1 84" xfId="19362" xr:uid="{00000000-0005-0000-0000-0000514B0000}"/>
    <cellStyle name="Accent1 84 2" xfId="19363" xr:uid="{00000000-0005-0000-0000-0000524B0000}"/>
    <cellStyle name="Accent1 85" xfId="19364" xr:uid="{00000000-0005-0000-0000-0000534B0000}"/>
    <cellStyle name="Accent1 85 2" xfId="19365" xr:uid="{00000000-0005-0000-0000-0000544B0000}"/>
    <cellStyle name="Accent1 86" xfId="19366" xr:uid="{00000000-0005-0000-0000-0000554B0000}"/>
    <cellStyle name="Accent1 86 2" xfId="19367" xr:uid="{00000000-0005-0000-0000-0000564B0000}"/>
    <cellStyle name="Accent1 87" xfId="19368" xr:uid="{00000000-0005-0000-0000-0000574B0000}"/>
    <cellStyle name="Accent1 87 2" xfId="19369" xr:uid="{00000000-0005-0000-0000-0000584B0000}"/>
    <cellStyle name="Accent1 88" xfId="19370" xr:uid="{00000000-0005-0000-0000-0000594B0000}"/>
    <cellStyle name="Accent1 88 2" xfId="19371" xr:uid="{00000000-0005-0000-0000-00005A4B0000}"/>
    <cellStyle name="Accent1 89" xfId="19372" xr:uid="{00000000-0005-0000-0000-00005B4B0000}"/>
    <cellStyle name="Accent1 89 2" xfId="19373" xr:uid="{00000000-0005-0000-0000-00005C4B0000}"/>
    <cellStyle name="Accent1 9" xfId="19374" xr:uid="{00000000-0005-0000-0000-00005D4B0000}"/>
    <cellStyle name="Accent1 9 2" xfId="19375" xr:uid="{00000000-0005-0000-0000-00005E4B0000}"/>
    <cellStyle name="Accent1 90" xfId="19376" xr:uid="{00000000-0005-0000-0000-00005F4B0000}"/>
    <cellStyle name="Accent1 91" xfId="19377" xr:uid="{00000000-0005-0000-0000-0000604B0000}"/>
    <cellStyle name="Accent1 92" xfId="19378" xr:uid="{00000000-0005-0000-0000-0000614B0000}"/>
    <cellStyle name="Accent1 93" xfId="19379" xr:uid="{00000000-0005-0000-0000-0000624B0000}"/>
    <cellStyle name="Accent1 94" xfId="19380" xr:uid="{00000000-0005-0000-0000-0000634B0000}"/>
    <cellStyle name="Accent1 95" xfId="19381" xr:uid="{00000000-0005-0000-0000-0000644B0000}"/>
    <cellStyle name="Accent1 96" xfId="19382" xr:uid="{00000000-0005-0000-0000-0000654B0000}"/>
    <cellStyle name="Accent1 97" xfId="19383" xr:uid="{00000000-0005-0000-0000-0000664B0000}"/>
    <cellStyle name="Accent1 98" xfId="19384" xr:uid="{00000000-0005-0000-0000-0000674B0000}"/>
    <cellStyle name="Accent1 99" xfId="19385" xr:uid="{00000000-0005-0000-0000-0000684B0000}"/>
    <cellStyle name="Accent2" xfId="22" builtinId="33" customBuiltin="1"/>
    <cellStyle name="Accent2 10" xfId="19386" xr:uid="{00000000-0005-0000-0000-00006A4B0000}"/>
    <cellStyle name="Accent2 10 2" xfId="19387" xr:uid="{00000000-0005-0000-0000-00006B4B0000}"/>
    <cellStyle name="Accent2 100" xfId="19388" xr:uid="{00000000-0005-0000-0000-00006C4B0000}"/>
    <cellStyle name="Accent2 101" xfId="19389" xr:uid="{00000000-0005-0000-0000-00006D4B0000}"/>
    <cellStyle name="Accent2 102" xfId="19390" xr:uid="{00000000-0005-0000-0000-00006E4B0000}"/>
    <cellStyle name="Accent2 103" xfId="19391" xr:uid="{00000000-0005-0000-0000-00006F4B0000}"/>
    <cellStyle name="Accent2 104" xfId="19392" xr:uid="{00000000-0005-0000-0000-0000704B0000}"/>
    <cellStyle name="Accent2 105" xfId="19393" xr:uid="{00000000-0005-0000-0000-0000714B0000}"/>
    <cellStyle name="Accent2 106" xfId="19394" xr:uid="{00000000-0005-0000-0000-0000724B0000}"/>
    <cellStyle name="Accent2 107" xfId="19395" xr:uid="{00000000-0005-0000-0000-0000734B0000}"/>
    <cellStyle name="Accent2 108" xfId="19396" xr:uid="{00000000-0005-0000-0000-0000744B0000}"/>
    <cellStyle name="Accent2 109" xfId="19397" xr:uid="{00000000-0005-0000-0000-0000754B0000}"/>
    <cellStyle name="Accent2 11" xfId="19398" xr:uid="{00000000-0005-0000-0000-0000764B0000}"/>
    <cellStyle name="Accent2 11 2" xfId="19399" xr:uid="{00000000-0005-0000-0000-0000774B0000}"/>
    <cellStyle name="Accent2 110" xfId="19400" xr:uid="{00000000-0005-0000-0000-0000784B0000}"/>
    <cellStyle name="Accent2 111" xfId="19401" xr:uid="{00000000-0005-0000-0000-0000794B0000}"/>
    <cellStyle name="Accent2 112" xfId="19402" xr:uid="{00000000-0005-0000-0000-00007A4B0000}"/>
    <cellStyle name="Accent2 113" xfId="19403" xr:uid="{00000000-0005-0000-0000-00007B4B0000}"/>
    <cellStyle name="Accent2 114" xfId="19404" xr:uid="{00000000-0005-0000-0000-00007C4B0000}"/>
    <cellStyle name="Accent2 115" xfId="19405" xr:uid="{00000000-0005-0000-0000-00007D4B0000}"/>
    <cellStyle name="Accent2 116" xfId="19406" xr:uid="{00000000-0005-0000-0000-00007E4B0000}"/>
    <cellStyle name="Accent2 117" xfId="19407" xr:uid="{00000000-0005-0000-0000-00007F4B0000}"/>
    <cellStyle name="Accent2 118" xfId="19408" xr:uid="{00000000-0005-0000-0000-0000804B0000}"/>
    <cellStyle name="Accent2 119" xfId="19409" xr:uid="{00000000-0005-0000-0000-0000814B0000}"/>
    <cellStyle name="Accent2 12" xfId="19410" xr:uid="{00000000-0005-0000-0000-0000824B0000}"/>
    <cellStyle name="Accent2 12 2" xfId="19411" xr:uid="{00000000-0005-0000-0000-0000834B0000}"/>
    <cellStyle name="Accent2 120" xfId="19412" xr:uid="{00000000-0005-0000-0000-0000844B0000}"/>
    <cellStyle name="Accent2 121" xfId="19413" xr:uid="{00000000-0005-0000-0000-0000854B0000}"/>
    <cellStyle name="Accent2 122" xfId="19414" xr:uid="{00000000-0005-0000-0000-0000864B0000}"/>
    <cellStyle name="Accent2 123" xfId="19415" xr:uid="{00000000-0005-0000-0000-0000874B0000}"/>
    <cellStyle name="Accent2 124" xfId="19416" xr:uid="{00000000-0005-0000-0000-0000884B0000}"/>
    <cellStyle name="Accent2 125" xfId="19417" xr:uid="{00000000-0005-0000-0000-0000894B0000}"/>
    <cellStyle name="Accent2 126" xfId="19418" xr:uid="{00000000-0005-0000-0000-00008A4B0000}"/>
    <cellStyle name="Accent2 127" xfId="19419" xr:uid="{00000000-0005-0000-0000-00008B4B0000}"/>
    <cellStyle name="Accent2 128" xfId="19420" xr:uid="{00000000-0005-0000-0000-00008C4B0000}"/>
    <cellStyle name="Accent2 129" xfId="19421" xr:uid="{00000000-0005-0000-0000-00008D4B0000}"/>
    <cellStyle name="Accent2 13" xfId="19422" xr:uid="{00000000-0005-0000-0000-00008E4B0000}"/>
    <cellStyle name="Accent2 13 2" xfId="19423" xr:uid="{00000000-0005-0000-0000-00008F4B0000}"/>
    <cellStyle name="Accent2 130" xfId="19424" xr:uid="{00000000-0005-0000-0000-0000904B0000}"/>
    <cellStyle name="Accent2 131" xfId="19425" xr:uid="{00000000-0005-0000-0000-0000914B0000}"/>
    <cellStyle name="Accent2 132" xfId="19426" xr:uid="{00000000-0005-0000-0000-0000924B0000}"/>
    <cellStyle name="Accent2 133" xfId="19427" xr:uid="{00000000-0005-0000-0000-0000934B0000}"/>
    <cellStyle name="Accent2 134" xfId="19428" xr:uid="{00000000-0005-0000-0000-0000944B0000}"/>
    <cellStyle name="Accent2 135" xfId="19429" xr:uid="{00000000-0005-0000-0000-0000954B0000}"/>
    <cellStyle name="Accent2 136" xfId="19430" xr:uid="{00000000-0005-0000-0000-0000964B0000}"/>
    <cellStyle name="Accent2 137" xfId="19431" xr:uid="{00000000-0005-0000-0000-0000974B0000}"/>
    <cellStyle name="Accent2 138" xfId="19432" xr:uid="{00000000-0005-0000-0000-0000984B0000}"/>
    <cellStyle name="Accent2 139" xfId="19433" xr:uid="{00000000-0005-0000-0000-0000994B0000}"/>
    <cellStyle name="Accent2 14" xfId="19434" xr:uid="{00000000-0005-0000-0000-00009A4B0000}"/>
    <cellStyle name="Accent2 14 2" xfId="19435" xr:uid="{00000000-0005-0000-0000-00009B4B0000}"/>
    <cellStyle name="Accent2 140" xfId="19436" xr:uid="{00000000-0005-0000-0000-00009C4B0000}"/>
    <cellStyle name="Accent2 141" xfId="19437" xr:uid="{00000000-0005-0000-0000-00009D4B0000}"/>
    <cellStyle name="Accent2 142" xfId="19438" xr:uid="{00000000-0005-0000-0000-00009E4B0000}"/>
    <cellStyle name="Accent2 143" xfId="19439" xr:uid="{00000000-0005-0000-0000-00009F4B0000}"/>
    <cellStyle name="Accent2 144" xfId="19440" xr:uid="{00000000-0005-0000-0000-0000A04B0000}"/>
    <cellStyle name="Accent2 145" xfId="19441" xr:uid="{00000000-0005-0000-0000-0000A14B0000}"/>
    <cellStyle name="Accent2 146" xfId="19442" xr:uid="{00000000-0005-0000-0000-0000A24B0000}"/>
    <cellStyle name="Accent2 147" xfId="19443" xr:uid="{00000000-0005-0000-0000-0000A34B0000}"/>
    <cellStyle name="Accent2 148" xfId="19444" xr:uid="{00000000-0005-0000-0000-0000A44B0000}"/>
    <cellStyle name="Accent2 149" xfId="19445" xr:uid="{00000000-0005-0000-0000-0000A54B0000}"/>
    <cellStyle name="Accent2 15" xfId="19446" xr:uid="{00000000-0005-0000-0000-0000A64B0000}"/>
    <cellStyle name="Accent2 15 2" xfId="19447" xr:uid="{00000000-0005-0000-0000-0000A74B0000}"/>
    <cellStyle name="Accent2 150" xfId="19448" xr:uid="{00000000-0005-0000-0000-0000A84B0000}"/>
    <cellStyle name="Accent2 151" xfId="19449" xr:uid="{00000000-0005-0000-0000-0000A94B0000}"/>
    <cellStyle name="Accent2 152" xfId="19450" xr:uid="{00000000-0005-0000-0000-0000AA4B0000}"/>
    <cellStyle name="Accent2 153" xfId="19451" xr:uid="{00000000-0005-0000-0000-0000AB4B0000}"/>
    <cellStyle name="Accent2 154" xfId="19452" xr:uid="{00000000-0005-0000-0000-0000AC4B0000}"/>
    <cellStyle name="Accent2 155" xfId="19453" xr:uid="{00000000-0005-0000-0000-0000AD4B0000}"/>
    <cellStyle name="Accent2 156" xfId="19454" xr:uid="{00000000-0005-0000-0000-0000AE4B0000}"/>
    <cellStyle name="Accent2 157" xfId="19455" xr:uid="{00000000-0005-0000-0000-0000AF4B0000}"/>
    <cellStyle name="Accent2 158" xfId="19456" xr:uid="{00000000-0005-0000-0000-0000B04B0000}"/>
    <cellStyle name="Accent2 159" xfId="19457" xr:uid="{00000000-0005-0000-0000-0000B14B0000}"/>
    <cellStyle name="Accent2 16" xfId="19458" xr:uid="{00000000-0005-0000-0000-0000B24B0000}"/>
    <cellStyle name="Accent2 160" xfId="19459" xr:uid="{00000000-0005-0000-0000-0000B34B0000}"/>
    <cellStyle name="Accent2 161" xfId="19460" xr:uid="{00000000-0005-0000-0000-0000B44B0000}"/>
    <cellStyle name="Accent2 162" xfId="19461" xr:uid="{00000000-0005-0000-0000-0000B54B0000}"/>
    <cellStyle name="Accent2 163" xfId="19462" xr:uid="{00000000-0005-0000-0000-0000B64B0000}"/>
    <cellStyle name="Accent2 164" xfId="19463" xr:uid="{00000000-0005-0000-0000-0000B74B0000}"/>
    <cellStyle name="Accent2 165" xfId="19464" xr:uid="{00000000-0005-0000-0000-0000B84B0000}"/>
    <cellStyle name="Accent2 166" xfId="19465" xr:uid="{00000000-0005-0000-0000-0000B94B0000}"/>
    <cellStyle name="Accent2 167" xfId="19466" xr:uid="{00000000-0005-0000-0000-0000BA4B0000}"/>
    <cellStyle name="Accent2 17" xfId="19467" xr:uid="{00000000-0005-0000-0000-0000BB4B0000}"/>
    <cellStyle name="Accent2 18" xfId="19468" xr:uid="{00000000-0005-0000-0000-0000BC4B0000}"/>
    <cellStyle name="Accent2 19" xfId="19469" xr:uid="{00000000-0005-0000-0000-0000BD4B0000}"/>
    <cellStyle name="Accent2 2" xfId="19470" xr:uid="{00000000-0005-0000-0000-0000BE4B0000}"/>
    <cellStyle name="Accent2 2 10" xfId="19471" xr:uid="{00000000-0005-0000-0000-0000BF4B0000}"/>
    <cellStyle name="Accent2 2 11" xfId="19472" xr:uid="{00000000-0005-0000-0000-0000C04B0000}"/>
    <cellStyle name="Accent2 2 12" xfId="19473" xr:uid="{00000000-0005-0000-0000-0000C14B0000}"/>
    <cellStyle name="Accent2 2 13" xfId="19474" xr:uid="{00000000-0005-0000-0000-0000C24B0000}"/>
    <cellStyle name="Accent2 2 14" xfId="19475" xr:uid="{00000000-0005-0000-0000-0000C34B0000}"/>
    <cellStyle name="Accent2 2 15" xfId="19476" xr:uid="{00000000-0005-0000-0000-0000C44B0000}"/>
    <cellStyle name="Accent2 2 16" xfId="19477" xr:uid="{00000000-0005-0000-0000-0000C54B0000}"/>
    <cellStyle name="Accent2 2 17" xfId="19478" xr:uid="{00000000-0005-0000-0000-0000C64B0000}"/>
    <cellStyle name="Accent2 2 18" xfId="19479" xr:uid="{00000000-0005-0000-0000-0000C74B0000}"/>
    <cellStyle name="Accent2 2 19" xfId="19480" xr:uid="{00000000-0005-0000-0000-0000C84B0000}"/>
    <cellStyle name="Accent2 2 2" xfId="19481" xr:uid="{00000000-0005-0000-0000-0000C94B0000}"/>
    <cellStyle name="Accent2 2 20" xfId="19482" xr:uid="{00000000-0005-0000-0000-0000CA4B0000}"/>
    <cellStyle name="Accent2 2 21" xfId="19483" xr:uid="{00000000-0005-0000-0000-0000CB4B0000}"/>
    <cellStyle name="Accent2 2 22" xfId="19484" xr:uid="{00000000-0005-0000-0000-0000CC4B0000}"/>
    <cellStyle name="Accent2 2 23" xfId="19485" xr:uid="{00000000-0005-0000-0000-0000CD4B0000}"/>
    <cellStyle name="Accent2 2 24" xfId="19486" xr:uid="{00000000-0005-0000-0000-0000CE4B0000}"/>
    <cellStyle name="Accent2 2 25" xfId="19487" xr:uid="{00000000-0005-0000-0000-0000CF4B0000}"/>
    <cellStyle name="Accent2 2 26" xfId="19488" xr:uid="{00000000-0005-0000-0000-0000D04B0000}"/>
    <cellStyle name="Accent2 2 27" xfId="19489" xr:uid="{00000000-0005-0000-0000-0000D14B0000}"/>
    <cellStyle name="Accent2 2 28" xfId="19490" xr:uid="{00000000-0005-0000-0000-0000D24B0000}"/>
    <cellStyle name="Accent2 2 29" xfId="19491" xr:uid="{00000000-0005-0000-0000-0000D34B0000}"/>
    <cellStyle name="Accent2 2 3" xfId="19492" xr:uid="{00000000-0005-0000-0000-0000D44B0000}"/>
    <cellStyle name="Accent2 2 30" xfId="19493" xr:uid="{00000000-0005-0000-0000-0000D54B0000}"/>
    <cellStyle name="Accent2 2 31" xfId="19494" xr:uid="{00000000-0005-0000-0000-0000D64B0000}"/>
    <cellStyle name="Accent2 2 32" xfId="19495" xr:uid="{00000000-0005-0000-0000-0000D74B0000}"/>
    <cellStyle name="Accent2 2 33" xfId="19496" xr:uid="{00000000-0005-0000-0000-0000D84B0000}"/>
    <cellStyle name="Accent2 2 34" xfId="19497" xr:uid="{00000000-0005-0000-0000-0000D94B0000}"/>
    <cellStyle name="Accent2 2 35" xfId="19498" xr:uid="{00000000-0005-0000-0000-0000DA4B0000}"/>
    <cellStyle name="Accent2 2 4" xfId="19499" xr:uid="{00000000-0005-0000-0000-0000DB4B0000}"/>
    <cellStyle name="Accent2 2 5" xfId="19500" xr:uid="{00000000-0005-0000-0000-0000DC4B0000}"/>
    <cellStyle name="Accent2 2 6" xfId="19501" xr:uid="{00000000-0005-0000-0000-0000DD4B0000}"/>
    <cellStyle name="Accent2 2 7" xfId="19502" xr:uid="{00000000-0005-0000-0000-0000DE4B0000}"/>
    <cellStyle name="Accent2 2 8" xfId="19503" xr:uid="{00000000-0005-0000-0000-0000DF4B0000}"/>
    <cellStyle name="Accent2 2 9" xfId="19504" xr:uid="{00000000-0005-0000-0000-0000E04B0000}"/>
    <cellStyle name="Accent2 20" xfId="19505" xr:uid="{00000000-0005-0000-0000-0000E14B0000}"/>
    <cellStyle name="Accent2 20 10" xfId="19506" xr:uid="{00000000-0005-0000-0000-0000E24B0000}"/>
    <cellStyle name="Accent2 20 11" xfId="19507" xr:uid="{00000000-0005-0000-0000-0000E34B0000}"/>
    <cellStyle name="Accent2 20 12" xfId="19508" xr:uid="{00000000-0005-0000-0000-0000E44B0000}"/>
    <cellStyle name="Accent2 20 13" xfId="19509" xr:uid="{00000000-0005-0000-0000-0000E54B0000}"/>
    <cellStyle name="Accent2 20 14" xfId="19510" xr:uid="{00000000-0005-0000-0000-0000E64B0000}"/>
    <cellStyle name="Accent2 20 15" xfId="19511" xr:uid="{00000000-0005-0000-0000-0000E74B0000}"/>
    <cellStyle name="Accent2 20 16" xfId="19512" xr:uid="{00000000-0005-0000-0000-0000E84B0000}"/>
    <cellStyle name="Accent2 20 2" xfId="19513" xr:uid="{00000000-0005-0000-0000-0000E94B0000}"/>
    <cellStyle name="Accent2 20 3" xfId="19514" xr:uid="{00000000-0005-0000-0000-0000EA4B0000}"/>
    <cellStyle name="Accent2 20 4" xfId="19515" xr:uid="{00000000-0005-0000-0000-0000EB4B0000}"/>
    <cellStyle name="Accent2 20 5" xfId="19516" xr:uid="{00000000-0005-0000-0000-0000EC4B0000}"/>
    <cellStyle name="Accent2 20 6" xfId="19517" xr:uid="{00000000-0005-0000-0000-0000ED4B0000}"/>
    <cellStyle name="Accent2 20 7" xfId="19518" xr:uid="{00000000-0005-0000-0000-0000EE4B0000}"/>
    <cellStyle name="Accent2 20 8" xfId="19519" xr:uid="{00000000-0005-0000-0000-0000EF4B0000}"/>
    <cellStyle name="Accent2 20 9" xfId="19520" xr:uid="{00000000-0005-0000-0000-0000F04B0000}"/>
    <cellStyle name="Accent2 21" xfId="19521" xr:uid="{00000000-0005-0000-0000-0000F14B0000}"/>
    <cellStyle name="Accent2 21 2" xfId="19522" xr:uid="{00000000-0005-0000-0000-0000F24B0000}"/>
    <cellStyle name="Accent2 21 3" xfId="19523" xr:uid="{00000000-0005-0000-0000-0000F34B0000}"/>
    <cellStyle name="Accent2 22" xfId="19524" xr:uid="{00000000-0005-0000-0000-0000F44B0000}"/>
    <cellStyle name="Accent2 23" xfId="19525" xr:uid="{00000000-0005-0000-0000-0000F54B0000}"/>
    <cellStyle name="Accent2 24" xfId="19526" xr:uid="{00000000-0005-0000-0000-0000F64B0000}"/>
    <cellStyle name="Accent2 25" xfId="19527" xr:uid="{00000000-0005-0000-0000-0000F74B0000}"/>
    <cellStyle name="Accent2 26" xfId="19528" xr:uid="{00000000-0005-0000-0000-0000F84B0000}"/>
    <cellStyle name="Accent2 27" xfId="19529" xr:uid="{00000000-0005-0000-0000-0000F94B0000}"/>
    <cellStyle name="Accent2 28" xfId="19530" xr:uid="{00000000-0005-0000-0000-0000FA4B0000}"/>
    <cellStyle name="Accent2 29" xfId="19531" xr:uid="{00000000-0005-0000-0000-0000FB4B0000}"/>
    <cellStyle name="Accent2 3" xfId="66" xr:uid="{00000000-0005-0000-0000-0000FC4B0000}"/>
    <cellStyle name="Accent2 3 10" xfId="19533" xr:uid="{00000000-0005-0000-0000-0000FD4B0000}"/>
    <cellStyle name="Accent2 3 10 10" xfId="19534" xr:uid="{00000000-0005-0000-0000-0000FE4B0000}"/>
    <cellStyle name="Accent2 3 10 11" xfId="19535" xr:uid="{00000000-0005-0000-0000-0000FF4B0000}"/>
    <cellStyle name="Accent2 3 10 12" xfId="19536" xr:uid="{00000000-0005-0000-0000-0000004C0000}"/>
    <cellStyle name="Accent2 3 10 13" xfId="19537" xr:uid="{00000000-0005-0000-0000-0000014C0000}"/>
    <cellStyle name="Accent2 3 10 14" xfId="19538" xr:uid="{00000000-0005-0000-0000-0000024C0000}"/>
    <cellStyle name="Accent2 3 10 15" xfId="19539" xr:uid="{00000000-0005-0000-0000-0000034C0000}"/>
    <cellStyle name="Accent2 3 10 2" xfId="19540" xr:uid="{00000000-0005-0000-0000-0000044C0000}"/>
    <cellStyle name="Accent2 3 10 3" xfId="19541" xr:uid="{00000000-0005-0000-0000-0000054C0000}"/>
    <cellStyle name="Accent2 3 10 4" xfId="19542" xr:uid="{00000000-0005-0000-0000-0000064C0000}"/>
    <cellStyle name="Accent2 3 10 5" xfId="19543" xr:uid="{00000000-0005-0000-0000-0000074C0000}"/>
    <cellStyle name="Accent2 3 10 6" xfId="19544" xr:uid="{00000000-0005-0000-0000-0000084C0000}"/>
    <cellStyle name="Accent2 3 10 7" xfId="19545" xr:uid="{00000000-0005-0000-0000-0000094C0000}"/>
    <cellStyle name="Accent2 3 10 8" xfId="19546" xr:uid="{00000000-0005-0000-0000-00000A4C0000}"/>
    <cellStyle name="Accent2 3 10 9" xfId="19547" xr:uid="{00000000-0005-0000-0000-00000B4C0000}"/>
    <cellStyle name="Accent2 3 11" xfId="19548" xr:uid="{00000000-0005-0000-0000-00000C4C0000}"/>
    <cellStyle name="Accent2 3 11 10" xfId="19549" xr:uid="{00000000-0005-0000-0000-00000D4C0000}"/>
    <cellStyle name="Accent2 3 11 11" xfId="19550" xr:uid="{00000000-0005-0000-0000-00000E4C0000}"/>
    <cellStyle name="Accent2 3 11 12" xfId="19551" xr:uid="{00000000-0005-0000-0000-00000F4C0000}"/>
    <cellStyle name="Accent2 3 11 13" xfId="19552" xr:uid="{00000000-0005-0000-0000-0000104C0000}"/>
    <cellStyle name="Accent2 3 11 14" xfId="19553" xr:uid="{00000000-0005-0000-0000-0000114C0000}"/>
    <cellStyle name="Accent2 3 11 15" xfId="19554" xr:uid="{00000000-0005-0000-0000-0000124C0000}"/>
    <cellStyle name="Accent2 3 11 2" xfId="19555" xr:uid="{00000000-0005-0000-0000-0000134C0000}"/>
    <cellStyle name="Accent2 3 11 3" xfId="19556" xr:uid="{00000000-0005-0000-0000-0000144C0000}"/>
    <cellStyle name="Accent2 3 11 4" xfId="19557" xr:uid="{00000000-0005-0000-0000-0000154C0000}"/>
    <cellStyle name="Accent2 3 11 5" xfId="19558" xr:uid="{00000000-0005-0000-0000-0000164C0000}"/>
    <cellStyle name="Accent2 3 11 6" xfId="19559" xr:uid="{00000000-0005-0000-0000-0000174C0000}"/>
    <cellStyle name="Accent2 3 11 7" xfId="19560" xr:uid="{00000000-0005-0000-0000-0000184C0000}"/>
    <cellStyle name="Accent2 3 11 8" xfId="19561" xr:uid="{00000000-0005-0000-0000-0000194C0000}"/>
    <cellStyle name="Accent2 3 11 9" xfId="19562" xr:uid="{00000000-0005-0000-0000-00001A4C0000}"/>
    <cellStyle name="Accent2 3 12" xfId="19563" xr:uid="{00000000-0005-0000-0000-00001B4C0000}"/>
    <cellStyle name="Accent2 3 12 10" xfId="19564" xr:uid="{00000000-0005-0000-0000-00001C4C0000}"/>
    <cellStyle name="Accent2 3 12 11" xfId="19565" xr:uid="{00000000-0005-0000-0000-00001D4C0000}"/>
    <cellStyle name="Accent2 3 12 12" xfId="19566" xr:uid="{00000000-0005-0000-0000-00001E4C0000}"/>
    <cellStyle name="Accent2 3 12 13" xfId="19567" xr:uid="{00000000-0005-0000-0000-00001F4C0000}"/>
    <cellStyle name="Accent2 3 12 14" xfId="19568" xr:uid="{00000000-0005-0000-0000-0000204C0000}"/>
    <cellStyle name="Accent2 3 12 15" xfId="19569" xr:uid="{00000000-0005-0000-0000-0000214C0000}"/>
    <cellStyle name="Accent2 3 12 2" xfId="19570" xr:uid="{00000000-0005-0000-0000-0000224C0000}"/>
    <cellStyle name="Accent2 3 12 3" xfId="19571" xr:uid="{00000000-0005-0000-0000-0000234C0000}"/>
    <cellStyle name="Accent2 3 12 4" xfId="19572" xr:uid="{00000000-0005-0000-0000-0000244C0000}"/>
    <cellStyle name="Accent2 3 12 5" xfId="19573" xr:uid="{00000000-0005-0000-0000-0000254C0000}"/>
    <cellStyle name="Accent2 3 12 6" xfId="19574" xr:uid="{00000000-0005-0000-0000-0000264C0000}"/>
    <cellStyle name="Accent2 3 12 7" xfId="19575" xr:uid="{00000000-0005-0000-0000-0000274C0000}"/>
    <cellStyle name="Accent2 3 12 8" xfId="19576" xr:uid="{00000000-0005-0000-0000-0000284C0000}"/>
    <cellStyle name="Accent2 3 12 9" xfId="19577" xr:uid="{00000000-0005-0000-0000-0000294C0000}"/>
    <cellStyle name="Accent2 3 13" xfId="19578" xr:uid="{00000000-0005-0000-0000-00002A4C0000}"/>
    <cellStyle name="Accent2 3 13 10" xfId="19579" xr:uid="{00000000-0005-0000-0000-00002B4C0000}"/>
    <cellStyle name="Accent2 3 13 11" xfId="19580" xr:uid="{00000000-0005-0000-0000-00002C4C0000}"/>
    <cellStyle name="Accent2 3 13 12" xfId="19581" xr:uid="{00000000-0005-0000-0000-00002D4C0000}"/>
    <cellStyle name="Accent2 3 13 13" xfId="19582" xr:uid="{00000000-0005-0000-0000-00002E4C0000}"/>
    <cellStyle name="Accent2 3 13 14" xfId="19583" xr:uid="{00000000-0005-0000-0000-00002F4C0000}"/>
    <cellStyle name="Accent2 3 13 15" xfId="19584" xr:uid="{00000000-0005-0000-0000-0000304C0000}"/>
    <cellStyle name="Accent2 3 13 2" xfId="19585" xr:uid="{00000000-0005-0000-0000-0000314C0000}"/>
    <cellStyle name="Accent2 3 13 3" xfId="19586" xr:uid="{00000000-0005-0000-0000-0000324C0000}"/>
    <cellStyle name="Accent2 3 13 4" xfId="19587" xr:uid="{00000000-0005-0000-0000-0000334C0000}"/>
    <cellStyle name="Accent2 3 13 5" xfId="19588" xr:uid="{00000000-0005-0000-0000-0000344C0000}"/>
    <cellStyle name="Accent2 3 13 6" xfId="19589" xr:uid="{00000000-0005-0000-0000-0000354C0000}"/>
    <cellStyle name="Accent2 3 13 7" xfId="19590" xr:uid="{00000000-0005-0000-0000-0000364C0000}"/>
    <cellStyle name="Accent2 3 13 8" xfId="19591" xr:uid="{00000000-0005-0000-0000-0000374C0000}"/>
    <cellStyle name="Accent2 3 13 9" xfId="19592" xr:uid="{00000000-0005-0000-0000-0000384C0000}"/>
    <cellStyle name="Accent2 3 14" xfId="19593" xr:uid="{00000000-0005-0000-0000-0000394C0000}"/>
    <cellStyle name="Accent2 3 14 10" xfId="19594" xr:uid="{00000000-0005-0000-0000-00003A4C0000}"/>
    <cellStyle name="Accent2 3 14 11" xfId="19595" xr:uid="{00000000-0005-0000-0000-00003B4C0000}"/>
    <cellStyle name="Accent2 3 14 12" xfId="19596" xr:uid="{00000000-0005-0000-0000-00003C4C0000}"/>
    <cellStyle name="Accent2 3 14 13" xfId="19597" xr:uid="{00000000-0005-0000-0000-00003D4C0000}"/>
    <cellStyle name="Accent2 3 14 14" xfId="19598" xr:uid="{00000000-0005-0000-0000-00003E4C0000}"/>
    <cellStyle name="Accent2 3 14 15" xfId="19599" xr:uid="{00000000-0005-0000-0000-00003F4C0000}"/>
    <cellStyle name="Accent2 3 14 2" xfId="19600" xr:uid="{00000000-0005-0000-0000-0000404C0000}"/>
    <cellStyle name="Accent2 3 14 3" xfId="19601" xr:uid="{00000000-0005-0000-0000-0000414C0000}"/>
    <cellStyle name="Accent2 3 14 4" xfId="19602" xr:uid="{00000000-0005-0000-0000-0000424C0000}"/>
    <cellStyle name="Accent2 3 14 5" xfId="19603" xr:uid="{00000000-0005-0000-0000-0000434C0000}"/>
    <cellStyle name="Accent2 3 14 6" xfId="19604" xr:uid="{00000000-0005-0000-0000-0000444C0000}"/>
    <cellStyle name="Accent2 3 14 7" xfId="19605" xr:uid="{00000000-0005-0000-0000-0000454C0000}"/>
    <cellStyle name="Accent2 3 14 8" xfId="19606" xr:uid="{00000000-0005-0000-0000-0000464C0000}"/>
    <cellStyle name="Accent2 3 14 9" xfId="19607" xr:uid="{00000000-0005-0000-0000-0000474C0000}"/>
    <cellStyle name="Accent2 3 15" xfId="19608" xr:uid="{00000000-0005-0000-0000-0000484C0000}"/>
    <cellStyle name="Accent2 3 15 10" xfId="19609" xr:uid="{00000000-0005-0000-0000-0000494C0000}"/>
    <cellStyle name="Accent2 3 15 11" xfId="19610" xr:uid="{00000000-0005-0000-0000-00004A4C0000}"/>
    <cellStyle name="Accent2 3 15 12" xfId="19611" xr:uid="{00000000-0005-0000-0000-00004B4C0000}"/>
    <cellStyle name="Accent2 3 15 13" xfId="19612" xr:uid="{00000000-0005-0000-0000-00004C4C0000}"/>
    <cellStyle name="Accent2 3 15 14" xfId="19613" xr:uid="{00000000-0005-0000-0000-00004D4C0000}"/>
    <cellStyle name="Accent2 3 15 15" xfId="19614" xr:uid="{00000000-0005-0000-0000-00004E4C0000}"/>
    <cellStyle name="Accent2 3 15 2" xfId="19615" xr:uid="{00000000-0005-0000-0000-00004F4C0000}"/>
    <cellStyle name="Accent2 3 15 3" xfId="19616" xr:uid="{00000000-0005-0000-0000-0000504C0000}"/>
    <cellStyle name="Accent2 3 15 4" xfId="19617" xr:uid="{00000000-0005-0000-0000-0000514C0000}"/>
    <cellStyle name="Accent2 3 15 5" xfId="19618" xr:uid="{00000000-0005-0000-0000-0000524C0000}"/>
    <cellStyle name="Accent2 3 15 6" xfId="19619" xr:uid="{00000000-0005-0000-0000-0000534C0000}"/>
    <cellStyle name="Accent2 3 15 7" xfId="19620" xr:uid="{00000000-0005-0000-0000-0000544C0000}"/>
    <cellStyle name="Accent2 3 15 8" xfId="19621" xr:uid="{00000000-0005-0000-0000-0000554C0000}"/>
    <cellStyle name="Accent2 3 15 9" xfId="19622" xr:uid="{00000000-0005-0000-0000-0000564C0000}"/>
    <cellStyle name="Accent2 3 16" xfId="19623" xr:uid="{00000000-0005-0000-0000-0000574C0000}"/>
    <cellStyle name="Accent2 3 16 10" xfId="19624" xr:uid="{00000000-0005-0000-0000-0000584C0000}"/>
    <cellStyle name="Accent2 3 16 11" xfId="19625" xr:uid="{00000000-0005-0000-0000-0000594C0000}"/>
    <cellStyle name="Accent2 3 16 12" xfId="19626" xr:uid="{00000000-0005-0000-0000-00005A4C0000}"/>
    <cellStyle name="Accent2 3 16 13" xfId="19627" xr:uid="{00000000-0005-0000-0000-00005B4C0000}"/>
    <cellStyle name="Accent2 3 16 14" xfId="19628" xr:uid="{00000000-0005-0000-0000-00005C4C0000}"/>
    <cellStyle name="Accent2 3 16 15" xfId="19629" xr:uid="{00000000-0005-0000-0000-00005D4C0000}"/>
    <cellStyle name="Accent2 3 16 2" xfId="19630" xr:uid="{00000000-0005-0000-0000-00005E4C0000}"/>
    <cellStyle name="Accent2 3 16 3" xfId="19631" xr:uid="{00000000-0005-0000-0000-00005F4C0000}"/>
    <cellStyle name="Accent2 3 16 4" xfId="19632" xr:uid="{00000000-0005-0000-0000-0000604C0000}"/>
    <cellStyle name="Accent2 3 16 5" xfId="19633" xr:uid="{00000000-0005-0000-0000-0000614C0000}"/>
    <cellStyle name="Accent2 3 16 6" xfId="19634" xr:uid="{00000000-0005-0000-0000-0000624C0000}"/>
    <cellStyle name="Accent2 3 16 7" xfId="19635" xr:uid="{00000000-0005-0000-0000-0000634C0000}"/>
    <cellStyle name="Accent2 3 16 8" xfId="19636" xr:uid="{00000000-0005-0000-0000-0000644C0000}"/>
    <cellStyle name="Accent2 3 16 9" xfId="19637" xr:uid="{00000000-0005-0000-0000-0000654C0000}"/>
    <cellStyle name="Accent2 3 17" xfId="19638" xr:uid="{00000000-0005-0000-0000-0000664C0000}"/>
    <cellStyle name="Accent2 3 17 10" xfId="19639" xr:uid="{00000000-0005-0000-0000-0000674C0000}"/>
    <cellStyle name="Accent2 3 17 11" xfId="19640" xr:uid="{00000000-0005-0000-0000-0000684C0000}"/>
    <cellStyle name="Accent2 3 17 12" xfId="19641" xr:uid="{00000000-0005-0000-0000-0000694C0000}"/>
    <cellStyle name="Accent2 3 17 13" xfId="19642" xr:uid="{00000000-0005-0000-0000-00006A4C0000}"/>
    <cellStyle name="Accent2 3 17 14" xfId="19643" xr:uid="{00000000-0005-0000-0000-00006B4C0000}"/>
    <cellStyle name="Accent2 3 17 15" xfId="19644" xr:uid="{00000000-0005-0000-0000-00006C4C0000}"/>
    <cellStyle name="Accent2 3 17 2" xfId="19645" xr:uid="{00000000-0005-0000-0000-00006D4C0000}"/>
    <cellStyle name="Accent2 3 17 3" xfId="19646" xr:uid="{00000000-0005-0000-0000-00006E4C0000}"/>
    <cellStyle name="Accent2 3 17 4" xfId="19647" xr:uid="{00000000-0005-0000-0000-00006F4C0000}"/>
    <cellStyle name="Accent2 3 17 5" xfId="19648" xr:uid="{00000000-0005-0000-0000-0000704C0000}"/>
    <cellStyle name="Accent2 3 17 6" xfId="19649" xr:uid="{00000000-0005-0000-0000-0000714C0000}"/>
    <cellStyle name="Accent2 3 17 7" xfId="19650" xr:uid="{00000000-0005-0000-0000-0000724C0000}"/>
    <cellStyle name="Accent2 3 17 8" xfId="19651" xr:uid="{00000000-0005-0000-0000-0000734C0000}"/>
    <cellStyle name="Accent2 3 17 9" xfId="19652" xr:uid="{00000000-0005-0000-0000-0000744C0000}"/>
    <cellStyle name="Accent2 3 18" xfId="19653" xr:uid="{00000000-0005-0000-0000-0000754C0000}"/>
    <cellStyle name="Accent2 3 18 10" xfId="19654" xr:uid="{00000000-0005-0000-0000-0000764C0000}"/>
    <cellStyle name="Accent2 3 18 11" xfId="19655" xr:uid="{00000000-0005-0000-0000-0000774C0000}"/>
    <cellStyle name="Accent2 3 18 12" xfId="19656" xr:uid="{00000000-0005-0000-0000-0000784C0000}"/>
    <cellStyle name="Accent2 3 18 13" xfId="19657" xr:uid="{00000000-0005-0000-0000-0000794C0000}"/>
    <cellStyle name="Accent2 3 18 14" xfId="19658" xr:uid="{00000000-0005-0000-0000-00007A4C0000}"/>
    <cellStyle name="Accent2 3 18 15" xfId="19659" xr:uid="{00000000-0005-0000-0000-00007B4C0000}"/>
    <cellStyle name="Accent2 3 18 2" xfId="19660" xr:uid="{00000000-0005-0000-0000-00007C4C0000}"/>
    <cellStyle name="Accent2 3 18 3" xfId="19661" xr:uid="{00000000-0005-0000-0000-00007D4C0000}"/>
    <cellStyle name="Accent2 3 18 4" xfId="19662" xr:uid="{00000000-0005-0000-0000-00007E4C0000}"/>
    <cellStyle name="Accent2 3 18 5" xfId="19663" xr:uid="{00000000-0005-0000-0000-00007F4C0000}"/>
    <cellStyle name="Accent2 3 18 6" xfId="19664" xr:uid="{00000000-0005-0000-0000-0000804C0000}"/>
    <cellStyle name="Accent2 3 18 7" xfId="19665" xr:uid="{00000000-0005-0000-0000-0000814C0000}"/>
    <cellStyle name="Accent2 3 18 8" xfId="19666" xr:uid="{00000000-0005-0000-0000-0000824C0000}"/>
    <cellStyle name="Accent2 3 18 9" xfId="19667" xr:uid="{00000000-0005-0000-0000-0000834C0000}"/>
    <cellStyle name="Accent2 3 19" xfId="19668" xr:uid="{00000000-0005-0000-0000-0000844C0000}"/>
    <cellStyle name="Accent2 3 19 10" xfId="19669" xr:uid="{00000000-0005-0000-0000-0000854C0000}"/>
    <cellStyle name="Accent2 3 19 11" xfId="19670" xr:uid="{00000000-0005-0000-0000-0000864C0000}"/>
    <cellStyle name="Accent2 3 19 12" xfId="19671" xr:uid="{00000000-0005-0000-0000-0000874C0000}"/>
    <cellStyle name="Accent2 3 19 13" xfId="19672" xr:uid="{00000000-0005-0000-0000-0000884C0000}"/>
    <cellStyle name="Accent2 3 19 14" xfId="19673" xr:uid="{00000000-0005-0000-0000-0000894C0000}"/>
    <cellStyle name="Accent2 3 19 15" xfId="19674" xr:uid="{00000000-0005-0000-0000-00008A4C0000}"/>
    <cellStyle name="Accent2 3 19 2" xfId="19675" xr:uid="{00000000-0005-0000-0000-00008B4C0000}"/>
    <cellStyle name="Accent2 3 19 3" xfId="19676" xr:uid="{00000000-0005-0000-0000-00008C4C0000}"/>
    <cellStyle name="Accent2 3 19 4" xfId="19677" xr:uid="{00000000-0005-0000-0000-00008D4C0000}"/>
    <cellStyle name="Accent2 3 19 5" xfId="19678" xr:uid="{00000000-0005-0000-0000-00008E4C0000}"/>
    <cellStyle name="Accent2 3 19 6" xfId="19679" xr:uid="{00000000-0005-0000-0000-00008F4C0000}"/>
    <cellStyle name="Accent2 3 19 7" xfId="19680" xr:uid="{00000000-0005-0000-0000-0000904C0000}"/>
    <cellStyle name="Accent2 3 19 8" xfId="19681" xr:uid="{00000000-0005-0000-0000-0000914C0000}"/>
    <cellStyle name="Accent2 3 19 9" xfId="19682" xr:uid="{00000000-0005-0000-0000-0000924C0000}"/>
    <cellStyle name="Accent2 3 2" xfId="19683" xr:uid="{00000000-0005-0000-0000-0000934C0000}"/>
    <cellStyle name="Accent2 3 2 10" xfId="19684" xr:uid="{00000000-0005-0000-0000-0000944C0000}"/>
    <cellStyle name="Accent2 3 2 11" xfId="19685" xr:uid="{00000000-0005-0000-0000-0000954C0000}"/>
    <cellStyle name="Accent2 3 2 12" xfId="19686" xr:uid="{00000000-0005-0000-0000-0000964C0000}"/>
    <cellStyle name="Accent2 3 2 13" xfId="19687" xr:uid="{00000000-0005-0000-0000-0000974C0000}"/>
    <cellStyle name="Accent2 3 2 14" xfId="19688" xr:uid="{00000000-0005-0000-0000-0000984C0000}"/>
    <cellStyle name="Accent2 3 2 15" xfId="19689" xr:uid="{00000000-0005-0000-0000-0000994C0000}"/>
    <cellStyle name="Accent2 3 2 16" xfId="19690" xr:uid="{00000000-0005-0000-0000-00009A4C0000}"/>
    <cellStyle name="Accent2 3 2 17" xfId="19691" xr:uid="{00000000-0005-0000-0000-00009B4C0000}"/>
    <cellStyle name="Accent2 3 2 18" xfId="19692" xr:uid="{00000000-0005-0000-0000-00009C4C0000}"/>
    <cellStyle name="Accent2 3 2 19" xfId="19693" xr:uid="{00000000-0005-0000-0000-00009D4C0000}"/>
    <cellStyle name="Accent2 3 2 2" xfId="19694" xr:uid="{00000000-0005-0000-0000-00009E4C0000}"/>
    <cellStyle name="Accent2 3 2 20" xfId="19695" xr:uid="{00000000-0005-0000-0000-00009F4C0000}"/>
    <cellStyle name="Accent2 3 2 21" xfId="19696" xr:uid="{00000000-0005-0000-0000-0000A04C0000}"/>
    <cellStyle name="Accent2 3 2 22" xfId="19697" xr:uid="{00000000-0005-0000-0000-0000A14C0000}"/>
    <cellStyle name="Accent2 3 2 23" xfId="19698" xr:uid="{00000000-0005-0000-0000-0000A24C0000}"/>
    <cellStyle name="Accent2 3 2 24" xfId="19699" xr:uid="{00000000-0005-0000-0000-0000A34C0000}"/>
    <cellStyle name="Accent2 3 2 25" xfId="19700" xr:uid="{00000000-0005-0000-0000-0000A44C0000}"/>
    <cellStyle name="Accent2 3 2 26" xfId="19701" xr:uid="{00000000-0005-0000-0000-0000A54C0000}"/>
    <cellStyle name="Accent2 3 2 27" xfId="19702" xr:uid="{00000000-0005-0000-0000-0000A64C0000}"/>
    <cellStyle name="Accent2 3 2 28" xfId="19703" xr:uid="{00000000-0005-0000-0000-0000A74C0000}"/>
    <cellStyle name="Accent2 3 2 29" xfId="19704" xr:uid="{00000000-0005-0000-0000-0000A84C0000}"/>
    <cellStyle name="Accent2 3 2 3" xfId="19705" xr:uid="{00000000-0005-0000-0000-0000A94C0000}"/>
    <cellStyle name="Accent2 3 2 30" xfId="19706" xr:uid="{00000000-0005-0000-0000-0000AA4C0000}"/>
    <cellStyle name="Accent2 3 2 31" xfId="19707" xr:uid="{00000000-0005-0000-0000-0000AB4C0000}"/>
    <cellStyle name="Accent2 3 2 32" xfId="19708" xr:uid="{00000000-0005-0000-0000-0000AC4C0000}"/>
    <cellStyle name="Accent2 3 2 33" xfId="19709" xr:uid="{00000000-0005-0000-0000-0000AD4C0000}"/>
    <cellStyle name="Accent2 3 2 34" xfId="19710" xr:uid="{00000000-0005-0000-0000-0000AE4C0000}"/>
    <cellStyle name="Accent2 3 2 35" xfId="19711" xr:uid="{00000000-0005-0000-0000-0000AF4C0000}"/>
    <cellStyle name="Accent2 3 2 36" xfId="19712" xr:uid="{00000000-0005-0000-0000-0000B04C0000}"/>
    <cellStyle name="Accent2 3 2 37" xfId="19713" xr:uid="{00000000-0005-0000-0000-0000B14C0000}"/>
    <cellStyle name="Accent2 3 2 38" xfId="19714" xr:uid="{00000000-0005-0000-0000-0000B24C0000}"/>
    <cellStyle name="Accent2 3 2 39" xfId="19715" xr:uid="{00000000-0005-0000-0000-0000B34C0000}"/>
    <cellStyle name="Accent2 3 2 4" xfId="19716" xr:uid="{00000000-0005-0000-0000-0000B44C0000}"/>
    <cellStyle name="Accent2 3 2 40" xfId="19717" xr:uid="{00000000-0005-0000-0000-0000B54C0000}"/>
    <cellStyle name="Accent2 3 2 41" xfId="19718" xr:uid="{00000000-0005-0000-0000-0000B64C0000}"/>
    <cellStyle name="Accent2 3 2 42" xfId="19719" xr:uid="{00000000-0005-0000-0000-0000B74C0000}"/>
    <cellStyle name="Accent2 3 2 43" xfId="19720" xr:uid="{00000000-0005-0000-0000-0000B84C0000}"/>
    <cellStyle name="Accent2 3 2 44" xfId="19721" xr:uid="{00000000-0005-0000-0000-0000B94C0000}"/>
    <cellStyle name="Accent2 3 2 45" xfId="19722" xr:uid="{00000000-0005-0000-0000-0000BA4C0000}"/>
    <cellStyle name="Accent2 3 2 46" xfId="19723" xr:uid="{00000000-0005-0000-0000-0000BB4C0000}"/>
    <cellStyle name="Accent2 3 2 47" xfId="19724" xr:uid="{00000000-0005-0000-0000-0000BC4C0000}"/>
    <cellStyle name="Accent2 3 2 48" xfId="19725" xr:uid="{00000000-0005-0000-0000-0000BD4C0000}"/>
    <cellStyle name="Accent2 3 2 49" xfId="19726" xr:uid="{00000000-0005-0000-0000-0000BE4C0000}"/>
    <cellStyle name="Accent2 3 2 5" xfId="19727" xr:uid="{00000000-0005-0000-0000-0000BF4C0000}"/>
    <cellStyle name="Accent2 3 2 50" xfId="19728" xr:uid="{00000000-0005-0000-0000-0000C04C0000}"/>
    <cellStyle name="Accent2 3 2 51" xfId="19729" xr:uid="{00000000-0005-0000-0000-0000C14C0000}"/>
    <cellStyle name="Accent2 3 2 52" xfId="19730" xr:uid="{00000000-0005-0000-0000-0000C24C0000}"/>
    <cellStyle name="Accent2 3 2 53" xfId="19731" xr:uid="{00000000-0005-0000-0000-0000C34C0000}"/>
    <cellStyle name="Accent2 3 2 6" xfId="19732" xr:uid="{00000000-0005-0000-0000-0000C44C0000}"/>
    <cellStyle name="Accent2 3 2 7" xfId="19733" xr:uid="{00000000-0005-0000-0000-0000C54C0000}"/>
    <cellStyle name="Accent2 3 2 8" xfId="19734" xr:uid="{00000000-0005-0000-0000-0000C64C0000}"/>
    <cellStyle name="Accent2 3 2 9" xfId="19735" xr:uid="{00000000-0005-0000-0000-0000C74C0000}"/>
    <cellStyle name="Accent2 3 20" xfId="19736" xr:uid="{00000000-0005-0000-0000-0000C84C0000}"/>
    <cellStyle name="Accent2 3 20 10" xfId="19737" xr:uid="{00000000-0005-0000-0000-0000C94C0000}"/>
    <cellStyle name="Accent2 3 20 11" xfId="19738" xr:uid="{00000000-0005-0000-0000-0000CA4C0000}"/>
    <cellStyle name="Accent2 3 20 12" xfId="19739" xr:uid="{00000000-0005-0000-0000-0000CB4C0000}"/>
    <cellStyle name="Accent2 3 20 13" xfId="19740" xr:uid="{00000000-0005-0000-0000-0000CC4C0000}"/>
    <cellStyle name="Accent2 3 20 14" xfId="19741" xr:uid="{00000000-0005-0000-0000-0000CD4C0000}"/>
    <cellStyle name="Accent2 3 20 15" xfId="19742" xr:uid="{00000000-0005-0000-0000-0000CE4C0000}"/>
    <cellStyle name="Accent2 3 20 2" xfId="19743" xr:uid="{00000000-0005-0000-0000-0000CF4C0000}"/>
    <cellStyle name="Accent2 3 20 3" xfId="19744" xr:uid="{00000000-0005-0000-0000-0000D04C0000}"/>
    <cellStyle name="Accent2 3 20 4" xfId="19745" xr:uid="{00000000-0005-0000-0000-0000D14C0000}"/>
    <cellStyle name="Accent2 3 20 5" xfId="19746" xr:uid="{00000000-0005-0000-0000-0000D24C0000}"/>
    <cellStyle name="Accent2 3 20 6" xfId="19747" xr:uid="{00000000-0005-0000-0000-0000D34C0000}"/>
    <cellStyle name="Accent2 3 20 7" xfId="19748" xr:uid="{00000000-0005-0000-0000-0000D44C0000}"/>
    <cellStyle name="Accent2 3 20 8" xfId="19749" xr:uid="{00000000-0005-0000-0000-0000D54C0000}"/>
    <cellStyle name="Accent2 3 20 9" xfId="19750" xr:uid="{00000000-0005-0000-0000-0000D64C0000}"/>
    <cellStyle name="Accent2 3 21" xfId="19751" xr:uid="{00000000-0005-0000-0000-0000D74C0000}"/>
    <cellStyle name="Accent2 3 21 10" xfId="19752" xr:uid="{00000000-0005-0000-0000-0000D84C0000}"/>
    <cellStyle name="Accent2 3 21 11" xfId="19753" xr:uid="{00000000-0005-0000-0000-0000D94C0000}"/>
    <cellStyle name="Accent2 3 21 12" xfId="19754" xr:uid="{00000000-0005-0000-0000-0000DA4C0000}"/>
    <cellStyle name="Accent2 3 21 13" xfId="19755" xr:uid="{00000000-0005-0000-0000-0000DB4C0000}"/>
    <cellStyle name="Accent2 3 21 14" xfId="19756" xr:uid="{00000000-0005-0000-0000-0000DC4C0000}"/>
    <cellStyle name="Accent2 3 21 15" xfId="19757" xr:uid="{00000000-0005-0000-0000-0000DD4C0000}"/>
    <cellStyle name="Accent2 3 21 2" xfId="19758" xr:uid="{00000000-0005-0000-0000-0000DE4C0000}"/>
    <cellStyle name="Accent2 3 21 3" xfId="19759" xr:uid="{00000000-0005-0000-0000-0000DF4C0000}"/>
    <cellStyle name="Accent2 3 21 4" xfId="19760" xr:uid="{00000000-0005-0000-0000-0000E04C0000}"/>
    <cellStyle name="Accent2 3 21 5" xfId="19761" xr:uid="{00000000-0005-0000-0000-0000E14C0000}"/>
    <cellStyle name="Accent2 3 21 6" xfId="19762" xr:uid="{00000000-0005-0000-0000-0000E24C0000}"/>
    <cellStyle name="Accent2 3 21 7" xfId="19763" xr:uid="{00000000-0005-0000-0000-0000E34C0000}"/>
    <cellStyle name="Accent2 3 21 8" xfId="19764" xr:uid="{00000000-0005-0000-0000-0000E44C0000}"/>
    <cellStyle name="Accent2 3 21 9" xfId="19765" xr:uid="{00000000-0005-0000-0000-0000E54C0000}"/>
    <cellStyle name="Accent2 3 22" xfId="19766" xr:uid="{00000000-0005-0000-0000-0000E64C0000}"/>
    <cellStyle name="Accent2 3 22 10" xfId="19767" xr:uid="{00000000-0005-0000-0000-0000E74C0000}"/>
    <cellStyle name="Accent2 3 22 11" xfId="19768" xr:uid="{00000000-0005-0000-0000-0000E84C0000}"/>
    <cellStyle name="Accent2 3 22 12" xfId="19769" xr:uid="{00000000-0005-0000-0000-0000E94C0000}"/>
    <cellStyle name="Accent2 3 22 13" xfId="19770" xr:uid="{00000000-0005-0000-0000-0000EA4C0000}"/>
    <cellStyle name="Accent2 3 22 14" xfId="19771" xr:uid="{00000000-0005-0000-0000-0000EB4C0000}"/>
    <cellStyle name="Accent2 3 22 15" xfId="19772" xr:uid="{00000000-0005-0000-0000-0000EC4C0000}"/>
    <cellStyle name="Accent2 3 22 2" xfId="19773" xr:uid="{00000000-0005-0000-0000-0000ED4C0000}"/>
    <cellStyle name="Accent2 3 22 3" xfId="19774" xr:uid="{00000000-0005-0000-0000-0000EE4C0000}"/>
    <cellStyle name="Accent2 3 22 4" xfId="19775" xr:uid="{00000000-0005-0000-0000-0000EF4C0000}"/>
    <cellStyle name="Accent2 3 22 5" xfId="19776" xr:uid="{00000000-0005-0000-0000-0000F04C0000}"/>
    <cellStyle name="Accent2 3 22 6" xfId="19777" xr:uid="{00000000-0005-0000-0000-0000F14C0000}"/>
    <cellStyle name="Accent2 3 22 7" xfId="19778" xr:uid="{00000000-0005-0000-0000-0000F24C0000}"/>
    <cellStyle name="Accent2 3 22 8" xfId="19779" xr:uid="{00000000-0005-0000-0000-0000F34C0000}"/>
    <cellStyle name="Accent2 3 22 9" xfId="19780" xr:uid="{00000000-0005-0000-0000-0000F44C0000}"/>
    <cellStyle name="Accent2 3 23" xfId="19781" xr:uid="{00000000-0005-0000-0000-0000F54C0000}"/>
    <cellStyle name="Accent2 3 23 10" xfId="19782" xr:uid="{00000000-0005-0000-0000-0000F64C0000}"/>
    <cellStyle name="Accent2 3 23 11" xfId="19783" xr:uid="{00000000-0005-0000-0000-0000F74C0000}"/>
    <cellStyle name="Accent2 3 23 12" xfId="19784" xr:uid="{00000000-0005-0000-0000-0000F84C0000}"/>
    <cellStyle name="Accent2 3 23 13" xfId="19785" xr:uid="{00000000-0005-0000-0000-0000F94C0000}"/>
    <cellStyle name="Accent2 3 23 14" xfId="19786" xr:uid="{00000000-0005-0000-0000-0000FA4C0000}"/>
    <cellStyle name="Accent2 3 23 15" xfId="19787" xr:uid="{00000000-0005-0000-0000-0000FB4C0000}"/>
    <cellStyle name="Accent2 3 23 2" xfId="19788" xr:uid="{00000000-0005-0000-0000-0000FC4C0000}"/>
    <cellStyle name="Accent2 3 23 3" xfId="19789" xr:uid="{00000000-0005-0000-0000-0000FD4C0000}"/>
    <cellStyle name="Accent2 3 23 4" xfId="19790" xr:uid="{00000000-0005-0000-0000-0000FE4C0000}"/>
    <cellStyle name="Accent2 3 23 5" xfId="19791" xr:uid="{00000000-0005-0000-0000-0000FF4C0000}"/>
    <cellStyle name="Accent2 3 23 6" xfId="19792" xr:uid="{00000000-0005-0000-0000-0000004D0000}"/>
    <cellStyle name="Accent2 3 23 7" xfId="19793" xr:uid="{00000000-0005-0000-0000-0000014D0000}"/>
    <cellStyle name="Accent2 3 23 8" xfId="19794" xr:uid="{00000000-0005-0000-0000-0000024D0000}"/>
    <cellStyle name="Accent2 3 23 9" xfId="19795" xr:uid="{00000000-0005-0000-0000-0000034D0000}"/>
    <cellStyle name="Accent2 3 24" xfId="19796" xr:uid="{00000000-0005-0000-0000-0000044D0000}"/>
    <cellStyle name="Accent2 3 24 10" xfId="19797" xr:uid="{00000000-0005-0000-0000-0000054D0000}"/>
    <cellStyle name="Accent2 3 24 11" xfId="19798" xr:uid="{00000000-0005-0000-0000-0000064D0000}"/>
    <cellStyle name="Accent2 3 24 12" xfId="19799" xr:uid="{00000000-0005-0000-0000-0000074D0000}"/>
    <cellStyle name="Accent2 3 24 13" xfId="19800" xr:uid="{00000000-0005-0000-0000-0000084D0000}"/>
    <cellStyle name="Accent2 3 24 14" xfId="19801" xr:uid="{00000000-0005-0000-0000-0000094D0000}"/>
    <cellStyle name="Accent2 3 24 15" xfId="19802" xr:uid="{00000000-0005-0000-0000-00000A4D0000}"/>
    <cellStyle name="Accent2 3 24 2" xfId="19803" xr:uid="{00000000-0005-0000-0000-00000B4D0000}"/>
    <cellStyle name="Accent2 3 24 3" xfId="19804" xr:uid="{00000000-0005-0000-0000-00000C4D0000}"/>
    <cellStyle name="Accent2 3 24 4" xfId="19805" xr:uid="{00000000-0005-0000-0000-00000D4D0000}"/>
    <cellStyle name="Accent2 3 24 5" xfId="19806" xr:uid="{00000000-0005-0000-0000-00000E4D0000}"/>
    <cellStyle name="Accent2 3 24 6" xfId="19807" xr:uid="{00000000-0005-0000-0000-00000F4D0000}"/>
    <cellStyle name="Accent2 3 24 7" xfId="19808" xr:uid="{00000000-0005-0000-0000-0000104D0000}"/>
    <cellStyle name="Accent2 3 24 8" xfId="19809" xr:uid="{00000000-0005-0000-0000-0000114D0000}"/>
    <cellStyle name="Accent2 3 24 9" xfId="19810" xr:uid="{00000000-0005-0000-0000-0000124D0000}"/>
    <cellStyle name="Accent2 3 25" xfId="19811" xr:uid="{00000000-0005-0000-0000-0000134D0000}"/>
    <cellStyle name="Accent2 3 25 10" xfId="19812" xr:uid="{00000000-0005-0000-0000-0000144D0000}"/>
    <cellStyle name="Accent2 3 25 11" xfId="19813" xr:uid="{00000000-0005-0000-0000-0000154D0000}"/>
    <cellStyle name="Accent2 3 25 12" xfId="19814" xr:uid="{00000000-0005-0000-0000-0000164D0000}"/>
    <cellStyle name="Accent2 3 25 13" xfId="19815" xr:uid="{00000000-0005-0000-0000-0000174D0000}"/>
    <cellStyle name="Accent2 3 25 14" xfId="19816" xr:uid="{00000000-0005-0000-0000-0000184D0000}"/>
    <cellStyle name="Accent2 3 25 15" xfId="19817" xr:uid="{00000000-0005-0000-0000-0000194D0000}"/>
    <cellStyle name="Accent2 3 25 2" xfId="19818" xr:uid="{00000000-0005-0000-0000-00001A4D0000}"/>
    <cellStyle name="Accent2 3 25 3" xfId="19819" xr:uid="{00000000-0005-0000-0000-00001B4D0000}"/>
    <cellStyle name="Accent2 3 25 4" xfId="19820" xr:uid="{00000000-0005-0000-0000-00001C4D0000}"/>
    <cellStyle name="Accent2 3 25 5" xfId="19821" xr:uid="{00000000-0005-0000-0000-00001D4D0000}"/>
    <cellStyle name="Accent2 3 25 6" xfId="19822" xr:uid="{00000000-0005-0000-0000-00001E4D0000}"/>
    <cellStyle name="Accent2 3 25 7" xfId="19823" xr:uid="{00000000-0005-0000-0000-00001F4D0000}"/>
    <cellStyle name="Accent2 3 25 8" xfId="19824" xr:uid="{00000000-0005-0000-0000-0000204D0000}"/>
    <cellStyle name="Accent2 3 25 9" xfId="19825" xr:uid="{00000000-0005-0000-0000-0000214D0000}"/>
    <cellStyle name="Accent2 3 26" xfId="19826" xr:uid="{00000000-0005-0000-0000-0000224D0000}"/>
    <cellStyle name="Accent2 3 26 10" xfId="19827" xr:uid="{00000000-0005-0000-0000-0000234D0000}"/>
    <cellStyle name="Accent2 3 26 11" xfId="19828" xr:uid="{00000000-0005-0000-0000-0000244D0000}"/>
    <cellStyle name="Accent2 3 26 12" xfId="19829" xr:uid="{00000000-0005-0000-0000-0000254D0000}"/>
    <cellStyle name="Accent2 3 26 13" xfId="19830" xr:uid="{00000000-0005-0000-0000-0000264D0000}"/>
    <cellStyle name="Accent2 3 26 14" xfId="19831" xr:uid="{00000000-0005-0000-0000-0000274D0000}"/>
    <cellStyle name="Accent2 3 26 15" xfId="19832" xr:uid="{00000000-0005-0000-0000-0000284D0000}"/>
    <cellStyle name="Accent2 3 26 2" xfId="19833" xr:uid="{00000000-0005-0000-0000-0000294D0000}"/>
    <cellStyle name="Accent2 3 26 3" xfId="19834" xr:uid="{00000000-0005-0000-0000-00002A4D0000}"/>
    <cellStyle name="Accent2 3 26 4" xfId="19835" xr:uid="{00000000-0005-0000-0000-00002B4D0000}"/>
    <cellStyle name="Accent2 3 26 5" xfId="19836" xr:uid="{00000000-0005-0000-0000-00002C4D0000}"/>
    <cellStyle name="Accent2 3 26 6" xfId="19837" xr:uid="{00000000-0005-0000-0000-00002D4D0000}"/>
    <cellStyle name="Accent2 3 26 7" xfId="19838" xr:uid="{00000000-0005-0000-0000-00002E4D0000}"/>
    <cellStyle name="Accent2 3 26 8" xfId="19839" xr:uid="{00000000-0005-0000-0000-00002F4D0000}"/>
    <cellStyle name="Accent2 3 26 9" xfId="19840" xr:uid="{00000000-0005-0000-0000-0000304D0000}"/>
    <cellStyle name="Accent2 3 27" xfId="19841" xr:uid="{00000000-0005-0000-0000-0000314D0000}"/>
    <cellStyle name="Accent2 3 27 10" xfId="19842" xr:uid="{00000000-0005-0000-0000-0000324D0000}"/>
    <cellStyle name="Accent2 3 27 11" xfId="19843" xr:uid="{00000000-0005-0000-0000-0000334D0000}"/>
    <cellStyle name="Accent2 3 27 12" xfId="19844" xr:uid="{00000000-0005-0000-0000-0000344D0000}"/>
    <cellStyle name="Accent2 3 27 13" xfId="19845" xr:uid="{00000000-0005-0000-0000-0000354D0000}"/>
    <cellStyle name="Accent2 3 27 14" xfId="19846" xr:uid="{00000000-0005-0000-0000-0000364D0000}"/>
    <cellStyle name="Accent2 3 27 15" xfId="19847" xr:uid="{00000000-0005-0000-0000-0000374D0000}"/>
    <cellStyle name="Accent2 3 27 2" xfId="19848" xr:uid="{00000000-0005-0000-0000-0000384D0000}"/>
    <cellStyle name="Accent2 3 27 3" xfId="19849" xr:uid="{00000000-0005-0000-0000-0000394D0000}"/>
    <cellStyle name="Accent2 3 27 4" xfId="19850" xr:uid="{00000000-0005-0000-0000-00003A4D0000}"/>
    <cellStyle name="Accent2 3 27 5" xfId="19851" xr:uid="{00000000-0005-0000-0000-00003B4D0000}"/>
    <cellStyle name="Accent2 3 27 6" xfId="19852" xr:uid="{00000000-0005-0000-0000-00003C4D0000}"/>
    <cellStyle name="Accent2 3 27 7" xfId="19853" xr:uid="{00000000-0005-0000-0000-00003D4D0000}"/>
    <cellStyle name="Accent2 3 27 8" xfId="19854" xr:uid="{00000000-0005-0000-0000-00003E4D0000}"/>
    <cellStyle name="Accent2 3 27 9" xfId="19855" xr:uid="{00000000-0005-0000-0000-00003F4D0000}"/>
    <cellStyle name="Accent2 3 28" xfId="19856" xr:uid="{00000000-0005-0000-0000-0000404D0000}"/>
    <cellStyle name="Accent2 3 28 10" xfId="19857" xr:uid="{00000000-0005-0000-0000-0000414D0000}"/>
    <cellStyle name="Accent2 3 28 11" xfId="19858" xr:uid="{00000000-0005-0000-0000-0000424D0000}"/>
    <cellStyle name="Accent2 3 28 12" xfId="19859" xr:uid="{00000000-0005-0000-0000-0000434D0000}"/>
    <cellStyle name="Accent2 3 28 13" xfId="19860" xr:uid="{00000000-0005-0000-0000-0000444D0000}"/>
    <cellStyle name="Accent2 3 28 14" xfId="19861" xr:uid="{00000000-0005-0000-0000-0000454D0000}"/>
    <cellStyle name="Accent2 3 28 15" xfId="19862" xr:uid="{00000000-0005-0000-0000-0000464D0000}"/>
    <cellStyle name="Accent2 3 28 2" xfId="19863" xr:uid="{00000000-0005-0000-0000-0000474D0000}"/>
    <cellStyle name="Accent2 3 28 3" xfId="19864" xr:uid="{00000000-0005-0000-0000-0000484D0000}"/>
    <cellStyle name="Accent2 3 28 4" xfId="19865" xr:uid="{00000000-0005-0000-0000-0000494D0000}"/>
    <cellStyle name="Accent2 3 28 5" xfId="19866" xr:uid="{00000000-0005-0000-0000-00004A4D0000}"/>
    <cellStyle name="Accent2 3 28 6" xfId="19867" xr:uid="{00000000-0005-0000-0000-00004B4D0000}"/>
    <cellStyle name="Accent2 3 28 7" xfId="19868" xr:uid="{00000000-0005-0000-0000-00004C4D0000}"/>
    <cellStyle name="Accent2 3 28 8" xfId="19869" xr:uid="{00000000-0005-0000-0000-00004D4D0000}"/>
    <cellStyle name="Accent2 3 28 9" xfId="19870" xr:uid="{00000000-0005-0000-0000-00004E4D0000}"/>
    <cellStyle name="Accent2 3 29" xfId="19871" xr:uid="{00000000-0005-0000-0000-00004F4D0000}"/>
    <cellStyle name="Accent2 3 29 10" xfId="19872" xr:uid="{00000000-0005-0000-0000-0000504D0000}"/>
    <cellStyle name="Accent2 3 29 11" xfId="19873" xr:uid="{00000000-0005-0000-0000-0000514D0000}"/>
    <cellStyle name="Accent2 3 29 12" xfId="19874" xr:uid="{00000000-0005-0000-0000-0000524D0000}"/>
    <cellStyle name="Accent2 3 29 13" xfId="19875" xr:uid="{00000000-0005-0000-0000-0000534D0000}"/>
    <cellStyle name="Accent2 3 29 14" xfId="19876" xr:uid="{00000000-0005-0000-0000-0000544D0000}"/>
    <cellStyle name="Accent2 3 29 15" xfId="19877" xr:uid="{00000000-0005-0000-0000-0000554D0000}"/>
    <cellStyle name="Accent2 3 29 2" xfId="19878" xr:uid="{00000000-0005-0000-0000-0000564D0000}"/>
    <cellStyle name="Accent2 3 29 3" xfId="19879" xr:uid="{00000000-0005-0000-0000-0000574D0000}"/>
    <cellStyle name="Accent2 3 29 4" xfId="19880" xr:uid="{00000000-0005-0000-0000-0000584D0000}"/>
    <cellStyle name="Accent2 3 29 5" xfId="19881" xr:uid="{00000000-0005-0000-0000-0000594D0000}"/>
    <cellStyle name="Accent2 3 29 6" xfId="19882" xr:uid="{00000000-0005-0000-0000-00005A4D0000}"/>
    <cellStyle name="Accent2 3 29 7" xfId="19883" xr:uid="{00000000-0005-0000-0000-00005B4D0000}"/>
    <cellStyle name="Accent2 3 29 8" xfId="19884" xr:uid="{00000000-0005-0000-0000-00005C4D0000}"/>
    <cellStyle name="Accent2 3 29 9" xfId="19885" xr:uid="{00000000-0005-0000-0000-00005D4D0000}"/>
    <cellStyle name="Accent2 3 3" xfId="19886" xr:uid="{00000000-0005-0000-0000-00005E4D0000}"/>
    <cellStyle name="Accent2 3 3 10" xfId="19887" xr:uid="{00000000-0005-0000-0000-00005F4D0000}"/>
    <cellStyle name="Accent2 3 3 11" xfId="19888" xr:uid="{00000000-0005-0000-0000-0000604D0000}"/>
    <cellStyle name="Accent2 3 3 12" xfId="19889" xr:uid="{00000000-0005-0000-0000-0000614D0000}"/>
    <cellStyle name="Accent2 3 3 13" xfId="19890" xr:uid="{00000000-0005-0000-0000-0000624D0000}"/>
    <cellStyle name="Accent2 3 3 14" xfId="19891" xr:uid="{00000000-0005-0000-0000-0000634D0000}"/>
    <cellStyle name="Accent2 3 3 15" xfId="19892" xr:uid="{00000000-0005-0000-0000-0000644D0000}"/>
    <cellStyle name="Accent2 3 3 16" xfId="19893" xr:uid="{00000000-0005-0000-0000-0000654D0000}"/>
    <cellStyle name="Accent2 3 3 2" xfId="19894" xr:uid="{00000000-0005-0000-0000-0000664D0000}"/>
    <cellStyle name="Accent2 3 3 3" xfId="19895" xr:uid="{00000000-0005-0000-0000-0000674D0000}"/>
    <cellStyle name="Accent2 3 3 4" xfId="19896" xr:uid="{00000000-0005-0000-0000-0000684D0000}"/>
    <cellStyle name="Accent2 3 3 5" xfId="19897" xr:uid="{00000000-0005-0000-0000-0000694D0000}"/>
    <cellStyle name="Accent2 3 3 6" xfId="19898" xr:uid="{00000000-0005-0000-0000-00006A4D0000}"/>
    <cellStyle name="Accent2 3 3 7" xfId="19899" xr:uid="{00000000-0005-0000-0000-00006B4D0000}"/>
    <cellStyle name="Accent2 3 3 8" xfId="19900" xr:uid="{00000000-0005-0000-0000-00006C4D0000}"/>
    <cellStyle name="Accent2 3 3 9" xfId="19901" xr:uid="{00000000-0005-0000-0000-00006D4D0000}"/>
    <cellStyle name="Accent2 3 30" xfId="19902" xr:uid="{00000000-0005-0000-0000-00006E4D0000}"/>
    <cellStyle name="Accent2 3 30 10" xfId="19903" xr:uid="{00000000-0005-0000-0000-00006F4D0000}"/>
    <cellStyle name="Accent2 3 30 11" xfId="19904" xr:uid="{00000000-0005-0000-0000-0000704D0000}"/>
    <cellStyle name="Accent2 3 30 12" xfId="19905" xr:uid="{00000000-0005-0000-0000-0000714D0000}"/>
    <cellStyle name="Accent2 3 30 13" xfId="19906" xr:uid="{00000000-0005-0000-0000-0000724D0000}"/>
    <cellStyle name="Accent2 3 30 14" xfId="19907" xr:uid="{00000000-0005-0000-0000-0000734D0000}"/>
    <cellStyle name="Accent2 3 30 15" xfId="19908" xr:uid="{00000000-0005-0000-0000-0000744D0000}"/>
    <cellStyle name="Accent2 3 30 2" xfId="19909" xr:uid="{00000000-0005-0000-0000-0000754D0000}"/>
    <cellStyle name="Accent2 3 30 3" xfId="19910" xr:uid="{00000000-0005-0000-0000-0000764D0000}"/>
    <cellStyle name="Accent2 3 30 4" xfId="19911" xr:uid="{00000000-0005-0000-0000-0000774D0000}"/>
    <cellStyle name="Accent2 3 30 5" xfId="19912" xr:uid="{00000000-0005-0000-0000-0000784D0000}"/>
    <cellStyle name="Accent2 3 30 6" xfId="19913" xr:uid="{00000000-0005-0000-0000-0000794D0000}"/>
    <cellStyle name="Accent2 3 30 7" xfId="19914" xr:uid="{00000000-0005-0000-0000-00007A4D0000}"/>
    <cellStyle name="Accent2 3 30 8" xfId="19915" xr:uid="{00000000-0005-0000-0000-00007B4D0000}"/>
    <cellStyle name="Accent2 3 30 9" xfId="19916" xr:uid="{00000000-0005-0000-0000-00007C4D0000}"/>
    <cellStyle name="Accent2 3 31" xfId="19917" xr:uid="{00000000-0005-0000-0000-00007D4D0000}"/>
    <cellStyle name="Accent2 3 31 10" xfId="19918" xr:uid="{00000000-0005-0000-0000-00007E4D0000}"/>
    <cellStyle name="Accent2 3 31 11" xfId="19919" xr:uid="{00000000-0005-0000-0000-00007F4D0000}"/>
    <cellStyle name="Accent2 3 31 12" xfId="19920" xr:uid="{00000000-0005-0000-0000-0000804D0000}"/>
    <cellStyle name="Accent2 3 31 13" xfId="19921" xr:uid="{00000000-0005-0000-0000-0000814D0000}"/>
    <cellStyle name="Accent2 3 31 14" xfId="19922" xr:uid="{00000000-0005-0000-0000-0000824D0000}"/>
    <cellStyle name="Accent2 3 31 15" xfId="19923" xr:uid="{00000000-0005-0000-0000-0000834D0000}"/>
    <cellStyle name="Accent2 3 31 2" xfId="19924" xr:uid="{00000000-0005-0000-0000-0000844D0000}"/>
    <cellStyle name="Accent2 3 31 3" xfId="19925" xr:uid="{00000000-0005-0000-0000-0000854D0000}"/>
    <cellStyle name="Accent2 3 31 4" xfId="19926" xr:uid="{00000000-0005-0000-0000-0000864D0000}"/>
    <cellStyle name="Accent2 3 31 5" xfId="19927" xr:uid="{00000000-0005-0000-0000-0000874D0000}"/>
    <cellStyle name="Accent2 3 31 6" xfId="19928" xr:uid="{00000000-0005-0000-0000-0000884D0000}"/>
    <cellStyle name="Accent2 3 31 7" xfId="19929" xr:uid="{00000000-0005-0000-0000-0000894D0000}"/>
    <cellStyle name="Accent2 3 31 8" xfId="19930" xr:uid="{00000000-0005-0000-0000-00008A4D0000}"/>
    <cellStyle name="Accent2 3 31 9" xfId="19931" xr:uid="{00000000-0005-0000-0000-00008B4D0000}"/>
    <cellStyle name="Accent2 3 32" xfId="19932" xr:uid="{00000000-0005-0000-0000-00008C4D0000}"/>
    <cellStyle name="Accent2 3 32 10" xfId="19933" xr:uid="{00000000-0005-0000-0000-00008D4D0000}"/>
    <cellStyle name="Accent2 3 32 11" xfId="19934" xr:uid="{00000000-0005-0000-0000-00008E4D0000}"/>
    <cellStyle name="Accent2 3 32 12" xfId="19935" xr:uid="{00000000-0005-0000-0000-00008F4D0000}"/>
    <cellStyle name="Accent2 3 32 13" xfId="19936" xr:uid="{00000000-0005-0000-0000-0000904D0000}"/>
    <cellStyle name="Accent2 3 32 14" xfId="19937" xr:uid="{00000000-0005-0000-0000-0000914D0000}"/>
    <cellStyle name="Accent2 3 32 15" xfId="19938" xr:uid="{00000000-0005-0000-0000-0000924D0000}"/>
    <cellStyle name="Accent2 3 32 2" xfId="19939" xr:uid="{00000000-0005-0000-0000-0000934D0000}"/>
    <cellStyle name="Accent2 3 32 3" xfId="19940" xr:uid="{00000000-0005-0000-0000-0000944D0000}"/>
    <cellStyle name="Accent2 3 32 4" xfId="19941" xr:uid="{00000000-0005-0000-0000-0000954D0000}"/>
    <cellStyle name="Accent2 3 32 5" xfId="19942" xr:uid="{00000000-0005-0000-0000-0000964D0000}"/>
    <cellStyle name="Accent2 3 32 6" xfId="19943" xr:uid="{00000000-0005-0000-0000-0000974D0000}"/>
    <cellStyle name="Accent2 3 32 7" xfId="19944" xr:uid="{00000000-0005-0000-0000-0000984D0000}"/>
    <cellStyle name="Accent2 3 32 8" xfId="19945" xr:uid="{00000000-0005-0000-0000-0000994D0000}"/>
    <cellStyle name="Accent2 3 32 9" xfId="19946" xr:uid="{00000000-0005-0000-0000-00009A4D0000}"/>
    <cellStyle name="Accent2 3 33" xfId="19947" xr:uid="{00000000-0005-0000-0000-00009B4D0000}"/>
    <cellStyle name="Accent2 3 34" xfId="19948" xr:uid="{00000000-0005-0000-0000-00009C4D0000}"/>
    <cellStyle name="Accent2 3 35" xfId="19949" xr:uid="{00000000-0005-0000-0000-00009D4D0000}"/>
    <cellStyle name="Accent2 3 36" xfId="19950" xr:uid="{00000000-0005-0000-0000-00009E4D0000}"/>
    <cellStyle name="Accent2 3 37" xfId="19951" xr:uid="{00000000-0005-0000-0000-00009F4D0000}"/>
    <cellStyle name="Accent2 3 38" xfId="19952" xr:uid="{00000000-0005-0000-0000-0000A04D0000}"/>
    <cellStyle name="Accent2 3 39" xfId="19953" xr:uid="{00000000-0005-0000-0000-0000A14D0000}"/>
    <cellStyle name="Accent2 3 4" xfId="19954" xr:uid="{00000000-0005-0000-0000-0000A24D0000}"/>
    <cellStyle name="Accent2 3 4 10" xfId="19955" xr:uid="{00000000-0005-0000-0000-0000A34D0000}"/>
    <cellStyle name="Accent2 3 4 11" xfId="19956" xr:uid="{00000000-0005-0000-0000-0000A44D0000}"/>
    <cellStyle name="Accent2 3 4 12" xfId="19957" xr:uid="{00000000-0005-0000-0000-0000A54D0000}"/>
    <cellStyle name="Accent2 3 4 13" xfId="19958" xr:uid="{00000000-0005-0000-0000-0000A64D0000}"/>
    <cellStyle name="Accent2 3 4 14" xfId="19959" xr:uid="{00000000-0005-0000-0000-0000A74D0000}"/>
    <cellStyle name="Accent2 3 4 15" xfId="19960" xr:uid="{00000000-0005-0000-0000-0000A84D0000}"/>
    <cellStyle name="Accent2 3 4 2" xfId="19961" xr:uid="{00000000-0005-0000-0000-0000A94D0000}"/>
    <cellStyle name="Accent2 3 4 3" xfId="19962" xr:uid="{00000000-0005-0000-0000-0000AA4D0000}"/>
    <cellStyle name="Accent2 3 4 4" xfId="19963" xr:uid="{00000000-0005-0000-0000-0000AB4D0000}"/>
    <cellStyle name="Accent2 3 4 5" xfId="19964" xr:uid="{00000000-0005-0000-0000-0000AC4D0000}"/>
    <cellStyle name="Accent2 3 4 6" xfId="19965" xr:uid="{00000000-0005-0000-0000-0000AD4D0000}"/>
    <cellStyle name="Accent2 3 4 7" xfId="19966" xr:uid="{00000000-0005-0000-0000-0000AE4D0000}"/>
    <cellStyle name="Accent2 3 4 8" xfId="19967" xr:uid="{00000000-0005-0000-0000-0000AF4D0000}"/>
    <cellStyle name="Accent2 3 4 9" xfId="19968" xr:uid="{00000000-0005-0000-0000-0000B04D0000}"/>
    <cellStyle name="Accent2 3 40" xfId="19969" xr:uid="{00000000-0005-0000-0000-0000B14D0000}"/>
    <cellStyle name="Accent2 3 41" xfId="19970" xr:uid="{00000000-0005-0000-0000-0000B24D0000}"/>
    <cellStyle name="Accent2 3 42" xfId="19971" xr:uid="{00000000-0005-0000-0000-0000B34D0000}"/>
    <cellStyle name="Accent2 3 43" xfId="19972" xr:uid="{00000000-0005-0000-0000-0000B44D0000}"/>
    <cellStyle name="Accent2 3 44" xfId="19973" xr:uid="{00000000-0005-0000-0000-0000B54D0000}"/>
    <cellStyle name="Accent2 3 45" xfId="19974" xr:uid="{00000000-0005-0000-0000-0000B64D0000}"/>
    <cellStyle name="Accent2 3 46" xfId="19975" xr:uid="{00000000-0005-0000-0000-0000B74D0000}"/>
    <cellStyle name="Accent2 3 47" xfId="19976" xr:uid="{00000000-0005-0000-0000-0000B84D0000}"/>
    <cellStyle name="Accent2 3 48" xfId="19977" xr:uid="{00000000-0005-0000-0000-0000B94D0000}"/>
    <cellStyle name="Accent2 3 49" xfId="19978" xr:uid="{00000000-0005-0000-0000-0000BA4D0000}"/>
    <cellStyle name="Accent2 3 5" xfId="19979" xr:uid="{00000000-0005-0000-0000-0000BB4D0000}"/>
    <cellStyle name="Accent2 3 5 10" xfId="19980" xr:uid="{00000000-0005-0000-0000-0000BC4D0000}"/>
    <cellStyle name="Accent2 3 5 11" xfId="19981" xr:uid="{00000000-0005-0000-0000-0000BD4D0000}"/>
    <cellStyle name="Accent2 3 5 12" xfId="19982" xr:uid="{00000000-0005-0000-0000-0000BE4D0000}"/>
    <cellStyle name="Accent2 3 5 13" xfId="19983" xr:uid="{00000000-0005-0000-0000-0000BF4D0000}"/>
    <cellStyle name="Accent2 3 5 14" xfId="19984" xr:uid="{00000000-0005-0000-0000-0000C04D0000}"/>
    <cellStyle name="Accent2 3 5 15" xfId="19985" xr:uid="{00000000-0005-0000-0000-0000C14D0000}"/>
    <cellStyle name="Accent2 3 5 2" xfId="19986" xr:uid="{00000000-0005-0000-0000-0000C24D0000}"/>
    <cellStyle name="Accent2 3 5 3" xfId="19987" xr:uid="{00000000-0005-0000-0000-0000C34D0000}"/>
    <cellStyle name="Accent2 3 5 4" xfId="19988" xr:uid="{00000000-0005-0000-0000-0000C44D0000}"/>
    <cellStyle name="Accent2 3 5 5" xfId="19989" xr:uid="{00000000-0005-0000-0000-0000C54D0000}"/>
    <cellStyle name="Accent2 3 5 6" xfId="19990" xr:uid="{00000000-0005-0000-0000-0000C64D0000}"/>
    <cellStyle name="Accent2 3 5 7" xfId="19991" xr:uid="{00000000-0005-0000-0000-0000C74D0000}"/>
    <cellStyle name="Accent2 3 5 8" xfId="19992" xr:uid="{00000000-0005-0000-0000-0000C84D0000}"/>
    <cellStyle name="Accent2 3 5 9" xfId="19993" xr:uid="{00000000-0005-0000-0000-0000C94D0000}"/>
    <cellStyle name="Accent2 3 50" xfId="19994" xr:uid="{00000000-0005-0000-0000-0000CA4D0000}"/>
    <cellStyle name="Accent2 3 51" xfId="19995" xr:uid="{00000000-0005-0000-0000-0000CB4D0000}"/>
    <cellStyle name="Accent2 3 52" xfId="19996" xr:uid="{00000000-0005-0000-0000-0000CC4D0000}"/>
    <cellStyle name="Accent2 3 53" xfId="19997" xr:uid="{00000000-0005-0000-0000-0000CD4D0000}"/>
    <cellStyle name="Accent2 3 54" xfId="19532" xr:uid="{00000000-0005-0000-0000-0000CE4D0000}"/>
    <cellStyle name="Accent2 3 6" xfId="19998" xr:uid="{00000000-0005-0000-0000-0000CF4D0000}"/>
    <cellStyle name="Accent2 3 6 10" xfId="19999" xr:uid="{00000000-0005-0000-0000-0000D04D0000}"/>
    <cellStyle name="Accent2 3 6 11" xfId="20000" xr:uid="{00000000-0005-0000-0000-0000D14D0000}"/>
    <cellStyle name="Accent2 3 6 12" xfId="20001" xr:uid="{00000000-0005-0000-0000-0000D24D0000}"/>
    <cellStyle name="Accent2 3 6 13" xfId="20002" xr:uid="{00000000-0005-0000-0000-0000D34D0000}"/>
    <cellStyle name="Accent2 3 6 14" xfId="20003" xr:uid="{00000000-0005-0000-0000-0000D44D0000}"/>
    <cellStyle name="Accent2 3 6 15" xfId="20004" xr:uid="{00000000-0005-0000-0000-0000D54D0000}"/>
    <cellStyle name="Accent2 3 6 2" xfId="20005" xr:uid="{00000000-0005-0000-0000-0000D64D0000}"/>
    <cellStyle name="Accent2 3 6 3" xfId="20006" xr:uid="{00000000-0005-0000-0000-0000D74D0000}"/>
    <cellStyle name="Accent2 3 6 4" xfId="20007" xr:uid="{00000000-0005-0000-0000-0000D84D0000}"/>
    <cellStyle name="Accent2 3 6 5" xfId="20008" xr:uid="{00000000-0005-0000-0000-0000D94D0000}"/>
    <cellStyle name="Accent2 3 6 6" xfId="20009" xr:uid="{00000000-0005-0000-0000-0000DA4D0000}"/>
    <cellStyle name="Accent2 3 6 7" xfId="20010" xr:uid="{00000000-0005-0000-0000-0000DB4D0000}"/>
    <cellStyle name="Accent2 3 6 8" xfId="20011" xr:uid="{00000000-0005-0000-0000-0000DC4D0000}"/>
    <cellStyle name="Accent2 3 6 9" xfId="20012" xr:uid="{00000000-0005-0000-0000-0000DD4D0000}"/>
    <cellStyle name="Accent2 3 7" xfId="20013" xr:uid="{00000000-0005-0000-0000-0000DE4D0000}"/>
    <cellStyle name="Accent2 3 7 10" xfId="20014" xr:uid="{00000000-0005-0000-0000-0000DF4D0000}"/>
    <cellStyle name="Accent2 3 7 11" xfId="20015" xr:uid="{00000000-0005-0000-0000-0000E04D0000}"/>
    <cellStyle name="Accent2 3 7 12" xfId="20016" xr:uid="{00000000-0005-0000-0000-0000E14D0000}"/>
    <cellStyle name="Accent2 3 7 13" xfId="20017" xr:uid="{00000000-0005-0000-0000-0000E24D0000}"/>
    <cellStyle name="Accent2 3 7 14" xfId="20018" xr:uid="{00000000-0005-0000-0000-0000E34D0000}"/>
    <cellStyle name="Accent2 3 7 15" xfId="20019" xr:uid="{00000000-0005-0000-0000-0000E44D0000}"/>
    <cellStyle name="Accent2 3 7 2" xfId="20020" xr:uid="{00000000-0005-0000-0000-0000E54D0000}"/>
    <cellStyle name="Accent2 3 7 3" xfId="20021" xr:uid="{00000000-0005-0000-0000-0000E64D0000}"/>
    <cellStyle name="Accent2 3 7 4" xfId="20022" xr:uid="{00000000-0005-0000-0000-0000E74D0000}"/>
    <cellStyle name="Accent2 3 7 5" xfId="20023" xr:uid="{00000000-0005-0000-0000-0000E84D0000}"/>
    <cellStyle name="Accent2 3 7 6" xfId="20024" xr:uid="{00000000-0005-0000-0000-0000E94D0000}"/>
    <cellStyle name="Accent2 3 7 7" xfId="20025" xr:uid="{00000000-0005-0000-0000-0000EA4D0000}"/>
    <cellStyle name="Accent2 3 7 8" xfId="20026" xr:uid="{00000000-0005-0000-0000-0000EB4D0000}"/>
    <cellStyle name="Accent2 3 7 9" xfId="20027" xr:uid="{00000000-0005-0000-0000-0000EC4D0000}"/>
    <cellStyle name="Accent2 3 8" xfId="20028" xr:uid="{00000000-0005-0000-0000-0000ED4D0000}"/>
    <cellStyle name="Accent2 3 8 10" xfId="20029" xr:uid="{00000000-0005-0000-0000-0000EE4D0000}"/>
    <cellStyle name="Accent2 3 8 11" xfId="20030" xr:uid="{00000000-0005-0000-0000-0000EF4D0000}"/>
    <cellStyle name="Accent2 3 8 12" xfId="20031" xr:uid="{00000000-0005-0000-0000-0000F04D0000}"/>
    <cellStyle name="Accent2 3 8 13" xfId="20032" xr:uid="{00000000-0005-0000-0000-0000F14D0000}"/>
    <cellStyle name="Accent2 3 8 14" xfId="20033" xr:uid="{00000000-0005-0000-0000-0000F24D0000}"/>
    <cellStyle name="Accent2 3 8 15" xfId="20034" xr:uid="{00000000-0005-0000-0000-0000F34D0000}"/>
    <cellStyle name="Accent2 3 8 2" xfId="20035" xr:uid="{00000000-0005-0000-0000-0000F44D0000}"/>
    <cellStyle name="Accent2 3 8 3" xfId="20036" xr:uid="{00000000-0005-0000-0000-0000F54D0000}"/>
    <cellStyle name="Accent2 3 8 4" xfId="20037" xr:uid="{00000000-0005-0000-0000-0000F64D0000}"/>
    <cellStyle name="Accent2 3 8 5" xfId="20038" xr:uid="{00000000-0005-0000-0000-0000F74D0000}"/>
    <cellStyle name="Accent2 3 8 6" xfId="20039" xr:uid="{00000000-0005-0000-0000-0000F84D0000}"/>
    <cellStyle name="Accent2 3 8 7" xfId="20040" xr:uid="{00000000-0005-0000-0000-0000F94D0000}"/>
    <cellStyle name="Accent2 3 8 8" xfId="20041" xr:uid="{00000000-0005-0000-0000-0000FA4D0000}"/>
    <cellStyle name="Accent2 3 8 9" xfId="20042" xr:uid="{00000000-0005-0000-0000-0000FB4D0000}"/>
    <cellStyle name="Accent2 3 9" xfId="20043" xr:uid="{00000000-0005-0000-0000-0000FC4D0000}"/>
    <cellStyle name="Accent2 3 9 10" xfId="20044" xr:uid="{00000000-0005-0000-0000-0000FD4D0000}"/>
    <cellStyle name="Accent2 3 9 11" xfId="20045" xr:uid="{00000000-0005-0000-0000-0000FE4D0000}"/>
    <cellStyle name="Accent2 3 9 12" xfId="20046" xr:uid="{00000000-0005-0000-0000-0000FF4D0000}"/>
    <cellStyle name="Accent2 3 9 13" xfId="20047" xr:uid="{00000000-0005-0000-0000-0000004E0000}"/>
    <cellStyle name="Accent2 3 9 14" xfId="20048" xr:uid="{00000000-0005-0000-0000-0000014E0000}"/>
    <cellStyle name="Accent2 3 9 15" xfId="20049" xr:uid="{00000000-0005-0000-0000-0000024E0000}"/>
    <cellStyle name="Accent2 3 9 2" xfId="20050" xr:uid="{00000000-0005-0000-0000-0000034E0000}"/>
    <cellStyle name="Accent2 3 9 3" xfId="20051" xr:uid="{00000000-0005-0000-0000-0000044E0000}"/>
    <cellStyle name="Accent2 3 9 4" xfId="20052" xr:uid="{00000000-0005-0000-0000-0000054E0000}"/>
    <cellStyle name="Accent2 3 9 5" xfId="20053" xr:uid="{00000000-0005-0000-0000-0000064E0000}"/>
    <cellStyle name="Accent2 3 9 6" xfId="20054" xr:uid="{00000000-0005-0000-0000-0000074E0000}"/>
    <cellStyle name="Accent2 3 9 7" xfId="20055" xr:uid="{00000000-0005-0000-0000-0000084E0000}"/>
    <cellStyle name="Accent2 3 9 8" xfId="20056" xr:uid="{00000000-0005-0000-0000-0000094E0000}"/>
    <cellStyle name="Accent2 3 9 9" xfId="20057" xr:uid="{00000000-0005-0000-0000-00000A4E0000}"/>
    <cellStyle name="Accent2 30" xfId="20058" xr:uid="{00000000-0005-0000-0000-00000B4E0000}"/>
    <cellStyle name="Accent2 30 10" xfId="20059" xr:uid="{00000000-0005-0000-0000-00000C4E0000}"/>
    <cellStyle name="Accent2 30 11" xfId="20060" xr:uid="{00000000-0005-0000-0000-00000D4E0000}"/>
    <cellStyle name="Accent2 30 12" xfId="20061" xr:uid="{00000000-0005-0000-0000-00000E4E0000}"/>
    <cellStyle name="Accent2 30 13" xfId="20062" xr:uid="{00000000-0005-0000-0000-00000F4E0000}"/>
    <cellStyle name="Accent2 30 14" xfId="20063" xr:uid="{00000000-0005-0000-0000-0000104E0000}"/>
    <cellStyle name="Accent2 30 15" xfId="20064" xr:uid="{00000000-0005-0000-0000-0000114E0000}"/>
    <cellStyle name="Accent2 30 2" xfId="20065" xr:uid="{00000000-0005-0000-0000-0000124E0000}"/>
    <cellStyle name="Accent2 30 3" xfId="20066" xr:uid="{00000000-0005-0000-0000-0000134E0000}"/>
    <cellStyle name="Accent2 30 4" xfId="20067" xr:uid="{00000000-0005-0000-0000-0000144E0000}"/>
    <cellStyle name="Accent2 30 5" xfId="20068" xr:uid="{00000000-0005-0000-0000-0000154E0000}"/>
    <cellStyle name="Accent2 30 6" xfId="20069" xr:uid="{00000000-0005-0000-0000-0000164E0000}"/>
    <cellStyle name="Accent2 30 7" xfId="20070" xr:uid="{00000000-0005-0000-0000-0000174E0000}"/>
    <cellStyle name="Accent2 30 8" xfId="20071" xr:uid="{00000000-0005-0000-0000-0000184E0000}"/>
    <cellStyle name="Accent2 30 9" xfId="20072" xr:uid="{00000000-0005-0000-0000-0000194E0000}"/>
    <cellStyle name="Accent2 31" xfId="20073" xr:uid="{00000000-0005-0000-0000-00001A4E0000}"/>
    <cellStyle name="Accent2 31 10" xfId="20074" xr:uid="{00000000-0005-0000-0000-00001B4E0000}"/>
    <cellStyle name="Accent2 31 11" xfId="20075" xr:uid="{00000000-0005-0000-0000-00001C4E0000}"/>
    <cellStyle name="Accent2 31 12" xfId="20076" xr:uid="{00000000-0005-0000-0000-00001D4E0000}"/>
    <cellStyle name="Accent2 31 13" xfId="20077" xr:uid="{00000000-0005-0000-0000-00001E4E0000}"/>
    <cellStyle name="Accent2 31 14" xfId="20078" xr:uid="{00000000-0005-0000-0000-00001F4E0000}"/>
    <cellStyle name="Accent2 31 15" xfId="20079" xr:uid="{00000000-0005-0000-0000-0000204E0000}"/>
    <cellStyle name="Accent2 31 2" xfId="20080" xr:uid="{00000000-0005-0000-0000-0000214E0000}"/>
    <cellStyle name="Accent2 31 3" xfId="20081" xr:uid="{00000000-0005-0000-0000-0000224E0000}"/>
    <cellStyle name="Accent2 31 4" xfId="20082" xr:uid="{00000000-0005-0000-0000-0000234E0000}"/>
    <cellStyle name="Accent2 31 5" xfId="20083" xr:uid="{00000000-0005-0000-0000-0000244E0000}"/>
    <cellStyle name="Accent2 31 6" xfId="20084" xr:uid="{00000000-0005-0000-0000-0000254E0000}"/>
    <cellStyle name="Accent2 31 7" xfId="20085" xr:uid="{00000000-0005-0000-0000-0000264E0000}"/>
    <cellStyle name="Accent2 31 8" xfId="20086" xr:uid="{00000000-0005-0000-0000-0000274E0000}"/>
    <cellStyle name="Accent2 31 9" xfId="20087" xr:uid="{00000000-0005-0000-0000-0000284E0000}"/>
    <cellStyle name="Accent2 32" xfId="20088" xr:uid="{00000000-0005-0000-0000-0000294E0000}"/>
    <cellStyle name="Accent2 32 10" xfId="20089" xr:uid="{00000000-0005-0000-0000-00002A4E0000}"/>
    <cellStyle name="Accent2 32 11" xfId="20090" xr:uid="{00000000-0005-0000-0000-00002B4E0000}"/>
    <cellStyle name="Accent2 32 12" xfId="20091" xr:uid="{00000000-0005-0000-0000-00002C4E0000}"/>
    <cellStyle name="Accent2 32 13" xfId="20092" xr:uid="{00000000-0005-0000-0000-00002D4E0000}"/>
    <cellStyle name="Accent2 32 14" xfId="20093" xr:uid="{00000000-0005-0000-0000-00002E4E0000}"/>
    <cellStyle name="Accent2 32 15" xfId="20094" xr:uid="{00000000-0005-0000-0000-00002F4E0000}"/>
    <cellStyle name="Accent2 32 2" xfId="20095" xr:uid="{00000000-0005-0000-0000-0000304E0000}"/>
    <cellStyle name="Accent2 32 3" xfId="20096" xr:uid="{00000000-0005-0000-0000-0000314E0000}"/>
    <cellStyle name="Accent2 32 4" xfId="20097" xr:uid="{00000000-0005-0000-0000-0000324E0000}"/>
    <cellStyle name="Accent2 32 5" xfId="20098" xr:uid="{00000000-0005-0000-0000-0000334E0000}"/>
    <cellStyle name="Accent2 32 6" xfId="20099" xr:uid="{00000000-0005-0000-0000-0000344E0000}"/>
    <cellStyle name="Accent2 32 7" xfId="20100" xr:uid="{00000000-0005-0000-0000-0000354E0000}"/>
    <cellStyle name="Accent2 32 8" xfId="20101" xr:uid="{00000000-0005-0000-0000-0000364E0000}"/>
    <cellStyle name="Accent2 32 9" xfId="20102" xr:uid="{00000000-0005-0000-0000-0000374E0000}"/>
    <cellStyle name="Accent2 33" xfId="20103" xr:uid="{00000000-0005-0000-0000-0000384E0000}"/>
    <cellStyle name="Accent2 33 10" xfId="20104" xr:uid="{00000000-0005-0000-0000-0000394E0000}"/>
    <cellStyle name="Accent2 33 11" xfId="20105" xr:uid="{00000000-0005-0000-0000-00003A4E0000}"/>
    <cellStyle name="Accent2 33 12" xfId="20106" xr:uid="{00000000-0005-0000-0000-00003B4E0000}"/>
    <cellStyle name="Accent2 33 13" xfId="20107" xr:uid="{00000000-0005-0000-0000-00003C4E0000}"/>
    <cellStyle name="Accent2 33 14" xfId="20108" xr:uid="{00000000-0005-0000-0000-00003D4E0000}"/>
    <cellStyle name="Accent2 33 15" xfId="20109" xr:uid="{00000000-0005-0000-0000-00003E4E0000}"/>
    <cellStyle name="Accent2 33 2" xfId="20110" xr:uid="{00000000-0005-0000-0000-00003F4E0000}"/>
    <cellStyle name="Accent2 33 3" xfId="20111" xr:uid="{00000000-0005-0000-0000-0000404E0000}"/>
    <cellStyle name="Accent2 33 4" xfId="20112" xr:uid="{00000000-0005-0000-0000-0000414E0000}"/>
    <cellStyle name="Accent2 33 5" xfId="20113" xr:uid="{00000000-0005-0000-0000-0000424E0000}"/>
    <cellStyle name="Accent2 33 6" xfId="20114" xr:uid="{00000000-0005-0000-0000-0000434E0000}"/>
    <cellStyle name="Accent2 33 7" xfId="20115" xr:uid="{00000000-0005-0000-0000-0000444E0000}"/>
    <cellStyle name="Accent2 33 8" xfId="20116" xr:uid="{00000000-0005-0000-0000-0000454E0000}"/>
    <cellStyle name="Accent2 33 9" xfId="20117" xr:uid="{00000000-0005-0000-0000-0000464E0000}"/>
    <cellStyle name="Accent2 34" xfId="20118" xr:uid="{00000000-0005-0000-0000-0000474E0000}"/>
    <cellStyle name="Accent2 34 10" xfId="20119" xr:uid="{00000000-0005-0000-0000-0000484E0000}"/>
    <cellStyle name="Accent2 34 11" xfId="20120" xr:uid="{00000000-0005-0000-0000-0000494E0000}"/>
    <cellStyle name="Accent2 34 12" xfId="20121" xr:uid="{00000000-0005-0000-0000-00004A4E0000}"/>
    <cellStyle name="Accent2 34 13" xfId="20122" xr:uid="{00000000-0005-0000-0000-00004B4E0000}"/>
    <cellStyle name="Accent2 34 14" xfId="20123" xr:uid="{00000000-0005-0000-0000-00004C4E0000}"/>
    <cellStyle name="Accent2 34 15" xfId="20124" xr:uid="{00000000-0005-0000-0000-00004D4E0000}"/>
    <cellStyle name="Accent2 34 2" xfId="20125" xr:uid="{00000000-0005-0000-0000-00004E4E0000}"/>
    <cellStyle name="Accent2 34 3" xfId="20126" xr:uid="{00000000-0005-0000-0000-00004F4E0000}"/>
    <cellStyle name="Accent2 34 4" xfId="20127" xr:uid="{00000000-0005-0000-0000-0000504E0000}"/>
    <cellStyle name="Accent2 34 5" xfId="20128" xr:uid="{00000000-0005-0000-0000-0000514E0000}"/>
    <cellStyle name="Accent2 34 6" xfId="20129" xr:uid="{00000000-0005-0000-0000-0000524E0000}"/>
    <cellStyle name="Accent2 34 7" xfId="20130" xr:uid="{00000000-0005-0000-0000-0000534E0000}"/>
    <cellStyle name="Accent2 34 8" xfId="20131" xr:uid="{00000000-0005-0000-0000-0000544E0000}"/>
    <cellStyle name="Accent2 34 9" xfId="20132" xr:uid="{00000000-0005-0000-0000-0000554E0000}"/>
    <cellStyle name="Accent2 35" xfId="20133" xr:uid="{00000000-0005-0000-0000-0000564E0000}"/>
    <cellStyle name="Accent2 35 10" xfId="20134" xr:uid="{00000000-0005-0000-0000-0000574E0000}"/>
    <cellStyle name="Accent2 35 11" xfId="20135" xr:uid="{00000000-0005-0000-0000-0000584E0000}"/>
    <cellStyle name="Accent2 35 12" xfId="20136" xr:uid="{00000000-0005-0000-0000-0000594E0000}"/>
    <cellStyle name="Accent2 35 13" xfId="20137" xr:uid="{00000000-0005-0000-0000-00005A4E0000}"/>
    <cellStyle name="Accent2 35 14" xfId="20138" xr:uid="{00000000-0005-0000-0000-00005B4E0000}"/>
    <cellStyle name="Accent2 35 15" xfId="20139" xr:uid="{00000000-0005-0000-0000-00005C4E0000}"/>
    <cellStyle name="Accent2 35 2" xfId="20140" xr:uid="{00000000-0005-0000-0000-00005D4E0000}"/>
    <cellStyle name="Accent2 35 3" xfId="20141" xr:uid="{00000000-0005-0000-0000-00005E4E0000}"/>
    <cellStyle name="Accent2 35 4" xfId="20142" xr:uid="{00000000-0005-0000-0000-00005F4E0000}"/>
    <cellStyle name="Accent2 35 5" xfId="20143" xr:uid="{00000000-0005-0000-0000-0000604E0000}"/>
    <cellStyle name="Accent2 35 6" xfId="20144" xr:uid="{00000000-0005-0000-0000-0000614E0000}"/>
    <cellStyle name="Accent2 35 7" xfId="20145" xr:uid="{00000000-0005-0000-0000-0000624E0000}"/>
    <cellStyle name="Accent2 35 8" xfId="20146" xr:uid="{00000000-0005-0000-0000-0000634E0000}"/>
    <cellStyle name="Accent2 35 9" xfId="20147" xr:uid="{00000000-0005-0000-0000-0000644E0000}"/>
    <cellStyle name="Accent2 36" xfId="20148" xr:uid="{00000000-0005-0000-0000-0000654E0000}"/>
    <cellStyle name="Accent2 36 10" xfId="20149" xr:uid="{00000000-0005-0000-0000-0000664E0000}"/>
    <cellStyle name="Accent2 36 11" xfId="20150" xr:uid="{00000000-0005-0000-0000-0000674E0000}"/>
    <cellStyle name="Accent2 36 12" xfId="20151" xr:uid="{00000000-0005-0000-0000-0000684E0000}"/>
    <cellStyle name="Accent2 36 13" xfId="20152" xr:uid="{00000000-0005-0000-0000-0000694E0000}"/>
    <cellStyle name="Accent2 36 14" xfId="20153" xr:uid="{00000000-0005-0000-0000-00006A4E0000}"/>
    <cellStyle name="Accent2 36 15" xfId="20154" xr:uid="{00000000-0005-0000-0000-00006B4E0000}"/>
    <cellStyle name="Accent2 36 2" xfId="20155" xr:uid="{00000000-0005-0000-0000-00006C4E0000}"/>
    <cellStyle name="Accent2 36 3" xfId="20156" xr:uid="{00000000-0005-0000-0000-00006D4E0000}"/>
    <cellStyle name="Accent2 36 4" xfId="20157" xr:uid="{00000000-0005-0000-0000-00006E4E0000}"/>
    <cellStyle name="Accent2 36 5" xfId="20158" xr:uid="{00000000-0005-0000-0000-00006F4E0000}"/>
    <cellStyle name="Accent2 36 6" xfId="20159" xr:uid="{00000000-0005-0000-0000-0000704E0000}"/>
    <cellStyle name="Accent2 36 7" xfId="20160" xr:uid="{00000000-0005-0000-0000-0000714E0000}"/>
    <cellStyle name="Accent2 36 8" xfId="20161" xr:uid="{00000000-0005-0000-0000-0000724E0000}"/>
    <cellStyle name="Accent2 36 9" xfId="20162" xr:uid="{00000000-0005-0000-0000-0000734E0000}"/>
    <cellStyle name="Accent2 37" xfId="20163" xr:uid="{00000000-0005-0000-0000-0000744E0000}"/>
    <cellStyle name="Accent2 37 10" xfId="20164" xr:uid="{00000000-0005-0000-0000-0000754E0000}"/>
    <cellStyle name="Accent2 37 11" xfId="20165" xr:uid="{00000000-0005-0000-0000-0000764E0000}"/>
    <cellStyle name="Accent2 37 12" xfId="20166" xr:uid="{00000000-0005-0000-0000-0000774E0000}"/>
    <cellStyle name="Accent2 37 13" xfId="20167" xr:uid="{00000000-0005-0000-0000-0000784E0000}"/>
    <cellStyle name="Accent2 37 14" xfId="20168" xr:uid="{00000000-0005-0000-0000-0000794E0000}"/>
    <cellStyle name="Accent2 37 15" xfId="20169" xr:uid="{00000000-0005-0000-0000-00007A4E0000}"/>
    <cellStyle name="Accent2 37 2" xfId="20170" xr:uid="{00000000-0005-0000-0000-00007B4E0000}"/>
    <cellStyle name="Accent2 37 3" xfId="20171" xr:uid="{00000000-0005-0000-0000-00007C4E0000}"/>
    <cellStyle name="Accent2 37 4" xfId="20172" xr:uid="{00000000-0005-0000-0000-00007D4E0000}"/>
    <cellStyle name="Accent2 37 5" xfId="20173" xr:uid="{00000000-0005-0000-0000-00007E4E0000}"/>
    <cellStyle name="Accent2 37 6" xfId="20174" xr:uid="{00000000-0005-0000-0000-00007F4E0000}"/>
    <cellStyle name="Accent2 37 7" xfId="20175" xr:uid="{00000000-0005-0000-0000-0000804E0000}"/>
    <cellStyle name="Accent2 37 8" xfId="20176" xr:uid="{00000000-0005-0000-0000-0000814E0000}"/>
    <cellStyle name="Accent2 37 9" xfId="20177" xr:uid="{00000000-0005-0000-0000-0000824E0000}"/>
    <cellStyle name="Accent2 38" xfId="20178" xr:uid="{00000000-0005-0000-0000-0000834E0000}"/>
    <cellStyle name="Accent2 38 10" xfId="20179" xr:uid="{00000000-0005-0000-0000-0000844E0000}"/>
    <cellStyle name="Accent2 38 11" xfId="20180" xr:uid="{00000000-0005-0000-0000-0000854E0000}"/>
    <cellStyle name="Accent2 38 12" xfId="20181" xr:uid="{00000000-0005-0000-0000-0000864E0000}"/>
    <cellStyle name="Accent2 38 13" xfId="20182" xr:uid="{00000000-0005-0000-0000-0000874E0000}"/>
    <cellStyle name="Accent2 38 14" xfId="20183" xr:uid="{00000000-0005-0000-0000-0000884E0000}"/>
    <cellStyle name="Accent2 38 15" xfId="20184" xr:uid="{00000000-0005-0000-0000-0000894E0000}"/>
    <cellStyle name="Accent2 38 2" xfId="20185" xr:uid="{00000000-0005-0000-0000-00008A4E0000}"/>
    <cellStyle name="Accent2 38 3" xfId="20186" xr:uid="{00000000-0005-0000-0000-00008B4E0000}"/>
    <cellStyle name="Accent2 38 4" xfId="20187" xr:uid="{00000000-0005-0000-0000-00008C4E0000}"/>
    <cellStyle name="Accent2 38 5" xfId="20188" xr:uid="{00000000-0005-0000-0000-00008D4E0000}"/>
    <cellStyle name="Accent2 38 6" xfId="20189" xr:uid="{00000000-0005-0000-0000-00008E4E0000}"/>
    <cellStyle name="Accent2 38 7" xfId="20190" xr:uid="{00000000-0005-0000-0000-00008F4E0000}"/>
    <cellStyle name="Accent2 38 8" xfId="20191" xr:uid="{00000000-0005-0000-0000-0000904E0000}"/>
    <cellStyle name="Accent2 38 9" xfId="20192" xr:uid="{00000000-0005-0000-0000-0000914E0000}"/>
    <cellStyle name="Accent2 39" xfId="20193" xr:uid="{00000000-0005-0000-0000-0000924E0000}"/>
    <cellStyle name="Accent2 39 10" xfId="20194" xr:uid="{00000000-0005-0000-0000-0000934E0000}"/>
    <cellStyle name="Accent2 39 11" xfId="20195" xr:uid="{00000000-0005-0000-0000-0000944E0000}"/>
    <cellStyle name="Accent2 39 12" xfId="20196" xr:uid="{00000000-0005-0000-0000-0000954E0000}"/>
    <cellStyle name="Accent2 39 13" xfId="20197" xr:uid="{00000000-0005-0000-0000-0000964E0000}"/>
    <cellStyle name="Accent2 39 14" xfId="20198" xr:uid="{00000000-0005-0000-0000-0000974E0000}"/>
    <cellStyle name="Accent2 39 15" xfId="20199" xr:uid="{00000000-0005-0000-0000-0000984E0000}"/>
    <cellStyle name="Accent2 39 2" xfId="20200" xr:uid="{00000000-0005-0000-0000-0000994E0000}"/>
    <cellStyle name="Accent2 39 3" xfId="20201" xr:uid="{00000000-0005-0000-0000-00009A4E0000}"/>
    <cellStyle name="Accent2 39 4" xfId="20202" xr:uid="{00000000-0005-0000-0000-00009B4E0000}"/>
    <cellStyle name="Accent2 39 5" xfId="20203" xr:uid="{00000000-0005-0000-0000-00009C4E0000}"/>
    <cellStyle name="Accent2 39 6" xfId="20204" xr:uid="{00000000-0005-0000-0000-00009D4E0000}"/>
    <cellStyle name="Accent2 39 7" xfId="20205" xr:uid="{00000000-0005-0000-0000-00009E4E0000}"/>
    <cellStyle name="Accent2 39 8" xfId="20206" xr:uid="{00000000-0005-0000-0000-00009F4E0000}"/>
    <cellStyle name="Accent2 39 9" xfId="20207" xr:uid="{00000000-0005-0000-0000-0000A04E0000}"/>
    <cellStyle name="Accent2 4" xfId="20208" xr:uid="{00000000-0005-0000-0000-0000A14E0000}"/>
    <cellStyle name="Accent2 4 2" xfId="20209" xr:uid="{00000000-0005-0000-0000-0000A24E0000}"/>
    <cellStyle name="Accent2 4 2 2" xfId="20210" xr:uid="{00000000-0005-0000-0000-0000A34E0000}"/>
    <cellStyle name="Accent2 4 3" xfId="20211" xr:uid="{00000000-0005-0000-0000-0000A44E0000}"/>
    <cellStyle name="Accent2 4 3 2" xfId="20212" xr:uid="{00000000-0005-0000-0000-0000A54E0000}"/>
    <cellStyle name="Accent2 4 4" xfId="20213" xr:uid="{00000000-0005-0000-0000-0000A64E0000}"/>
    <cellStyle name="Accent2 4 4 2" xfId="20214" xr:uid="{00000000-0005-0000-0000-0000A74E0000}"/>
    <cellStyle name="Accent2 4 5" xfId="20215" xr:uid="{00000000-0005-0000-0000-0000A84E0000}"/>
    <cellStyle name="Accent2 4 5 2" xfId="20216" xr:uid="{00000000-0005-0000-0000-0000A94E0000}"/>
    <cellStyle name="Accent2 4 6" xfId="20217" xr:uid="{00000000-0005-0000-0000-0000AA4E0000}"/>
    <cellStyle name="Accent2 4 6 2" xfId="20218" xr:uid="{00000000-0005-0000-0000-0000AB4E0000}"/>
    <cellStyle name="Accent2 4 7" xfId="20219" xr:uid="{00000000-0005-0000-0000-0000AC4E0000}"/>
    <cellStyle name="Accent2 40" xfId="20220" xr:uid="{00000000-0005-0000-0000-0000AD4E0000}"/>
    <cellStyle name="Accent2 41" xfId="20221" xr:uid="{00000000-0005-0000-0000-0000AE4E0000}"/>
    <cellStyle name="Accent2 42" xfId="20222" xr:uid="{00000000-0005-0000-0000-0000AF4E0000}"/>
    <cellStyle name="Accent2 43" xfId="20223" xr:uid="{00000000-0005-0000-0000-0000B04E0000}"/>
    <cellStyle name="Accent2 44" xfId="20224" xr:uid="{00000000-0005-0000-0000-0000B14E0000}"/>
    <cellStyle name="Accent2 45" xfId="20225" xr:uid="{00000000-0005-0000-0000-0000B24E0000}"/>
    <cellStyle name="Accent2 46" xfId="20226" xr:uid="{00000000-0005-0000-0000-0000B34E0000}"/>
    <cellStyle name="Accent2 47" xfId="20227" xr:uid="{00000000-0005-0000-0000-0000B44E0000}"/>
    <cellStyle name="Accent2 48" xfId="20228" xr:uid="{00000000-0005-0000-0000-0000B54E0000}"/>
    <cellStyle name="Accent2 49" xfId="20229" xr:uid="{00000000-0005-0000-0000-0000B64E0000}"/>
    <cellStyle name="Accent2 5" xfId="20230" xr:uid="{00000000-0005-0000-0000-0000B74E0000}"/>
    <cellStyle name="Accent2 5 2" xfId="20231" xr:uid="{00000000-0005-0000-0000-0000B84E0000}"/>
    <cellStyle name="Accent2 5 2 2" xfId="20232" xr:uid="{00000000-0005-0000-0000-0000B94E0000}"/>
    <cellStyle name="Accent2 5 2 3" xfId="20233" xr:uid="{00000000-0005-0000-0000-0000BA4E0000}"/>
    <cellStyle name="Accent2 5 2 4" xfId="20234" xr:uid="{00000000-0005-0000-0000-0000BB4E0000}"/>
    <cellStyle name="Accent2 5 3" xfId="20235" xr:uid="{00000000-0005-0000-0000-0000BC4E0000}"/>
    <cellStyle name="Accent2 5 3 2" xfId="20236" xr:uid="{00000000-0005-0000-0000-0000BD4E0000}"/>
    <cellStyle name="Accent2 5 3 3" xfId="20237" xr:uid="{00000000-0005-0000-0000-0000BE4E0000}"/>
    <cellStyle name="Accent2 5 4" xfId="20238" xr:uid="{00000000-0005-0000-0000-0000BF4E0000}"/>
    <cellStyle name="Accent2 50" xfId="20239" xr:uid="{00000000-0005-0000-0000-0000C04E0000}"/>
    <cellStyle name="Accent2 51" xfId="20240" xr:uid="{00000000-0005-0000-0000-0000C14E0000}"/>
    <cellStyle name="Accent2 52" xfId="20241" xr:uid="{00000000-0005-0000-0000-0000C24E0000}"/>
    <cellStyle name="Accent2 53" xfId="20242" xr:uid="{00000000-0005-0000-0000-0000C34E0000}"/>
    <cellStyle name="Accent2 54" xfId="20243" xr:uid="{00000000-0005-0000-0000-0000C44E0000}"/>
    <cellStyle name="Accent2 55" xfId="20244" xr:uid="{00000000-0005-0000-0000-0000C54E0000}"/>
    <cellStyle name="Accent2 56" xfId="20245" xr:uid="{00000000-0005-0000-0000-0000C64E0000}"/>
    <cellStyle name="Accent2 57" xfId="20246" xr:uid="{00000000-0005-0000-0000-0000C74E0000}"/>
    <cellStyle name="Accent2 58" xfId="20247" xr:uid="{00000000-0005-0000-0000-0000C84E0000}"/>
    <cellStyle name="Accent2 59" xfId="20248" xr:uid="{00000000-0005-0000-0000-0000C94E0000}"/>
    <cellStyle name="Accent2 6" xfId="20249" xr:uid="{00000000-0005-0000-0000-0000CA4E0000}"/>
    <cellStyle name="Accent2 6 2" xfId="20250" xr:uid="{00000000-0005-0000-0000-0000CB4E0000}"/>
    <cellStyle name="Accent2 60" xfId="20251" xr:uid="{00000000-0005-0000-0000-0000CC4E0000}"/>
    <cellStyle name="Accent2 61" xfId="20252" xr:uid="{00000000-0005-0000-0000-0000CD4E0000}"/>
    <cellStyle name="Accent2 62" xfId="20253" xr:uid="{00000000-0005-0000-0000-0000CE4E0000}"/>
    <cellStyle name="Accent2 63" xfId="20254" xr:uid="{00000000-0005-0000-0000-0000CF4E0000}"/>
    <cellStyle name="Accent2 64" xfId="20255" xr:uid="{00000000-0005-0000-0000-0000D04E0000}"/>
    <cellStyle name="Accent2 65" xfId="20256" xr:uid="{00000000-0005-0000-0000-0000D14E0000}"/>
    <cellStyle name="Accent2 66" xfId="20257" xr:uid="{00000000-0005-0000-0000-0000D24E0000}"/>
    <cellStyle name="Accent2 67" xfId="20258" xr:uid="{00000000-0005-0000-0000-0000D34E0000}"/>
    <cellStyle name="Accent2 68" xfId="20259" xr:uid="{00000000-0005-0000-0000-0000D44E0000}"/>
    <cellStyle name="Accent2 69" xfId="20260" xr:uid="{00000000-0005-0000-0000-0000D54E0000}"/>
    <cellStyle name="Accent2 7" xfId="20261" xr:uid="{00000000-0005-0000-0000-0000D64E0000}"/>
    <cellStyle name="Accent2 7 2" xfId="20262" xr:uid="{00000000-0005-0000-0000-0000D74E0000}"/>
    <cellStyle name="Accent2 70" xfId="20263" xr:uid="{00000000-0005-0000-0000-0000D84E0000}"/>
    <cellStyle name="Accent2 71" xfId="20264" xr:uid="{00000000-0005-0000-0000-0000D94E0000}"/>
    <cellStyle name="Accent2 72" xfId="20265" xr:uid="{00000000-0005-0000-0000-0000DA4E0000}"/>
    <cellStyle name="Accent2 73" xfId="20266" xr:uid="{00000000-0005-0000-0000-0000DB4E0000}"/>
    <cellStyle name="Accent2 74" xfId="20267" xr:uid="{00000000-0005-0000-0000-0000DC4E0000}"/>
    <cellStyle name="Accent2 75" xfId="20268" xr:uid="{00000000-0005-0000-0000-0000DD4E0000}"/>
    <cellStyle name="Accent2 76" xfId="20269" xr:uid="{00000000-0005-0000-0000-0000DE4E0000}"/>
    <cellStyle name="Accent2 77" xfId="20270" xr:uid="{00000000-0005-0000-0000-0000DF4E0000}"/>
    <cellStyle name="Accent2 78" xfId="20271" xr:uid="{00000000-0005-0000-0000-0000E04E0000}"/>
    <cellStyle name="Accent2 79" xfId="20272" xr:uid="{00000000-0005-0000-0000-0000E14E0000}"/>
    <cellStyle name="Accent2 79 2" xfId="20273" xr:uid="{00000000-0005-0000-0000-0000E24E0000}"/>
    <cellStyle name="Accent2 8" xfId="20274" xr:uid="{00000000-0005-0000-0000-0000E34E0000}"/>
    <cellStyle name="Accent2 8 2" xfId="20275" xr:uid="{00000000-0005-0000-0000-0000E44E0000}"/>
    <cellStyle name="Accent2 80" xfId="20276" xr:uid="{00000000-0005-0000-0000-0000E54E0000}"/>
    <cellStyle name="Accent2 80 2" xfId="20277" xr:uid="{00000000-0005-0000-0000-0000E64E0000}"/>
    <cellStyle name="Accent2 81" xfId="20278" xr:uid="{00000000-0005-0000-0000-0000E74E0000}"/>
    <cellStyle name="Accent2 81 2" xfId="20279" xr:uid="{00000000-0005-0000-0000-0000E84E0000}"/>
    <cellStyle name="Accent2 82" xfId="20280" xr:uid="{00000000-0005-0000-0000-0000E94E0000}"/>
    <cellStyle name="Accent2 82 2" xfId="20281" xr:uid="{00000000-0005-0000-0000-0000EA4E0000}"/>
    <cellStyle name="Accent2 83" xfId="20282" xr:uid="{00000000-0005-0000-0000-0000EB4E0000}"/>
    <cellStyle name="Accent2 83 2" xfId="20283" xr:uid="{00000000-0005-0000-0000-0000EC4E0000}"/>
    <cellStyle name="Accent2 84" xfId="20284" xr:uid="{00000000-0005-0000-0000-0000ED4E0000}"/>
    <cellStyle name="Accent2 84 2" xfId="20285" xr:uid="{00000000-0005-0000-0000-0000EE4E0000}"/>
    <cellStyle name="Accent2 85" xfId="20286" xr:uid="{00000000-0005-0000-0000-0000EF4E0000}"/>
    <cellStyle name="Accent2 85 2" xfId="20287" xr:uid="{00000000-0005-0000-0000-0000F04E0000}"/>
    <cellStyle name="Accent2 86" xfId="20288" xr:uid="{00000000-0005-0000-0000-0000F14E0000}"/>
    <cellStyle name="Accent2 86 2" xfId="20289" xr:uid="{00000000-0005-0000-0000-0000F24E0000}"/>
    <cellStyle name="Accent2 87" xfId="20290" xr:uid="{00000000-0005-0000-0000-0000F34E0000}"/>
    <cellStyle name="Accent2 87 2" xfId="20291" xr:uid="{00000000-0005-0000-0000-0000F44E0000}"/>
    <cellStyle name="Accent2 88" xfId="20292" xr:uid="{00000000-0005-0000-0000-0000F54E0000}"/>
    <cellStyle name="Accent2 88 2" xfId="20293" xr:uid="{00000000-0005-0000-0000-0000F64E0000}"/>
    <cellStyle name="Accent2 89" xfId="20294" xr:uid="{00000000-0005-0000-0000-0000F74E0000}"/>
    <cellStyle name="Accent2 89 2" xfId="20295" xr:uid="{00000000-0005-0000-0000-0000F84E0000}"/>
    <cellStyle name="Accent2 9" xfId="20296" xr:uid="{00000000-0005-0000-0000-0000F94E0000}"/>
    <cellStyle name="Accent2 9 2" xfId="20297" xr:uid="{00000000-0005-0000-0000-0000FA4E0000}"/>
    <cellStyle name="Accent2 90" xfId="20298" xr:uid="{00000000-0005-0000-0000-0000FB4E0000}"/>
    <cellStyle name="Accent2 91" xfId="20299" xr:uid="{00000000-0005-0000-0000-0000FC4E0000}"/>
    <cellStyle name="Accent2 92" xfId="20300" xr:uid="{00000000-0005-0000-0000-0000FD4E0000}"/>
    <cellStyle name="Accent2 93" xfId="20301" xr:uid="{00000000-0005-0000-0000-0000FE4E0000}"/>
    <cellStyle name="Accent2 94" xfId="20302" xr:uid="{00000000-0005-0000-0000-0000FF4E0000}"/>
    <cellStyle name="Accent2 95" xfId="20303" xr:uid="{00000000-0005-0000-0000-0000004F0000}"/>
    <cellStyle name="Accent2 96" xfId="20304" xr:uid="{00000000-0005-0000-0000-0000014F0000}"/>
    <cellStyle name="Accent2 97" xfId="20305" xr:uid="{00000000-0005-0000-0000-0000024F0000}"/>
    <cellStyle name="Accent2 98" xfId="20306" xr:uid="{00000000-0005-0000-0000-0000034F0000}"/>
    <cellStyle name="Accent2 99" xfId="20307" xr:uid="{00000000-0005-0000-0000-0000044F0000}"/>
    <cellStyle name="Accent3" xfId="26" builtinId="37" customBuiltin="1"/>
    <cellStyle name="Accent3 10" xfId="20308" xr:uid="{00000000-0005-0000-0000-0000064F0000}"/>
    <cellStyle name="Accent3 10 2" xfId="20309" xr:uid="{00000000-0005-0000-0000-0000074F0000}"/>
    <cellStyle name="Accent3 100" xfId="20310" xr:uid="{00000000-0005-0000-0000-0000084F0000}"/>
    <cellStyle name="Accent3 101" xfId="20311" xr:uid="{00000000-0005-0000-0000-0000094F0000}"/>
    <cellStyle name="Accent3 102" xfId="20312" xr:uid="{00000000-0005-0000-0000-00000A4F0000}"/>
    <cellStyle name="Accent3 103" xfId="20313" xr:uid="{00000000-0005-0000-0000-00000B4F0000}"/>
    <cellStyle name="Accent3 104" xfId="20314" xr:uid="{00000000-0005-0000-0000-00000C4F0000}"/>
    <cellStyle name="Accent3 105" xfId="20315" xr:uid="{00000000-0005-0000-0000-00000D4F0000}"/>
    <cellStyle name="Accent3 106" xfId="20316" xr:uid="{00000000-0005-0000-0000-00000E4F0000}"/>
    <cellStyle name="Accent3 107" xfId="20317" xr:uid="{00000000-0005-0000-0000-00000F4F0000}"/>
    <cellStyle name="Accent3 108" xfId="20318" xr:uid="{00000000-0005-0000-0000-0000104F0000}"/>
    <cellStyle name="Accent3 109" xfId="20319" xr:uid="{00000000-0005-0000-0000-0000114F0000}"/>
    <cellStyle name="Accent3 11" xfId="20320" xr:uid="{00000000-0005-0000-0000-0000124F0000}"/>
    <cellStyle name="Accent3 11 2" xfId="20321" xr:uid="{00000000-0005-0000-0000-0000134F0000}"/>
    <cellStyle name="Accent3 110" xfId="20322" xr:uid="{00000000-0005-0000-0000-0000144F0000}"/>
    <cellStyle name="Accent3 111" xfId="20323" xr:uid="{00000000-0005-0000-0000-0000154F0000}"/>
    <cellStyle name="Accent3 112" xfId="20324" xr:uid="{00000000-0005-0000-0000-0000164F0000}"/>
    <cellStyle name="Accent3 113" xfId="20325" xr:uid="{00000000-0005-0000-0000-0000174F0000}"/>
    <cellStyle name="Accent3 114" xfId="20326" xr:uid="{00000000-0005-0000-0000-0000184F0000}"/>
    <cellStyle name="Accent3 115" xfId="20327" xr:uid="{00000000-0005-0000-0000-0000194F0000}"/>
    <cellStyle name="Accent3 116" xfId="20328" xr:uid="{00000000-0005-0000-0000-00001A4F0000}"/>
    <cellStyle name="Accent3 117" xfId="20329" xr:uid="{00000000-0005-0000-0000-00001B4F0000}"/>
    <cellStyle name="Accent3 118" xfId="20330" xr:uid="{00000000-0005-0000-0000-00001C4F0000}"/>
    <cellStyle name="Accent3 119" xfId="20331" xr:uid="{00000000-0005-0000-0000-00001D4F0000}"/>
    <cellStyle name="Accent3 12" xfId="20332" xr:uid="{00000000-0005-0000-0000-00001E4F0000}"/>
    <cellStyle name="Accent3 12 2" xfId="20333" xr:uid="{00000000-0005-0000-0000-00001F4F0000}"/>
    <cellStyle name="Accent3 120" xfId="20334" xr:uid="{00000000-0005-0000-0000-0000204F0000}"/>
    <cellStyle name="Accent3 121" xfId="20335" xr:uid="{00000000-0005-0000-0000-0000214F0000}"/>
    <cellStyle name="Accent3 122" xfId="20336" xr:uid="{00000000-0005-0000-0000-0000224F0000}"/>
    <cellStyle name="Accent3 123" xfId="20337" xr:uid="{00000000-0005-0000-0000-0000234F0000}"/>
    <cellStyle name="Accent3 124" xfId="20338" xr:uid="{00000000-0005-0000-0000-0000244F0000}"/>
    <cellStyle name="Accent3 125" xfId="20339" xr:uid="{00000000-0005-0000-0000-0000254F0000}"/>
    <cellStyle name="Accent3 126" xfId="20340" xr:uid="{00000000-0005-0000-0000-0000264F0000}"/>
    <cellStyle name="Accent3 127" xfId="20341" xr:uid="{00000000-0005-0000-0000-0000274F0000}"/>
    <cellStyle name="Accent3 128" xfId="20342" xr:uid="{00000000-0005-0000-0000-0000284F0000}"/>
    <cellStyle name="Accent3 129" xfId="20343" xr:uid="{00000000-0005-0000-0000-0000294F0000}"/>
    <cellStyle name="Accent3 13" xfId="20344" xr:uid="{00000000-0005-0000-0000-00002A4F0000}"/>
    <cellStyle name="Accent3 13 2" xfId="20345" xr:uid="{00000000-0005-0000-0000-00002B4F0000}"/>
    <cellStyle name="Accent3 130" xfId="20346" xr:uid="{00000000-0005-0000-0000-00002C4F0000}"/>
    <cellStyle name="Accent3 131" xfId="20347" xr:uid="{00000000-0005-0000-0000-00002D4F0000}"/>
    <cellStyle name="Accent3 132" xfId="20348" xr:uid="{00000000-0005-0000-0000-00002E4F0000}"/>
    <cellStyle name="Accent3 133" xfId="20349" xr:uid="{00000000-0005-0000-0000-00002F4F0000}"/>
    <cellStyle name="Accent3 134" xfId="20350" xr:uid="{00000000-0005-0000-0000-0000304F0000}"/>
    <cellStyle name="Accent3 135" xfId="20351" xr:uid="{00000000-0005-0000-0000-0000314F0000}"/>
    <cellStyle name="Accent3 136" xfId="20352" xr:uid="{00000000-0005-0000-0000-0000324F0000}"/>
    <cellStyle name="Accent3 137" xfId="20353" xr:uid="{00000000-0005-0000-0000-0000334F0000}"/>
    <cellStyle name="Accent3 138" xfId="20354" xr:uid="{00000000-0005-0000-0000-0000344F0000}"/>
    <cellStyle name="Accent3 139" xfId="20355" xr:uid="{00000000-0005-0000-0000-0000354F0000}"/>
    <cellStyle name="Accent3 14" xfId="20356" xr:uid="{00000000-0005-0000-0000-0000364F0000}"/>
    <cellStyle name="Accent3 14 2" xfId="20357" xr:uid="{00000000-0005-0000-0000-0000374F0000}"/>
    <cellStyle name="Accent3 140" xfId="20358" xr:uid="{00000000-0005-0000-0000-0000384F0000}"/>
    <cellStyle name="Accent3 141" xfId="20359" xr:uid="{00000000-0005-0000-0000-0000394F0000}"/>
    <cellStyle name="Accent3 142" xfId="20360" xr:uid="{00000000-0005-0000-0000-00003A4F0000}"/>
    <cellStyle name="Accent3 143" xfId="20361" xr:uid="{00000000-0005-0000-0000-00003B4F0000}"/>
    <cellStyle name="Accent3 144" xfId="20362" xr:uid="{00000000-0005-0000-0000-00003C4F0000}"/>
    <cellStyle name="Accent3 145" xfId="20363" xr:uid="{00000000-0005-0000-0000-00003D4F0000}"/>
    <cellStyle name="Accent3 146" xfId="20364" xr:uid="{00000000-0005-0000-0000-00003E4F0000}"/>
    <cellStyle name="Accent3 147" xfId="20365" xr:uid="{00000000-0005-0000-0000-00003F4F0000}"/>
    <cellStyle name="Accent3 148" xfId="20366" xr:uid="{00000000-0005-0000-0000-0000404F0000}"/>
    <cellStyle name="Accent3 149" xfId="20367" xr:uid="{00000000-0005-0000-0000-0000414F0000}"/>
    <cellStyle name="Accent3 15" xfId="20368" xr:uid="{00000000-0005-0000-0000-0000424F0000}"/>
    <cellStyle name="Accent3 15 2" xfId="20369" xr:uid="{00000000-0005-0000-0000-0000434F0000}"/>
    <cellStyle name="Accent3 150" xfId="20370" xr:uid="{00000000-0005-0000-0000-0000444F0000}"/>
    <cellStyle name="Accent3 151" xfId="20371" xr:uid="{00000000-0005-0000-0000-0000454F0000}"/>
    <cellStyle name="Accent3 152" xfId="20372" xr:uid="{00000000-0005-0000-0000-0000464F0000}"/>
    <cellStyle name="Accent3 153" xfId="20373" xr:uid="{00000000-0005-0000-0000-0000474F0000}"/>
    <cellStyle name="Accent3 154" xfId="20374" xr:uid="{00000000-0005-0000-0000-0000484F0000}"/>
    <cellStyle name="Accent3 155" xfId="20375" xr:uid="{00000000-0005-0000-0000-0000494F0000}"/>
    <cellStyle name="Accent3 156" xfId="20376" xr:uid="{00000000-0005-0000-0000-00004A4F0000}"/>
    <cellStyle name="Accent3 157" xfId="20377" xr:uid="{00000000-0005-0000-0000-00004B4F0000}"/>
    <cellStyle name="Accent3 158" xfId="20378" xr:uid="{00000000-0005-0000-0000-00004C4F0000}"/>
    <cellStyle name="Accent3 159" xfId="20379" xr:uid="{00000000-0005-0000-0000-00004D4F0000}"/>
    <cellStyle name="Accent3 16" xfId="20380" xr:uid="{00000000-0005-0000-0000-00004E4F0000}"/>
    <cellStyle name="Accent3 160" xfId="20381" xr:uid="{00000000-0005-0000-0000-00004F4F0000}"/>
    <cellStyle name="Accent3 161" xfId="20382" xr:uid="{00000000-0005-0000-0000-0000504F0000}"/>
    <cellStyle name="Accent3 162" xfId="20383" xr:uid="{00000000-0005-0000-0000-0000514F0000}"/>
    <cellStyle name="Accent3 163" xfId="20384" xr:uid="{00000000-0005-0000-0000-0000524F0000}"/>
    <cellStyle name="Accent3 164" xfId="20385" xr:uid="{00000000-0005-0000-0000-0000534F0000}"/>
    <cellStyle name="Accent3 165" xfId="20386" xr:uid="{00000000-0005-0000-0000-0000544F0000}"/>
    <cellStyle name="Accent3 166" xfId="20387" xr:uid="{00000000-0005-0000-0000-0000554F0000}"/>
    <cellStyle name="Accent3 167" xfId="20388" xr:uid="{00000000-0005-0000-0000-0000564F0000}"/>
    <cellStyle name="Accent3 17" xfId="20389" xr:uid="{00000000-0005-0000-0000-0000574F0000}"/>
    <cellStyle name="Accent3 18" xfId="20390" xr:uid="{00000000-0005-0000-0000-0000584F0000}"/>
    <cellStyle name="Accent3 19" xfId="20391" xr:uid="{00000000-0005-0000-0000-0000594F0000}"/>
    <cellStyle name="Accent3 2" xfId="67" xr:uid="{00000000-0005-0000-0000-00005A4F0000}"/>
    <cellStyle name="Accent3 2 10" xfId="20393" xr:uid="{00000000-0005-0000-0000-00005B4F0000}"/>
    <cellStyle name="Accent3 2 11" xfId="20394" xr:uid="{00000000-0005-0000-0000-00005C4F0000}"/>
    <cellStyle name="Accent3 2 12" xfId="20395" xr:uid="{00000000-0005-0000-0000-00005D4F0000}"/>
    <cellStyle name="Accent3 2 13" xfId="20396" xr:uid="{00000000-0005-0000-0000-00005E4F0000}"/>
    <cellStyle name="Accent3 2 14" xfId="20397" xr:uid="{00000000-0005-0000-0000-00005F4F0000}"/>
    <cellStyle name="Accent3 2 15" xfId="20398" xr:uid="{00000000-0005-0000-0000-0000604F0000}"/>
    <cellStyle name="Accent3 2 16" xfId="20399" xr:uid="{00000000-0005-0000-0000-0000614F0000}"/>
    <cellStyle name="Accent3 2 17" xfId="20400" xr:uid="{00000000-0005-0000-0000-0000624F0000}"/>
    <cellStyle name="Accent3 2 18" xfId="20401" xr:uid="{00000000-0005-0000-0000-0000634F0000}"/>
    <cellStyle name="Accent3 2 19" xfId="20402" xr:uid="{00000000-0005-0000-0000-0000644F0000}"/>
    <cellStyle name="Accent3 2 2" xfId="20403" xr:uid="{00000000-0005-0000-0000-0000654F0000}"/>
    <cellStyle name="Accent3 2 20" xfId="20404" xr:uid="{00000000-0005-0000-0000-0000664F0000}"/>
    <cellStyle name="Accent3 2 21" xfId="20405" xr:uid="{00000000-0005-0000-0000-0000674F0000}"/>
    <cellStyle name="Accent3 2 22" xfId="20406" xr:uid="{00000000-0005-0000-0000-0000684F0000}"/>
    <cellStyle name="Accent3 2 23" xfId="20407" xr:uid="{00000000-0005-0000-0000-0000694F0000}"/>
    <cellStyle name="Accent3 2 24" xfId="20408" xr:uid="{00000000-0005-0000-0000-00006A4F0000}"/>
    <cellStyle name="Accent3 2 25" xfId="20409" xr:uid="{00000000-0005-0000-0000-00006B4F0000}"/>
    <cellStyle name="Accent3 2 26" xfId="20410" xr:uid="{00000000-0005-0000-0000-00006C4F0000}"/>
    <cellStyle name="Accent3 2 27" xfId="20411" xr:uid="{00000000-0005-0000-0000-00006D4F0000}"/>
    <cellStyle name="Accent3 2 28" xfId="20412" xr:uid="{00000000-0005-0000-0000-00006E4F0000}"/>
    <cellStyle name="Accent3 2 29" xfId="20413" xr:uid="{00000000-0005-0000-0000-00006F4F0000}"/>
    <cellStyle name="Accent3 2 3" xfId="20414" xr:uid="{00000000-0005-0000-0000-0000704F0000}"/>
    <cellStyle name="Accent3 2 30" xfId="20415" xr:uid="{00000000-0005-0000-0000-0000714F0000}"/>
    <cellStyle name="Accent3 2 31" xfId="20416" xr:uid="{00000000-0005-0000-0000-0000724F0000}"/>
    <cellStyle name="Accent3 2 32" xfId="20417" xr:uid="{00000000-0005-0000-0000-0000734F0000}"/>
    <cellStyle name="Accent3 2 33" xfId="20418" xr:uid="{00000000-0005-0000-0000-0000744F0000}"/>
    <cellStyle name="Accent3 2 34" xfId="20419" xr:uid="{00000000-0005-0000-0000-0000754F0000}"/>
    <cellStyle name="Accent3 2 35" xfId="20420" xr:uid="{00000000-0005-0000-0000-0000764F0000}"/>
    <cellStyle name="Accent3 2 36" xfId="20392" xr:uid="{00000000-0005-0000-0000-0000774F0000}"/>
    <cellStyle name="Accent3 2 4" xfId="20421" xr:uid="{00000000-0005-0000-0000-0000784F0000}"/>
    <cellStyle name="Accent3 2 5" xfId="20422" xr:uid="{00000000-0005-0000-0000-0000794F0000}"/>
    <cellStyle name="Accent3 2 6" xfId="20423" xr:uid="{00000000-0005-0000-0000-00007A4F0000}"/>
    <cellStyle name="Accent3 2 7" xfId="20424" xr:uid="{00000000-0005-0000-0000-00007B4F0000}"/>
    <cellStyle name="Accent3 2 8" xfId="20425" xr:uid="{00000000-0005-0000-0000-00007C4F0000}"/>
    <cellStyle name="Accent3 2 9" xfId="20426" xr:uid="{00000000-0005-0000-0000-00007D4F0000}"/>
    <cellStyle name="Accent3 20" xfId="20427" xr:uid="{00000000-0005-0000-0000-00007E4F0000}"/>
    <cellStyle name="Accent3 20 10" xfId="20428" xr:uid="{00000000-0005-0000-0000-00007F4F0000}"/>
    <cellStyle name="Accent3 20 11" xfId="20429" xr:uid="{00000000-0005-0000-0000-0000804F0000}"/>
    <cellStyle name="Accent3 20 12" xfId="20430" xr:uid="{00000000-0005-0000-0000-0000814F0000}"/>
    <cellStyle name="Accent3 20 13" xfId="20431" xr:uid="{00000000-0005-0000-0000-0000824F0000}"/>
    <cellStyle name="Accent3 20 14" xfId="20432" xr:uid="{00000000-0005-0000-0000-0000834F0000}"/>
    <cellStyle name="Accent3 20 15" xfId="20433" xr:uid="{00000000-0005-0000-0000-0000844F0000}"/>
    <cellStyle name="Accent3 20 16" xfId="20434" xr:uid="{00000000-0005-0000-0000-0000854F0000}"/>
    <cellStyle name="Accent3 20 2" xfId="20435" xr:uid="{00000000-0005-0000-0000-0000864F0000}"/>
    <cellStyle name="Accent3 20 3" xfId="20436" xr:uid="{00000000-0005-0000-0000-0000874F0000}"/>
    <cellStyle name="Accent3 20 4" xfId="20437" xr:uid="{00000000-0005-0000-0000-0000884F0000}"/>
    <cellStyle name="Accent3 20 5" xfId="20438" xr:uid="{00000000-0005-0000-0000-0000894F0000}"/>
    <cellStyle name="Accent3 20 6" xfId="20439" xr:uid="{00000000-0005-0000-0000-00008A4F0000}"/>
    <cellStyle name="Accent3 20 7" xfId="20440" xr:uid="{00000000-0005-0000-0000-00008B4F0000}"/>
    <cellStyle name="Accent3 20 8" xfId="20441" xr:uid="{00000000-0005-0000-0000-00008C4F0000}"/>
    <cellStyle name="Accent3 20 9" xfId="20442" xr:uid="{00000000-0005-0000-0000-00008D4F0000}"/>
    <cellStyle name="Accent3 21" xfId="20443" xr:uid="{00000000-0005-0000-0000-00008E4F0000}"/>
    <cellStyle name="Accent3 21 2" xfId="20444" xr:uid="{00000000-0005-0000-0000-00008F4F0000}"/>
    <cellStyle name="Accent3 21 3" xfId="20445" xr:uid="{00000000-0005-0000-0000-0000904F0000}"/>
    <cellStyle name="Accent3 22" xfId="20446" xr:uid="{00000000-0005-0000-0000-0000914F0000}"/>
    <cellStyle name="Accent3 23" xfId="20447" xr:uid="{00000000-0005-0000-0000-0000924F0000}"/>
    <cellStyle name="Accent3 24" xfId="20448" xr:uid="{00000000-0005-0000-0000-0000934F0000}"/>
    <cellStyle name="Accent3 25" xfId="20449" xr:uid="{00000000-0005-0000-0000-0000944F0000}"/>
    <cellStyle name="Accent3 26" xfId="20450" xr:uid="{00000000-0005-0000-0000-0000954F0000}"/>
    <cellStyle name="Accent3 27" xfId="20451" xr:uid="{00000000-0005-0000-0000-0000964F0000}"/>
    <cellStyle name="Accent3 28" xfId="20452" xr:uid="{00000000-0005-0000-0000-0000974F0000}"/>
    <cellStyle name="Accent3 29" xfId="20453" xr:uid="{00000000-0005-0000-0000-0000984F0000}"/>
    <cellStyle name="Accent3 3" xfId="20454" xr:uid="{00000000-0005-0000-0000-0000994F0000}"/>
    <cellStyle name="Accent3 3 10" xfId="20455" xr:uid="{00000000-0005-0000-0000-00009A4F0000}"/>
    <cellStyle name="Accent3 3 10 10" xfId="20456" xr:uid="{00000000-0005-0000-0000-00009B4F0000}"/>
    <cellStyle name="Accent3 3 10 11" xfId="20457" xr:uid="{00000000-0005-0000-0000-00009C4F0000}"/>
    <cellStyle name="Accent3 3 10 12" xfId="20458" xr:uid="{00000000-0005-0000-0000-00009D4F0000}"/>
    <cellStyle name="Accent3 3 10 13" xfId="20459" xr:uid="{00000000-0005-0000-0000-00009E4F0000}"/>
    <cellStyle name="Accent3 3 10 14" xfId="20460" xr:uid="{00000000-0005-0000-0000-00009F4F0000}"/>
    <cellStyle name="Accent3 3 10 15" xfId="20461" xr:uid="{00000000-0005-0000-0000-0000A04F0000}"/>
    <cellStyle name="Accent3 3 10 2" xfId="20462" xr:uid="{00000000-0005-0000-0000-0000A14F0000}"/>
    <cellStyle name="Accent3 3 10 3" xfId="20463" xr:uid="{00000000-0005-0000-0000-0000A24F0000}"/>
    <cellStyle name="Accent3 3 10 4" xfId="20464" xr:uid="{00000000-0005-0000-0000-0000A34F0000}"/>
    <cellStyle name="Accent3 3 10 5" xfId="20465" xr:uid="{00000000-0005-0000-0000-0000A44F0000}"/>
    <cellStyle name="Accent3 3 10 6" xfId="20466" xr:uid="{00000000-0005-0000-0000-0000A54F0000}"/>
    <cellStyle name="Accent3 3 10 7" xfId="20467" xr:uid="{00000000-0005-0000-0000-0000A64F0000}"/>
    <cellStyle name="Accent3 3 10 8" xfId="20468" xr:uid="{00000000-0005-0000-0000-0000A74F0000}"/>
    <cellStyle name="Accent3 3 10 9" xfId="20469" xr:uid="{00000000-0005-0000-0000-0000A84F0000}"/>
    <cellStyle name="Accent3 3 11" xfId="20470" xr:uid="{00000000-0005-0000-0000-0000A94F0000}"/>
    <cellStyle name="Accent3 3 11 10" xfId="20471" xr:uid="{00000000-0005-0000-0000-0000AA4F0000}"/>
    <cellStyle name="Accent3 3 11 11" xfId="20472" xr:uid="{00000000-0005-0000-0000-0000AB4F0000}"/>
    <cellStyle name="Accent3 3 11 12" xfId="20473" xr:uid="{00000000-0005-0000-0000-0000AC4F0000}"/>
    <cellStyle name="Accent3 3 11 13" xfId="20474" xr:uid="{00000000-0005-0000-0000-0000AD4F0000}"/>
    <cellStyle name="Accent3 3 11 14" xfId="20475" xr:uid="{00000000-0005-0000-0000-0000AE4F0000}"/>
    <cellStyle name="Accent3 3 11 15" xfId="20476" xr:uid="{00000000-0005-0000-0000-0000AF4F0000}"/>
    <cellStyle name="Accent3 3 11 2" xfId="20477" xr:uid="{00000000-0005-0000-0000-0000B04F0000}"/>
    <cellStyle name="Accent3 3 11 3" xfId="20478" xr:uid="{00000000-0005-0000-0000-0000B14F0000}"/>
    <cellStyle name="Accent3 3 11 4" xfId="20479" xr:uid="{00000000-0005-0000-0000-0000B24F0000}"/>
    <cellStyle name="Accent3 3 11 5" xfId="20480" xr:uid="{00000000-0005-0000-0000-0000B34F0000}"/>
    <cellStyle name="Accent3 3 11 6" xfId="20481" xr:uid="{00000000-0005-0000-0000-0000B44F0000}"/>
    <cellStyle name="Accent3 3 11 7" xfId="20482" xr:uid="{00000000-0005-0000-0000-0000B54F0000}"/>
    <cellStyle name="Accent3 3 11 8" xfId="20483" xr:uid="{00000000-0005-0000-0000-0000B64F0000}"/>
    <cellStyle name="Accent3 3 11 9" xfId="20484" xr:uid="{00000000-0005-0000-0000-0000B74F0000}"/>
    <cellStyle name="Accent3 3 12" xfId="20485" xr:uid="{00000000-0005-0000-0000-0000B84F0000}"/>
    <cellStyle name="Accent3 3 12 10" xfId="20486" xr:uid="{00000000-0005-0000-0000-0000B94F0000}"/>
    <cellStyle name="Accent3 3 12 11" xfId="20487" xr:uid="{00000000-0005-0000-0000-0000BA4F0000}"/>
    <cellStyle name="Accent3 3 12 12" xfId="20488" xr:uid="{00000000-0005-0000-0000-0000BB4F0000}"/>
    <cellStyle name="Accent3 3 12 13" xfId="20489" xr:uid="{00000000-0005-0000-0000-0000BC4F0000}"/>
    <cellStyle name="Accent3 3 12 14" xfId="20490" xr:uid="{00000000-0005-0000-0000-0000BD4F0000}"/>
    <cellStyle name="Accent3 3 12 15" xfId="20491" xr:uid="{00000000-0005-0000-0000-0000BE4F0000}"/>
    <cellStyle name="Accent3 3 12 2" xfId="20492" xr:uid="{00000000-0005-0000-0000-0000BF4F0000}"/>
    <cellStyle name="Accent3 3 12 3" xfId="20493" xr:uid="{00000000-0005-0000-0000-0000C04F0000}"/>
    <cellStyle name="Accent3 3 12 4" xfId="20494" xr:uid="{00000000-0005-0000-0000-0000C14F0000}"/>
    <cellStyle name="Accent3 3 12 5" xfId="20495" xr:uid="{00000000-0005-0000-0000-0000C24F0000}"/>
    <cellStyle name="Accent3 3 12 6" xfId="20496" xr:uid="{00000000-0005-0000-0000-0000C34F0000}"/>
    <cellStyle name="Accent3 3 12 7" xfId="20497" xr:uid="{00000000-0005-0000-0000-0000C44F0000}"/>
    <cellStyle name="Accent3 3 12 8" xfId="20498" xr:uid="{00000000-0005-0000-0000-0000C54F0000}"/>
    <cellStyle name="Accent3 3 12 9" xfId="20499" xr:uid="{00000000-0005-0000-0000-0000C64F0000}"/>
    <cellStyle name="Accent3 3 13" xfId="20500" xr:uid="{00000000-0005-0000-0000-0000C74F0000}"/>
    <cellStyle name="Accent3 3 13 10" xfId="20501" xr:uid="{00000000-0005-0000-0000-0000C84F0000}"/>
    <cellStyle name="Accent3 3 13 11" xfId="20502" xr:uid="{00000000-0005-0000-0000-0000C94F0000}"/>
    <cellStyle name="Accent3 3 13 12" xfId="20503" xr:uid="{00000000-0005-0000-0000-0000CA4F0000}"/>
    <cellStyle name="Accent3 3 13 13" xfId="20504" xr:uid="{00000000-0005-0000-0000-0000CB4F0000}"/>
    <cellStyle name="Accent3 3 13 14" xfId="20505" xr:uid="{00000000-0005-0000-0000-0000CC4F0000}"/>
    <cellStyle name="Accent3 3 13 15" xfId="20506" xr:uid="{00000000-0005-0000-0000-0000CD4F0000}"/>
    <cellStyle name="Accent3 3 13 2" xfId="20507" xr:uid="{00000000-0005-0000-0000-0000CE4F0000}"/>
    <cellStyle name="Accent3 3 13 3" xfId="20508" xr:uid="{00000000-0005-0000-0000-0000CF4F0000}"/>
    <cellStyle name="Accent3 3 13 4" xfId="20509" xr:uid="{00000000-0005-0000-0000-0000D04F0000}"/>
    <cellStyle name="Accent3 3 13 5" xfId="20510" xr:uid="{00000000-0005-0000-0000-0000D14F0000}"/>
    <cellStyle name="Accent3 3 13 6" xfId="20511" xr:uid="{00000000-0005-0000-0000-0000D24F0000}"/>
    <cellStyle name="Accent3 3 13 7" xfId="20512" xr:uid="{00000000-0005-0000-0000-0000D34F0000}"/>
    <cellStyle name="Accent3 3 13 8" xfId="20513" xr:uid="{00000000-0005-0000-0000-0000D44F0000}"/>
    <cellStyle name="Accent3 3 13 9" xfId="20514" xr:uid="{00000000-0005-0000-0000-0000D54F0000}"/>
    <cellStyle name="Accent3 3 14" xfId="20515" xr:uid="{00000000-0005-0000-0000-0000D64F0000}"/>
    <cellStyle name="Accent3 3 14 10" xfId="20516" xr:uid="{00000000-0005-0000-0000-0000D74F0000}"/>
    <cellStyle name="Accent3 3 14 11" xfId="20517" xr:uid="{00000000-0005-0000-0000-0000D84F0000}"/>
    <cellStyle name="Accent3 3 14 12" xfId="20518" xr:uid="{00000000-0005-0000-0000-0000D94F0000}"/>
    <cellStyle name="Accent3 3 14 13" xfId="20519" xr:uid="{00000000-0005-0000-0000-0000DA4F0000}"/>
    <cellStyle name="Accent3 3 14 14" xfId="20520" xr:uid="{00000000-0005-0000-0000-0000DB4F0000}"/>
    <cellStyle name="Accent3 3 14 15" xfId="20521" xr:uid="{00000000-0005-0000-0000-0000DC4F0000}"/>
    <cellStyle name="Accent3 3 14 2" xfId="20522" xr:uid="{00000000-0005-0000-0000-0000DD4F0000}"/>
    <cellStyle name="Accent3 3 14 3" xfId="20523" xr:uid="{00000000-0005-0000-0000-0000DE4F0000}"/>
    <cellStyle name="Accent3 3 14 4" xfId="20524" xr:uid="{00000000-0005-0000-0000-0000DF4F0000}"/>
    <cellStyle name="Accent3 3 14 5" xfId="20525" xr:uid="{00000000-0005-0000-0000-0000E04F0000}"/>
    <cellStyle name="Accent3 3 14 6" xfId="20526" xr:uid="{00000000-0005-0000-0000-0000E14F0000}"/>
    <cellStyle name="Accent3 3 14 7" xfId="20527" xr:uid="{00000000-0005-0000-0000-0000E24F0000}"/>
    <cellStyle name="Accent3 3 14 8" xfId="20528" xr:uid="{00000000-0005-0000-0000-0000E34F0000}"/>
    <cellStyle name="Accent3 3 14 9" xfId="20529" xr:uid="{00000000-0005-0000-0000-0000E44F0000}"/>
    <cellStyle name="Accent3 3 15" xfId="20530" xr:uid="{00000000-0005-0000-0000-0000E54F0000}"/>
    <cellStyle name="Accent3 3 15 10" xfId="20531" xr:uid="{00000000-0005-0000-0000-0000E64F0000}"/>
    <cellStyle name="Accent3 3 15 11" xfId="20532" xr:uid="{00000000-0005-0000-0000-0000E74F0000}"/>
    <cellStyle name="Accent3 3 15 12" xfId="20533" xr:uid="{00000000-0005-0000-0000-0000E84F0000}"/>
    <cellStyle name="Accent3 3 15 13" xfId="20534" xr:uid="{00000000-0005-0000-0000-0000E94F0000}"/>
    <cellStyle name="Accent3 3 15 14" xfId="20535" xr:uid="{00000000-0005-0000-0000-0000EA4F0000}"/>
    <cellStyle name="Accent3 3 15 15" xfId="20536" xr:uid="{00000000-0005-0000-0000-0000EB4F0000}"/>
    <cellStyle name="Accent3 3 15 2" xfId="20537" xr:uid="{00000000-0005-0000-0000-0000EC4F0000}"/>
    <cellStyle name="Accent3 3 15 3" xfId="20538" xr:uid="{00000000-0005-0000-0000-0000ED4F0000}"/>
    <cellStyle name="Accent3 3 15 4" xfId="20539" xr:uid="{00000000-0005-0000-0000-0000EE4F0000}"/>
    <cellStyle name="Accent3 3 15 5" xfId="20540" xr:uid="{00000000-0005-0000-0000-0000EF4F0000}"/>
    <cellStyle name="Accent3 3 15 6" xfId="20541" xr:uid="{00000000-0005-0000-0000-0000F04F0000}"/>
    <cellStyle name="Accent3 3 15 7" xfId="20542" xr:uid="{00000000-0005-0000-0000-0000F14F0000}"/>
    <cellStyle name="Accent3 3 15 8" xfId="20543" xr:uid="{00000000-0005-0000-0000-0000F24F0000}"/>
    <cellStyle name="Accent3 3 15 9" xfId="20544" xr:uid="{00000000-0005-0000-0000-0000F34F0000}"/>
    <cellStyle name="Accent3 3 16" xfId="20545" xr:uid="{00000000-0005-0000-0000-0000F44F0000}"/>
    <cellStyle name="Accent3 3 16 10" xfId="20546" xr:uid="{00000000-0005-0000-0000-0000F54F0000}"/>
    <cellStyle name="Accent3 3 16 11" xfId="20547" xr:uid="{00000000-0005-0000-0000-0000F64F0000}"/>
    <cellStyle name="Accent3 3 16 12" xfId="20548" xr:uid="{00000000-0005-0000-0000-0000F74F0000}"/>
    <cellStyle name="Accent3 3 16 13" xfId="20549" xr:uid="{00000000-0005-0000-0000-0000F84F0000}"/>
    <cellStyle name="Accent3 3 16 14" xfId="20550" xr:uid="{00000000-0005-0000-0000-0000F94F0000}"/>
    <cellStyle name="Accent3 3 16 15" xfId="20551" xr:uid="{00000000-0005-0000-0000-0000FA4F0000}"/>
    <cellStyle name="Accent3 3 16 2" xfId="20552" xr:uid="{00000000-0005-0000-0000-0000FB4F0000}"/>
    <cellStyle name="Accent3 3 16 3" xfId="20553" xr:uid="{00000000-0005-0000-0000-0000FC4F0000}"/>
    <cellStyle name="Accent3 3 16 4" xfId="20554" xr:uid="{00000000-0005-0000-0000-0000FD4F0000}"/>
    <cellStyle name="Accent3 3 16 5" xfId="20555" xr:uid="{00000000-0005-0000-0000-0000FE4F0000}"/>
    <cellStyle name="Accent3 3 16 6" xfId="20556" xr:uid="{00000000-0005-0000-0000-0000FF4F0000}"/>
    <cellStyle name="Accent3 3 16 7" xfId="20557" xr:uid="{00000000-0005-0000-0000-000000500000}"/>
    <cellStyle name="Accent3 3 16 8" xfId="20558" xr:uid="{00000000-0005-0000-0000-000001500000}"/>
    <cellStyle name="Accent3 3 16 9" xfId="20559" xr:uid="{00000000-0005-0000-0000-000002500000}"/>
    <cellStyle name="Accent3 3 17" xfId="20560" xr:uid="{00000000-0005-0000-0000-000003500000}"/>
    <cellStyle name="Accent3 3 17 10" xfId="20561" xr:uid="{00000000-0005-0000-0000-000004500000}"/>
    <cellStyle name="Accent3 3 17 11" xfId="20562" xr:uid="{00000000-0005-0000-0000-000005500000}"/>
    <cellStyle name="Accent3 3 17 12" xfId="20563" xr:uid="{00000000-0005-0000-0000-000006500000}"/>
    <cellStyle name="Accent3 3 17 13" xfId="20564" xr:uid="{00000000-0005-0000-0000-000007500000}"/>
    <cellStyle name="Accent3 3 17 14" xfId="20565" xr:uid="{00000000-0005-0000-0000-000008500000}"/>
    <cellStyle name="Accent3 3 17 15" xfId="20566" xr:uid="{00000000-0005-0000-0000-000009500000}"/>
    <cellStyle name="Accent3 3 17 2" xfId="20567" xr:uid="{00000000-0005-0000-0000-00000A500000}"/>
    <cellStyle name="Accent3 3 17 3" xfId="20568" xr:uid="{00000000-0005-0000-0000-00000B500000}"/>
    <cellStyle name="Accent3 3 17 4" xfId="20569" xr:uid="{00000000-0005-0000-0000-00000C500000}"/>
    <cellStyle name="Accent3 3 17 5" xfId="20570" xr:uid="{00000000-0005-0000-0000-00000D500000}"/>
    <cellStyle name="Accent3 3 17 6" xfId="20571" xr:uid="{00000000-0005-0000-0000-00000E500000}"/>
    <cellStyle name="Accent3 3 17 7" xfId="20572" xr:uid="{00000000-0005-0000-0000-00000F500000}"/>
    <cellStyle name="Accent3 3 17 8" xfId="20573" xr:uid="{00000000-0005-0000-0000-000010500000}"/>
    <cellStyle name="Accent3 3 17 9" xfId="20574" xr:uid="{00000000-0005-0000-0000-000011500000}"/>
    <cellStyle name="Accent3 3 18" xfId="20575" xr:uid="{00000000-0005-0000-0000-000012500000}"/>
    <cellStyle name="Accent3 3 18 10" xfId="20576" xr:uid="{00000000-0005-0000-0000-000013500000}"/>
    <cellStyle name="Accent3 3 18 11" xfId="20577" xr:uid="{00000000-0005-0000-0000-000014500000}"/>
    <cellStyle name="Accent3 3 18 12" xfId="20578" xr:uid="{00000000-0005-0000-0000-000015500000}"/>
    <cellStyle name="Accent3 3 18 13" xfId="20579" xr:uid="{00000000-0005-0000-0000-000016500000}"/>
    <cellStyle name="Accent3 3 18 14" xfId="20580" xr:uid="{00000000-0005-0000-0000-000017500000}"/>
    <cellStyle name="Accent3 3 18 15" xfId="20581" xr:uid="{00000000-0005-0000-0000-000018500000}"/>
    <cellStyle name="Accent3 3 18 2" xfId="20582" xr:uid="{00000000-0005-0000-0000-000019500000}"/>
    <cellStyle name="Accent3 3 18 3" xfId="20583" xr:uid="{00000000-0005-0000-0000-00001A500000}"/>
    <cellStyle name="Accent3 3 18 4" xfId="20584" xr:uid="{00000000-0005-0000-0000-00001B500000}"/>
    <cellStyle name="Accent3 3 18 5" xfId="20585" xr:uid="{00000000-0005-0000-0000-00001C500000}"/>
    <cellStyle name="Accent3 3 18 6" xfId="20586" xr:uid="{00000000-0005-0000-0000-00001D500000}"/>
    <cellStyle name="Accent3 3 18 7" xfId="20587" xr:uid="{00000000-0005-0000-0000-00001E500000}"/>
    <cellStyle name="Accent3 3 18 8" xfId="20588" xr:uid="{00000000-0005-0000-0000-00001F500000}"/>
    <cellStyle name="Accent3 3 18 9" xfId="20589" xr:uid="{00000000-0005-0000-0000-000020500000}"/>
    <cellStyle name="Accent3 3 19" xfId="20590" xr:uid="{00000000-0005-0000-0000-000021500000}"/>
    <cellStyle name="Accent3 3 19 10" xfId="20591" xr:uid="{00000000-0005-0000-0000-000022500000}"/>
    <cellStyle name="Accent3 3 19 11" xfId="20592" xr:uid="{00000000-0005-0000-0000-000023500000}"/>
    <cellStyle name="Accent3 3 19 12" xfId="20593" xr:uid="{00000000-0005-0000-0000-000024500000}"/>
    <cellStyle name="Accent3 3 19 13" xfId="20594" xr:uid="{00000000-0005-0000-0000-000025500000}"/>
    <cellStyle name="Accent3 3 19 14" xfId="20595" xr:uid="{00000000-0005-0000-0000-000026500000}"/>
    <cellStyle name="Accent3 3 19 15" xfId="20596" xr:uid="{00000000-0005-0000-0000-000027500000}"/>
    <cellStyle name="Accent3 3 19 2" xfId="20597" xr:uid="{00000000-0005-0000-0000-000028500000}"/>
    <cellStyle name="Accent3 3 19 3" xfId="20598" xr:uid="{00000000-0005-0000-0000-000029500000}"/>
    <cellStyle name="Accent3 3 19 4" xfId="20599" xr:uid="{00000000-0005-0000-0000-00002A500000}"/>
    <cellStyle name="Accent3 3 19 5" xfId="20600" xr:uid="{00000000-0005-0000-0000-00002B500000}"/>
    <cellStyle name="Accent3 3 19 6" xfId="20601" xr:uid="{00000000-0005-0000-0000-00002C500000}"/>
    <cellStyle name="Accent3 3 19 7" xfId="20602" xr:uid="{00000000-0005-0000-0000-00002D500000}"/>
    <cellStyle name="Accent3 3 19 8" xfId="20603" xr:uid="{00000000-0005-0000-0000-00002E500000}"/>
    <cellStyle name="Accent3 3 19 9" xfId="20604" xr:uid="{00000000-0005-0000-0000-00002F500000}"/>
    <cellStyle name="Accent3 3 2" xfId="20605" xr:uid="{00000000-0005-0000-0000-000030500000}"/>
    <cellStyle name="Accent3 3 2 10" xfId="20606" xr:uid="{00000000-0005-0000-0000-000031500000}"/>
    <cellStyle name="Accent3 3 2 11" xfId="20607" xr:uid="{00000000-0005-0000-0000-000032500000}"/>
    <cellStyle name="Accent3 3 2 12" xfId="20608" xr:uid="{00000000-0005-0000-0000-000033500000}"/>
    <cellStyle name="Accent3 3 2 13" xfId="20609" xr:uid="{00000000-0005-0000-0000-000034500000}"/>
    <cellStyle name="Accent3 3 2 14" xfId="20610" xr:uid="{00000000-0005-0000-0000-000035500000}"/>
    <cellStyle name="Accent3 3 2 15" xfId="20611" xr:uid="{00000000-0005-0000-0000-000036500000}"/>
    <cellStyle name="Accent3 3 2 16" xfId="20612" xr:uid="{00000000-0005-0000-0000-000037500000}"/>
    <cellStyle name="Accent3 3 2 17" xfId="20613" xr:uid="{00000000-0005-0000-0000-000038500000}"/>
    <cellStyle name="Accent3 3 2 18" xfId="20614" xr:uid="{00000000-0005-0000-0000-000039500000}"/>
    <cellStyle name="Accent3 3 2 19" xfId="20615" xr:uid="{00000000-0005-0000-0000-00003A500000}"/>
    <cellStyle name="Accent3 3 2 2" xfId="20616" xr:uid="{00000000-0005-0000-0000-00003B500000}"/>
    <cellStyle name="Accent3 3 2 20" xfId="20617" xr:uid="{00000000-0005-0000-0000-00003C500000}"/>
    <cellStyle name="Accent3 3 2 21" xfId="20618" xr:uid="{00000000-0005-0000-0000-00003D500000}"/>
    <cellStyle name="Accent3 3 2 22" xfId="20619" xr:uid="{00000000-0005-0000-0000-00003E500000}"/>
    <cellStyle name="Accent3 3 2 23" xfId="20620" xr:uid="{00000000-0005-0000-0000-00003F500000}"/>
    <cellStyle name="Accent3 3 2 24" xfId="20621" xr:uid="{00000000-0005-0000-0000-000040500000}"/>
    <cellStyle name="Accent3 3 2 25" xfId="20622" xr:uid="{00000000-0005-0000-0000-000041500000}"/>
    <cellStyle name="Accent3 3 2 26" xfId="20623" xr:uid="{00000000-0005-0000-0000-000042500000}"/>
    <cellStyle name="Accent3 3 2 27" xfId="20624" xr:uid="{00000000-0005-0000-0000-000043500000}"/>
    <cellStyle name="Accent3 3 2 28" xfId="20625" xr:uid="{00000000-0005-0000-0000-000044500000}"/>
    <cellStyle name="Accent3 3 2 29" xfId="20626" xr:uid="{00000000-0005-0000-0000-000045500000}"/>
    <cellStyle name="Accent3 3 2 3" xfId="20627" xr:uid="{00000000-0005-0000-0000-000046500000}"/>
    <cellStyle name="Accent3 3 2 30" xfId="20628" xr:uid="{00000000-0005-0000-0000-000047500000}"/>
    <cellStyle name="Accent3 3 2 31" xfId="20629" xr:uid="{00000000-0005-0000-0000-000048500000}"/>
    <cellStyle name="Accent3 3 2 32" xfId="20630" xr:uid="{00000000-0005-0000-0000-000049500000}"/>
    <cellStyle name="Accent3 3 2 33" xfId="20631" xr:uid="{00000000-0005-0000-0000-00004A500000}"/>
    <cellStyle name="Accent3 3 2 34" xfId="20632" xr:uid="{00000000-0005-0000-0000-00004B500000}"/>
    <cellStyle name="Accent3 3 2 35" xfId="20633" xr:uid="{00000000-0005-0000-0000-00004C500000}"/>
    <cellStyle name="Accent3 3 2 36" xfId="20634" xr:uid="{00000000-0005-0000-0000-00004D500000}"/>
    <cellStyle name="Accent3 3 2 37" xfId="20635" xr:uid="{00000000-0005-0000-0000-00004E500000}"/>
    <cellStyle name="Accent3 3 2 38" xfId="20636" xr:uid="{00000000-0005-0000-0000-00004F500000}"/>
    <cellStyle name="Accent3 3 2 39" xfId="20637" xr:uid="{00000000-0005-0000-0000-000050500000}"/>
    <cellStyle name="Accent3 3 2 4" xfId="20638" xr:uid="{00000000-0005-0000-0000-000051500000}"/>
    <cellStyle name="Accent3 3 2 40" xfId="20639" xr:uid="{00000000-0005-0000-0000-000052500000}"/>
    <cellStyle name="Accent3 3 2 41" xfId="20640" xr:uid="{00000000-0005-0000-0000-000053500000}"/>
    <cellStyle name="Accent3 3 2 42" xfId="20641" xr:uid="{00000000-0005-0000-0000-000054500000}"/>
    <cellStyle name="Accent3 3 2 43" xfId="20642" xr:uid="{00000000-0005-0000-0000-000055500000}"/>
    <cellStyle name="Accent3 3 2 44" xfId="20643" xr:uid="{00000000-0005-0000-0000-000056500000}"/>
    <cellStyle name="Accent3 3 2 45" xfId="20644" xr:uid="{00000000-0005-0000-0000-000057500000}"/>
    <cellStyle name="Accent3 3 2 46" xfId="20645" xr:uid="{00000000-0005-0000-0000-000058500000}"/>
    <cellStyle name="Accent3 3 2 47" xfId="20646" xr:uid="{00000000-0005-0000-0000-000059500000}"/>
    <cellStyle name="Accent3 3 2 48" xfId="20647" xr:uid="{00000000-0005-0000-0000-00005A500000}"/>
    <cellStyle name="Accent3 3 2 49" xfId="20648" xr:uid="{00000000-0005-0000-0000-00005B500000}"/>
    <cellStyle name="Accent3 3 2 5" xfId="20649" xr:uid="{00000000-0005-0000-0000-00005C500000}"/>
    <cellStyle name="Accent3 3 2 50" xfId="20650" xr:uid="{00000000-0005-0000-0000-00005D500000}"/>
    <cellStyle name="Accent3 3 2 51" xfId="20651" xr:uid="{00000000-0005-0000-0000-00005E500000}"/>
    <cellStyle name="Accent3 3 2 52" xfId="20652" xr:uid="{00000000-0005-0000-0000-00005F500000}"/>
    <cellStyle name="Accent3 3 2 53" xfId="20653" xr:uid="{00000000-0005-0000-0000-000060500000}"/>
    <cellStyle name="Accent3 3 2 6" xfId="20654" xr:uid="{00000000-0005-0000-0000-000061500000}"/>
    <cellStyle name="Accent3 3 2 7" xfId="20655" xr:uid="{00000000-0005-0000-0000-000062500000}"/>
    <cellStyle name="Accent3 3 2 8" xfId="20656" xr:uid="{00000000-0005-0000-0000-000063500000}"/>
    <cellStyle name="Accent3 3 2 9" xfId="20657" xr:uid="{00000000-0005-0000-0000-000064500000}"/>
    <cellStyle name="Accent3 3 20" xfId="20658" xr:uid="{00000000-0005-0000-0000-000065500000}"/>
    <cellStyle name="Accent3 3 20 10" xfId="20659" xr:uid="{00000000-0005-0000-0000-000066500000}"/>
    <cellStyle name="Accent3 3 20 11" xfId="20660" xr:uid="{00000000-0005-0000-0000-000067500000}"/>
    <cellStyle name="Accent3 3 20 12" xfId="20661" xr:uid="{00000000-0005-0000-0000-000068500000}"/>
    <cellStyle name="Accent3 3 20 13" xfId="20662" xr:uid="{00000000-0005-0000-0000-000069500000}"/>
    <cellStyle name="Accent3 3 20 14" xfId="20663" xr:uid="{00000000-0005-0000-0000-00006A500000}"/>
    <cellStyle name="Accent3 3 20 15" xfId="20664" xr:uid="{00000000-0005-0000-0000-00006B500000}"/>
    <cellStyle name="Accent3 3 20 2" xfId="20665" xr:uid="{00000000-0005-0000-0000-00006C500000}"/>
    <cellStyle name="Accent3 3 20 3" xfId="20666" xr:uid="{00000000-0005-0000-0000-00006D500000}"/>
    <cellStyle name="Accent3 3 20 4" xfId="20667" xr:uid="{00000000-0005-0000-0000-00006E500000}"/>
    <cellStyle name="Accent3 3 20 5" xfId="20668" xr:uid="{00000000-0005-0000-0000-00006F500000}"/>
    <cellStyle name="Accent3 3 20 6" xfId="20669" xr:uid="{00000000-0005-0000-0000-000070500000}"/>
    <cellStyle name="Accent3 3 20 7" xfId="20670" xr:uid="{00000000-0005-0000-0000-000071500000}"/>
    <cellStyle name="Accent3 3 20 8" xfId="20671" xr:uid="{00000000-0005-0000-0000-000072500000}"/>
    <cellStyle name="Accent3 3 20 9" xfId="20672" xr:uid="{00000000-0005-0000-0000-000073500000}"/>
    <cellStyle name="Accent3 3 21" xfId="20673" xr:uid="{00000000-0005-0000-0000-000074500000}"/>
    <cellStyle name="Accent3 3 21 10" xfId="20674" xr:uid="{00000000-0005-0000-0000-000075500000}"/>
    <cellStyle name="Accent3 3 21 11" xfId="20675" xr:uid="{00000000-0005-0000-0000-000076500000}"/>
    <cellStyle name="Accent3 3 21 12" xfId="20676" xr:uid="{00000000-0005-0000-0000-000077500000}"/>
    <cellStyle name="Accent3 3 21 13" xfId="20677" xr:uid="{00000000-0005-0000-0000-000078500000}"/>
    <cellStyle name="Accent3 3 21 14" xfId="20678" xr:uid="{00000000-0005-0000-0000-000079500000}"/>
    <cellStyle name="Accent3 3 21 15" xfId="20679" xr:uid="{00000000-0005-0000-0000-00007A500000}"/>
    <cellStyle name="Accent3 3 21 2" xfId="20680" xr:uid="{00000000-0005-0000-0000-00007B500000}"/>
    <cellStyle name="Accent3 3 21 3" xfId="20681" xr:uid="{00000000-0005-0000-0000-00007C500000}"/>
    <cellStyle name="Accent3 3 21 4" xfId="20682" xr:uid="{00000000-0005-0000-0000-00007D500000}"/>
    <cellStyle name="Accent3 3 21 5" xfId="20683" xr:uid="{00000000-0005-0000-0000-00007E500000}"/>
    <cellStyle name="Accent3 3 21 6" xfId="20684" xr:uid="{00000000-0005-0000-0000-00007F500000}"/>
    <cellStyle name="Accent3 3 21 7" xfId="20685" xr:uid="{00000000-0005-0000-0000-000080500000}"/>
    <cellStyle name="Accent3 3 21 8" xfId="20686" xr:uid="{00000000-0005-0000-0000-000081500000}"/>
    <cellStyle name="Accent3 3 21 9" xfId="20687" xr:uid="{00000000-0005-0000-0000-000082500000}"/>
    <cellStyle name="Accent3 3 22" xfId="20688" xr:uid="{00000000-0005-0000-0000-000083500000}"/>
    <cellStyle name="Accent3 3 22 10" xfId="20689" xr:uid="{00000000-0005-0000-0000-000084500000}"/>
    <cellStyle name="Accent3 3 22 11" xfId="20690" xr:uid="{00000000-0005-0000-0000-000085500000}"/>
    <cellStyle name="Accent3 3 22 12" xfId="20691" xr:uid="{00000000-0005-0000-0000-000086500000}"/>
    <cellStyle name="Accent3 3 22 13" xfId="20692" xr:uid="{00000000-0005-0000-0000-000087500000}"/>
    <cellStyle name="Accent3 3 22 14" xfId="20693" xr:uid="{00000000-0005-0000-0000-000088500000}"/>
    <cellStyle name="Accent3 3 22 15" xfId="20694" xr:uid="{00000000-0005-0000-0000-000089500000}"/>
    <cellStyle name="Accent3 3 22 2" xfId="20695" xr:uid="{00000000-0005-0000-0000-00008A500000}"/>
    <cellStyle name="Accent3 3 22 3" xfId="20696" xr:uid="{00000000-0005-0000-0000-00008B500000}"/>
    <cellStyle name="Accent3 3 22 4" xfId="20697" xr:uid="{00000000-0005-0000-0000-00008C500000}"/>
    <cellStyle name="Accent3 3 22 5" xfId="20698" xr:uid="{00000000-0005-0000-0000-00008D500000}"/>
    <cellStyle name="Accent3 3 22 6" xfId="20699" xr:uid="{00000000-0005-0000-0000-00008E500000}"/>
    <cellStyle name="Accent3 3 22 7" xfId="20700" xr:uid="{00000000-0005-0000-0000-00008F500000}"/>
    <cellStyle name="Accent3 3 22 8" xfId="20701" xr:uid="{00000000-0005-0000-0000-000090500000}"/>
    <cellStyle name="Accent3 3 22 9" xfId="20702" xr:uid="{00000000-0005-0000-0000-000091500000}"/>
    <cellStyle name="Accent3 3 23" xfId="20703" xr:uid="{00000000-0005-0000-0000-000092500000}"/>
    <cellStyle name="Accent3 3 23 10" xfId="20704" xr:uid="{00000000-0005-0000-0000-000093500000}"/>
    <cellStyle name="Accent3 3 23 11" xfId="20705" xr:uid="{00000000-0005-0000-0000-000094500000}"/>
    <cellStyle name="Accent3 3 23 12" xfId="20706" xr:uid="{00000000-0005-0000-0000-000095500000}"/>
    <cellStyle name="Accent3 3 23 13" xfId="20707" xr:uid="{00000000-0005-0000-0000-000096500000}"/>
    <cellStyle name="Accent3 3 23 14" xfId="20708" xr:uid="{00000000-0005-0000-0000-000097500000}"/>
    <cellStyle name="Accent3 3 23 15" xfId="20709" xr:uid="{00000000-0005-0000-0000-000098500000}"/>
    <cellStyle name="Accent3 3 23 2" xfId="20710" xr:uid="{00000000-0005-0000-0000-000099500000}"/>
    <cellStyle name="Accent3 3 23 3" xfId="20711" xr:uid="{00000000-0005-0000-0000-00009A500000}"/>
    <cellStyle name="Accent3 3 23 4" xfId="20712" xr:uid="{00000000-0005-0000-0000-00009B500000}"/>
    <cellStyle name="Accent3 3 23 5" xfId="20713" xr:uid="{00000000-0005-0000-0000-00009C500000}"/>
    <cellStyle name="Accent3 3 23 6" xfId="20714" xr:uid="{00000000-0005-0000-0000-00009D500000}"/>
    <cellStyle name="Accent3 3 23 7" xfId="20715" xr:uid="{00000000-0005-0000-0000-00009E500000}"/>
    <cellStyle name="Accent3 3 23 8" xfId="20716" xr:uid="{00000000-0005-0000-0000-00009F500000}"/>
    <cellStyle name="Accent3 3 23 9" xfId="20717" xr:uid="{00000000-0005-0000-0000-0000A0500000}"/>
    <cellStyle name="Accent3 3 24" xfId="20718" xr:uid="{00000000-0005-0000-0000-0000A1500000}"/>
    <cellStyle name="Accent3 3 24 10" xfId="20719" xr:uid="{00000000-0005-0000-0000-0000A2500000}"/>
    <cellStyle name="Accent3 3 24 11" xfId="20720" xr:uid="{00000000-0005-0000-0000-0000A3500000}"/>
    <cellStyle name="Accent3 3 24 12" xfId="20721" xr:uid="{00000000-0005-0000-0000-0000A4500000}"/>
    <cellStyle name="Accent3 3 24 13" xfId="20722" xr:uid="{00000000-0005-0000-0000-0000A5500000}"/>
    <cellStyle name="Accent3 3 24 14" xfId="20723" xr:uid="{00000000-0005-0000-0000-0000A6500000}"/>
    <cellStyle name="Accent3 3 24 15" xfId="20724" xr:uid="{00000000-0005-0000-0000-0000A7500000}"/>
    <cellStyle name="Accent3 3 24 2" xfId="20725" xr:uid="{00000000-0005-0000-0000-0000A8500000}"/>
    <cellStyle name="Accent3 3 24 3" xfId="20726" xr:uid="{00000000-0005-0000-0000-0000A9500000}"/>
    <cellStyle name="Accent3 3 24 4" xfId="20727" xr:uid="{00000000-0005-0000-0000-0000AA500000}"/>
    <cellStyle name="Accent3 3 24 5" xfId="20728" xr:uid="{00000000-0005-0000-0000-0000AB500000}"/>
    <cellStyle name="Accent3 3 24 6" xfId="20729" xr:uid="{00000000-0005-0000-0000-0000AC500000}"/>
    <cellStyle name="Accent3 3 24 7" xfId="20730" xr:uid="{00000000-0005-0000-0000-0000AD500000}"/>
    <cellStyle name="Accent3 3 24 8" xfId="20731" xr:uid="{00000000-0005-0000-0000-0000AE500000}"/>
    <cellStyle name="Accent3 3 24 9" xfId="20732" xr:uid="{00000000-0005-0000-0000-0000AF500000}"/>
    <cellStyle name="Accent3 3 25" xfId="20733" xr:uid="{00000000-0005-0000-0000-0000B0500000}"/>
    <cellStyle name="Accent3 3 25 10" xfId="20734" xr:uid="{00000000-0005-0000-0000-0000B1500000}"/>
    <cellStyle name="Accent3 3 25 11" xfId="20735" xr:uid="{00000000-0005-0000-0000-0000B2500000}"/>
    <cellStyle name="Accent3 3 25 12" xfId="20736" xr:uid="{00000000-0005-0000-0000-0000B3500000}"/>
    <cellStyle name="Accent3 3 25 13" xfId="20737" xr:uid="{00000000-0005-0000-0000-0000B4500000}"/>
    <cellStyle name="Accent3 3 25 14" xfId="20738" xr:uid="{00000000-0005-0000-0000-0000B5500000}"/>
    <cellStyle name="Accent3 3 25 15" xfId="20739" xr:uid="{00000000-0005-0000-0000-0000B6500000}"/>
    <cellStyle name="Accent3 3 25 2" xfId="20740" xr:uid="{00000000-0005-0000-0000-0000B7500000}"/>
    <cellStyle name="Accent3 3 25 3" xfId="20741" xr:uid="{00000000-0005-0000-0000-0000B8500000}"/>
    <cellStyle name="Accent3 3 25 4" xfId="20742" xr:uid="{00000000-0005-0000-0000-0000B9500000}"/>
    <cellStyle name="Accent3 3 25 5" xfId="20743" xr:uid="{00000000-0005-0000-0000-0000BA500000}"/>
    <cellStyle name="Accent3 3 25 6" xfId="20744" xr:uid="{00000000-0005-0000-0000-0000BB500000}"/>
    <cellStyle name="Accent3 3 25 7" xfId="20745" xr:uid="{00000000-0005-0000-0000-0000BC500000}"/>
    <cellStyle name="Accent3 3 25 8" xfId="20746" xr:uid="{00000000-0005-0000-0000-0000BD500000}"/>
    <cellStyle name="Accent3 3 25 9" xfId="20747" xr:uid="{00000000-0005-0000-0000-0000BE500000}"/>
    <cellStyle name="Accent3 3 26" xfId="20748" xr:uid="{00000000-0005-0000-0000-0000BF500000}"/>
    <cellStyle name="Accent3 3 26 10" xfId="20749" xr:uid="{00000000-0005-0000-0000-0000C0500000}"/>
    <cellStyle name="Accent3 3 26 11" xfId="20750" xr:uid="{00000000-0005-0000-0000-0000C1500000}"/>
    <cellStyle name="Accent3 3 26 12" xfId="20751" xr:uid="{00000000-0005-0000-0000-0000C2500000}"/>
    <cellStyle name="Accent3 3 26 13" xfId="20752" xr:uid="{00000000-0005-0000-0000-0000C3500000}"/>
    <cellStyle name="Accent3 3 26 14" xfId="20753" xr:uid="{00000000-0005-0000-0000-0000C4500000}"/>
    <cellStyle name="Accent3 3 26 15" xfId="20754" xr:uid="{00000000-0005-0000-0000-0000C5500000}"/>
    <cellStyle name="Accent3 3 26 2" xfId="20755" xr:uid="{00000000-0005-0000-0000-0000C6500000}"/>
    <cellStyle name="Accent3 3 26 3" xfId="20756" xr:uid="{00000000-0005-0000-0000-0000C7500000}"/>
    <cellStyle name="Accent3 3 26 4" xfId="20757" xr:uid="{00000000-0005-0000-0000-0000C8500000}"/>
    <cellStyle name="Accent3 3 26 5" xfId="20758" xr:uid="{00000000-0005-0000-0000-0000C9500000}"/>
    <cellStyle name="Accent3 3 26 6" xfId="20759" xr:uid="{00000000-0005-0000-0000-0000CA500000}"/>
    <cellStyle name="Accent3 3 26 7" xfId="20760" xr:uid="{00000000-0005-0000-0000-0000CB500000}"/>
    <cellStyle name="Accent3 3 26 8" xfId="20761" xr:uid="{00000000-0005-0000-0000-0000CC500000}"/>
    <cellStyle name="Accent3 3 26 9" xfId="20762" xr:uid="{00000000-0005-0000-0000-0000CD500000}"/>
    <cellStyle name="Accent3 3 27" xfId="20763" xr:uid="{00000000-0005-0000-0000-0000CE500000}"/>
    <cellStyle name="Accent3 3 27 10" xfId="20764" xr:uid="{00000000-0005-0000-0000-0000CF500000}"/>
    <cellStyle name="Accent3 3 27 11" xfId="20765" xr:uid="{00000000-0005-0000-0000-0000D0500000}"/>
    <cellStyle name="Accent3 3 27 12" xfId="20766" xr:uid="{00000000-0005-0000-0000-0000D1500000}"/>
    <cellStyle name="Accent3 3 27 13" xfId="20767" xr:uid="{00000000-0005-0000-0000-0000D2500000}"/>
    <cellStyle name="Accent3 3 27 14" xfId="20768" xr:uid="{00000000-0005-0000-0000-0000D3500000}"/>
    <cellStyle name="Accent3 3 27 15" xfId="20769" xr:uid="{00000000-0005-0000-0000-0000D4500000}"/>
    <cellStyle name="Accent3 3 27 2" xfId="20770" xr:uid="{00000000-0005-0000-0000-0000D5500000}"/>
    <cellStyle name="Accent3 3 27 3" xfId="20771" xr:uid="{00000000-0005-0000-0000-0000D6500000}"/>
    <cellStyle name="Accent3 3 27 4" xfId="20772" xr:uid="{00000000-0005-0000-0000-0000D7500000}"/>
    <cellStyle name="Accent3 3 27 5" xfId="20773" xr:uid="{00000000-0005-0000-0000-0000D8500000}"/>
    <cellStyle name="Accent3 3 27 6" xfId="20774" xr:uid="{00000000-0005-0000-0000-0000D9500000}"/>
    <cellStyle name="Accent3 3 27 7" xfId="20775" xr:uid="{00000000-0005-0000-0000-0000DA500000}"/>
    <cellStyle name="Accent3 3 27 8" xfId="20776" xr:uid="{00000000-0005-0000-0000-0000DB500000}"/>
    <cellStyle name="Accent3 3 27 9" xfId="20777" xr:uid="{00000000-0005-0000-0000-0000DC500000}"/>
    <cellStyle name="Accent3 3 28" xfId="20778" xr:uid="{00000000-0005-0000-0000-0000DD500000}"/>
    <cellStyle name="Accent3 3 28 10" xfId="20779" xr:uid="{00000000-0005-0000-0000-0000DE500000}"/>
    <cellStyle name="Accent3 3 28 11" xfId="20780" xr:uid="{00000000-0005-0000-0000-0000DF500000}"/>
    <cellStyle name="Accent3 3 28 12" xfId="20781" xr:uid="{00000000-0005-0000-0000-0000E0500000}"/>
    <cellStyle name="Accent3 3 28 13" xfId="20782" xr:uid="{00000000-0005-0000-0000-0000E1500000}"/>
    <cellStyle name="Accent3 3 28 14" xfId="20783" xr:uid="{00000000-0005-0000-0000-0000E2500000}"/>
    <cellStyle name="Accent3 3 28 15" xfId="20784" xr:uid="{00000000-0005-0000-0000-0000E3500000}"/>
    <cellStyle name="Accent3 3 28 2" xfId="20785" xr:uid="{00000000-0005-0000-0000-0000E4500000}"/>
    <cellStyle name="Accent3 3 28 3" xfId="20786" xr:uid="{00000000-0005-0000-0000-0000E5500000}"/>
    <cellStyle name="Accent3 3 28 4" xfId="20787" xr:uid="{00000000-0005-0000-0000-0000E6500000}"/>
    <cellStyle name="Accent3 3 28 5" xfId="20788" xr:uid="{00000000-0005-0000-0000-0000E7500000}"/>
    <cellStyle name="Accent3 3 28 6" xfId="20789" xr:uid="{00000000-0005-0000-0000-0000E8500000}"/>
    <cellStyle name="Accent3 3 28 7" xfId="20790" xr:uid="{00000000-0005-0000-0000-0000E9500000}"/>
    <cellStyle name="Accent3 3 28 8" xfId="20791" xr:uid="{00000000-0005-0000-0000-0000EA500000}"/>
    <cellStyle name="Accent3 3 28 9" xfId="20792" xr:uid="{00000000-0005-0000-0000-0000EB500000}"/>
    <cellStyle name="Accent3 3 29" xfId="20793" xr:uid="{00000000-0005-0000-0000-0000EC500000}"/>
    <cellStyle name="Accent3 3 29 10" xfId="20794" xr:uid="{00000000-0005-0000-0000-0000ED500000}"/>
    <cellStyle name="Accent3 3 29 11" xfId="20795" xr:uid="{00000000-0005-0000-0000-0000EE500000}"/>
    <cellStyle name="Accent3 3 29 12" xfId="20796" xr:uid="{00000000-0005-0000-0000-0000EF500000}"/>
    <cellStyle name="Accent3 3 29 13" xfId="20797" xr:uid="{00000000-0005-0000-0000-0000F0500000}"/>
    <cellStyle name="Accent3 3 29 14" xfId="20798" xr:uid="{00000000-0005-0000-0000-0000F1500000}"/>
    <cellStyle name="Accent3 3 29 15" xfId="20799" xr:uid="{00000000-0005-0000-0000-0000F2500000}"/>
    <cellStyle name="Accent3 3 29 2" xfId="20800" xr:uid="{00000000-0005-0000-0000-0000F3500000}"/>
    <cellStyle name="Accent3 3 29 3" xfId="20801" xr:uid="{00000000-0005-0000-0000-0000F4500000}"/>
    <cellStyle name="Accent3 3 29 4" xfId="20802" xr:uid="{00000000-0005-0000-0000-0000F5500000}"/>
    <cellStyle name="Accent3 3 29 5" xfId="20803" xr:uid="{00000000-0005-0000-0000-0000F6500000}"/>
    <cellStyle name="Accent3 3 29 6" xfId="20804" xr:uid="{00000000-0005-0000-0000-0000F7500000}"/>
    <cellStyle name="Accent3 3 29 7" xfId="20805" xr:uid="{00000000-0005-0000-0000-0000F8500000}"/>
    <cellStyle name="Accent3 3 29 8" xfId="20806" xr:uid="{00000000-0005-0000-0000-0000F9500000}"/>
    <cellStyle name="Accent3 3 29 9" xfId="20807" xr:uid="{00000000-0005-0000-0000-0000FA500000}"/>
    <cellStyle name="Accent3 3 3" xfId="20808" xr:uid="{00000000-0005-0000-0000-0000FB500000}"/>
    <cellStyle name="Accent3 3 3 10" xfId="20809" xr:uid="{00000000-0005-0000-0000-0000FC500000}"/>
    <cellStyle name="Accent3 3 3 11" xfId="20810" xr:uid="{00000000-0005-0000-0000-0000FD500000}"/>
    <cellStyle name="Accent3 3 3 12" xfId="20811" xr:uid="{00000000-0005-0000-0000-0000FE500000}"/>
    <cellStyle name="Accent3 3 3 13" xfId="20812" xr:uid="{00000000-0005-0000-0000-0000FF500000}"/>
    <cellStyle name="Accent3 3 3 14" xfId="20813" xr:uid="{00000000-0005-0000-0000-000000510000}"/>
    <cellStyle name="Accent3 3 3 15" xfId="20814" xr:uid="{00000000-0005-0000-0000-000001510000}"/>
    <cellStyle name="Accent3 3 3 16" xfId="20815" xr:uid="{00000000-0005-0000-0000-000002510000}"/>
    <cellStyle name="Accent3 3 3 2" xfId="20816" xr:uid="{00000000-0005-0000-0000-000003510000}"/>
    <cellStyle name="Accent3 3 3 3" xfId="20817" xr:uid="{00000000-0005-0000-0000-000004510000}"/>
    <cellStyle name="Accent3 3 3 4" xfId="20818" xr:uid="{00000000-0005-0000-0000-000005510000}"/>
    <cellStyle name="Accent3 3 3 5" xfId="20819" xr:uid="{00000000-0005-0000-0000-000006510000}"/>
    <cellStyle name="Accent3 3 3 6" xfId="20820" xr:uid="{00000000-0005-0000-0000-000007510000}"/>
    <cellStyle name="Accent3 3 3 7" xfId="20821" xr:uid="{00000000-0005-0000-0000-000008510000}"/>
    <cellStyle name="Accent3 3 3 8" xfId="20822" xr:uid="{00000000-0005-0000-0000-000009510000}"/>
    <cellStyle name="Accent3 3 3 9" xfId="20823" xr:uid="{00000000-0005-0000-0000-00000A510000}"/>
    <cellStyle name="Accent3 3 30" xfId="20824" xr:uid="{00000000-0005-0000-0000-00000B510000}"/>
    <cellStyle name="Accent3 3 30 10" xfId="20825" xr:uid="{00000000-0005-0000-0000-00000C510000}"/>
    <cellStyle name="Accent3 3 30 11" xfId="20826" xr:uid="{00000000-0005-0000-0000-00000D510000}"/>
    <cellStyle name="Accent3 3 30 12" xfId="20827" xr:uid="{00000000-0005-0000-0000-00000E510000}"/>
    <cellStyle name="Accent3 3 30 13" xfId="20828" xr:uid="{00000000-0005-0000-0000-00000F510000}"/>
    <cellStyle name="Accent3 3 30 14" xfId="20829" xr:uid="{00000000-0005-0000-0000-000010510000}"/>
    <cellStyle name="Accent3 3 30 15" xfId="20830" xr:uid="{00000000-0005-0000-0000-000011510000}"/>
    <cellStyle name="Accent3 3 30 2" xfId="20831" xr:uid="{00000000-0005-0000-0000-000012510000}"/>
    <cellStyle name="Accent3 3 30 3" xfId="20832" xr:uid="{00000000-0005-0000-0000-000013510000}"/>
    <cellStyle name="Accent3 3 30 4" xfId="20833" xr:uid="{00000000-0005-0000-0000-000014510000}"/>
    <cellStyle name="Accent3 3 30 5" xfId="20834" xr:uid="{00000000-0005-0000-0000-000015510000}"/>
    <cellStyle name="Accent3 3 30 6" xfId="20835" xr:uid="{00000000-0005-0000-0000-000016510000}"/>
    <cellStyle name="Accent3 3 30 7" xfId="20836" xr:uid="{00000000-0005-0000-0000-000017510000}"/>
    <cellStyle name="Accent3 3 30 8" xfId="20837" xr:uid="{00000000-0005-0000-0000-000018510000}"/>
    <cellStyle name="Accent3 3 30 9" xfId="20838" xr:uid="{00000000-0005-0000-0000-000019510000}"/>
    <cellStyle name="Accent3 3 31" xfId="20839" xr:uid="{00000000-0005-0000-0000-00001A510000}"/>
    <cellStyle name="Accent3 3 31 10" xfId="20840" xr:uid="{00000000-0005-0000-0000-00001B510000}"/>
    <cellStyle name="Accent3 3 31 11" xfId="20841" xr:uid="{00000000-0005-0000-0000-00001C510000}"/>
    <cellStyle name="Accent3 3 31 12" xfId="20842" xr:uid="{00000000-0005-0000-0000-00001D510000}"/>
    <cellStyle name="Accent3 3 31 13" xfId="20843" xr:uid="{00000000-0005-0000-0000-00001E510000}"/>
    <cellStyle name="Accent3 3 31 14" xfId="20844" xr:uid="{00000000-0005-0000-0000-00001F510000}"/>
    <cellStyle name="Accent3 3 31 15" xfId="20845" xr:uid="{00000000-0005-0000-0000-000020510000}"/>
    <cellStyle name="Accent3 3 31 2" xfId="20846" xr:uid="{00000000-0005-0000-0000-000021510000}"/>
    <cellStyle name="Accent3 3 31 3" xfId="20847" xr:uid="{00000000-0005-0000-0000-000022510000}"/>
    <cellStyle name="Accent3 3 31 4" xfId="20848" xr:uid="{00000000-0005-0000-0000-000023510000}"/>
    <cellStyle name="Accent3 3 31 5" xfId="20849" xr:uid="{00000000-0005-0000-0000-000024510000}"/>
    <cellStyle name="Accent3 3 31 6" xfId="20850" xr:uid="{00000000-0005-0000-0000-000025510000}"/>
    <cellStyle name="Accent3 3 31 7" xfId="20851" xr:uid="{00000000-0005-0000-0000-000026510000}"/>
    <cellStyle name="Accent3 3 31 8" xfId="20852" xr:uid="{00000000-0005-0000-0000-000027510000}"/>
    <cellStyle name="Accent3 3 31 9" xfId="20853" xr:uid="{00000000-0005-0000-0000-000028510000}"/>
    <cellStyle name="Accent3 3 32" xfId="20854" xr:uid="{00000000-0005-0000-0000-000029510000}"/>
    <cellStyle name="Accent3 3 32 10" xfId="20855" xr:uid="{00000000-0005-0000-0000-00002A510000}"/>
    <cellStyle name="Accent3 3 32 11" xfId="20856" xr:uid="{00000000-0005-0000-0000-00002B510000}"/>
    <cellStyle name="Accent3 3 32 12" xfId="20857" xr:uid="{00000000-0005-0000-0000-00002C510000}"/>
    <cellStyle name="Accent3 3 32 13" xfId="20858" xr:uid="{00000000-0005-0000-0000-00002D510000}"/>
    <cellStyle name="Accent3 3 32 14" xfId="20859" xr:uid="{00000000-0005-0000-0000-00002E510000}"/>
    <cellStyle name="Accent3 3 32 15" xfId="20860" xr:uid="{00000000-0005-0000-0000-00002F510000}"/>
    <cellStyle name="Accent3 3 32 2" xfId="20861" xr:uid="{00000000-0005-0000-0000-000030510000}"/>
    <cellStyle name="Accent3 3 32 3" xfId="20862" xr:uid="{00000000-0005-0000-0000-000031510000}"/>
    <cellStyle name="Accent3 3 32 4" xfId="20863" xr:uid="{00000000-0005-0000-0000-000032510000}"/>
    <cellStyle name="Accent3 3 32 5" xfId="20864" xr:uid="{00000000-0005-0000-0000-000033510000}"/>
    <cellStyle name="Accent3 3 32 6" xfId="20865" xr:uid="{00000000-0005-0000-0000-000034510000}"/>
    <cellStyle name="Accent3 3 32 7" xfId="20866" xr:uid="{00000000-0005-0000-0000-000035510000}"/>
    <cellStyle name="Accent3 3 32 8" xfId="20867" xr:uid="{00000000-0005-0000-0000-000036510000}"/>
    <cellStyle name="Accent3 3 32 9" xfId="20868" xr:uid="{00000000-0005-0000-0000-000037510000}"/>
    <cellStyle name="Accent3 3 33" xfId="20869" xr:uid="{00000000-0005-0000-0000-000038510000}"/>
    <cellStyle name="Accent3 3 34" xfId="20870" xr:uid="{00000000-0005-0000-0000-000039510000}"/>
    <cellStyle name="Accent3 3 35" xfId="20871" xr:uid="{00000000-0005-0000-0000-00003A510000}"/>
    <cellStyle name="Accent3 3 36" xfId="20872" xr:uid="{00000000-0005-0000-0000-00003B510000}"/>
    <cellStyle name="Accent3 3 37" xfId="20873" xr:uid="{00000000-0005-0000-0000-00003C510000}"/>
    <cellStyle name="Accent3 3 38" xfId="20874" xr:uid="{00000000-0005-0000-0000-00003D510000}"/>
    <cellStyle name="Accent3 3 39" xfId="20875" xr:uid="{00000000-0005-0000-0000-00003E510000}"/>
    <cellStyle name="Accent3 3 4" xfId="20876" xr:uid="{00000000-0005-0000-0000-00003F510000}"/>
    <cellStyle name="Accent3 3 4 10" xfId="20877" xr:uid="{00000000-0005-0000-0000-000040510000}"/>
    <cellStyle name="Accent3 3 4 11" xfId="20878" xr:uid="{00000000-0005-0000-0000-000041510000}"/>
    <cellStyle name="Accent3 3 4 12" xfId="20879" xr:uid="{00000000-0005-0000-0000-000042510000}"/>
    <cellStyle name="Accent3 3 4 13" xfId="20880" xr:uid="{00000000-0005-0000-0000-000043510000}"/>
    <cellStyle name="Accent3 3 4 14" xfId="20881" xr:uid="{00000000-0005-0000-0000-000044510000}"/>
    <cellStyle name="Accent3 3 4 15" xfId="20882" xr:uid="{00000000-0005-0000-0000-000045510000}"/>
    <cellStyle name="Accent3 3 4 2" xfId="20883" xr:uid="{00000000-0005-0000-0000-000046510000}"/>
    <cellStyle name="Accent3 3 4 3" xfId="20884" xr:uid="{00000000-0005-0000-0000-000047510000}"/>
    <cellStyle name="Accent3 3 4 4" xfId="20885" xr:uid="{00000000-0005-0000-0000-000048510000}"/>
    <cellStyle name="Accent3 3 4 5" xfId="20886" xr:uid="{00000000-0005-0000-0000-000049510000}"/>
    <cellStyle name="Accent3 3 4 6" xfId="20887" xr:uid="{00000000-0005-0000-0000-00004A510000}"/>
    <cellStyle name="Accent3 3 4 7" xfId="20888" xr:uid="{00000000-0005-0000-0000-00004B510000}"/>
    <cellStyle name="Accent3 3 4 8" xfId="20889" xr:uid="{00000000-0005-0000-0000-00004C510000}"/>
    <cellStyle name="Accent3 3 4 9" xfId="20890" xr:uid="{00000000-0005-0000-0000-00004D510000}"/>
    <cellStyle name="Accent3 3 40" xfId="20891" xr:uid="{00000000-0005-0000-0000-00004E510000}"/>
    <cellStyle name="Accent3 3 41" xfId="20892" xr:uid="{00000000-0005-0000-0000-00004F510000}"/>
    <cellStyle name="Accent3 3 42" xfId="20893" xr:uid="{00000000-0005-0000-0000-000050510000}"/>
    <cellStyle name="Accent3 3 43" xfId="20894" xr:uid="{00000000-0005-0000-0000-000051510000}"/>
    <cellStyle name="Accent3 3 44" xfId="20895" xr:uid="{00000000-0005-0000-0000-000052510000}"/>
    <cellStyle name="Accent3 3 45" xfId="20896" xr:uid="{00000000-0005-0000-0000-000053510000}"/>
    <cellStyle name="Accent3 3 46" xfId="20897" xr:uid="{00000000-0005-0000-0000-000054510000}"/>
    <cellStyle name="Accent3 3 47" xfId="20898" xr:uid="{00000000-0005-0000-0000-000055510000}"/>
    <cellStyle name="Accent3 3 48" xfId="20899" xr:uid="{00000000-0005-0000-0000-000056510000}"/>
    <cellStyle name="Accent3 3 49" xfId="20900" xr:uid="{00000000-0005-0000-0000-000057510000}"/>
    <cellStyle name="Accent3 3 5" xfId="20901" xr:uid="{00000000-0005-0000-0000-000058510000}"/>
    <cellStyle name="Accent3 3 5 10" xfId="20902" xr:uid="{00000000-0005-0000-0000-000059510000}"/>
    <cellStyle name="Accent3 3 5 11" xfId="20903" xr:uid="{00000000-0005-0000-0000-00005A510000}"/>
    <cellStyle name="Accent3 3 5 12" xfId="20904" xr:uid="{00000000-0005-0000-0000-00005B510000}"/>
    <cellStyle name="Accent3 3 5 13" xfId="20905" xr:uid="{00000000-0005-0000-0000-00005C510000}"/>
    <cellStyle name="Accent3 3 5 14" xfId="20906" xr:uid="{00000000-0005-0000-0000-00005D510000}"/>
    <cellStyle name="Accent3 3 5 15" xfId="20907" xr:uid="{00000000-0005-0000-0000-00005E510000}"/>
    <cellStyle name="Accent3 3 5 2" xfId="20908" xr:uid="{00000000-0005-0000-0000-00005F510000}"/>
    <cellStyle name="Accent3 3 5 3" xfId="20909" xr:uid="{00000000-0005-0000-0000-000060510000}"/>
    <cellStyle name="Accent3 3 5 4" xfId="20910" xr:uid="{00000000-0005-0000-0000-000061510000}"/>
    <cellStyle name="Accent3 3 5 5" xfId="20911" xr:uid="{00000000-0005-0000-0000-000062510000}"/>
    <cellStyle name="Accent3 3 5 6" xfId="20912" xr:uid="{00000000-0005-0000-0000-000063510000}"/>
    <cellStyle name="Accent3 3 5 7" xfId="20913" xr:uid="{00000000-0005-0000-0000-000064510000}"/>
    <cellStyle name="Accent3 3 5 8" xfId="20914" xr:uid="{00000000-0005-0000-0000-000065510000}"/>
    <cellStyle name="Accent3 3 5 9" xfId="20915" xr:uid="{00000000-0005-0000-0000-000066510000}"/>
    <cellStyle name="Accent3 3 50" xfId="20916" xr:uid="{00000000-0005-0000-0000-000067510000}"/>
    <cellStyle name="Accent3 3 51" xfId="20917" xr:uid="{00000000-0005-0000-0000-000068510000}"/>
    <cellStyle name="Accent3 3 52" xfId="20918" xr:uid="{00000000-0005-0000-0000-000069510000}"/>
    <cellStyle name="Accent3 3 53" xfId="20919" xr:uid="{00000000-0005-0000-0000-00006A510000}"/>
    <cellStyle name="Accent3 3 6" xfId="20920" xr:uid="{00000000-0005-0000-0000-00006B510000}"/>
    <cellStyle name="Accent3 3 6 10" xfId="20921" xr:uid="{00000000-0005-0000-0000-00006C510000}"/>
    <cellStyle name="Accent3 3 6 11" xfId="20922" xr:uid="{00000000-0005-0000-0000-00006D510000}"/>
    <cellStyle name="Accent3 3 6 12" xfId="20923" xr:uid="{00000000-0005-0000-0000-00006E510000}"/>
    <cellStyle name="Accent3 3 6 13" xfId="20924" xr:uid="{00000000-0005-0000-0000-00006F510000}"/>
    <cellStyle name="Accent3 3 6 14" xfId="20925" xr:uid="{00000000-0005-0000-0000-000070510000}"/>
    <cellStyle name="Accent3 3 6 15" xfId="20926" xr:uid="{00000000-0005-0000-0000-000071510000}"/>
    <cellStyle name="Accent3 3 6 2" xfId="20927" xr:uid="{00000000-0005-0000-0000-000072510000}"/>
    <cellStyle name="Accent3 3 6 3" xfId="20928" xr:uid="{00000000-0005-0000-0000-000073510000}"/>
    <cellStyle name="Accent3 3 6 4" xfId="20929" xr:uid="{00000000-0005-0000-0000-000074510000}"/>
    <cellStyle name="Accent3 3 6 5" xfId="20930" xr:uid="{00000000-0005-0000-0000-000075510000}"/>
    <cellStyle name="Accent3 3 6 6" xfId="20931" xr:uid="{00000000-0005-0000-0000-000076510000}"/>
    <cellStyle name="Accent3 3 6 7" xfId="20932" xr:uid="{00000000-0005-0000-0000-000077510000}"/>
    <cellStyle name="Accent3 3 6 8" xfId="20933" xr:uid="{00000000-0005-0000-0000-000078510000}"/>
    <cellStyle name="Accent3 3 6 9" xfId="20934" xr:uid="{00000000-0005-0000-0000-000079510000}"/>
    <cellStyle name="Accent3 3 7" xfId="20935" xr:uid="{00000000-0005-0000-0000-00007A510000}"/>
    <cellStyle name="Accent3 3 7 10" xfId="20936" xr:uid="{00000000-0005-0000-0000-00007B510000}"/>
    <cellStyle name="Accent3 3 7 11" xfId="20937" xr:uid="{00000000-0005-0000-0000-00007C510000}"/>
    <cellStyle name="Accent3 3 7 12" xfId="20938" xr:uid="{00000000-0005-0000-0000-00007D510000}"/>
    <cellStyle name="Accent3 3 7 13" xfId="20939" xr:uid="{00000000-0005-0000-0000-00007E510000}"/>
    <cellStyle name="Accent3 3 7 14" xfId="20940" xr:uid="{00000000-0005-0000-0000-00007F510000}"/>
    <cellStyle name="Accent3 3 7 15" xfId="20941" xr:uid="{00000000-0005-0000-0000-000080510000}"/>
    <cellStyle name="Accent3 3 7 2" xfId="20942" xr:uid="{00000000-0005-0000-0000-000081510000}"/>
    <cellStyle name="Accent3 3 7 3" xfId="20943" xr:uid="{00000000-0005-0000-0000-000082510000}"/>
    <cellStyle name="Accent3 3 7 4" xfId="20944" xr:uid="{00000000-0005-0000-0000-000083510000}"/>
    <cellStyle name="Accent3 3 7 5" xfId="20945" xr:uid="{00000000-0005-0000-0000-000084510000}"/>
    <cellStyle name="Accent3 3 7 6" xfId="20946" xr:uid="{00000000-0005-0000-0000-000085510000}"/>
    <cellStyle name="Accent3 3 7 7" xfId="20947" xr:uid="{00000000-0005-0000-0000-000086510000}"/>
    <cellStyle name="Accent3 3 7 8" xfId="20948" xr:uid="{00000000-0005-0000-0000-000087510000}"/>
    <cellStyle name="Accent3 3 7 9" xfId="20949" xr:uid="{00000000-0005-0000-0000-000088510000}"/>
    <cellStyle name="Accent3 3 8" xfId="20950" xr:uid="{00000000-0005-0000-0000-000089510000}"/>
    <cellStyle name="Accent3 3 8 10" xfId="20951" xr:uid="{00000000-0005-0000-0000-00008A510000}"/>
    <cellStyle name="Accent3 3 8 11" xfId="20952" xr:uid="{00000000-0005-0000-0000-00008B510000}"/>
    <cellStyle name="Accent3 3 8 12" xfId="20953" xr:uid="{00000000-0005-0000-0000-00008C510000}"/>
    <cellStyle name="Accent3 3 8 13" xfId="20954" xr:uid="{00000000-0005-0000-0000-00008D510000}"/>
    <cellStyle name="Accent3 3 8 14" xfId="20955" xr:uid="{00000000-0005-0000-0000-00008E510000}"/>
    <cellStyle name="Accent3 3 8 15" xfId="20956" xr:uid="{00000000-0005-0000-0000-00008F510000}"/>
    <cellStyle name="Accent3 3 8 2" xfId="20957" xr:uid="{00000000-0005-0000-0000-000090510000}"/>
    <cellStyle name="Accent3 3 8 3" xfId="20958" xr:uid="{00000000-0005-0000-0000-000091510000}"/>
    <cellStyle name="Accent3 3 8 4" xfId="20959" xr:uid="{00000000-0005-0000-0000-000092510000}"/>
    <cellStyle name="Accent3 3 8 5" xfId="20960" xr:uid="{00000000-0005-0000-0000-000093510000}"/>
    <cellStyle name="Accent3 3 8 6" xfId="20961" xr:uid="{00000000-0005-0000-0000-000094510000}"/>
    <cellStyle name="Accent3 3 8 7" xfId="20962" xr:uid="{00000000-0005-0000-0000-000095510000}"/>
    <cellStyle name="Accent3 3 8 8" xfId="20963" xr:uid="{00000000-0005-0000-0000-000096510000}"/>
    <cellStyle name="Accent3 3 8 9" xfId="20964" xr:uid="{00000000-0005-0000-0000-000097510000}"/>
    <cellStyle name="Accent3 3 9" xfId="20965" xr:uid="{00000000-0005-0000-0000-000098510000}"/>
    <cellStyle name="Accent3 3 9 10" xfId="20966" xr:uid="{00000000-0005-0000-0000-000099510000}"/>
    <cellStyle name="Accent3 3 9 11" xfId="20967" xr:uid="{00000000-0005-0000-0000-00009A510000}"/>
    <cellStyle name="Accent3 3 9 12" xfId="20968" xr:uid="{00000000-0005-0000-0000-00009B510000}"/>
    <cellStyle name="Accent3 3 9 13" xfId="20969" xr:uid="{00000000-0005-0000-0000-00009C510000}"/>
    <cellStyle name="Accent3 3 9 14" xfId="20970" xr:uid="{00000000-0005-0000-0000-00009D510000}"/>
    <cellStyle name="Accent3 3 9 15" xfId="20971" xr:uid="{00000000-0005-0000-0000-00009E510000}"/>
    <cellStyle name="Accent3 3 9 2" xfId="20972" xr:uid="{00000000-0005-0000-0000-00009F510000}"/>
    <cellStyle name="Accent3 3 9 3" xfId="20973" xr:uid="{00000000-0005-0000-0000-0000A0510000}"/>
    <cellStyle name="Accent3 3 9 4" xfId="20974" xr:uid="{00000000-0005-0000-0000-0000A1510000}"/>
    <cellStyle name="Accent3 3 9 5" xfId="20975" xr:uid="{00000000-0005-0000-0000-0000A2510000}"/>
    <cellStyle name="Accent3 3 9 6" xfId="20976" xr:uid="{00000000-0005-0000-0000-0000A3510000}"/>
    <cellStyle name="Accent3 3 9 7" xfId="20977" xr:uid="{00000000-0005-0000-0000-0000A4510000}"/>
    <cellStyle name="Accent3 3 9 8" xfId="20978" xr:uid="{00000000-0005-0000-0000-0000A5510000}"/>
    <cellStyle name="Accent3 3 9 9" xfId="20979" xr:uid="{00000000-0005-0000-0000-0000A6510000}"/>
    <cellStyle name="Accent3 30" xfId="20980" xr:uid="{00000000-0005-0000-0000-0000A7510000}"/>
    <cellStyle name="Accent3 30 10" xfId="20981" xr:uid="{00000000-0005-0000-0000-0000A8510000}"/>
    <cellStyle name="Accent3 30 11" xfId="20982" xr:uid="{00000000-0005-0000-0000-0000A9510000}"/>
    <cellStyle name="Accent3 30 12" xfId="20983" xr:uid="{00000000-0005-0000-0000-0000AA510000}"/>
    <cellStyle name="Accent3 30 13" xfId="20984" xr:uid="{00000000-0005-0000-0000-0000AB510000}"/>
    <cellStyle name="Accent3 30 14" xfId="20985" xr:uid="{00000000-0005-0000-0000-0000AC510000}"/>
    <cellStyle name="Accent3 30 15" xfId="20986" xr:uid="{00000000-0005-0000-0000-0000AD510000}"/>
    <cellStyle name="Accent3 30 2" xfId="20987" xr:uid="{00000000-0005-0000-0000-0000AE510000}"/>
    <cellStyle name="Accent3 30 3" xfId="20988" xr:uid="{00000000-0005-0000-0000-0000AF510000}"/>
    <cellStyle name="Accent3 30 4" xfId="20989" xr:uid="{00000000-0005-0000-0000-0000B0510000}"/>
    <cellStyle name="Accent3 30 5" xfId="20990" xr:uid="{00000000-0005-0000-0000-0000B1510000}"/>
    <cellStyle name="Accent3 30 6" xfId="20991" xr:uid="{00000000-0005-0000-0000-0000B2510000}"/>
    <cellStyle name="Accent3 30 7" xfId="20992" xr:uid="{00000000-0005-0000-0000-0000B3510000}"/>
    <cellStyle name="Accent3 30 8" xfId="20993" xr:uid="{00000000-0005-0000-0000-0000B4510000}"/>
    <cellStyle name="Accent3 30 9" xfId="20994" xr:uid="{00000000-0005-0000-0000-0000B5510000}"/>
    <cellStyle name="Accent3 31" xfId="20995" xr:uid="{00000000-0005-0000-0000-0000B6510000}"/>
    <cellStyle name="Accent3 31 10" xfId="20996" xr:uid="{00000000-0005-0000-0000-0000B7510000}"/>
    <cellStyle name="Accent3 31 11" xfId="20997" xr:uid="{00000000-0005-0000-0000-0000B8510000}"/>
    <cellStyle name="Accent3 31 12" xfId="20998" xr:uid="{00000000-0005-0000-0000-0000B9510000}"/>
    <cellStyle name="Accent3 31 13" xfId="20999" xr:uid="{00000000-0005-0000-0000-0000BA510000}"/>
    <cellStyle name="Accent3 31 14" xfId="21000" xr:uid="{00000000-0005-0000-0000-0000BB510000}"/>
    <cellStyle name="Accent3 31 15" xfId="21001" xr:uid="{00000000-0005-0000-0000-0000BC510000}"/>
    <cellStyle name="Accent3 31 2" xfId="21002" xr:uid="{00000000-0005-0000-0000-0000BD510000}"/>
    <cellStyle name="Accent3 31 3" xfId="21003" xr:uid="{00000000-0005-0000-0000-0000BE510000}"/>
    <cellStyle name="Accent3 31 4" xfId="21004" xr:uid="{00000000-0005-0000-0000-0000BF510000}"/>
    <cellStyle name="Accent3 31 5" xfId="21005" xr:uid="{00000000-0005-0000-0000-0000C0510000}"/>
    <cellStyle name="Accent3 31 6" xfId="21006" xr:uid="{00000000-0005-0000-0000-0000C1510000}"/>
    <cellStyle name="Accent3 31 7" xfId="21007" xr:uid="{00000000-0005-0000-0000-0000C2510000}"/>
    <cellStyle name="Accent3 31 8" xfId="21008" xr:uid="{00000000-0005-0000-0000-0000C3510000}"/>
    <cellStyle name="Accent3 31 9" xfId="21009" xr:uid="{00000000-0005-0000-0000-0000C4510000}"/>
    <cellStyle name="Accent3 32" xfId="21010" xr:uid="{00000000-0005-0000-0000-0000C5510000}"/>
    <cellStyle name="Accent3 32 10" xfId="21011" xr:uid="{00000000-0005-0000-0000-0000C6510000}"/>
    <cellStyle name="Accent3 32 11" xfId="21012" xr:uid="{00000000-0005-0000-0000-0000C7510000}"/>
    <cellStyle name="Accent3 32 12" xfId="21013" xr:uid="{00000000-0005-0000-0000-0000C8510000}"/>
    <cellStyle name="Accent3 32 13" xfId="21014" xr:uid="{00000000-0005-0000-0000-0000C9510000}"/>
    <cellStyle name="Accent3 32 14" xfId="21015" xr:uid="{00000000-0005-0000-0000-0000CA510000}"/>
    <cellStyle name="Accent3 32 15" xfId="21016" xr:uid="{00000000-0005-0000-0000-0000CB510000}"/>
    <cellStyle name="Accent3 32 2" xfId="21017" xr:uid="{00000000-0005-0000-0000-0000CC510000}"/>
    <cellStyle name="Accent3 32 3" xfId="21018" xr:uid="{00000000-0005-0000-0000-0000CD510000}"/>
    <cellStyle name="Accent3 32 4" xfId="21019" xr:uid="{00000000-0005-0000-0000-0000CE510000}"/>
    <cellStyle name="Accent3 32 5" xfId="21020" xr:uid="{00000000-0005-0000-0000-0000CF510000}"/>
    <cellStyle name="Accent3 32 6" xfId="21021" xr:uid="{00000000-0005-0000-0000-0000D0510000}"/>
    <cellStyle name="Accent3 32 7" xfId="21022" xr:uid="{00000000-0005-0000-0000-0000D1510000}"/>
    <cellStyle name="Accent3 32 8" xfId="21023" xr:uid="{00000000-0005-0000-0000-0000D2510000}"/>
    <cellStyle name="Accent3 32 9" xfId="21024" xr:uid="{00000000-0005-0000-0000-0000D3510000}"/>
    <cellStyle name="Accent3 33" xfId="21025" xr:uid="{00000000-0005-0000-0000-0000D4510000}"/>
    <cellStyle name="Accent3 33 10" xfId="21026" xr:uid="{00000000-0005-0000-0000-0000D5510000}"/>
    <cellStyle name="Accent3 33 11" xfId="21027" xr:uid="{00000000-0005-0000-0000-0000D6510000}"/>
    <cellStyle name="Accent3 33 12" xfId="21028" xr:uid="{00000000-0005-0000-0000-0000D7510000}"/>
    <cellStyle name="Accent3 33 13" xfId="21029" xr:uid="{00000000-0005-0000-0000-0000D8510000}"/>
    <cellStyle name="Accent3 33 14" xfId="21030" xr:uid="{00000000-0005-0000-0000-0000D9510000}"/>
    <cellStyle name="Accent3 33 15" xfId="21031" xr:uid="{00000000-0005-0000-0000-0000DA510000}"/>
    <cellStyle name="Accent3 33 2" xfId="21032" xr:uid="{00000000-0005-0000-0000-0000DB510000}"/>
    <cellStyle name="Accent3 33 3" xfId="21033" xr:uid="{00000000-0005-0000-0000-0000DC510000}"/>
    <cellStyle name="Accent3 33 4" xfId="21034" xr:uid="{00000000-0005-0000-0000-0000DD510000}"/>
    <cellStyle name="Accent3 33 5" xfId="21035" xr:uid="{00000000-0005-0000-0000-0000DE510000}"/>
    <cellStyle name="Accent3 33 6" xfId="21036" xr:uid="{00000000-0005-0000-0000-0000DF510000}"/>
    <cellStyle name="Accent3 33 7" xfId="21037" xr:uid="{00000000-0005-0000-0000-0000E0510000}"/>
    <cellStyle name="Accent3 33 8" xfId="21038" xr:uid="{00000000-0005-0000-0000-0000E1510000}"/>
    <cellStyle name="Accent3 33 9" xfId="21039" xr:uid="{00000000-0005-0000-0000-0000E2510000}"/>
    <cellStyle name="Accent3 34" xfId="21040" xr:uid="{00000000-0005-0000-0000-0000E3510000}"/>
    <cellStyle name="Accent3 34 10" xfId="21041" xr:uid="{00000000-0005-0000-0000-0000E4510000}"/>
    <cellStyle name="Accent3 34 11" xfId="21042" xr:uid="{00000000-0005-0000-0000-0000E5510000}"/>
    <cellStyle name="Accent3 34 12" xfId="21043" xr:uid="{00000000-0005-0000-0000-0000E6510000}"/>
    <cellStyle name="Accent3 34 13" xfId="21044" xr:uid="{00000000-0005-0000-0000-0000E7510000}"/>
    <cellStyle name="Accent3 34 14" xfId="21045" xr:uid="{00000000-0005-0000-0000-0000E8510000}"/>
    <cellStyle name="Accent3 34 15" xfId="21046" xr:uid="{00000000-0005-0000-0000-0000E9510000}"/>
    <cellStyle name="Accent3 34 2" xfId="21047" xr:uid="{00000000-0005-0000-0000-0000EA510000}"/>
    <cellStyle name="Accent3 34 3" xfId="21048" xr:uid="{00000000-0005-0000-0000-0000EB510000}"/>
    <cellStyle name="Accent3 34 4" xfId="21049" xr:uid="{00000000-0005-0000-0000-0000EC510000}"/>
    <cellStyle name="Accent3 34 5" xfId="21050" xr:uid="{00000000-0005-0000-0000-0000ED510000}"/>
    <cellStyle name="Accent3 34 6" xfId="21051" xr:uid="{00000000-0005-0000-0000-0000EE510000}"/>
    <cellStyle name="Accent3 34 7" xfId="21052" xr:uid="{00000000-0005-0000-0000-0000EF510000}"/>
    <cellStyle name="Accent3 34 8" xfId="21053" xr:uid="{00000000-0005-0000-0000-0000F0510000}"/>
    <cellStyle name="Accent3 34 9" xfId="21054" xr:uid="{00000000-0005-0000-0000-0000F1510000}"/>
    <cellStyle name="Accent3 35" xfId="21055" xr:uid="{00000000-0005-0000-0000-0000F2510000}"/>
    <cellStyle name="Accent3 35 10" xfId="21056" xr:uid="{00000000-0005-0000-0000-0000F3510000}"/>
    <cellStyle name="Accent3 35 11" xfId="21057" xr:uid="{00000000-0005-0000-0000-0000F4510000}"/>
    <cellStyle name="Accent3 35 12" xfId="21058" xr:uid="{00000000-0005-0000-0000-0000F5510000}"/>
    <cellStyle name="Accent3 35 13" xfId="21059" xr:uid="{00000000-0005-0000-0000-0000F6510000}"/>
    <cellStyle name="Accent3 35 14" xfId="21060" xr:uid="{00000000-0005-0000-0000-0000F7510000}"/>
    <cellStyle name="Accent3 35 15" xfId="21061" xr:uid="{00000000-0005-0000-0000-0000F8510000}"/>
    <cellStyle name="Accent3 35 2" xfId="21062" xr:uid="{00000000-0005-0000-0000-0000F9510000}"/>
    <cellStyle name="Accent3 35 3" xfId="21063" xr:uid="{00000000-0005-0000-0000-0000FA510000}"/>
    <cellStyle name="Accent3 35 4" xfId="21064" xr:uid="{00000000-0005-0000-0000-0000FB510000}"/>
    <cellStyle name="Accent3 35 5" xfId="21065" xr:uid="{00000000-0005-0000-0000-0000FC510000}"/>
    <cellStyle name="Accent3 35 6" xfId="21066" xr:uid="{00000000-0005-0000-0000-0000FD510000}"/>
    <cellStyle name="Accent3 35 7" xfId="21067" xr:uid="{00000000-0005-0000-0000-0000FE510000}"/>
    <cellStyle name="Accent3 35 8" xfId="21068" xr:uid="{00000000-0005-0000-0000-0000FF510000}"/>
    <cellStyle name="Accent3 35 9" xfId="21069" xr:uid="{00000000-0005-0000-0000-000000520000}"/>
    <cellStyle name="Accent3 36" xfId="21070" xr:uid="{00000000-0005-0000-0000-000001520000}"/>
    <cellStyle name="Accent3 36 10" xfId="21071" xr:uid="{00000000-0005-0000-0000-000002520000}"/>
    <cellStyle name="Accent3 36 11" xfId="21072" xr:uid="{00000000-0005-0000-0000-000003520000}"/>
    <cellStyle name="Accent3 36 12" xfId="21073" xr:uid="{00000000-0005-0000-0000-000004520000}"/>
    <cellStyle name="Accent3 36 13" xfId="21074" xr:uid="{00000000-0005-0000-0000-000005520000}"/>
    <cellStyle name="Accent3 36 14" xfId="21075" xr:uid="{00000000-0005-0000-0000-000006520000}"/>
    <cellStyle name="Accent3 36 15" xfId="21076" xr:uid="{00000000-0005-0000-0000-000007520000}"/>
    <cellStyle name="Accent3 36 2" xfId="21077" xr:uid="{00000000-0005-0000-0000-000008520000}"/>
    <cellStyle name="Accent3 36 3" xfId="21078" xr:uid="{00000000-0005-0000-0000-000009520000}"/>
    <cellStyle name="Accent3 36 4" xfId="21079" xr:uid="{00000000-0005-0000-0000-00000A520000}"/>
    <cellStyle name="Accent3 36 5" xfId="21080" xr:uid="{00000000-0005-0000-0000-00000B520000}"/>
    <cellStyle name="Accent3 36 6" xfId="21081" xr:uid="{00000000-0005-0000-0000-00000C520000}"/>
    <cellStyle name="Accent3 36 7" xfId="21082" xr:uid="{00000000-0005-0000-0000-00000D520000}"/>
    <cellStyle name="Accent3 36 8" xfId="21083" xr:uid="{00000000-0005-0000-0000-00000E520000}"/>
    <cellStyle name="Accent3 36 9" xfId="21084" xr:uid="{00000000-0005-0000-0000-00000F520000}"/>
    <cellStyle name="Accent3 37" xfId="21085" xr:uid="{00000000-0005-0000-0000-000010520000}"/>
    <cellStyle name="Accent3 37 10" xfId="21086" xr:uid="{00000000-0005-0000-0000-000011520000}"/>
    <cellStyle name="Accent3 37 11" xfId="21087" xr:uid="{00000000-0005-0000-0000-000012520000}"/>
    <cellStyle name="Accent3 37 12" xfId="21088" xr:uid="{00000000-0005-0000-0000-000013520000}"/>
    <cellStyle name="Accent3 37 13" xfId="21089" xr:uid="{00000000-0005-0000-0000-000014520000}"/>
    <cellStyle name="Accent3 37 14" xfId="21090" xr:uid="{00000000-0005-0000-0000-000015520000}"/>
    <cellStyle name="Accent3 37 15" xfId="21091" xr:uid="{00000000-0005-0000-0000-000016520000}"/>
    <cellStyle name="Accent3 37 2" xfId="21092" xr:uid="{00000000-0005-0000-0000-000017520000}"/>
    <cellStyle name="Accent3 37 3" xfId="21093" xr:uid="{00000000-0005-0000-0000-000018520000}"/>
    <cellStyle name="Accent3 37 4" xfId="21094" xr:uid="{00000000-0005-0000-0000-000019520000}"/>
    <cellStyle name="Accent3 37 5" xfId="21095" xr:uid="{00000000-0005-0000-0000-00001A520000}"/>
    <cellStyle name="Accent3 37 6" xfId="21096" xr:uid="{00000000-0005-0000-0000-00001B520000}"/>
    <cellStyle name="Accent3 37 7" xfId="21097" xr:uid="{00000000-0005-0000-0000-00001C520000}"/>
    <cellStyle name="Accent3 37 8" xfId="21098" xr:uid="{00000000-0005-0000-0000-00001D520000}"/>
    <cellStyle name="Accent3 37 9" xfId="21099" xr:uid="{00000000-0005-0000-0000-00001E520000}"/>
    <cellStyle name="Accent3 38" xfId="21100" xr:uid="{00000000-0005-0000-0000-00001F520000}"/>
    <cellStyle name="Accent3 38 10" xfId="21101" xr:uid="{00000000-0005-0000-0000-000020520000}"/>
    <cellStyle name="Accent3 38 11" xfId="21102" xr:uid="{00000000-0005-0000-0000-000021520000}"/>
    <cellStyle name="Accent3 38 12" xfId="21103" xr:uid="{00000000-0005-0000-0000-000022520000}"/>
    <cellStyle name="Accent3 38 13" xfId="21104" xr:uid="{00000000-0005-0000-0000-000023520000}"/>
    <cellStyle name="Accent3 38 14" xfId="21105" xr:uid="{00000000-0005-0000-0000-000024520000}"/>
    <cellStyle name="Accent3 38 15" xfId="21106" xr:uid="{00000000-0005-0000-0000-000025520000}"/>
    <cellStyle name="Accent3 38 2" xfId="21107" xr:uid="{00000000-0005-0000-0000-000026520000}"/>
    <cellStyle name="Accent3 38 3" xfId="21108" xr:uid="{00000000-0005-0000-0000-000027520000}"/>
    <cellStyle name="Accent3 38 4" xfId="21109" xr:uid="{00000000-0005-0000-0000-000028520000}"/>
    <cellStyle name="Accent3 38 5" xfId="21110" xr:uid="{00000000-0005-0000-0000-000029520000}"/>
    <cellStyle name="Accent3 38 6" xfId="21111" xr:uid="{00000000-0005-0000-0000-00002A520000}"/>
    <cellStyle name="Accent3 38 7" xfId="21112" xr:uid="{00000000-0005-0000-0000-00002B520000}"/>
    <cellStyle name="Accent3 38 8" xfId="21113" xr:uid="{00000000-0005-0000-0000-00002C520000}"/>
    <cellStyle name="Accent3 38 9" xfId="21114" xr:uid="{00000000-0005-0000-0000-00002D520000}"/>
    <cellStyle name="Accent3 39" xfId="21115" xr:uid="{00000000-0005-0000-0000-00002E520000}"/>
    <cellStyle name="Accent3 39 10" xfId="21116" xr:uid="{00000000-0005-0000-0000-00002F520000}"/>
    <cellStyle name="Accent3 39 11" xfId="21117" xr:uid="{00000000-0005-0000-0000-000030520000}"/>
    <cellStyle name="Accent3 39 12" xfId="21118" xr:uid="{00000000-0005-0000-0000-000031520000}"/>
    <cellStyle name="Accent3 39 13" xfId="21119" xr:uid="{00000000-0005-0000-0000-000032520000}"/>
    <cellStyle name="Accent3 39 14" xfId="21120" xr:uid="{00000000-0005-0000-0000-000033520000}"/>
    <cellStyle name="Accent3 39 15" xfId="21121" xr:uid="{00000000-0005-0000-0000-000034520000}"/>
    <cellStyle name="Accent3 39 2" xfId="21122" xr:uid="{00000000-0005-0000-0000-000035520000}"/>
    <cellStyle name="Accent3 39 3" xfId="21123" xr:uid="{00000000-0005-0000-0000-000036520000}"/>
    <cellStyle name="Accent3 39 4" xfId="21124" xr:uid="{00000000-0005-0000-0000-000037520000}"/>
    <cellStyle name="Accent3 39 5" xfId="21125" xr:uid="{00000000-0005-0000-0000-000038520000}"/>
    <cellStyle name="Accent3 39 6" xfId="21126" xr:uid="{00000000-0005-0000-0000-000039520000}"/>
    <cellStyle name="Accent3 39 7" xfId="21127" xr:uid="{00000000-0005-0000-0000-00003A520000}"/>
    <cellStyle name="Accent3 39 8" xfId="21128" xr:uid="{00000000-0005-0000-0000-00003B520000}"/>
    <cellStyle name="Accent3 39 9" xfId="21129" xr:uid="{00000000-0005-0000-0000-00003C520000}"/>
    <cellStyle name="Accent3 4" xfId="21130" xr:uid="{00000000-0005-0000-0000-00003D520000}"/>
    <cellStyle name="Accent3 4 2" xfId="21131" xr:uid="{00000000-0005-0000-0000-00003E520000}"/>
    <cellStyle name="Accent3 4 2 2" xfId="21132" xr:uid="{00000000-0005-0000-0000-00003F520000}"/>
    <cellStyle name="Accent3 4 3" xfId="21133" xr:uid="{00000000-0005-0000-0000-000040520000}"/>
    <cellStyle name="Accent3 4 3 2" xfId="21134" xr:uid="{00000000-0005-0000-0000-000041520000}"/>
    <cellStyle name="Accent3 4 4" xfId="21135" xr:uid="{00000000-0005-0000-0000-000042520000}"/>
    <cellStyle name="Accent3 4 4 2" xfId="21136" xr:uid="{00000000-0005-0000-0000-000043520000}"/>
    <cellStyle name="Accent3 4 5" xfId="21137" xr:uid="{00000000-0005-0000-0000-000044520000}"/>
    <cellStyle name="Accent3 4 5 2" xfId="21138" xr:uid="{00000000-0005-0000-0000-000045520000}"/>
    <cellStyle name="Accent3 4 6" xfId="21139" xr:uid="{00000000-0005-0000-0000-000046520000}"/>
    <cellStyle name="Accent3 4 6 2" xfId="21140" xr:uid="{00000000-0005-0000-0000-000047520000}"/>
    <cellStyle name="Accent3 4 7" xfId="21141" xr:uid="{00000000-0005-0000-0000-000048520000}"/>
    <cellStyle name="Accent3 40" xfId="21142" xr:uid="{00000000-0005-0000-0000-000049520000}"/>
    <cellStyle name="Accent3 41" xfId="21143" xr:uid="{00000000-0005-0000-0000-00004A520000}"/>
    <cellStyle name="Accent3 42" xfId="21144" xr:uid="{00000000-0005-0000-0000-00004B520000}"/>
    <cellStyle name="Accent3 43" xfId="21145" xr:uid="{00000000-0005-0000-0000-00004C520000}"/>
    <cellStyle name="Accent3 44" xfId="21146" xr:uid="{00000000-0005-0000-0000-00004D520000}"/>
    <cellStyle name="Accent3 45" xfId="21147" xr:uid="{00000000-0005-0000-0000-00004E520000}"/>
    <cellStyle name="Accent3 46" xfId="21148" xr:uid="{00000000-0005-0000-0000-00004F520000}"/>
    <cellStyle name="Accent3 47" xfId="21149" xr:uid="{00000000-0005-0000-0000-000050520000}"/>
    <cellStyle name="Accent3 48" xfId="21150" xr:uid="{00000000-0005-0000-0000-000051520000}"/>
    <cellStyle name="Accent3 49" xfId="21151" xr:uid="{00000000-0005-0000-0000-000052520000}"/>
    <cellStyle name="Accent3 5" xfId="21152" xr:uid="{00000000-0005-0000-0000-000053520000}"/>
    <cellStyle name="Accent3 5 2" xfId="21153" xr:uid="{00000000-0005-0000-0000-000054520000}"/>
    <cellStyle name="Accent3 5 2 2" xfId="21154" xr:uid="{00000000-0005-0000-0000-000055520000}"/>
    <cellStyle name="Accent3 5 2 3" xfId="21155" xr:uid="{00000000-0005-0000-0000-000056520000}"/>
    <cellStyle name="Accent3 5 2 4" xfId="21156" xr:uid="{00000000-0005-0000-0000-000057520000}"/>
    <cellStyle name="Accent3 5 3" xfId="21157" xr:uid="{00000000-0005-0000-0000-000058520000}"/>
    <cellStyle name="Accent3 5 3 2" xfId="21158" xr:uid="{00000000-0005-0000-0000-000059520000}"/>
    <cellStyle name="Accent3 5 3 3" xfId="21159" xr:uid="{00000000-0005-0000-0000-00005A520000}"/>
    <cellStyle name="Accent3 5 4" xfId="21160" xr:uid="{00000000-0005-0000-0000-00005B520000}"/>
    <cellStyle name="Accent3 50" xfId="21161" xr:uid="{00000000-0005-0000-0000-00005C520000}"/>
    <cellStyle name="Accent3 51" xfId="21162" xr:uid="{00000000-0005-0000-0000-00005D520000}"/>
    <cellStyle name="Accent3 52" xfId="21163" xr:uid="{00000000-0005-0000-0000-00005E520000}"/>
    <cellStyle name="Accent3 53" xfId="21164" xr:uid="{00000000-0005-0000-0000-00005F520000}"/>
    <cellStyle name="Accent3 54" xfId="21165" xr:uid="{00000000-0005-0000-0000-000060520000}"/>
    <cellStyle name="Accent3 55" xfId="21166" xr:uid="{00000000-0005-0000-0000-000061520000}"/>
    <cellStyle name="Accent3 56" xfId="21167" xr:uid="{00000000-0005-0000-0000-000062520000}"/>
    <cellStyle name="Accent3 57" xfId="21168" xr:uid="{00000000-0005-0000-0000-000063520000}"/>
    <cellStyle name="Accent3 58" xfId="21169" xr:uid="{00000000-0005-0000-0000-000064520000}"/>
    <cellStyle name="Accent3 59" xfId="21170" xr:uid="{00000000-0005-0000-0000-000065520000}"/>
    <cellStyle name="Accent3 6" xfId="21171" xr:uid="{00000000-0005-0000-0000-000066520000}"/>
    <cellStyle name="Accent3 6 2" xfId="21172" xr:uid="{00000000-0005-0000-0000-000067520000}"/>
    <cellStyle name="Accent3 60" xfId="21173" xr:uid="{00000000-0005-0000-0000-000068520000}"/>
    <cellStyle name="Accent3 61" xfId="21174" xr:uid="{00000000-0005-0000-0000-000069520000}"/>
    <cellStyle name="Accent3 62" xfId="21175" xr:uid="{00000000-0005-0000-0000-00006A520000}"/>
    <cellStyle name="Accent3 63" xfId="21176" xr:uid="{00000000-0005-0000-0000-00006B520000}"/>
    <cellStyle name="Accent3 64" xfId="21177" xr:uid="{00000000-0005-0000-0000-00006C520000}"/>
    <cellStyle name="Accent3 65" xfId="21178" xr:uid="{00000000-0005-0000-0000-00006D520000}"/>
    <cellStyle name="Accent3 66" xfId="21179" xr:uid="{00000000-0005-0000-0000-00006E520000}"/>
    <cellStyle name="Accent3 67" xfId="21180" xr:uid="{00000000-0005-0000-0000-00006F520000}"/>
    <cellStyle name="Accent3 68" xfId="21181" xr:uid="{00000000-0005-0000-0000-000070520000}"/>
    <cellStyle name="Accent3 69" xfId="21182" xr:uid="{00000000-0005-0000-0000-000071520000}"/>
    <cellStyle name="Accent3 7" xfId="21183" xr:uid="{00000000-0005-0000-0000-000072520000}"/>
    <cellStyle name="Accent3 7 2" xfId="21184" xr:uid="{00000000-0005-0000-0000-000073520000}"/>
    <cellStyle name="Accent3 70" xfId="21185" xr:uid="{00000000-0005-0000-0000-000074520000}"/>
    <cellStyle name="Accent3 71" xfId="21186" xr:uid="{00000000-0005-0000-0000-000075520000}"/>
    <cellStyle name="Accent3 72" xfId="21187" xr:uid="{00000000-0005-0000-0000-000076520000}"/>
    <cellStyle name="Accent3 73" xfId="21188" xr:uid="{00000000-0005-0000-0000-000077520000}"/>
    <cellStyle name="Accent3 74" xfId="21189" xr:uid="{00000000-0005-0000-0000-000078520000}"/>
    <cellStyle name="Accent3 75" xfId="21190" xr:uid="{00000000-0005-0000-0000-000079520000}"/>
    <cellStyle name="Accent3 76" xfId="21191" xr:uid="{00000000-0005-0000-0000-00007A520000}"/>
    <cellStyle name="Accent3 77" xfId="21192" xr:uid="{00000000-0005-0000-0000-00007B520000}"/>
    <cellStyle name="Accent3 78" xfId="21193" xr:uid="{00000000-0005-0000-0000-00007C520000}"/>
    <cellStyle name="Accent3 79" xfId="21194" xr:uid="{00000000-0005-0000-0000-00007D520000}"/>
    <cellStyle name="Accent3 79 2" xfId="21195" xr:uid="{00000000-0005-0000-0000-00007E520000}"/>
    <cellStyle name="Accent3 8" xfId="21196" xr:uid="{00000000-0005-0000-0000-00007F520000}"/>
    <cellStyle name="Accent3 8 2" xfId="21197" xr:uid="{00000000-0005-0000-0000-000080520000}"/>
    <cellStyle name="Accent3 80" xfId="21198" xr:uid="{00000000-0005-0000-0000-000081520000}"/>
    <cellStyle name="Accent3 80 2" xfId="21199" xr:uid="{00000000-0005-0000-0000-000082520000}"/>
    <cellStyle name="Accent3 81" xfId="21200" xr:uid="{00000000-0005-0000-0000-000083520000}"/>
    <cellStyle name="Accent3 81 2" xfId="21201" xr:uid="{00000000-0005-0000-0000-000084520000}"/>
    <cellStyle name="Accent3 82" xfId="21202" xr:uid="{00000000-0005-0000-0000-000085520000}"/>
    <cellStyle name="Accent3 82 2" xfId="21203" xr:uid="{00000000-0005-0000-0000-000086520000}"/>
    <cellStyle name="Accent3 83" xfId="21204" xr:uid="{00000000-0005-0000-0000-000087520000}"/>
    <cellStyle name="Accent3 83 2" xfId="21205" xr:uid="{00000000-0005-0000-0000-000088520000}"/>
    <cellStyle name="Accent3 84" xfId="21206" xr:uid="{00000000-0005-0000-0000-000089520000}"/>
    <cellStyle name="Accent3 84 2" xfId="21207" xr:uid="{00000000-0005-0000-0000-00008A520000}"/>
    <cellStyle name="Accent3 85" xfId="21208" xr:uid="{00000000-0005-0000-0000-00008B520000}"/>
    <cellStyle name="Accent3 85 2" xfId="21209" xr:uid="{00000000-0005-0000-0000-00008C520000}"/>
    <cellStyle name="Accent3 86" xfId="21210" xr:uid="{00000000-0005-0000-0000-00008D520000}"/>
    <cellStyle name="Accent3 86 2" xfId="21211" xr:uid="{00000000-0005-0000-0000-00008E520000}"/>
    <cellStyle name="Accent3 87" xfId="21212" xr:uid="{00000000-0005-0000-0000-00008F520000}"/>
    <cellStyle name="Accent3 87 2" xfId="21213" xr:uid="{00000000-0005-0000-0000-000090520000}"/>
    <cellStyle name="Accent3 88" xfId="21214" xr:uid="{00000000-0005-0000-0000-000091520000}"/>
    <cellStyle name="Accent3 88 2" xfId="21215" xr:uid="{00000000-0005-0000-0000-000092520000}"/>
    <cellStyle name="Accent3 89" xfId="21216" xr:uid="{00000000-0005-0000-0000-000093520000}"/>
    <cellStyle name="Accent3 89 2" xfId="21217" xr:uid="{00000000-0005-0000-0000-000094520000}"/>
    <cellStyle name="Accent3 9" xfId="21218" xr:uid="{00000000-0005-0000-0000-000095520000}"/>
    <cellStyle name="Accent3 9 2" xfId="21219" xr:uid="{00000000-0005-0000-0000-000096520000}"/>
    <cellStyle name="Accent3 90" xfId="21220" xr:uid="{00000000-0005-0000-0000-000097520000}"/>
    <cellStyle name="Accent3 91" xfId="21221" xr:uid="{00000000-0005-0000-0000-000098520000}"/>
    <cellStyle name="Accent3 92" xfId="21222" xr:uid="{00000000-0005-0000-0000-000099520000}"/>
    <cellStyle name="Accent3 93" xfId="21223" xr:uid="{00000000-0005-0000-0000-00009A520000}"/>
    <cellStyle name="Accent3 94" xfId="21224" xr:uid="{00000000-0005-0000-0000-00009B520000}"/>
    <cellStyle name="Accent3 95" xfId="21225" xr:uid="{00000000-0005-0000-0000-00009C520000}"/>
    <cellStyle name="Accent3 96" xfId="21226" xr:uid="{00000000-0005-0000-0000-00009D520000}"/>
    <cellStyle name="Accent3 97" xfId="21227" xr:uid="{00000000-0005-0000-0000-00009E520000}"/>
    <cellStyle name="Accent3 98" xfId="21228" xr:uid="{00000000-0005-0000-0000-00009F520000}"/>
    <cellStyle name="Accent3 99" xfId="21229" xr:uid="{00000000-0005-0000-0000-0000A0520000}"/>
    <cellStyle name="Accent4" xfId="30" builtinId="41" customBuiltin="1"/>
    <cellStyle name="Accent4 10" xfId="21230" xr:uid="{00000000-0005-0000-0000-0000A2520000}"/>
    <cellStyle name="Accent4 10 2" xfId="21231" xr:uid="{00000000-0005-0000-0000-0000A3520000}"/>
    <cellStyle name="Accent4 100" xfId="21232" xr:uid="{00000000-0005-0000-0000-0000A4520000}"/>
    <cellStyle name="Accent4 101" xfId="21233" xr:uid="{00000000-0005-0000-0000-0000A5520000}"/>
    <cellStyle name="Accent4 102" xfId="21234" xr:uid="{00000000-0005-0000-0000-0000A6520000}"/>
    <cellStyle name="Accent4 103" xfId="21235" xr:uid="{00000000-0005-0000-0000-0000A7520000}"/>
    <cellStyle name="Accent4 104" xfId="21236" xr:uid="{00000000-0005-0000-0000-0000A8520000}"/>
    <cellStyle name="Accent4 105" xfId="21237" xr:uid="{00000000-0005-0000-0000-0000A9520000}"/>
    <cellStyle name="Accent4 106" xfId="21238" xr:uid="{00000000-0005-0000-0000-0000AA520000}"/>
    <cellStyle name="Accent4 107" xfId="21239" xr:uid="{00000000-0005-0000-0000-0000AB520000}"/>
    <cellStyle name="Accent4 108" xfId="21240" xr:uid="{00000000-0005-0000-0000-0000AC520000}"/>
    <cellStyle name="Accent4 109" xfId="21241" xr:uid="{00000000-0005-0000-0000-0000AD520000}"/>
    <cellStyle name="Accent4 11" xfId="21242" xr:uid="{00000000-0005-0000-0000-0000AE520000}"/>
    <cellStyle name="Accent4 11 2" xfId="21243" xr:uid="{00000000-0005-0000-0000-0000AF520000}"/>
    <cellStyle name="Accent4 110" xfId="21244" xr:uid="{00000000-0005-0000-0000-0000B0520000}"/>
    <cellStyle name="Accent4 111" xfId="21245" xr:uid="{00000000-0005-0000-0000-0000B1520000}"/>
    <cellStyle name="Accent4 112" xfId="21246" xr:uid="{00000000-0005-0000-0000-0000B2520000}"/>
    <cellStyle name="Accent4 113" xfId="21247" xr:uid="{00000000-0005-0000-0000-0000B3520000}"/>
    <cellStyle name="Accent4 114" xfId="21248" xr:uid="{00000000-0005-0000-0000-0000B4520000}"/>
    <cellStyle name="Accent4 115" xfId="21249" xr:uid="{00000000-0005-0000-0000-0000B5520000}"/>
    <cellStyle name="Accent4 116" xfId="21250" xr:uid="{00000000-0005-0000-0000-0000B6520000}"/>
    <cellStyle name="Accent4 117" xfId="21251" xr:uid="{00000000-0005-0000-0000-0000B7520000}"/>
    <cellStyle name="Accent4 118" xfId="21252" xr:uid="{00000000-0005-0000-0000-0000B8520000}"/>
    <cellStyle name="Accent4 119" xfId="21253" xr:uid="{00000000-0005-0000-0000-0000B9520000}"/>
    <cellStyle name="Accent4 12" xfId="21254" xr:uid="{00000000-0005-0000-0000-0000BA520000}"/>
    <cellStyle name="Accent4 12 2" xfId="21255" xr:uid="{00000000-0005-0000-0000-0000BB520000}"/>
    <cellStyle name="Accent4 120" xfId="21256" xr:uid="{00000000-0005-0000-0000-0000BC520000}"/>
    <cellStyle name="Accent4 121" xfId="21257" xr:uid="{00000000-0005-0000-0000-0000BD520000}"/>
    <cellStyle name="Accent4 122" xfId="21258" xr:uid="{00000000-0005-0000-0000-0000BE520000}"/>
    <cellStyle name="Accent4 123" xfId="21259" xr:uid="{00000000-0005-0000-0000-0000BF520000}"/>
    <cellStyle name="Accent4 124" xfId="21260" xr:uid="{00000000-0005-0000-0000-0000C0520000}"/>
    <cellStyle name="Accent4 125" xfId="21261" xr:uid="{00000000-0005-0000-0000-0000C1520000}"/>
    <cellStyle name="Accent4 126" xfId="21262" xr:uid="{00000000-0005-0000-0000-0000C2520000}"/>
    <cellStyle name="Accent4 127" xfId="21263" xr:uid="{00000000-0005-0000-0000-0000C3520000}"/>
    <cellStyle name="Accent4 128" xfId="21264" xr:uid="{00000000-0005-0000-0000-0000C4520000}"/>
    <cellStyle name="Accent4 129" xfId="21265" xr:uid="{00000000-0005-0000-0000-0000C5520000}"/>
    <cellStyle name="Accent4 13" xfId="21266" xr:uid="{00000000-0005-0000-0000-0000C6520000}"/>
    <cellStyle name="Accent4 13 2" xfId="21267" xr:uid="{00000000-0005-0000-0000-0000C7520000}"/>
    <cellStyle name="Accent4 130" xfId="21268" xr:uid="{00000000-0005-0000-0000-0000C8520000}"/>
    <cellStyle name="Accent4 131" xfId="21269" xr:uid="{00000000-0005-0000-0000-0000C9520000}"/>
    <cellStyle name="Accent4 132" xfId="21270" xr:uid="{00000000-0005-0000-0000-0000CA520000}"/>
    <cellStyle name="Accent4 133" xfId="21271" xr:uid="{00000000-0005-0000-0000-0000CB520000}"/>
    <cellStyle name="Accent4 134" xfId="21272" xr:uid="{00000000-0005-0000-0000-0000CC520000}"/>
    <cellStyle name="Accent4 135" xfId="21273" xr:uid="{00000000-0005-0000-0000-0000CD520000}"/>
    <cellStyle name="Accent4 136" xfId="21274" xr:uid="{00000000-0005-0000-0000-0000CE520000}"/>
    <cellStyle name="Accent4 137" xfId="21275" xr:uid="{00000000-0005-0000-0000-0000CF520000}"/>
    <cellStyle name="Accent4 138" xfId="21276" xr:uid="{00000000-0005-0000-0000-0000D0520000}"/>
    <cellStyle name="Accent4 139" xfId="21277" xr:uid="{00000000-0005-0000-0000-0000D1520000}"/>
    <cellStyle name="Accent4 14" xfId="21278" xr:uid="{00000000-0005-0000-0000-0000D2520000}"/>
    <cellStyle name="Accent4 14 2" xfId="21279" xr:uid="{00000000-0005-0000-0000-0000D3520000}"/>
    <cellStyle name="Accent4 140" xfId="21280" xr:uid="{00000000-0005-0000-0000-0000D4520000}"/>
    <cellStyle name="Accent4 141" xfId="21281" xr:uid="{00000000-0005-0000-0000-0000D5520000}"/>
    <cellStyle name="Accent4 142" xfId="21282" xr:uid="{00000000-0005-0000-0000-0000D6520000}"/>
    <cellStyle name="Accent4 143" xfId="21283" xr:uid="{00000000-0005-0000-0000-0000D7520000}"/>
    <cellStyle name="Accent4 144" xfId="21284" xr:uid="{00000000-0005-0000-0000-0000D8520000}"/>
    <cellStyle name="Accent4 145" xfId="21285" xr:uid="{00000000-0005-0000-0000-0000D9520000}"/>
    <cellStyle name="Accent4 146" xfId="21286" xr:uid="{00000000-0005-0000-0000-0000DA520000}"/>
    <cellStyle name="Accent4 147" xfId="21287" xr:uid="{00000000-0005-0000-0000-0000DB520000}"/>
    <cellStyle name="Accent4 148" xfId="21288" xr:uid="{00000000-0005-0000-0000-0000DC520000}"/>
    <cellStyle name="Accent4 149" xfId="21289" xr:uid="{00000000-0005-0000-0000-0000DD520000}"/>
    <cellStyle name="Accent4 15" xfId="21290" xr:uid="{00000000-0005-0000-0000-0000DE520000}"/>
    <cellStyle name="Accent4 15 2" xfId="21291" xr:uid="{00000000-0005-0000-0000-0000DF520000}"/>
    <cellStyle name="Accent4 150" xfId="21292" xr:uid="{00000000-0005-0000-0000-0000E0520000}"/>
    <cellStyle name="Accent4 151" xfId="21293" xr:uid="{00000000-0005-0000-0000-0000E1520000}"/>
    <cellStyle name="Accent4 152" xfId="21294" xr:uid="{00000000-0005-0000-0000-0000E2520000}"/>
    <cellStyle name="Accent4 153" xfId="21295" xr:uid="{00000000-0005-0000-0000-0000E3520000}"/>
    <cellStyle name="Accent4 154" xfId="21296" xr:uid="{00000000-0005-0000-0000-0000E4520000}"/>
    <cellStyle name="Accent4 155" xfId="21297" xr:uid="{00000000-0005-0000-0000-0000E5520000}"/>
    <cellStyle name="Accent4 156" xfId="21298" xr:uid="{00000000-0005-0000-0000-0000E6520000}"/>
    <cellStyle name="Accent4 157" xfId="21299" xr:uid="{00000000-0005-0000-0000-0000E7520000}"/>
    <cellStyle name="Accent4 158" xfId="21300" xr:uid="{00000000-0005-0000-0000-0000E8520000}"/>
    <cellStyle name="Accent4 159" xfId="21301" xr:uid="{00000000-0005-0000-0000-0000E9520000}"/>
    <cellStyle name="Accent4 16" xfId="21302" xr:uid="{00000000-0005-0000-0000-0000EA520000}"/>
    <cellStyle name="Accent4 160" xfId="21303" xr:uid="{00000000-0005-0000-0000-0000EB520000}"/>
    <cellStyle name="Accent4 161" xfId="21304" xr:uid="{00000000-0005-0000-0000-0000EC520000}"/>
    <cellStyle name="Accent4 162" xfId="21305" xr:uid="{00000000-0005-0000-0000-0000ED520000}"/>
    <cellStyle name="Accent4 163" xfId="21306" xr:uid="{00000000-0005-0000-0000-0000EE520000}"/>
    <cellStyle name="Accent4 164" xfId="21307" xr:uid="{00000000-0005-0000-0000-0000EF520000}"/>
    <cellStyle name="Accent4 165" xfId="21308" xr:uid="{00000000-0005-0000-0000-0000F0520000}"/>
    <cellStyle name="Accent4 166" xfId="21309" xr:uid="{00000000-0005-0000-0000-0000F1520000}"/>
    <cellStyle name="Accent4 167" xfId="21310" xr:uid="{00000000-0005-0000-0000-0000F2520000}"/>
    <cellStyle name="Accent4 17" xfId="21311" xr:uid="{00000000-0005-0000-0000-0000F3520000}"/>
    <cellStyle name="Accent4 18" xfId="21312" xr:uid="{00000000-0005-0000-0000-0000F4520000}"/>
    <cellStyle name="Accent4 19" xfId="21313" xr:uid="{00000000-0005-0000-0000-0000F5520000}"/>
    <cellStyle name="Accent4 2" xfId="21314" xr:uid="{00000000-0005-0000-0000-0000F6520000}"/>
    <cellStyle name="Accent4 2 10" xfId="21315" xr:uid="{00000000-0005-0000-0000-0000F7520000}"/>
    <cellStyle name="Accent4 2 11" xfId="21316" xr:uid="{00000000-0005-0000-0000-0000F8520000}"/>
    <cellStyle name="Accent4 2 12" xfId="21317" xr:uid="{00000000-0005-0000-0000-0000F9520000}"/>
    <cellStyle name="Accent4 2 13" xfId="21318" xr:uid="{00000000-0005-0000-0000-0000FA520000}"/>
    <cellStyle name="Accent4 2 14" xfId="21319" xr:uid="{00000000-0005-0000-0000-0000FB520000}"/>
    <cellStyle name="Accent4 2 15" xfId="21320" xr:uid="{00000000-0005-0000-0000-0000FC520000}"/>
    <cellStyle name="Accent4 2 16" xfId="21321" xr:uid="{00000000-0005-0000-0000-0000FD520000}"/>
    <cellStyle name="Accent4 2 17" xfId="21322" xr:uid="{00000000-0005-0000-0000-0000FE520000}"/>
    <cellStyle name="Accent4 2 18" xfId="21323" xr:uid="{00000000-0005-0000-0000-0000FF520000}"/>
    <cellStyle name="Accent4 2 19" xfId="21324" xr:uid="{00000000-0005-0000-0000-000000530000}"/>
    <cellStyle name="Accent4 2 2" xfId="21325" xr:uid="{00000000-0005-0000-0000-000001530000}"/>
    <cellStyle name="Accent4 2 2 2" xfId="21326" xr:uid="{00000000-0005-0000-0000-000002530000}"/>
    <cellStyle name="Accent4 2 20" xfId="21327" xr:uid="{00000000-0005-0000-0000-000003530000}"/>
    <cellStyle name="Accent4 2 21" xfId="21328" xr:uid="{00000000-0005-0000-0000-000004530000}"/>
    <cellStyle name="Accent4 2 22" xfId="21329" xr:uid="{00000000-0005-0000-0000-000005530000}"/>
    <cellStyle name="Accent4 2 23" xfId="21330" xr:uid="{00000000-0005-0000-0000-000006530000}"/>
    <cellStyle name="Accent4 2 24" xfId="21331" xr:uid="{00000000-0005-0000-0000-000007530000}"/>
    <cellStyle name="Accent4 2 25" xfId="21332" xr:uid="{00000000-0005-0000-0000-000008530000}"/>
    <cellStyle name="Accent4 2 26" xfId="21333" xr:uid="{00000000-0005-0000-0000-000009530000}"/>
    <cellStyle name="Accent4 2 27" xfId="21334" xr:uid="{00000000-0005-0000-0000-00000A530000}"/>
    <cellStyle name="Accent4 2 28" xfId="21335" xr:uid="{00000000-0005-0000-0000-00000B530000}"/>
    <cellStyle name="Accent4 2 29" xfId="21336" xr:uid="{00000000-0005-0000-0000-00000C530000}"/>
    <cellStyle name="Accent4 2 3" xfId="21337" xr:uid="{00000000-0005-0000-0000-00000D530000}"/>
    <cellStyle name="Accent4 2 30" xfId="21338" xr:uid="{00000000-0005-0000-0000-00000E530000}"/>
    <cellStyle name="Accent4 2 31" xfId="21339" xr:uid="{00000000-0005-0000-0000-00000F530000}"/>
    <cellStyle name="Accent4 2 32" xfId="21340" xr:uid="{00000000-0005-0000-0000-000010530000}"/>
    <cellStyle name="Accent4 2 33" xfId="21341" xr:uid="{00000000-0005-0000-0000-000011530000}"/>
    <cellStyle name="Accent4 2 34" xfId="21342" xr:uid="{00000000-0005-0000-0000-000012530000}"/>
    <cellStyle name="Accent4 2 35" xfId="21343" xr:uid="{00000000-0005-0000-0000-000013530000}"/>
    <cellStyle name="Accent4 2 4" xfId="21344" xr:uid="{00000000-0005-0000-0000-000014530000}"/>
    <cellStyle name="Accent4 2 5" xfId="21345" xr:uid="{00000000-0005-0000-0000-000015530000}"/>
    <cellStyle name="Accent4 2 6" xfId="21346" xr:uid="{00000000-0005-0000-0000-000016530000}"/>
    <cellStyle name="Accent4 2 7" xfId="21347" xr:uid="{00000000-0005-0000-0000-000017530000}"/>
    <cellStyle name="Accent4 2 8" xfId="21348" xr:uid="{00000000-0005-0000-0000-000018530000}"/>
    <cellStyle name="Accent4 2 9" xfId="21349" xr:uid="{00000000-0005-0000-0000-000019530000}"/>
    <cellStyle name="Accent4 2_ERDF Losses" xfId="21350" xr:uid="{00000000-0005-0000-0000-00001A530000}"/>
    <cellStyle name="Accent4 20" xfId="21351" xr:uid="{00000000-0005-0000-0000-00001B530000}"/>
    <cellStyle name="Accent4 20 10" xfId="21352" xr:uid="{00000000-0005-0000-0000-00001C530000}"/>
    <cellStyle name="Accent4 20 11" xfId="21353" xr:uid="{00000000-0005-0000-0000-00001D530000}"/>
    <cellStyle name="Accent4 20 12" xfId="21354" xr:uid="{00000000-0005-0000-0000-00001E530000}"/>
    <cellStyle name="Accent4 20 13" xfId="21355" xr:uid="{00000000-0005-0000-0000-00001F530000}"/>
    <cellStyle name="Accent4 20 14" xfId="21356" xr:uid="{00000000-0005-0000-0000-000020530000}"/>
    <cellStyle name="Accent4 20 15" xfId="21357" xr:uid="{00000000-0005-0000-0000-000021530000}"/>
    <cellStyle name="Accent4 20 16" xfId="21358" xr:uid="{00000000-0005-0000-0000-000022530000}"/>
    <cellStyle name="Accent4 20 2" xfId="21359" xr:uid="{00000000-0005-0000-0000-000023530000}"/>
    <cellStyle name="Accent4 20 3" xfId="21360" xr:uid="{00000000-0005-0000-0000-000024530000}"/>
    <cellStyle name="Accent4 20 4" xfId="21361" xr:uid="{00000000-0005-0000-0000-000025530000}"/>
    <cellStyle name="Accent4 20 5" xfId="21362" xr:uid="{00000000-0005-0000-0000-000026530000}"/>
    <cellStyle name="Accent4 20 6" xfId="21363" xr:uid="{00000000-0005-0000-0000-000027530000}"/>
    <cellStyle name="Accent4 20 7" xfId="21364" xr:uid="{00000000-0005-0000-0000-000028530000}"/>
    <cellStyle name="Accent4 20 8" xfId="21365" xr:uid="{00000000-0005-0000-0000-000029530000}"/>
    <cellStyle name="Accent4 20 9" xfId="21366" xr:uid="{00000000-0005-0000-0000-00002A530000}"/>
    <cellStyle name="Accent4 21" xfId="21367" xr:uid="{00000000-0005-0000-0000-00002B530000}"/>
    <cellStyle name="Accent4 21 2" xfId="21368" xr:uid="{00000000-0005-0000-0000-00002C530000}"/>
    <cellStyle name="Accent4 21 3" xfId="21369" xr:uid="{00000000-0005-0000-0000-00002D530000}"/>
    <cellStyle name="Accent4 22" xfId="21370" xr:uid="{00000000-0005-0000-0000-00002E530000}"/>
    <cellStyle name="Accent4 23" xfId="21371" xr:uid="{00000000-0005-0000-0000-00002F530000}"/>
    <cellStyle name="Accent4 24" xfId="21372" xr:uid="{00000000-0005-0000-0000-000030530000}"/>
    <cellStyle name="Accent4 25" xfId="21373" xr:uid="{00000000-0005-0000-0000-000031530000}"/>
    <cellStyle name="Accent4 26" xfId="21374" xr:uid="{00000000-0005-0000-0000-000032530000}"/>
    <cellStyle name="Accent4 27" xfId="21375" xr:uid="{00000000-0005-0000-0000-000033530000}"/>
    <cellStyle name="Accent4 28" xfId="21376" xr:uid="{00000000-0005-0000-0000-000034530000}"/>
    <cellStyle name="Accent4 29" xfId="21377" xr:uid="{00000000-0005-0000-0000-000035530000}"/>
    <cellStyle name="Accent4 3" xfId="21378" xr:uid="{00000000-0005-0000-0000-000036530000}"/>
    <cellStyle name="Accent4 3 10" xfId="21379" xr:uid="{00000000-0005-0000-0000-000037530000}"/>
    <cellStyle name="Accent4 3 10 10" xfId="21380" xr:uid="{00000000-0005-0000-0000-000038530000}"/>
    <cellStyle name="Accent4 3 10 11" xfId="21381" xr:uid="{00000000-0005-0000-0000-000039530000}"/>
    <cellStyle name="Accent4 3 10 12" xfId="21382" xr:uid="{00000000-0005-0000-0000-00003A530000}"/>
    <cellStyle name="Accent4 3 10 13" xfId="21383" xr:uid="{00000000-0005-0000-0000-00003B530000}"/>
    <cellStyle name="Accent4 3 10 14" xfId="21384" xr:uid="{00000000-0005-0000-0000-00003C530000}"/>
    <cellStyle name="Accent4 3 10 15" xfId="21385" xr:uid="{00000000-0005-0000-0000-00003D530000}"/>
    <cellStyle name="Accent4 3 10 2" xfId="21386" xr:uid="{00000000-0005-0000-0000-00003E530000}"/>
    <cellStyle name="Accent4 3 10 3" xfId="21387" xr:uid="{00000000-0005-0000-0000-00003F530000}"/>
    <cellStyle name="Accent4 3 10 4" xfId="21388" xr:uid="{00000000-0005-0000-0000-000040530000}"/>
    <cellStyle name="Accent4 3 10 5" xfId="21389" xr:uid="{00000000-0005-0000-0000-000041530000}"/>
    <cellStyle name="Accent4 3 10 6" xfId="21390" xr:uid="{00000000-0005-0000-0000-000042530000}"/>
    <cellStyle name="Accent4 3 10 7" xfId="21391" xr:uid="{00000000-0005-0000-0000-000043530000}"/>
    <cellStyle name="Accent4 3 10 8" xfId="21392" xr:uid="{00000000-0005-0000-0000-000044530000}"/>
    <cellStyle name="Accent4 3 10 9" xfId="21393" xr:uid="{00000000-0005-0000-0000-000045530000}"/>
    <cellStyle name="Accent4 3 11" xfId="21394" xr:uid="{00000000-0005-0000-0000-000046530000}"/>
    <cellStyle name="Accent4 3 11 10" xfId="21395" xr:uid="{00000000-0005-0000-0000-000047530000}"/>
    <cellStyle name="Accent4 3 11 11" xfId="21396" xr:uid="{00000000-0005-0000-0000-000048530000}"/>
    <cellStyle name="Accent4 3 11 12" xfId="21397" xr:uid="{00000000-0005-0000-0000-000049530000}"/>
    <cellStyle name="Accent4 3 11 13" xfId="21398" xr:uid="{00000000-0005-0000-0000-00004A530000}"/>
    <cellStyle name="Accent4 3 11 14" xfId="21399" xr:uid="{00000000-0005-0000-0000-00004B530000}"/>
    <cellStyle name="Accent4 3 11 15" xfId="21400" xr:uid="{00000000-0005-0000-0000-00004C530000}"/>
    <cellStyle name="Accent4 3 11 2" xfId="21401" xr:uid="{00000000-0005-0000-0000-00004D530000}"/>
    <cellStyle name="Accent4 3 11 3" xfId="21402" xr:uid="{00000000-0005-0000-0000-00004E530000}"/>
    <cellStyle name="Accent4 3 11 4" xfId="21403" xr:uid="{00000000-0005-0000-0000-00004F530000}"/>
    <cellStyle name="Accent4 3 11 5" xfId="21404" xr:uid="{00000000-0005-0000-0000-000050530000}"/>
    <cellStyle name="Accent4 3 11 6" xfId="21405" xr:uid="{00000000-0005-0000-0000-000051530000}"/>
    <cellStyle name="Accent4 3 11 7" xfId="21406" xr:uid="{00000000-0005-0000-0000-000052530000}"/>
    <cellStyle name="Accent4 3 11 8" xfId="21407" xr:uid="{00000000-0005-0000-0000-000053530000}"/>
    <cellStyle name="Accent4 3 11 9" xfId="21408" xr:uid="{00000000-0005-0000-0000-000054530000}"/>
    <cellStyle name="Accent4 3 12" xfId="21409" xr:uid="{00000000-0005-0000-0000-000055530000}"/>
    <cellStyle name="Accent4 3 12 10" xfId="21410" xr:uid="{00000000-0005-0000-0000-000056530000}"/>
    <cellStyle name="Accent4 3 12 11" xfId="21411" xr:uid="{00000000-0005-0000-0000-000057530000}"/>
    <cellStyle name="Accent4 3 12 12" xfId="21412" xr:uid="{00000000-0005-0000-0000-000058530000}"/>
    <cellStyle name="Accent4 3 12 13" xfId="21413" xr:uid="{00000000-0005-0000-0000-000059530000}"/>
    <cellStyle name="Accent4 3 12 14" xfId="21414" xr:uid="{00000000-0005-0000-0000-00005A530000}"/>
    <cellStyle name="Accent4 3 12 15" xfId="21415" xr:uid="{00000000-0005-0000-0000-00005B530000}"/>
    <cellStyle name="Accent4 3 12 2" xfId="21416" xr:uid="{00000000-0005-0000-0000-00005C530000}"/>
    <cellStyle name="Accent4 3 12 3" xfId="21417" xr:uid="{00000000-0005-0000-0000-00005D530000}"/>
    <cellStyle name="Accent4 3 12 4" xfId="21418" xr:uid="{00000000-0005-0000-0000-00005E530000}"/>
    <cellStyle name="Accent4 3 12 5" xfId="21419" xr:uid="{00000000-0005-0000-0000-00005F530000}"/>
    <cellStyle name="Accent4 3 12 6" xfId="21420" xr:uid="{00000000-0005-0000-0000-000060530000}"/>
    <cellStyle name="Accent4 3 12 7" xfId="21421" xr:uid="{00000000-0005-0000-0000-000061530000}"/>
    <cellStyle name="Accent4 3 12 8" xfId="21422" xr:uid="{00000000-0005-0000-0000-000062530000}"/>
    <cellStyle name="Accent4 3 12 9" xfId="21423" xr:uid="{00000000-0005-0000-0000-000063530000}"/>
    <cellStyle name="Accent4 3 13" xfId="21424" xr:uid="{00000000-0005-0000-0000-000064530000}"/>
    <cellStyle name="Accent4 3 13 10" xfId="21425" xr:uid="{00000000-0005-0000-0000-000065530000}"/>
    <cellStyle name="Accent4 3 13 11" xfId="21426" xr:uid="{00000000-0005-0000-0000-000066530000}"/>
    <cellStyle name="Accent4 3 13 12" xfId="21427" xr:uid="{00000000-0005-0000-0000-000067530000}"/>
    <cellStyle name="Accent4 3 13 13" xfId="21428" xr:uid="{00000000-0005-0000-0000-000068530000}"/>
    <cellStyle name="Accent4 3 13 14" xfId="21429" xr:uid="{00000000-0005-0000-0000-000069530000}"/>
    <cellStyle name="Accent4 3 13 15" xfId="21430" xr:uid="{00000000-0005-0000-0000-00006A530000}"/>
    <cellStyle name="Accent4 3 13 2" xfId="21431" xr:uid="{00000000-0005-0000-0000-00006B530000}"/>
    <cellStyle name="Accent4 3 13 3" xfId="21432" xr:uid="{00000000-0005-0000-0000-00006C530000}"/>
    <cellStyle name="Accent4 3 13 4" xfId="21433" xr:uid="{00000000-0005-0000-0000-00006D530000}"/>
    <cellStyle name="Accent4 3 13 5" xfId="21434" xr:uid="{00000000-0005-0000-0000-00006E530000}"/>
    <cellStyle name="Accent4 3 13 6" xfId="21435" xr:uid="{00000000-0005-0000-0000-00006F530000}"/>
    <cellStyle name="Accent4 3 13 7" xfId="21436" xr:uid="{00000000-0005-0000-0000-000070530000}"/>
    <cellStyle name="Accent4 3 13 8" xfId="21437" xr:uid="{00000000-0005-0000-0000-000071530000}"/>
    <cellStyle name="Accent4 3 13 9" xfId="21438" xr:uid="{00000000-0005-0000-0000-000072530000}"/>
    <cellStyle name="Accent4 3 14" xfId="21439" xr:uid="{00000000-0005-0000-0000-000073530000}"/>
    <cellStyle name="Accent4 3 14 10" xfId="21440" xr:uid="{00000000-0005-0000-0000-000074530000}"/>
    <cellStyle name="Accent4 3 14 11" xfId="21441" xr:uid="{00000000-0005-0000-0000-000075530000}"/>
    <cellStyle name="Accent4 3 14 12" xfId="21442" xr:uid="{00000000-0005-0000-0000-000076530000}"/>
    <cellStyle name="Accent4 3 14 13" xfId="21443" xr:uid="{00000000-0005-0000-0000-000077530000}"/>
    <cellStyle name="Accent4 3 14 14" xfId="21444" xr:uid="{00000000-0005-0000-0000-000078530000}"/>
    <cellStyle name="Accent4 3 14 15" xfId="21445" xr:uid="{00000000-0005-0000-0000-000079530000}"/>
    <cellStyle name="Accent4 3 14 2" xfId="21446" xr:uid="{00000000-0005-0000-0000-00007A530000}"/>
    <cellStyle name="Accent4 3 14 3" xfId="21447" xr:uid="{00000000-0005-0000-0000-00007B530000}"/>
    <cellStyle name="Accent4 3 14 4" xfId="21448" xr:uid="{00000000-0005-0000-0000-00007C530000}"/>
    <cellStyle name="Accent4 3 14 5" xfId="21449" xr:uid="{00000000-0005-0000-0000-00007D530000}"/>
    <cellStyle name="Accent4 3 14 6" xfId="21450" xr:uid="{00000000-0005-0000-0000-00007E530000}"/>
    <cellStyle name="Accent4 3 14 7" xfId="21451" xr:uid="{00000000-0005-0000-0000-00007F530000}"/>
    <cellStyle name="Accent4 3 14 8" xfId="21452" xr:uid="{00000000-0005-0000-0000-000080530000}"/>
    <cellStyle name="Accent4 3 14 9" xfId="21453" xr:uid="{00000000-0005-0000-0000-000081530000}"/>
    <cellStyle name="Accent4 3 15" xfId="21454" xr:uid="{00000000-0005-0000-0000-000082530000}"/>
    <cellStyle name="Accent4 3 15 10" xfId="21455" xr:uid="{00000000-0005-0000-0000-000083530000}"/>
    <cellStyle name="Accent4 3 15 11" xfId="21456" xr:uid="{00000000-0005-0000-0000-000084530000}"/>
    <cellStyle name="Accent4 3 15 12" xfId="21457" xr:uid="{00000000-0005-0000-0000-000085530000}"/>
    <cellStyle name="Accent4 3 15 13" xfId="21458" xr:uid="{00000000-0005-0000-0000-000086530000}"/>
    <cellStyle name="Accent4 3 15 14" xfId="21459" xr:uid="{00000000-0005-0000-0000-000087530000}"/>
    <cellStyle name="Accent4 3 15 15" xfId="21460" xr:uid="{00000000-0005-0000-0000-000088530000}"/>
    <cellStyle name="Accent4 3 15 2" xfId="21461" xr:uid="{00000000-0005-0000-0000-000089530000}"/>
    <cellStyle name="Accent4 3 15 3" xfId="21462" xr:uid="{00000000-0005-0000-0000-00008A530000}"/>
    <cellStyle name="Accent4 3 15 4" xfId="21463" xr:uid="{00000000-0005-0000-0000-00008B530000}"/>
    <cellStyle name="Accent4 3 15 5" xfId="21464" xr:uid="{00000000-0005-0000-0000-00008C530000}"/>
    <cellStyle name="Accent4 3 15 6" xfId="21465" xr:uid="{00000000-0005-0000-0000-00008D530000}"/>
    <cellStyle name="Accent4 3 15 7" xfId="21466" xr:uid="{00000000-0005-0000-0000-00008E530000}"/>
    <cellStyle name="Accent4 3 15 8" xfId="21467" xr:uid="{00000000-0005-0000-0000-00008F530000}"/>
    <cellStyle name="Accent4 3 15 9" xfId="21468" xr:uid="{00000000-0005-0000-0000-000090530000}"/>
    <cellStyle name="Accent4 3 16" xfId="21469" xr:uid="{00000000-0005-0000-0000-000091530000}"/>
    <cellStyle name="Accent4 3 16 10" xfId="21470" xr:uid="{00000000-0005-0000-0000-000092530000}"/>
    <cellStyle name="Accent4 3 16 11" xfId="21471" xr:uid="{00000000-0005-0000-0000-000093530000}"/>
    <cellStyle name="Accent4 3 16 12" xfId="21472" xr:uid="{00000000-0005-0000-0000-000094530000}"/>
    <cellStyle name="Accent4 3 16 13" xfId="21473" xr:uid="{00000000-0005-0000-0000-000095530000}"/>
    <cellStyle name="Accent4 3 16 14" xfId="21474" xr:uid="{00000000-0005-0000-0000-000096530000}"/>
    <cellStyle name="Accent4 3 16 15" xfId="21475" xr:uid="{00000000-0005-0000-0000-000097530000}"/>
    <cellStyle name="Accent4 3 16 2" xfId="21476" xr:uid="{00000000-0005-0000-0000-000098530000}"/>
    <cellStyle name="Accent4 3 16 3" xfId="21477" xr:uid="{00000000-0005-0000-0000-000099530000}"/>
    <cellStyle name="Accent4 3 16 4" xfId="21478" xr:uid="{00000000-0005-0000-0000-00009A530000}"/>
    <cellStyle name="Accent4 3 16 5" xfId="21479" xr:uid="{00000000-0005-0000-0000-00009B530000}"/>
    <cellStyle name="Accent4 3 16 6" xfId="21480" xr:uid="{00000000-0005-0000-0000-00009C530000}"/>
    <cellStyle name="Accent4 3 16 7" xfId="21481" xr:uid="{00000000-0005-0000-0000-00009D530000}"/>
    <cellStyle name="Accent4 3 16 8" xfId="21482" xr:uid="{00000000-0005-0000-0000-00009E530000}"/>
    <cellStyle name="Accent4 3 16 9" xfId="21483" xr:uid="{00000000-0005-0000-0000-00009F530000}"/>
    <cellStyle name="Accent4 3 17" xfId="21484" xr:uid="{00000000-0005-0000-0000-0000A0530000}"/>
    <cellStyle name="Accent4 3 17 10" xfId="21485" xr:uid="{00000000-0005-0000-0000-0000A1530000}"/>
    <cellStyle name="Accent4 3 17 11" xfId="21486" xr:uid="{00000000-0005-0000-0000-0000A2530000}"/>
    <cellStyle name="Accent4 3 17 12" xfId="21487" xr:uid="{00000000-0005-0000-0000-0000A3530000}"/>
    <cellStyle name="Accent4 3 17 13" xfId="21488" xr:uid="{00000000-0005-0000-0000-0000A4530000}"/>
    <cellStyle name="Accent4 3 17 14" xfId="21489" xr:uid="{00000000-0005-0000-0000-0000A5530000}"/>
    <cellStyle name="Accent4 3 17 15" xfId="21490" xr:uid="{00000000-0005-0000-0000-0000A6530000}"/>
    <cellStyle name="Accent4 3 17 2" xfId="21491" xr:uid="{00000000-0005-0000-0000-0000A7530000}"/>
    <cellStyle name="Accent4 3 17 3" xfId="21492" xr:uid="{00000000-0005-0000-0000-0000A8530000}"/>
    <cellStyle name="Accent4 3 17 4" xfId="21493" xr:uid="{00000000-0005-0000-0000-0000A9530000}"/>
    <cellStyle name="Accent4 3 17 5" xfId="21494" xr:uid="{00000000-0005-0000-0000-0000AA530000}"/>
    <cellStyle name="Accent4 3 17 6" xfId="21495" xr:uid="{00000000-0005-0000-0000-0000AB530000}"/>
    <cellStyle name="Accent4 3 17 7" xfId="21496" xr:uid="{00000000-0005-0000-0000-0000AC530000}"/>
    <cellStyle name="Accent4 3 17 8" xfId="21497" xr:uid="{00000000-0005-0000-0000-0000AD530000}"/>
    <cellStyle name="Accent4 3 17 9" xfId="21498" xr:uid="{00000000-0005-0000-0000-0000AE530000}"/>
    <cellStyle name="Accent4 3 18" xfId="21499" xr:uid="{00000000-0005-0000-0000-0000AF530000}"/>
    <cellStyle name="Accent4 3 18 10" xfId="21500" xr:uid="{00000000-0005-0000-0000-0000B0530000}"/>
    <cellStyle name="Accent4 3 18 11" xfId="21501" xr:uid="{00000000-0005-0000-0000-0000B1530000}"/>
    <cellStyle name="Accent4 3 18 12" xfId="21502" xr:uid="{00000000-0005-0000-0000-0000B2530000}"/>
    <cellStyle name="Accent4 3 18 13" xfId="21503" xr:uid="{00000000-0005-0000-0000-0000B3530000}"/>
    <cellStyle name="Accent4 3 18 14" xfId="21504" xr:uid="{00000000-0005-0000-0000-0000B4530000}"/>
    <cellStyle name="Accent4 3 18 15" xfId="21505" xr:uid="{00000000-0005-0000-0000-0000B5530000}"/>
    <cellStyle name="Accent4 3 18 2" xfId="21506" xr:uid="{00000000-0005-0000-0000-0000B6530000}"/>
    <cellStyle name="Accent4 3 18 3" xfId="21507" xr:uid="{00000000-0005-0000-0000-0000B7530000}"/>
    <cellStyle name="Accent4 3 18 4" xfId="21508" xr:uid="{00000000-0005-0000-0000-0000B8530000}"/>
    <cellStyle name="Accent4 3 18 5" xfId="21509" xr:uid="{00000000-0005-0000-0000-0000B9530000}"/>
    <cellStyle name="Accent4 3 18 6" xfId="21510" xr:uid="{00000000-0005-0000-0000-0000BA530000}"/>
    <cellStyle name="Accent4 3 18 7" xfId="21511" xr:uid="{00000000-0005-0000-0000-0000BB530000}"/>
    <cellStyle name="Accent4 3 18 8" xfId="21512" xr:uid="{00000000-0005-0000-0000-0000BC530000}"/>
    <cellStyle name="Accent4 3 18 9" xfId="21513" xr:uid="{00000000-0005-0000-0000-0000BD530000}"/>
    <cellStyle name="Accent4 3 19" xfId="21514" xr:uid="{00000000-0005-0000-0000-0000BE530000}"/>
    <cellStyle name="Accent4 3 19 10" xfId="21515" xr:uid="{00000000-0005-0000-0000-0000BF530000}"/>
    <cellStyle name="Accent4 3 19 11" xfId="21516" xr:uid="{00000000-0005-0000-0000-0000C0530000}"/>
    <cellStyle name="Accent4 3 19 12" xfId="21517" xr:uid="{00000000-0005-0000-0000-0000C1530000}"/>
    <cellStyle name="Accent4 3 19 13" xfId="21518" xr:uid="{00000000-0005-0000-0000-0000C2530000}"/>
    <cellStyle name="Accent4 3 19 14" xfId="21519" xr:uid="{00000000-0005-0000-0000-0000C3530000}"/>
    <cellStyle name="Accent4 3 19 15" xfId="21520" xr:uid="{00000000-0005-0000-0000-0000C4530000}"/>
    <cellStyle name="Accent4 3 19 2" xfId="21521" xr:uid="{00000000-0005-0000-0000-0000C5530000}"/>
    <cellStyle name="Accent4 3 19 3" xfId="21522" xr:uid="{00000000-0005-0000-0000-0000C6530000}"/>
    <cellStyle name="Accent4 3 19 4" xfId="21523" xr:uid="{00000000-0005-0000-0000-0000C7530000}"/>
    <cellStyle name="Accent4 3 19 5" xfId="21524" xr:uid="{00000000-0005-0000-0000-0000C8530000}"/>
    <cellStyle name="Accent4 3 19 6" xfId="21525" xr:uid="{00000000-0005-0000-0000-0000C9530000}"/>
    <cellStyle name="Accent4 3 19 7" xfId="21526" xr:uid="{00000000-0005-0000-0000-0000CA530000}"/>
    <cellStyle name="Accent4 3 19 8" xfId="21527" xr:uid="{00000000-0005-0000-0000-0000CB530000}"/>
    <cellStyle name="Accent4 3 19 9" xfId="21528" xr:uid="{00000000-0005-0000-0000-0000CC530000}"/>
    <cellStyle name="Accent4 3 2" xfId="21529" xr:uid="{00000000-0005-0000-0000-0000CD530000}"/>
    <cellStyle name="Accent4 3 2 10" xfId="21530" xr:uid="{00000000-0005-0000-0000-0000CE530000}"/>
    <cellStyle name="Accent4 3 2 11" xfId="21531" xr:uid="{00000000-0005-0000-0000-0000CF530000}"/>
    <cellStyle name="Accent4 3 2 12" xfId="21532" xr:uid="{00000000-0005-0000-0000-0000D0530000}"/>
    <cellStyle name="Accent4 3 2 13" xfId="21533" xr:uid="{00000000-0005-0000-0000-0000D1530000}"/>
    <cellStyle name="Accent4 3 2 14" xfId="21534" xr:uid="{00000000-0005-0000-0000-0000D2530000}"/>
    <cellStyle name="Accent4 3 2 15" xfId="21535" xr:uid="{00000000-0005-0000-0000-0000D3530000}"/>
    <cellStyle name="Accent4 3 2 16" xfId="21536" xr:uid="{00000000-0005-0000-0000-0000D4530000}"/>
    <cellStyle name="Accent4 3 2 17" xfId="21537" xr:uid="{00000000-0005-0000-0000-0000D5530000}"/>
    <cellStyle name="Accent4 3 2 18" xfId="21538" xr:uid="{00000000-0005-0000-0000-0000D6530000}"/>
    <cellStyle name="Accent4 3 2 19" xfId="21539" xr:uid="{00000000-0005-0000-0000-0000D7530000}"/>
    <cellStyle name="Accent4 3 2 2" xfId="21540" xr:uid="{00000000-0005-0000-0000-0000D8530000}"/>
    <cellStyle name="Accent4 3 2 20" xfId="21541" xr:uid="{00000000-0005-0000-0000-0000D9530000}"/>
    <cellStyle name="Accent4 3 2 21" xfId="21542" xr:uid="{00000000-0005-0000-0000-0000DA530000}"/>
    <cellStyle name="Accent4 3 2 22" xfId="21543" xr:uid="{00000000-0005-0000-0000-0000DB530000}"/>
    <cellStyle name="Accent4 3 2 23" xfId="21544" xr:uid="{00000000-0005-0000-0000-0000DC530000}"/>
    <cellStyle name="Accent4 3 2 24" xfId="21545" xr:uid="{00000000-0005-0000-0000-0000DD530000}"/>
    <cellStyle name="Accent4 3 2 25" xfId="21546" xr:uid="{00000000-0005-0000-0000-0000DE530000}"/>
    <cellStyle name="Accent4 3 2 26" xfId="21547" xr:uid="{00000000-0005-0000-0000-0000DF530000}"/>
    <cellStyle name="Accent4 3 2 27" xfId="21548" xr:uid="{00000000-0005-0000-0000-0000E0530000}"/>
    <cellStyle name="Accent4 3 2 28" xfId="21549" xr:uid="{00000000-0005-0000-0000-0000E1530000}"/>
    <cellStyle name="Accent4 3 2 29" xfId="21550" xr:uid="{00000000-0005-0000-0000-0000E2530000}"/>
    <cellStyle name="Accent4 3 2 3" xfId="21551" xr:uid="{00000000-0005-0000-0000-0000E3530000}"/>
    <cellStyle name="Accent4 3 2 30" xfId="21552" xr:uid="{00000000-0005-0000-0000-0000E4530000}"/>
    <cellStyle name="Accent4 3 2 31" xfId="21553" xr:uid="{00000000-0005-0000-0000-0000E5530000}"/>
    <cellStyle name="Accent4 3 2 32" xfId="21554" xr:uid="{00000000-0005-0000-0000-0000E6530000}"/>
    <cellStyle name="Accent4 3 2 33" xfId="21555" xr:uid="{00000000-0005-0000-0000-0000E7530000}"/>
    <cellStyle name="Accent4 3 2 34" xfId="21556" xr:uid="{00000000-0005-0000-0000-0000E8530000}"/>
    <cellStyle name="Accent4 3 2 35" xfId="21557" xr:uid="{00000000-0005-0000-0000-0000E9530000}"/>
    <cellStyle name="Accent4 3 2 36" xfId="21558" xr:uid="{00000000-0005-0000-0000-0000EA530000}"/>
    <cellStyle name="Accent4 3 2 37" xfId="21559" xr:uid="{00000000-0005-0000-0000-0000EB530000}"/>
    <cellStyle name="Accent4 3 2 38" xfId="21560" xr:uid="{00000000-0005-0000-0000-0000EC530000}"/>
    <cellStyle name="Accent4 3 2 39" xfId="21561" xr:uid="{00000000-0005-0000-0000-0000ED530000}"/>
    <cellStyle name="Accent4 3 2 4" xfId="21562" xr:uid="{00000000-0005-0000-0000-0000EE530000}"/>
    <cellStyle name="Accent4 3 2 40" xfId="21563" xr:uid="{00000000-0005-0000-0000-0000EF530000}"/>
    <cellStyle name="Accent4 3 2 41" xfId="21564" xr:uid="{00000000-0005-0000-0000-0000F0530000}"/>
    <cellStyle name="Accent4 3 2 42" xfId="21565" xr:uid="{00000000-0005-0000-0000-0000F1530000}"/>
    <cellStyle name="Accent4 3 2 43" xfId="21566" xr:uid="{00000000-0005-0000-0000-0000F2530000}"/>
    <cellStyle name="Accent4 3 2 44" xfId="21567" xr:uid="{00000000-0005-0000-0000-0000F3530000}"/>
    <cellStyle name="Accent4 3 2 45" xfId="21568" xr:uid="{00000000-0005-0000-0000-0000F4530000}"/>
    <cellStyle name="Accent4 3 2 46" xfId="21569" xr:uid="{00000000-0005-0000-0000-0000F5530000}"/>
    <cellStyle name="Accent4 3 2 47" xfId="21570" xr:uid="{00000000-0005-0000-0000-0000F6530000}"/>
    <cellStyle name="Accent4 3 2 48" xfId="21571" xr:uid="{00000000-0005-0000-0000-0000F7530000}"/>
    <cellStyle name="Accent4 3 2 49" xfId="21572" xr:uid="{00000000-0005-0000-0000-0000F8530000}"/>
    <cellStyle name="Accent4 3 2 5" xfId="21573" xr:uid="{00000000-0005-0000-0000-0000F9530000}"/>
    <cellStyle name="Accent4 3 2 50" xfId="21574" xr:uid="{00000000-0005-0000-0000-0000FA530000}"/>
    <cellStyle name="Accent4 3 2 51" xfId="21575" xr:uid="{00000000-0005-0000-0000-0000FB530000}"/>
    <cellStyle name="Accent4 3 2 52" xfId="21576" xr:uid="{00000000-0005-0000-0000-0000FC530000}"/>
    <cellStyle name="Accent4 3 2 53" xfId="21577" xr:uid="{00000000-0005-0000-0000-0000FD530000}"/>
    <cellStyle name="Accent4 3 2 6" xfId="21578" xr:uid="{00000000-0005-0000-0000-0000FE530000}"/>
    <cellStyle name="Accent4 3 2 7" xfId="21579" xr:uid="{00000000-0005-0000-0000-0000FF530000}"/>
    <cellStyle name="Accent4 3 2 8" xfId="21580" xr:uid="{00000000-0005-0000-0000-000000540000}"/>
    <cellStyle name="Accent4 3 2 9" xfId="21581" xr:uid="{00000000-0005-0000-0000-000001540000}"/>
    <cellStyle name="Accent4 3 20" xfId="21582" xr:uid="{00000000-0005-0000-0000-000002540000}"/>
    <cellStyle name="Accent4 3 20 10" xfId="21583" xr:uid="{00000000-0005-0000-0000-000003540000}"/>
    <cellStyle name="Accent4 3 20 11" xfId="21584" xr:uid="{00000000-0005-0000-0000-000004540000}"/>
    <cellStyle name="Accent4 3 20 12" xfId="21585" xr:uid="{00000000-0005-0000-0000-000005540000}"/>
    <cellStyle name="Accent4 3 20 13" xfId="21586" xr:uid="{00000000-0005-0000-0000-000006540000}"/>
    <cellStyle name="Accent4 3 20 14" xfId="21587" xr:uid="{00000000-0005-0000-0000-000007540000}"/>
    <cellStyle name="Accent4 3 20 15" xfId="21588" xr:uid="{00000000-0005-0000-0000-000008540000}"/>
    <cellStyle name="Accent4 3 20 2" xfId="21589" xr:uid="{00000000-0005-0000-0000-000009540000}"/>
    <cellStyle name="Accent4 3 20 3" xfId="21590" xr:uid="{00000000-0005-0000-0000-00000A540000}"/>
    <cellStyle name="Accent4 3 20 4" xfId="21591" xr:uid="{00000000-0005-0000-0000-00000B540000}"/>
    <cellStyle name="Accent4 3 20 5" xfId="21592" xr:uid="{00000000-0005-0000-0000-00000C540000}"/>
    <cellStyle name="Accent4 3 20 6" xfId="21593" xr:uid="{00000000-0005-0000-0000-00000D540000}"/>
    <cellStyle name="Accent4 3 20 7" xfId="21594" xr:uid="{00000000-0005-0000-0000-00000E540000}"/>
    <cellStyle name="Accent4 3 20 8" xfId="21595" xr:uid="{00000000-0005-0000-0000-00000F540000}"/>
    <cellStyle name="Accent4 3 20 9" xfId="21596" xr:uid="{00000000-0005-0000-0000-000010540000}"/>
    <cellStyle name="Accent4 3 21" xfId="21597" xr:uid="{00000000-0005-0000-0000-000011540000}"/>
    <cellStyle name="Accent4 3 21 10" xfId="21598" xr:uid="{00000000-0005-0000-0000-000012540000}"/>
    <cellStyle name="Accent4 3 21 11" xfId="21599" xr:uid="{00000000-0005-0000-0000-000013540000}"/>
    <cellStyle name="Accent4 3 21 12" xfId="21600" xr:uid="{00000000-0005-0000-0000-000014540000}"/>
    <cellStyle name="Accent4 3 21 13" xfId="21601" xr:uid="{00000000-0005-0000-0000-000015540000}"/>
    <cellStyle name="Accent4 3 21 14" xfId="21602" xr:uid="{00000000-0005-0000-0000-000016540000}"/>
    <cellStyle name="Accent4 3 21 15" xfId="21603" xr:uid="{00000000-0005-0000-0000-000017540000}"/>
    <cellStyle name="Accent4 3 21 2" xfId="21604" xr:uid="{00000000-0005-0000-0000-000018540000}"/>
    <cellStyle name="Accent4 3 21 3" xfId="21605" xr:uid="{00000000-0005-0000-0000-000019540000}"/>
    <cellStyle name="Accent4 3 21 4" xfId="21606" xr:uid="{00000000-0005-0000-0000-00001A540000}"/>
    <cellStyle name="Accent4 3 21 5" xfId="21607" xr:uid="{00000000-0005-0000-0000-00001B540000}"/>
    <cellStyle name="Accent4 3 21 6" xfId="21608" xr:uid="{00000000-0005-0000-0000-00001C540000}"/>
    <cellStyle name="Accent4 3 21 7" xfId="21609" xr:uid="{00000000-0005-0000-0000-00001D540000}"/>
    <cellStyle name="Accent4 3 21 8" xfId="21610" xr:uid="{00000000-0005-0000-0000-00001E540000}"/>
    <cellStyle name="Accent4 3 21 9" xfId="21611" xr:uid="{00000000-0005-0000-0000-00001F540000}"/>
    <cellStyle name="Accent4 3 22" xfId="21612" xr:uid="{00000000-0005-0000-0000-000020540000}"/>
    <cellStyle name="Accent4 3 22 10" xfId="21613" xr:uid="{00000000-0005-0000-0000-000021540000}"/>
    <cellStyle name="Accent4 3 22 11" xfId="21614" xr:uid="{00000000-0005-0000-0000-000022540000}"/>
    <cellStyle name="Accent4 3 22 12" xfId="21615" xr:uid="{00000000-0005-0000-0000-000023540000}"/>
    <cellStyle name="Accent4 3 22 13" xfId="21616" xr:uid="{00000000-0005-0000-0000-000024540000}"/>
    <cellStyle name="Accent4 3 22 14" xfId="21617" xr:uid="{00000000-0005-0000-0000-000025540000}"/>
    <cellStyle name="Accent4 3 22 15" xfId="21618" xr:uid="{00000000-0005-0000-0000-000026540000}"/>
    <cellStyle name="Accent4 3 22 2" xfId="21619" xr:uid="{00000000-0005-0000-0000-000027540000}"/>
    <cellStyle name="Accent4 3 22 3" xfId="21620" xr:uid="{00000000-0005-0000-0000-000028540000}"/>
    <cellStyle name="Accent4 3 22 4" xfId="21621" xr:uid="{00000000-0005-0000-0000-000029540000}"/>
    <cellStyle name="Accent4 3 22 5" xfId="21622" xr:uid="{00000000-0005-0000-0000-00002A540000}"/>
    <cellStyle name="Accent4 3 22 6" xfId="21623" xr:uid="{00000000-0005-0000-0000-00002B540000}"/>
    <cellStyle name="Accent4 3 22 7" xfId="21624" xr:uid="{00000000-0005-0000-0000-00002C540000}"/>
    <cellStyle name="Accent4 3 22 8" xfId="21625" xr:uid="{00000000-0005-0000-0000-00002D540000}"/>
    <cellStyle name="Accent4 3 22 9" xfId="21626" xr:uid="{00000000-0005-0000-0000-00002E540000}"/>
    <cellStyle name="Accent4 3 23" xfId="21627" xr:uid="{00000000-0005-0000-0000-00002F540000}"/>
    <cellStyle name="Accent4 3 23 10" xfId="21628" xr:uid="{00000000-0005-0000-0000-000030540000}"/>
    <cellStyle name="Accent4 3 23 11" xfId="21629" xr:uid="{00000000-0005-0000-0000-000031540000}"/>
    <cellStyle name="Accent4 3 23 12" xfId="21630" xr:uid="{00000000-0005-0000-0000-000032540000}"/>
    <cellStyle name="Accent4 3 23 13" xfId="21631" xr:uid="{00000000-0005-0000-0000-000033540000}"/>
    <cellStyle name="Accent4 3 23 14" xfId="21632" xr:uid="{00000000-0005-0000-0000-000034540000}"/>
    <cellStyle name="Accent4 3 23 15" xfId="21633" xr:uid="{00000000-0005-0000-0000-000035540000}"/>
    <cellStyle name="Accent4 3 23 2" xfId="21634" xr:uid="{00000000-0005-0000-0000-000036540000}"/>
    <cellStyle name="Accent4 3 23 3" xfId="21635" xr:uid="{00000000-0005-0000-0000-000037540000}"/>
    <cellStyle name="Accent4 3 23 4" xfId="21636" xr:uid="{00000000-0005-0000-0000-000038540000}"/>
    <cellStyle name="Accent4 3 23 5" xfId="21637" xr:uid="{00000000-0005-0000-0000-000039540000}"/>
    <cellStyle name="Accent4 3 23 6" xfId="21638" xr:uid="{00000000-0005-0000-0000-00003A540000}"/>
    <cellStyle name="Accent4 3 23 7" xfId="21639" xr:uid="{00000000-0005-0000-0000-00003B540000}"/>
    <cellStyle name="Accent4 3 23 8" xfId="21640" xr:uid="{00000000-0005-0000-0000-00003C540000}"/>
    <cellStyle name="Accent4 3 23 9" xfId="21641" xr:uid="{00000000-0005-0000-0000-00003D540000}"/>
    <cellStyle name="Accent4 3 24" xfId="21642" xr:uid="{00000000-0005-0000-0000-00003E540000}"/>
    <cellStyle name="Accent4 3 24 10" xfId="21643" xr:uid="{00000000-0005-0000-0000-00003F540000}"/>
    <cellStyle name="Accent4 3 24 11" xfId="21644" xr:uid="{00000000-0005-0000-0000-000040540000}"/>
    <cellStyle name="Accent4 3 24 12" xfId="21645" xr:uid="{00000000-0005-0000-0000-000041540000}"/>
    <cellStyle name="Accent4 3 24 13" xfId="21646" xr:uid="{00000000-0005-0000-0000-000042540000}"/>
    <cellStyle name="Accent4 3 24 14" xfId="21647" xr:uid="{00000000-0005-0000-0000-000043540000}"/>
    <cellStyle name="Accent4 3 24 15" xfId="21648" xr:uid="{00000000-0005-0000-0000-000044540000}"/>
    <cellStyle name="Accent4 3 24 2" xfId="21649" xr:uid="{00000000-0005-0000-0000-000045540000}"/>
    <cellStyle name="Accent4 3 24 3" xfId="21650" xr:uid="{00000000-0005-0000-0000-000046540000}"/>
    <cellStyle name="Accent4 3 24 4" xfId="21651" xr:uid="{00000000-0005-0000-0000-000047540000}"/>
    <cellStyle name="Accent4 3 24 5" xfId="21652" xr:uid="{00000000-0005-0000-0000-000048540000}"/>
    <cellStyle name="Accent4 3 24 6" xfId="21653" xr:uid="{00000000-0005-0000-0000-000049540000}"/>
    <cellStyle name="Accent4 3 24 7" xfId="21654" xr:uid="{00000000-0005-0000-0000-00004A540000}"/>
    <cellStyle name="Accent4 3 24 8" xfId="21655" xr:uid="{00000000-0005-0000-0000-00004B540000}"/>
    <cellStyle name="Accent4 3 24 9" xfId="21656" xr:uid="{00000000-0005-0000-0000-00004C540000}"/>
    <cellStyle name="Accent4 3 25" xfId="21657" xr:uid="{00000000-0005-0000-0000-00004D540000}"/>
    <cellStyle name="Accent4 3 25 10" xfId="21658" xr:uid="{00000000-0005-0000-0000-00004E540000}"/>
    <cellStyle name="Accent4 3 25 11" xfId="21659" xr:uid="{00000000-0005-0000-0000-00004F540000}"/>
    <cellStyle name="Accent4 3 25 12" xfId="21660" xr:uid="{00000000-0005-0000-0000-000050540000}"/>
    <cellStyle name="Accent4 3 25 13" xfId="21661" xr:uid="{00000000-0005-0000-0000-000051540000}"/>
    <cellStyle name="Accent4 3 25 14" xfId="21662" xr:uid="{00000000-0005-0000-0000-000052540000}"/>
    <cellStyle name="Accent4 3 25 15" xfId="21663" xr:uid="{00000000-0005-0000-0000-000053540000}"/>
    <cellStyle name="Accent4 3 25 2" xfId="21664" xr:uid="{00000000-0005-0000-0000-000054540000}"/>
    <cellStyle name="Accent4 3 25 3" xfId="21665" xr:uid="{00000000-0005-0000-0000-000055540000}"/>
    <cellStyle name="Accent4 3 25 4" xfId="21666" xr:uid="{00000000-0005-0000-0000-000056540000}"/>
    <cellStyle name="Accent4 3 25 5" xfId="21667" xr:uid="{00000000-0005-0000-0000-000057540000}"/>
    <cellStyle name="Accent4 3 25 6" xfId="21668" xr:uid="{00000000-0005-0000-0000-000058540000}"/>
    <cellStyle name="Accent4 3 25 7" xfId="21669" xr:uid="{00000000-0005-0000-0000-000059540000}"/>
    <cellStyle name="Accent4 3 25 8" xfId="21670" xr:uid="{00000000-0005-0000-0000-00005A540000}"/>
    <cellStyle name="Accent4 3 25 9" xfId="21671" xr:uid="{00000000-0005-0000-0000-00005B540000}"/>
    <cellStyle name="Accent4 3 26" xfId="21672" xr:uid="{00000000-0005-0000-0000-00005C540000}"/>
    <cellStyle name="Accent4 3 26 10" xfId="21673" xr:uid="{00000000-0005-0000-0000-00005D540000}"/>
    <cellStyle name="Accent4 3 26 11" xfId="21674" xr:uid="{00000000-0005-0000-0000-00005E540000}"/>
    <cellStyle name="Accent4 3 26 12" xfId="21675" xr:uid="{00000000-0005-0000-0000-00005F540000}"/>
    <cellStyle name="Accent4 3 26 13" xfId="21676" xr:uid="{00000000-0005-0000-0000-000060540000}"/>
    <cellStyle name="Accent4 3 26 14" xfId="21677" xr:uid="{00000000-0005-0000-0000-000061540000}"/>
    <cellStyle name="Accent4 3 26 15" xfId="21678" xr:uid="{00000000-0005-0000-0000-000062540000}"/>
    <cellStyle name="Accent4 3 26 2" xfId="21679" xr:uid="{00000000-0005-0000-0000-000063540000}"/>
    <cellStyle name="Accent4 3 26 3" xfId="21680" xr:uid="{00000000-0005-0000-0000-000064540000}"/>
    <cellStyle name="Accent4 3 26 4" xfId="21681" xr:uid="{00000000-0005-0000-0000-000065540000}"/>
    <cellStyle name="Accent4 3 26 5" xfId="21682" xr:uid="{00000000-0005-0000-0000-000066540000}"/>
    <cellStyle name="Accent4 3 26 6" xfId="21683" xr:uid="{00000000-0005-0000-0000-000067540000}"/>
    <cellStyle name="Accent4 3 26 7" xfId="21684" xr:uid="{00000000-0005-0000-0000-000068540000}"/>
    <cellStyle name="Accent4 3 26 8" xfId="21685" xr:uid="{00000000-0005-0000-0000-000069540000}"/>
    <cellStyle name="Accent4 3 26 9" xfId="21686" xr:uid="{00000000-0005-0000-0000-00006A540000}"/>
    <cellStyle name="Accent4 3 27" xfId="21687" xr:uid="{00000000-0005-0000-0000-00006B540000}"/>
    <cellStyle name="Accent4 3 27 10" xfId="21688" xr:uid="{00000000-0005-0000-0000-00006C540000}"/>
    <cellStyle name="Accent4 3 27 11" xfId="21689" xr:uid="{00000000-0005-0000-0000-00006D540000}"/>
    <cellStyle name="Accent4 3 27 12" xfId="21690" xr:uid="{00000000-0005-0000-0000-00006E540000}"/>
    <cellStyle name="Accent4 3 27 13" xfId="21691" xr:uid="{00000000-0005-0000-0000-00006F540000}"/>
    <cellStyle name="Accent4 3 27 14" xfId="21692" xr:uid="{00000000-0005-0000-0000-000070540000}"/>
    <cellStyle name="Accent4 3 27 15" xfId="21693" xr:uid="{00000000-0005-0000-0000-000071540000}"/>
    <cellStyle name="Accent4 3 27 2" xfId="21694" xr:uid="{00000000-0005-0000-0000-000072540000}"/>
    <cellStyle name="Accent4 3 27 3" xfId="21695" xr:uid="{00000000-0005-0000-0000-000073540000}"/>
    <cellStyle name="Accent4 3 27 4" xfId="21696" xr:uid="{00000000-0005-0000-0000-000074540000}"/>
    <cellStyle name="Accent4 3 27 5" xfId="21697" xr:uid="{00000000-0005-0000-0000-000075540000}"/>
    <cellStyle name="Accent4 3 27 6" xfId="21698" xr:uid="{00000000-0005-0000-0000-000076540000}"/>
    <cellStyle name="Accent4 3 27 7" xfId="21699" xr:uid="{00000000-0005-0000-0000-000077540000}"/>
    <cellStyle name="Accent4 3 27 8" xfId="21700" xr:uid="{00000000-0005-0000-0000-000078540000}"/>
    <cellStyle name="Accent4 3 27 9" xfId="21701" xr:uid="{00000000-0005-0000-0000-000079540000}"/>
    <cellStyle name="Accent4 3 28" xfId="21702" xr:uid="{00000000-0005-0000-0000-00007A540000}"/>
    <cellStyle name="Accent4 3 28 10" xfId="21703" xr:uid="{00000000-0005-0000-0000-00007B540000}"/>
    <cellStyle name="Accent4 3 28 11" xfId="21704" xr:uid="{00000000-0005-0000-0000-00007C540000}"/>
    <cellStyle name="Accent4 3 28 12" xfId="21705" xr:uid="{00000000-0005-0000-0000-00007D540000}"/>
    <cellStyle name="Accent4 3 28 13" xfId="21706" xr:uid="{00000000-0005-0000-0000-00007E540000}"/>
    <cellStyle name="Accent4 3 28 14" xfId="21707" xr:uid="{00000000-0005-0000-0000-00007F540000}"/>
    <cellStyle name="Accent4 3 28 15" xfId="21708" xr:uid="{00000000-0005-0000-0000-000080540000}"/>
    <cellStyle name="Accent4 3 28 2" xfId="21709" xr:uid="{00000000-0005-0000-0000-000081540000}"/>
    <cellStyle name="Accent4 3 28 3" xfId="21710" xr:uid="{00000000-0005-0000-0000-000082540000}"/>
    <cellStyle name="Accent4 3 28 4" xfId="21711" xr:uid="{00000000-0005-0000-0000-000083540000}"/>
    <cellStyle name="Accent4 3 28 5" xfId="21712" xr:uid="{00000000-0005-0000-0000-000084540000}"/>
    <cellStyle name="Accent4 3 28 6" xfId="21713" xr:uid="{00000000-0005-0000-0000-000085540000}"/>
    <cellStyle name="Accent4 3 28 7" xfId="21714" xr:uid="{00000000-0005-0000-0000-000086540000}"/>
    <cellStyle name="Accent4 3 28 8" xfId="21715" xr:uid="{00000000-0005-0000-0000-000087540000}"/>
    <cellStyle name="Accent4 3 28 9" xfId="21716" xr:uid="{00000000-0005-0000-0000-000088540000}"/>
    <cellStyle name="Accent4 3 29" xfId="21717" xr:uid="{00000000-0005-0000-0000-000089540000}"/>
    <cellStyle name="Accent4 3 29 10" xfId="21718" xr:uid="{00000000-0005-0000-0000-00008A540000}"/>
    <cellStyle name="Accent4 3 29 11" xfId="21719" xr:uid="{00000000-0005-0000-0000-00008B540000}"/>
    <cellStyle name="Accent4 3 29 12" xfId="21720" xr:uid="{00000000-0005-0000-0000-00008C540000}"/>
    <cellStyle name="Accent4 3 29 13" xfId="21721" xr:uid="{00000000-0005-0000-0000-00008D540000}"/>
    <cellStyle name="Accent4 3 29 14" xfId="21722" xr:uid="{00000000-0005-0000-0000-00008E540000}"/>
    <cellStyle name="Accent4 3 29 15" xfId="21723" xr:uid="{00000000-0005-0000-0000-00008F540000}"/>
    <cellStyle name="Accent4 3 29 2" xfId="21724" xr:uid="{00000000-0005-0000-0000-000090540000}"/>
    <cellStyle name="Accent4 3 29 3" xfId="21725" xr:uid="{00000000-0005-0000-0000-000091540000}"/>
    <cellStyle name="Accent4 3 29 4" xfId="21726" xr:uid="{00000000-0005-0000-0000-000092540000}"/>
    <cellStyle name="Accent4 3 29 5" xfId="21727" xr:uid="{00000000-0005-0000-0000-000093540000}"/>
    <cellStyle name="Accent4 3 29 6" xfId="21728" xr:uid="{00000000-0005-0000-0000-000094540000}"/>
    <cellStyle name="Accent4 3 29 7" xfId="21729" xr:uid="{00000000-0005-0000-0000-000095540000}"/>
    <cellStyle name="Accent4 3 29 8" xfId="21730" xr:uid="{00000000-0005-0000-0000-000096540000}"/>
    <cellStyle name="Accent4 3 29 9" xfId="21731" xr:uid="{00000000-0005-0000-0000-000097540000}"/>
    <cellStyle name="Accent4 3 3" xfId="21732" xr:uid="{00000000-0005-0000-0000-000098540000}"/>
    <cellStyle name="Accent4 3 3 10" xfId="21733" xr:uid="{00000000-0005-0000-0000-000099540000}"/>
    <cellStyle name="Accent4 3 3 11" xfId="21734" xr:uid="{00000000-0005-0000-0000-00009A540000}"/>
    <cellStyle name="Accent4 3 3 12" xfId="21735" xr:uid="{00000000-0005-0000-0000-00009B540000}"/>
    <cellStyle name="Accent4 3 3 13" xfId="21736" xr:uid="{00000000-0005-0000-0000-00009C540000}"/>
    <cellStyle name="Accent4 3 3 14" xfId="21737" xr:uid="{00000000-0005-0000-0000-00009D540000}"/>
    <cellStyle name="Accent4 3 3 15" xfId="21738" xr:uid="{00000000-0005-0000-0000-00009E540000}"/>
    <cellStyle name="Accent4 3 3 16" xfId="21739" xr:uid="{00000000-0005-0000-0000-00009F540000}"/>
    <cellStyle name="Accent4 3 3 2" xfId="21740" xr:uid="{00000000-0005-0000-0000-0000A0540000}"/>
    <cellStyle name="Accent4 3 3 3" xfId="21741" xr:uid="{00000000-0005-0000-0000-0000A1540000}"/>
    <cellStyle name="Accent4 3 3 4" xfId="21742" xr:uid="{00000000-0005-0000-0000-0000A2540000}"/>
    <cellStyle name="Accent4 3 3 5" xfId="21743" xr:uid="{00000000-0005-0000-0000-0000A3540000}"/>
    <cellStyle name="Accent4 3 3 6" xfId="21744" xr:uid="{00000000-0005-0000-0000-0000A4540000}"/>
    <cellStyle name="Accent4 3 3 7" xfId="21745" xr:uid="{00000000-0005-0000-0000-0000A5540000}"/>
    <cellStyle name="Accent4 3 3 8" xfId="21746" xr:uid="{00000000-0005-0000-0000-0000A6540000}"/>
    <cellStyle name="Accent4 3 3 9" xfId="21747" xr:uid="{00000000-0005-0000-0000-0000A7540000}"/>
    <cellStyle name="Accent4 3 30" xfId="21748" xr:uid="{00000000-0005-0000-0000-0000A8540000}"/>
    <cellStyle name="Accent4 3 30 10" xfId="21749" xr:uid="{00000000-0005-0000-0000-0000A9540000}"/>
    <cellStyle name="Accent4 3 30 11" xfId="21750" xr:uid="{00000000-0005-0000-0000-0000AA540000}"/>
    <cellStyle name="Accent4 3 30 12" xfId="21751" xr:uid="{00000000-0005-0000-0000-0000AB540000}"/>
    <cellStyle name="Accent4 3 30 13" xfId="21752" xr:uid="{00000000-0005-0000-0000-0000AC540000}"/>
    <cellStyle name="Accent4 3 30 14" xfId="21753" xr:uid="{00000000-0005-0000-0000-0000AD540000}"/>
    <cellStyle name="Accent4 3 30 15" xfId="21754" xr:uid="{00000000-0005-0000-0000-0000AE540000}"/>
    <cellStyle name="Accent4 3 30 2" xfId="21755" xr:uid="{00000000-0005-0000-0000-0000AF540000}"/>
    <cellStyle name="Accent4 3 30 3" xfId="21756" xr:uid="{00000000-0005-0000-0000-0000B0540000}"/>
    <cellStyle name="Accent4 3 30 4" xfId="21757" xr:uid="{00000000-0005-0000-0000-0000B1540000}"/>
    <cellStyle name="Accent4 3 30 5" xfId="21758" xr:uid="{00000000-0005-0000-0000-0000B2540000}"/>
    <cellStyle name="Accent4 3 30 6" xfId="21759" xr:uid="{00000000-0005-0000-0000-0000B3540000}"/>
    <cellStyle name="Accent4 3 30 7" xfId="21760" xr:uid="{00000000-0005-0000-0000-0000B4540000}"/>
    <cellStyle name="Accent4 3 30 8" xfId="21761" xr:uid="{00000000-0005-0000-0000-0000B5540000}"/>
    <cellStyle name="Accent4 3 30 9" xfId="21762" xr:uid="{00000000-0005-0000-0000-0000B6540000}"/>
    <cellStyle name="Accent4 3 31" xfId="21763" xr:uid="{00000000-0005-0000-0000-0000B7540000}"/>
    <cellStyle name="Accent4 3 31 10" xfId="21764" xr:uid="{00000000-0005-0000-0000-0000B8540000}"/>
    <cellStyle name="Accent4 3 31 11" xfId="21765" xr:uid="{00000000-0005-0000-0000-0000B9540000}"/>
    <cellStyle name="Accent4 3 31 12" xfId="21766" xr:uid="{00000000-0005-0000-0000-0000BA540000}"/>
    <cellStyle name="Accent4 3 31 13" xfId="21767" xr:uid="{00000000-0005-0000-0000-0000BB540000}"/>
    <cellStyle name="Accent4 3 31 14" xfId="21768" xr:uid="{00000000-0005-0000-0000-0000BC540000}"/>
    <cellStyle name="Accent4 3 31 15" xfId="21769" xr:uid="{00000000-0005-0000-0000-0000BD540000}"/>
    <cellStyle name="Accent4 3 31 2" xfId="21770" xr:uid="{00000000-0005-0000-0000-0000BE540000}"/>
    <cellStyle name="Accent4 3 31 3" xfId="21771" xr:uid="{00000000-0005-0000-0000-0000BF540000}"/>
    <cellStyle name="Accent4 3 31 4" xfId="21772" xr:uid="{00000000-0005-0000-0000-0000C0540000}"/>
    <cellStyle name="Accent4 3 31 5" xfId="21773" xr:uid="{00000000-0005-0000-0000-0000C1540000}"/>
    <cellStyle name="Accent4 3 31 6" xfId="21774" xr:uid="{00000000-0005-0000-0000-0000C2540000}"/>
    <cellStyle name="Accent4 3 31 7" xfId="21775" xr:uid="{00000000-0005-0000-0000-0000C3540000}"/>
    <cellStyle name="Accent4 3 31 8" xfId="21776" xr:uid="{00000000-0005-0000-0000-0000C4540000}"/>
    <cellStyle name="Accent4 3 31 9" xfId="21777" xr:uid="{00000000-0005-0000-0000-0000C5540000}"/>
    <cellStyle name="Accent4 3 32" xfId="21778" xr:uid="{00000000-0005-0000-0000-0000C6540000}"/>
    <cellStyle name="Accent4 3 32 10" xfId="21779" xr:uid="{00000000-0005-0000-0000-0000C7540000}"/>
    <cellStyle name="Accent4 3 32 11" xfId="21780" xr:uid="{00000000-0005-0000-0000-0000C8540000}"/>
    <cellStyle name="Accent4 3 32 12" xfId="21781" xr:uid="{00000000-0005-0000-0000-0000C9540000}"/>
    <cellStyle name="Accent4 3 32 13" xfId="21782" xr:uid="{00000000-0005-0000-0000-0000CA540000}"/>
    <cellStyle name="Accent4 3 32 14" xfId="21783" xr:uid="{00000000-0005-0000-0000-0000CB540000}"/>
    <cellStyle name="Accent4 3 32 15" xfId="21784" xr:uid="{00000000-0005-0000-0000-0000CC540000}"/>
    <cellStyle name="Accent4 3 32 2" xfId="21785" xr:uid="{00000000-0005-0000-0000-0000CD540000}"/>
    <cellStyle name="Accent4 3 32 3" xfId="21786" xr:uid="{00000000-0005-0000-0000-0000CE540000}"/>
    <cellStyle name="Accent4 3 32 4" xfId="21787" xr:uid="{00000000-0005-0000-0000-0000CF540000}"/>
    <cellStyle name="Accent4 3 32 5" xfId="21788" xr:uid="{00000000-0005-0000-0000-0000D0540000}"/>
    <cellStyle name="Accent4 3 32 6" xfId="21789" xr:uid="{00000000-0005-0000-0000-0000D1540000}"/>
    <cellStyle name="Accent4 3 32 7" xfId="21790" xr:uid="{00000000-0005-0000-0000-0000D2540000}"/>
    <cellStyle name="Accent4 3 32 8" xfId="21791" xr:uid="{00000000-0005-0000-0000-0000D3540000}"/>
    <cellStyle name="Accent4 3 32 9" xfId="21792" xr:uid="{00000000-0005-0000-0000-0000D4540000}"/>
    <cellStyle name="Accent4 3 33" xfId="21793" xr:uid="{00000000-0005-0000-0000-0000D5540000}"/>
    <cellStyle name="Accent4 3 34" xfId="21794" xr:uid="{00000000-0005-0000-0000-0000D6540000}"/>
    <cellStyle name="Accent4 3 35" xfId="21795" xr:uid="{00000000-0005-0000-0000-0000D7540000}"/>
    <cellStyle name="Accent4 3 36" xfId="21796" xr:uid="{00000000-0005-0000-0000-0000D8540000}"/>
    <cellStyle name="Accent4 3 37" xfId="21797" xr:uid="{00000000-0005-0000-0000-0000D9540000}"/>
    <cellStyle name="Accent4 3 38" xfId="21798" xr:uid="{00000000-0005-0000-0000-0000DA540000}"/>
    <cellStyle name="Accent4 3 39" xfId="21799" xr:uid="{00000000-0005-0000-0000-0000DB540000}"/>
    <cellStyle name="Accent4 3 4" xfId="21800" xr:uid="{00000000-0005-0000-0000-0000DC540000}"/>
    <cellStyle name="Accent4 3 4 10" xfId="21801" xr:uid="{00000000-0005-0000-0000-0000DD540000}"/>
    <cellStyle name="Accent4 3 4 11" xfId="21802" xr:uid="{00000000-0005-0000-0000-0000DE540000}"/>
    <cellStyle name="Accent4 3 4 12" xfId="21803" xr:uid="{00000000-0005-0000-0000-0000DF540000}"/>
    <cellStyle name="Accent4 3 4 13" xfId="21804" xr:uid="{00000000-0005-0000-0000-0000E0540000}"/>
    <cellStyle name="Accent4 3 4 14" xfId="21805" xr:uid="{00000000-0005-0000-0000-0000E1540000}"/>
    <cellStyle name="Accent4 3 4 15" xfId="21806" xr:uid="{00000000-0005-0000-0000-0000E2540000}"/>
    <cellStyle name="Accent4 3 4 2" xfId="21807" xr:uid="{00000000-0005-0000-0000-0000E3540000}"/>
    <cellStyle name="Accent4 3 4 3" xfId="21808" xr:uid="{00000000-0005-0000-0000-0000E4540000}"/>
    <cellStyle name="Accent4 3 4 4" xfId="21809" xr:uid="{00000000-0005-0000-0000-0000E5540000}"/>
    <cellStyle name="Accent4 3 4 5" xfId="21810" xr:uid="{00000000-0005-0000-0000-0000E6540000}"/>
    <cellStyle name="Accent4 3 4 6" xfId="21811" xr:uid="{00000000-0005-0000-0000-0000E7540000}"/>
    <cellStyle name="Accent4 3 4 7" xfId="21812" xr:uid="{00000000-0005-0000-0000-0000E8540000}"/>
    <cellStyle name="Accent4 3 4 8" xfId="21813" xr:uid="{00000000-0005-0000-0000-0000E9540000}"/>
    <cellStyle name="Accent4 3 4 9" xfId="21814" xr:uid="{00000000-0005-0000-0000-0000EA540000}"/>
    <cellStyle name="Accent4 3 40" xfId="21815" xr:uid="{00000000-0005-0000-0000-0000EB540000}"/>
    <cellStyle name="Accent4 3 41" xfId="21816" xr:uid="{00000000-0005-0000-0000-0000EC540000}"/>
    <cellStyle name="Accent4 3 42" xfId="21817" xr:uid="{00000000-0005-0000-0000-0000ED540000}"/>
    <cellStyle name="Accent4 3 43" xfId="21818" xr:uid="{00000000-0005-0000-0000-0000EE540000}"/>
    <cellStyle name="Accent4 3 44" xfId="21819" xr:uid="{00000000-0005-0000-0000-0000EF540000}"/>
    <cellStyle name="Accent4 3 45" xfId="21820" xr:uid="{00000000-0005-0000-0000-0000F0540000}"/>
    <cellStyle name="Accent4 3 46" xfId="21821" xr:uid="{00000000-0005-0000-0000-0000F1540000}"/>
    <cellStyle name="Accent4 3 47" xfId="21822" xr:uid="{00000000-0005-0000-0000-0000F2540000}"/>
    <cellStyle name="Accent4 3 48" xfId="21823" xr:uid="{00000000-0005-0000-0000-0000F3540000}"/>
    <cellStyle name="Accent4 3 49" xfId="21824" xr:uid="{00000000-0005-0000-0000-0000F4540000}"/>
    <cellStyle name="Accent4 3 5" xfId="21825" xr:uid="{00000000-0005-0000-0000-0000F5540000}"/>
    <cellStyle name="Accent4 3 5 10" xfId="21826" xr:uid="{00000000-0005-0000-0000-0000F6540000}"/>
    <cellStyle name="Accent4 3 5 11" xfId="21827" xr:uid="{00000000-0005-0000-0000-0000F7540000}"/>
    <cellStyle name="Accent4 3 5 12" xfId="21828" xr:uid="{00000000-0005-0000-0000-0000F8540000}"/>
    <cellStyle name="Accent4 3 5 13" xfId="21829" xr:uid="{00000000-0005-0000-0000-0000F9540000}"/>
    <cellStyle name="Accent4 3 5 14" xfId="21830" xr:uid="{00000000-0005-0000-0000-0000FA540000}"/>
    <cellStyle name="Accent4 3 5 15" xfId="21831" xr:uid="{00000000-0005-0000-0000-0000FB540000}"/>
    <cellStyle name="Accent4 3 5 2" xfId="21832" xr:uid="{00000000-0005-0000-0000-0000FC540000}"/>
    <cellStyle name="Accent4 3 5 3" xfId="21833" xr:uid="{00000000-0005-0000-0000-0000FD540000}"/>
    <cellStyle name="Accent4 3 5 4" xfId="21834" xr:uid="{00000000-0005-0000-0000-0000FE540000}"/>
    <cellStyle name="Accent4 3 5 5" xfId="21835" xr:uid="{00000000-0005-0000-0000-0000FF540000}"/>
    <cellStyle name="Accent4 3 5 6" xfId="21836" xr:uid="{00000000-0005-0000-0000-000000550000}"/>
    <cellStyle name="Accent4 3 5 7" xfId="21837" xr:uid="{00000000-0005-0000-0000-000001550000}"/>
    <cellStyle name="Accent4 3 5 8" xfId="21838" xr:uid="{00000000-0005-0000-0000-000002550000}"/>
    <cellStyle name="Accent4 3 5 9" xfId="21839" xr:uid="{00000000-0005-0000-0000-000003550000}"/>
    <cellStyle name="Accent4 3 50" xfId="21840" xr:uid="{00000000-0005-0000-0000-000004550000}"/>
    <cellStyle name="Accent4 3 51" xfId="21841" xr:uid="{00000000-0005-0000-0000-000005550000}"/>
    <cellStyle name="Accent4 3 52" xfId="21842" xr:uid="{00000000-0005-0000-0000-000006550000}"/>
    <cellStyle name="Accent4 3 53" xfId="21843" xr:uid="{00000000-0005-0000-0000-000007550000}"/>
    <cellStyle name="Accent4 3 6" xfId="21844" xr:uid="{00000000-0005-0000-0000-000008550000}"/>
    <cellStyle name="Accent4 3 6 10" xfId="21845" xr:uid="{00000000-0005-0000-0000-000009550000}"/>
    <cellStyle name="Accent4 3 6 11" xfId="21846" xr:uid="{00000000-0005-0000-0000-00000A550000}"/>
    <cellStyle name="Accent4 3 6 12" xfId="21847" xr:uid="{00000000-0005-0000-0000-00000B550000}"/>
    <cellStyle name="Accent4 3 6 13" xfId="21848" xr:uid="{00000000-0005-0000-0000-00000C550000}"/>
    <cellStyle name="Accent4 3 6 14" xfId="21849" xr:uid="{00000000-0005-0000-0000-00000D550000}"/>
    <cellStyle name="Accent4 3 6 15" xfId="21850" xr:uid="{00000000-0005-0000-0000-00000E550000}"/>
    <cellStyle name="Accent4 3 6 2" xfId="21851" xr:uid="{00000000-0005-0000-0000-00000F550000}"/>
    <cellStyle name="Accent4 3 6 3" xfId="21852" xr:uid="{00000000-0005-0000-0000-000010550000}"/>
    <cellStyle name="Accent4 3 6 4" xfId="21853" xr:uid="{00000000-0005-0000-0000-000011550000}"/>
    <cellStyle name="Accent4 3 6 5" xfId="21854" xr:uid="{00000000-0005-0000-0000-000012550000}"/>
    <cellStyle name="Accent4 3 6 6" xfId="21855" xr:uid="{00000000-0005-0000-0000-000013550000}"/>
    <cellStyle name="Accent4 3 6 7" xfId="21856" xr:uid="{00000000-0005-0000-0000-000014550000}"/>
    <cellStyle name="Accent4 3 6 8" xfId="21857" xr:uid="{00000000-0005-0000-0000-000015550000}"/>
    <cellStyle name="Accent4 3 6 9" xfId="21858" xr:uid="{00000000-0005-0000-0000-000016550000}"/>
    <cellStyle name="Accent4 3 7" xfId="21859" xr:uid="{00000000-0005-0000-0000-000017550000}"/>
    <cellStyle name="Accent4 3 7 10" xfId="21860" xr:uid="{00000000-0005-0000-0000-000018550000}"/>
    <cellStyle name="Accent4 3 7 11" xfId="21861" xr:uid="{00000000-0005-0000-0000-000019550000}"/>
    <cellStyle name="Accent4 3 7 12" xfId="21862" xr:uid="{00000000-0005-0000-0000-00001A550000}"/>
    <cellStyle name="Accent4 3 7 13" xfId="21863" xr:uid="{00000000-0005-0000-0000-00001B550000}"/>
    <cellStyle name="Accent4 3 7 14" xfId="21864" xr:uid="{00000000-0005-0000-0000-00001C550000}"/>
    <cellStyle name="Accent4 3 7 15" xfId="21865" xr:uid="{00000000-0005-0000-0000-00001D550000}"/>
    <cellStyle name="Accent4 3 7 2" xfId="21866" xr:uid="{00000000-0005-0000-0000-00001E550000}"/>
    <cellStyle name="Accent4 3 7 3" xfId="21867" xr:uid="{00000000-0005-0000-0000-00001F550000}"/>
    <cellStyle name="Accent4 3 7 4" xfId="21868" xr:uid="{00000000-0005-0000-0000-000020550000}"/>
    <cellStyle name="Accent4 3 7 5" xfId="21869" xr:uid="{00000000-0005-0000-0000-000021550000}"/>
    <cellStyle name="Accent4 3 7 6" xfId="21870" xr:uid="{00000000-0005-0000-0000-000022550000}"/>
    <cellStyle name="Accent4 3 7 7" xfId="21871" xr:uid="{00000000-0005-0000-0000-000023550000}"/>
    <cellStyle name="Accent4 3 7 8" xfId="21872" xr:uid="{00000000-0005-0000-0000-000024550000}"/>
    <cellStyle name="Accent4 3 7 9" xfId="21873" xr:uid="{00000000-0005-0000-0000-000025550000}"/>
    <cellStyle name="Accent4 3 8" xfId="21874" xr:uid="{00000000-0005-0000-0000-000026550000}"/>
    <cellStyle name="Accent4 3 8 10" xfId="21875" xr:uid="{00000000-0005-0000-0000-000027550000}"/>
    <cellStyle name="Accent4 3 8 11" xfId="21876" xr:uid="{00000000-0005-0000-0000-000028550000}"/>
    <cellStyle name="Accent4 3 8 12" xfId="21877" xr:uid="{00000000-0005-0000-0000-000029550000}"/>
    <cellStyle name="Accent4 3 8 13" xfId="21878" xr:uid="{00000000-0005-0000-0000-00002A550000}"/>
    <cellStyle name="Accent4 3 8 14" xfId="21879" xr:uid="{00000000-0005-0000-0000-00002B550000}"/>
    <cellStyle name="Accent4 3 8 15" xfId="21880" xr:uid="{00000000-0005-0000-0000-00002C550000}"/>
    <cellStyle name="Accent4 3 8 2" xfId="21881" xr:uid="{00000000-0005-0000-0000-00002D550000}"/>
    <cellStyle name="Accent4 3 8 3" xfId="21882" xr:uid="{00000000-0005-0000-0000-00002E550000}"/>
    <cellStyle name="Accent4 3 8 4" xfId="21883" xr:uid="{00000000-0005-0000-0000-00002F550000}"/>
    <cellStyle name="Accent4 3 8 5" xfId="21884" xr:uid="{00000000-0005-0000-0000-000030550000}"/>
    <cellStyle name="Accent4 3 8 6" xfId="21885" xr:uid="{00000000-0005-0000-0000-000031550000}"/>
    <cellStyle name="Accent4 3 8 7" xfId="21886" xr:uid="{00000000-0005-0000-0000-000032550000}"/>
    <cellStyle name="Accent4 3 8 8" xfId="21887" xr:uid="{00000000-0005-0000-0000-000033550000}"/>
    <cellStyle name="Accent4 3 8 9" xfId="21888" xr:uid="{00000000-0005-0000-0000-000034550000}"/>
    <cellStyle name="Accent4 3 9" xfId="21889" xr:uid="{00000000-0005-0000-0000-000035550000}"/>
    <cellStyle name="Accent4 3 9 10" xfId="21890" xr:uid="{00000000-0005-0000-0000-000036550000}"/>
    <cellStyle name="Accent4 3 9 11" xfId="21891" xr:uid="{00000000-0005-0000-0000-000037550000}"/>
    <cellStyle name="Accent4 3 9 12" xfId="21892" xr:uid="{00000000-0005-0000-0000-000038550000}"/>
    <cellStyle name="Accent4 3 9 13" xfId="21893" xr:uid="{00000000-0005-0000-0000-000039550000}"/>
    <cellStyle name="Accent4 3 9 14" xfId="21894" xr:uid="{00000000-0005-0000-0000-00003A550000}"/>
    <cellStyle name="Accent4 3 9 15" xfId="21895" xr:uid="{00000000-0005-0000-0000-00003B550000}"/>
    <cellStyle name="Accent4 3 9 2" xfId="21896" xr:uid="{00000000-0005-0000-0000-00003C550000}"/>
    <cellStyle name="Accent4 3 9 3" xfId="21897" xr:uid="{00000000-0005-0000-0000-00003D550000}"/>
    <cellStyle name="Accent4 3 9 4" xfId="21898" xr:uid="{00000000-0005-0000-0000-00003E550000}"/>
    <cellStyle name="Accent4 3 9 5" xfId="21899" xr:uid="{00000000-0005-0000-0000-00003F550000}"/>
    <cellStyle name="Accent4 3 9 6" xfId="21900" xr:uid="{00000000-0005-0000-0000-000040550000}"/>
    <cellStyle name="Accent4 3 9 7" xfId="21901" xr:uid="{00000000-0005-0000-0000-000041550000}"/>
    <cellStyle name="Accent4 3 9 8" xfId="21902" xr:uid="{00000000-0005-0000-0000-000042550000}"/>
    <cellStyle name="Accent4 3 9 9" xfId="21903" xr:uid="{00000000-0005-0000-0000-000043550000}"/>
    <cellStyle name="Accent4 30" xfId="21904" xr:uid="{00000000-0005-0000-0000-000044550000}"/>
    <cellStyle name="Accent4 30 10" xfId="21905" xr:uid="{00000000-0005-0000-0000-000045550000}"/>
    <cellStyle name="Accent4 30 11" xfId="21906" xr:uid="{00000000-0005-0000-0000-000046550000}"/>
    <cellStyle name="Accent4 30 12" xfId="21907" xr:uid="{00000000-0005-0000-0000-000047550000}"/>
    <cellStyle name="Accent4 30 13" xfId="21908" xr:uid="{00000000-0005-0000-0000-000048550000}"/>
    <cellStyle name="Accent4 30 14" xfId="21909" xr:uid="{00000000-0005-0000-0000-000049550000}"/>
    <cellStyle name="Accent4 30 15" xfId="21910" xr:uid="{00000000-0005-0000-0000-00004A550000}"/>
    <cellStyle name="Accent4 30 2" xfId="21911" xr:uid="{00000000-0005-0000-0000-00004B550000}"/>
    <cellStyle name="Accent4 30 3" xfId="21912" xr:uid="{00000000-0005-0000-0000-00004C550000}"/>
    <cellStyle name="Accent4 30 4" xfId="21913" xr:uid="{00000000-0005-0000-0000-00004D550000}"/>
    <cellStyle name="Accent4 30 5" xfId="21914" xr:uid="{00000000-0005-0000-0000-00004E550000}"/>
    <cellStyle name="Accent4 30 6" xfId="21915" xr:uid="{00000000-0005-0000-0000-00004F550000}"/>
    <cellStyle name="Accent4 30 7" xfId="21916" xr:uid="{00000000-0005-0000-0000-000050550000}"/>
    <cellStyle name="Accent4 30 8" xfId="21917" xr:uid="{00000000-0005-0000-0000-000051550000}"/>
    <cellStyle name="Accent4 30 9" xfId="21918" xr:uid="{00000000-0005-0000-0000-000052550000}"/>
    <cellStyle name="Accent4 31" xfId="21919" xr:uid="{00000000-0005-0000-0000-000053550000}"/>
    <cellStyle name="Accent4 31 10" xfId="21920" xr:uid="{00000000-0005-0000-0000-000054550000}"/>
    <cellStyle name="Accent4 31 11" xfId="21921" xr:uid="{00000000-0005-0000-0000-000055550000}"/>
    <cellStyle name="Accent4 31 12" xfId="21922" xr:uid="{00000000-0005-0000-0000-000056550000}"/>
    <cellStyle name="Accent4 31 13" xfId="21923" xr:uid="{00000000-0005-0000-0000-000057550000}"/>
    <cellStyle name="Accent4 31 14" xfId="21924" xr:uid="{00000000-0005-0000-0000-000058550000}"/>
    <cellStyle name="Accent4 31 15" xfId="21925" xr:uid="{00000000-0005-0000-0000-000059550000}"/>
    <cellStyle name="Accent4 31 2" xfId="21926" xr:uid="{00000000-0005-0000-0000-00005A550000}"/>
    <cellStyle name="Accent4 31 3" xfId="21927" xr:uid="{00000000-0005-0000-0000-00005B550000}"/>
    <cellStyle name="Accent4 31 4" xfId="21928" xr:uid="{00000000-0005-0000-0000-00005C550000}"/>
    <cellStyle name="Accent4 31 5" xfId="21929" xr:uid="{00000000-0005-0000-0000-00005D550000}"/>
    <cellStyle name="Accent4 31 6" xfId="21930" xr:uid="{00000000-0005-0000-0000-00005E550000}"/>
    <cellStyle name="Accent4 31 7" xfId="21931" xr:uid="{00000000-0005-0000-0000-00005F550000}"/>
    <cellStyle name="Accent4 31 8" xfId="21932" xr:uid="{00000000-0005-0000-0000-000060550000}"/>
    <cellStyle name="Accent4 31 9" xfId="21933" xr:uid="{00000000-0005-0000-0000-000061550000}"/>
    <cellStyle name="Accent4 32" xfId="21934" xr:uid="{00000000-0005-0000-0000-000062550000}"/>
    <cellStyle name="Accent4 32 10" xfId="21935" xr:uid="{00000000-0005-0000-0000-000063550000}"/>
    <cellStyle name="Accent4 32 11" xfId="21936" xr:uid="{00000000-0005-0000-0000-000064550000}"/>
    <cellStyle name="Accent4 32 12" xfId="21937" xr:uid="{00000000-0005-0000-0000-000065550000}"/>
    <cellStyle name="Accent4 32 13" xfId="21938" xr:uid="{00000000-0005-0000-0000-000066550000}"/>
    <cellStyle name="Accent4 32 14" xfId="21939" xr:uid="{00000000-0005-0000-0000-000067550000}"/>
    <cellStyle name="Accent4 32 15" xfId="21940" xr:uid="{00000000-0005-0000-0000-000068550000}"/>
    <cellStyle name="Accent4 32 2" xfId="21941" xr:uid="{00000000-0005-0000-0000-000069550000}"/>
    <cellStyle name="Accent4 32 3" xfId="21942" xr:uid="{00000000-0005-0000-0000-00006A550000}"/>
    <cellStyle name="Accent4 32 4" xfId="21943" xr:uid="{00000000-0005-0000-0000-00006B550000}"/>
    <cellStyle name="Accent4 32 5" xfId="21944" xr:uid="{00000000-0005-0000-0000-00006C550000}"/>
    <cellStyle name="Accent4 32 6" xfId="21945" xr:uid="{00000000-0005-0000-0000-00006D550000}"/>
    <cellStyle name="Accent4 32 7" xfId="21946" xr:uid="{00000000-0005-0000-0000-00006E550000}"/>
    <cellStyle name="Accent4 32 8" xfId="21947" xr:uid="{00000000-0005-0000-0000-00006F550000}"/>
    <cellStyle name="Accent4 32 9" xfId="21948" xr:uid="{00000000-0005-0000-0000-000070550000}"/>
    <cellStyle name="Accent4 33" xfId="21949" xr:uid="{00000000-0005-0000-0000-000071550000}"/>
    <cellStyle name="Accent4 33 10" xfId="21950" xr:uid="{00000000-0005-0000-0000-000072550000}"/>
    <cellStyle name="Accent4 33 11" xfId="21951" xr:uid="{00000000-0005-0000-0000-000073550000}"/>
    <cellStyle name="Accent4 33 12" xfId="21952" xr:uid="{00000000-0005-0000-0000-000074550000}"/>
    <cellStyle name="Accent4 33 13" xfId="21953" xr:uid="{00000000-0005-0000-0000-000075550000}"/>
    <cellStyle name="Accent4 33 14" xfId="21954" xr:uid="{00000000-0005-0000-0000-000076550000}"/>
    <cellStyle name="Accent4 33 15" xfId="21955" xr:uid="{00000000-0005-0000-0000-000077550000}"/>
    <cellStyle name="Accent4 33 2" xfId="21956" xr:uid="{00000000-0005-0000-0000-000078550000}"/>
    <cellStyle name="Accent4 33 3" xfId="21957" xr:uid="{00000000-0005-0000-0000-000079550000}"/>
    <cellStyle name="Accent4 33 4" xfId="21958" xr:uid="{00000000-0005-0000-0000-00007A550000}"/>
    <cellStyle name="Accent4 33 5" xfId="21959" xr:uid="{00000000-0005-0000-0000-00007B550000}"/>
    <cellStyle name="Accent4 33 6" xfId="21960" xr:uid="{00000000-0005-0000-0000-00007C550000}"/>
    <cellStyle name="Accent4 33 7" xfId="21961" xr:uid="{00000000-0005-0000-0000-00007D550000}"/>
    <cellStyle name="Accent4 33 8" xfId="21962" xr:uid="{00000000-0005-0000-0000-00007E550000}"/>
    <cellStyle name="Accent4 33 9" xfId="21963" xr:uid="{00000000-0005-0000-0000-00007F550000}"/>
    <cellStyle name="Accent4 34" xfId="21964" xr:uid="{00000000-0005-0000-0000-000080550000}"/>
    <cellStyle name="Accent4 34 10" xfId="21965" xr:uid="{00000000-0005-0000-0000-000081550000}"/>
    <cellStyle name="Accent4 34 11" xfId="21966" xr:uid="{00000000-0005-0000-0000-000082550000}"/>
    <cellStyle name="Accent4 34 12" xfId="21967" xr:uid="{00000000-0005-0000-0000-000083550000}"/>
    <cellStyle name="Accent4 34 13" xfId="21968" xr:uid="{00000000-0005-0000-0000-000084550000}"/>
    <cellStyle name="Accent4 34 14" xfId="21969" xr:uid="{00000000-0005-0000-0000-000085550000}"/>
    <cellStyle name="Accent4 34 15" xfId="21970" xr:uid="{00000000-0005-0000-0000-000086550000}"/>
    <cellStyle name="Accent4 34 2" xfId="21971" xr:uid="{00000000-0005-0000-0000-000087550000}"/>
    <cellStyle name="Accent4 34 3" xfId="21972" xr:uid="{00000000-0005-0000-0000-000088550000}"/>
    <cellStyle name="Accent4 34 4" xfId="21973" xr:uid="{00000000-0005-0000-0000-000089550000}"/>
    <cellStyle name="Accent4 34 5" xfId="21974" xr:uid="{00000000-0005-0000-0000-00008A550000}"/>
    <cellStyle name="Accent4 34 6" xfId="21975" xr:uid="{00000000-0005-0000-0000-00008B550000}"/>
    <cellStyle name="Accent4 34 7" xfId="21976" xr:uid="{00000000-0005-0000-0000-00008C550000}"/>
    <cellStyle name="Accent4 34 8" xfId="21977" xr:uid="{00000000-0005-0000-0000-00008D550000}"/>
    <cellStyle name="Accent4 34 9" xfId="21978" xr:uid="{00000000-0005-0000-0000-00008E550000}"/>
    <cellStyle name="Accent4 35" xfId="21979" xr:uid="{00000000-0005-0000-0000-00008F550000}"/>
    <cellStyle name="Accent4 35 10" xfId="21980" xr:uid="{00000000-0005-0000-0000-000090550000}"/>
    <cellStyle name="Accent4 35 11" xfId="21981" xr:uid="{00000000-0005-0000-0000-000091550000}"/>
    <cellStyle name="Accent4 35 12" xfId="21982" xr:uid="{00000000-0005-0000-0000-000092550000}"/>
    <cellStyle name="Accent4 35 13" xfId="21983" xr:uid="{00000000-0005-0000-0000-000093550000}"/>
    <cellStyle name="Accent4 35 14" xfId="21984" xr:uid="{00000000-0005-0000-0000-000094550000}"/>
    <cellStyle name="Accent4 35 15" xfId="21985" xr:uid="{00000000-0005-0000-0000-000095550000}"/>
    <cellStyle name="Accent4 35 2" xfId="21986" xr:uid="{00000000-0005-0000-0000-000096550000}"/>
    <cellStyle name="Accent4 35 3" xfId="21987" xr:uid="{00000000-0005-0000-0000-000097550000}"/>
    <cellStyle name="Accent4 35 4" xfId="21988" xr:uid="{00000000-0005-0000-0000-000098550000}"/>
    <cellStyle name="Accent4 35 5" xfId="21989" xr:uid="{00000000-0005-0000-0000-000099550000}"/>
    <cellStyle name="Accent4 35 6" xfId="21990" xr:uid="{00000000-0005-0000-0000-00009A550000}"/>
    <cellStyle name="Accent4 35 7" xfId="21991" xr:uid="{00000000-0005-0000-0000-00009B550000}"/>
    <cellStyle name="Accent4 35 8" xfId="21992" xr:uid="{00000000-0005-0000-0000-00009C550000}"/>
    <cellStyle name="Accent4 35 9" xfId="21993" xr:uid="{00000000-0005-0000-0000-00009D550000}"/>
    <cellStyle name="Accent4 36" xfId="21994" xr:uid="{00000000-0005-0000-0000-00009E550000}"/>
    <cellStyle name="Accent4 36 10" xfId="21995" xr:uid="{00000000-0005-0000-0000-00009F550000}"/>
    <cellStyle name="Accent4 36 11" xfId="21996" xr:uid="{00000000-0005-0000-0000-0000A0550000}"/>
    <cellStyle name="Accent4 36 12" xfId="21997" xr:uid="{00000000-0005-0000-0000-0000A1550000}"/>
    <cellStyle name="Accent4 36 13" xfId="21998" xr:uid="{00000000-0005-0000-0000-0000A2550000}"/>
    <cellStyle name="Accent4 36 14" xfId="21999" xr:uid="{00000000-0005-0000-0000-0000A3550000}"/>
    <cellStyle name="Accent4 36 15" xfId="22000" xr:uid="{00000000-0005-0000-0000-0000A4550000}"/>
    <cellStyle name="Accent4 36 2" xfId="22001" xr:uid="{00000000-0005-0000-0000-0000A5550000}"/>
    <cellStyle name="Accent4 36 3" xfId="22002" xr:uid="{00000000-0005-0000-0000-0000A6550000}"/>
    <cellStyle name="Accent4 36 4" xfId="22003" xr:uid="{00000000-0005-0000-0000-0000A7550000}"/>
    <cellStyle name="Accent4 36 5" xfId="22004" xr:uid="{00000000-0005-0000-0000-0000A8550000}"/>
    <cellStyle name="Accent4 36 6" xfId="22005" xr:uid="{00000000-0005-0000-0000-0000A9550000}"/>
    <cellStyle name="Accent4 36 7" xfId="22006" xr:uid="{00000000-0005-0000-0000-0000AA550000}"/>
    <cellStyle name="Accent4 36 8" xfId="22007" xr:uid="{00000000-0005-0000-0000-0000AB550000}"/>
    <cellStyle name="Accent4 36 9" xfId="22008" xr:uid="{00000000-0005-0000-0000-0000AC550000}"/>
    <cellStyle name="Accent4 37" xfId="22009" xr:uid="{00000000-0005-0000-0000-0000AD550000}"/>
    <cellStyle name="Accent4 37 10" xfId="22010" xr:uid="{00000000-0005-0000-0000-0000AE550000}"/>
    <cellStyle name="Accent4 37 11" xfId="22011" xr:uid="{00000000-0005-0000-0000-0000AF550000}"/>
    <cellStyle name="Accent4 37 12" xfId="22012" xr:uid="{00000000-0005-0000-0000-0000B0550000}"/>
    <cellStyle name="Accent4 37 13" xfId="22013" xr:uid="{00000000-0005-0000-0000-0000B1550000}"/>
    <cellStyle name="Accent4 37 14" xfId="22014" xr:uid="{00000000-0005-0000-0000-0000B2550000}"/>
    <cellStyle name="Accent4 37 15" xfId="22015" xr:uid="{00000000-0005-0000-0000-0000B3550000}"/>
    <cellStyle name="Accent4 37 2" xfId="22016" xr:uid="{00000000-0005-0000-0000-0000B4550000}"/>
    <cellStyle name="Accent4 37 3" xfId="22017" xr:uid="{00000000-0005-0000-0000-0000B5550000}"/>
    <cellStyle name="Accent4 37 4" xfId="22018" xr:uid="{00000000-0005-0000-0000-0000B6550000}"/>
    <cellStyle name="Accent4 37 5" xfId="22019" xr:uid="{00000000-0005-0000-0000-0000B7550000}"/>
    <cellStyle name="Accent4 37 6" xfId="22020" xr:uid="{00000000-0005-0000-0000-0000B8550000}"/>
    <cellStyle name="Accent4 37 7" xfId="22021" xr:uid="{00000000-0005-0000-0000-0000B9550000}"/>
    <cellStyle name="Accent4 37 8" xfId="22022" xr:uid="{00000000-0005-0000-0000-0000BA550000}"/>
    <cellStyle name="Accent4 37 9" xfId="22023" xr:uid="{00000000-0005-0000-0000-0000BB550000}"/>
    <cellStyle name="Accent4 38" xfId="22024" xr:uid="{00000000-0005-0000-0000-0000BC550000}"/>
    <cellStyle name="Accent4 38 10" xfId="22025" xr:uid="{00000000-0005-0000-0000-0000BD550000}"/>
    <cellStyle name="Accent4 38 11" xfId="22026" xr:uid="{00000000-0005-0000-0000-0000BE550000}"/>
    <cellStyle name="Accent4 38 12" xfId="22027" xr:uid="{00000000-0005-0000-0000-0000BF550000}"/>
    <cellStyle name="Accent4 38 13" xfId="22028" xr:uid="{00000000-0005-0000-0000-0000C0550000}"/>
    <cellStyle name="Accent4 38 14" xfId="22029" xr:uid="{00000000-0005-0000-0000-0000C1550000}"/>
    <cellStyle name="Accent4 38 15" xfId="22030" xr:uid="{00000000-0005-0000-0000-0000C2550000}"/>
    <cellStyle name="Accent4 38 2" xfId="22031" xr:uid="{00000000-0005-0000-0000-0000C3550000}"/>
    <cellStyle name="Accent4 38 3" xfId="22032" xr:uid="{00000000-0005-0000-0000-0000C4550000}"/>
    <cellStyle name="Accent4 38 4" xfId="22033" xr:uid="{00000000-0005-0000-0000-0000C5550000}"/>
    <cellStyle name="Accent4 38 5" xfId="22034" xr:uid="{00000000-0005-0000-0000-0000C6550000}"/>
    <cellStyle name="Accent4 38 6" xfId="22035" xr:uid="{00000000-0005-0000-0000-0000C7550000}"/>
    <cellStyle name="Accent4 38 7" xfId="22036" xr:uid="{00000000-0005-0000-0000-0000C8550000}"/>
    <cellStyle name="Accent4 38 8" xfId="22037" xr:uid="{00000000-0005-0000-0000-0000C9550000}"/>
    <cellStyle name="Accent4 38 9" xfId="22038" xr:uid="{00000000-0005-0000-0000-0000CA550000}"/>
    <cellStyle name="Accent4 39" xfId="22039" xr:uid="{00000000-0005-0000-0000-0000CB550000}"/>
    <cellStyle name="Accent4 39 10" xfId="22040" xr:uid="{00000000-0005-0000-0000-0000CC550000}"/>
    <cellStyle name="Accent4 39 11" xfId="22041" xr:uid="{00000000-0005-0000-0000-0000CD550000}"/>
    <cellStyle name="Accent4 39 12" xfId="22042" xr:uid="{00000000-0005-0000-0000-0000CE550000}"/>
    <cellStyle name="Accent4 39 13" xfId="22043" xr:uid="{00000000-0005-0000-0000-0000CF550000}"/>
    <cellStyle name="Accent4 39 14" xfId="22044" xr:uid="{00000000-0005-0000-0000-0000D0550000}"/>
    <cellStyle name="Accent4 39 15" xfId="22045" xr:uid="{00000000-0005-0000-0000-0000D1550000}"/>
    <cellStyle name="Accent4 39 2" xfId="22046" xr:uid="{00000000-0005-0000-0000-0000D2550000}"/>
    <cellStyle name="Accent4 39 3" xfId="22047" xr:uid="{00000000-0005-0000-0000-0000D3550000}"/>
    <cellStyle name="Accent4 39 4" xfId="22048" xr:uid="{00000000-0005-0000-0000-0000D4550000}"/>
    <cellStyle name="Accent4 39 5" xfId="22049" xr:uid="{00000000-0005-0000-0000-0000D5550000}"/>
    <cellStyle name="Accent4 39 6" xfId="22050" xr:uid="{00000000-0005-0000-0000-0000D6550000}"/>
    <cellStyle name="Accent4 39 7" xfId="22051" xr:uid="{00000000-0005-0000-0000-0000D7550000}"/>
    <cellStyle name="Accent4 39 8" xfId="22052" xr:uid="{00000000-0005-0000-0000-0000D8550000}"/>
    <cellStyle name="Accent4 39 9" xfId="22053" xr:uid="{00000000-0005-0000-0000-0000D9550000}"/>
    <cellStyle name="Accent4 4" xfId="22054" xr:uid="{00000000-0005-0000-0000-0000DA550000}"/>
    <cellStyle name="Accent4 4 2" xfId="22055" xr:uid="{00000000-0005-0000-0000-0000DB550000}"/>
    <cellStyle name="Accent4 4 2 2" xfId="22056" xr:uid="{00000000-0005-0000-0000-0000DC550000}"/>
    <cellStyle name="Accent4 4 3" xfId="22057" xr:uid="{00000000-0005-0000-0000-0000DD550000}"/>
    <cellStyle name="Accent4 4 3 2" xfId="22058" xr:uid="{00000000-0005-0000-0000-0000DE550000}"/>
    <cellStyle name="Accent4 4 4" xfId="22059" xr:uid="{00000000-0005-0000-0000-0000DF550000}"/>
    <cellStyle name="Accent4 4 4 2" xfId="22060" xr:uid="{00000000-0005-0000-0000-0000E0550000}"/>
    <cellStyle name="Accent4 4 5" xfId="22061" xr:uid="{00000000-0005-0000-0000-0000E1550000}"/>
    <cellStyle name="Accent4 4 5 2" xfId="22062" xr:uid="{00000000-0005-0000-0000-0000E2550000}"/>
    <cellStyle name="Accent4 4 6" xfId="22063" xr:uid="{00000000-0005-0000-0000-0000E3550000}"/>
    <cellStyle name="Accent4 4 6 2" xfId="22064" xr:uid="{00000000-0005-0000-0000-0000E4550000}"/>
    <cellStyle name="Accent4 4 7" xfId="22065" xr:uid="{00000000-0005-0000-0000-0000E5550000}"/>
    <cellStyle name="Accent4 40" xfId="22066" xr:uid="{00000000-0005-0000-0000-0000E6550000}"/>
    <cellStyle name="Accent4 41" xfId="22067" xr:uid="{00000000-0005-0000-0000-0000E7550000}"/>
    <cellStyle name="Accent4 42" xfId="22068" xr:uid="{00000000-0005-0000-0000-0000E8550000}"/>
    <cellStyle name="Accent4 43" xfId="22069" xr:uid="{00000000-0005-0000-0000-0000E9550000}"/>
    <cellStyle name="Accent4 44" xfId="22070" xr:uid="{00000000-0005-0000-0000-0000EA550000}"/>
    <cellStyle name="Accent4 45" xfId="22071" xr:uid="{00000000-0005-0000-0000-0000EB550000}"/>
    <cellStyle name="Accent4 46" xfId="22072" xr:uid="{00000000-0005-0000-0000-0000EC550000}"/>
    <cellStyle name="Accent4 47" xfId="22073" xr:uid="{00000000-0005-0000-0000-0000ED550000}"/>
    <cellStyle name="Accent4 48" xfId="22074" xr:uid="{00000000-0005-0000-0000-0000EE550000}"/>
    <cellStyle name="Accent4 49" xfId="22075" xr:uid="{00000000-0005-0000-0000-0000EF550000}"/>
    <cellStyle name="Accent4 5" xfId="22076" xr:uid="{00000000-0005-0000-0000-0000F0550000}"/>
    <cellStyle name="Accent4 5 2" xfId="22077" xr:uid="{00000000-0005-0000-0000-0000F1550000}"/>
    <cellStyle name="Accent4 5 2 2" xfId="22078" xr:uid="{00000000-0005-0000-0000-0000F2550000}"/>
    <cellStyle name="Accent4 5 2 3" xfId="22079" xr:uid="{00000000-0005-0000-0000-0000F3550000}"/>
    <cellStyle name="Accent4 5 2 4" xfId="22080" xr:uid="{00000000-0005-0000-0000-0000F4550000}"/>
    <cellStyle name="Accent4 5 3" xfId="22081" xr:uid="{00000000-0005-0000-0000-0000F5550000}"/>
    <cellStyle name="Accent4 5 3 2" xfId="22082" xr:uid="{00000000-0005-0000-0000-0000F6550000}"/>
    <cellStyle name="Accent4 5 3 3" xfId="22083" xr:uid="{00000000-0005-0000-0000-0000F7550000}"/>
    <cellStyle name="Accent4 5 4" xfId="22084" xr:uid="{00000000-0005-0000-0000-0000F8550000}"/>
    <cellStyle name="Accent4 50" xfId="22085" xr:uid="{00000000-0005-0000-0000-0000F9550000}"/>
    <cellStyle name="Accent4 51" xfId="22086" xr:uid="{00000000-0005-0000-0000-0000FA550000}"/>
    <cellStyle name="Accent4 52" xfId="22087" xr:uid="{00000000-0005-0000-0000-0000FB550000}"/>
    <cellStyle name="Accent4 53" xfId="22088" xr:uid="{00000000-0005-0000-0000-0000FC550000}"/>
    <cellStyle name="Accent4 54" xfId="22089" xr:uid="{00000000-0005-0000-0000-0000FD550000}"/>
    <cellStyle name="Accent4 55" xfId="22090" xr:uid="{00000000-0005-0000-0000-0000FE550000}"/>
    <cellStyle name="Accent4 56" xfId="22091" xr:uid="{00000000-0005-0000-0000-0000FF550000}"/>
    <cellStyle name="Accent4 57" xfId="22092" xr:uid="{00000000-0005-0000-0000-000000560000}"/>
    <cellStyle name="Accent4 58" xfId="22093" xr:uid="{00000000-0005-0000-0000-000001560000}"/>
    <cellStyle name="Accent4 59" xfId="22094" xr:uid="{00000000-0005-0000-0000-000002560000}"/>
    <cellStyle name="Accent4 6" xfId="22095" xr:uid="{00000000-0005-0000-0000-000003560000}"/>
    <cellStyle name="Accent4 6 2" xfId="22096" xr:uid="{00000000-0005-0000-0000-000004560000}"/>
    <cellStyle name="Accent4 60" xfId="22097" xr:uid="{00000000-0005-0000-0000-000005560000}"/>
    <cellStyle name="Accent4 61" xfId="22098" xr:uid="{00000000-0005-0000-0000-000006560000}"/>
    <cellStyle name="Accent4 62" xfId="22099" xr:uid="{00000000-0005-0000-0000-000007560000}"/>
    <cellStyle name="Accent4 63" xfId="22100" xr:uid="{00000000-0005-0000-0000-000008560000}"/>
    <cellStyle name="Accent4 64" xfId="22101" xr:uid="{00000000-0005-0000-0000-000009560000}"/>
    <cellStyle name="Accent4 65" xfId="22102" xr:uid="{00000000-0005-0000-0000-00000A560000}"/>
    <cellStyle name="Accent4 66" xfId="22103" xr:uid="{00000000-0005-0000-0000-00000B560000}"/>
    <cellStyle name="Accent4 67" xfId="22104" xr:uid="{00000000-0005-0000-0000-00000C560000}"/>
    <cellStyle name="Accent4 68" xfId="22105" xr:uid="{00000000-0005-0000-0000-00000D560000}"/>
    <cellStyle name="Accent4 69" xfId="22106" xr:uid="{00000000-0005-0000-0000-00000E560000}"/>
    <cellStyle name="Accent4 7" xfId="22107" xr:uid="{00000000-0005-0000-0000-00000F560000}"/>
    <cellStyle name="Accent4 7 2" xfId="22108" xr:uid="{00000000-0005-0000-0000-000010560000}"/>
    <cellStyle name="Accent4 70" xfId="22109" xr:uid="{00000000-0005-0000-0000-000011560000}"/>
    <cellStyle name="Accent4 71" xfId="22110" xr:uid="{00000000-0005-0000-0000-000012560000}"/>
    <cellStyle name="Accent4 72" xfId="22111" xr:uid="{00000000-0005-0000-0000-000013560000}"/>
    <cellStyle name="Accent4 73" xfId="22112" xr:uid="{00000000-0005-0000-0000-000014560000}"/>
    <cellStyle name="Accent4 74" xfId="22113" xr:uid="{00000000-0005-0000-0000-000015560000}"/>
    <cellStyle name="Accent4 75" xfId="22114" xr:uid="{00000000-0005-0000-0000-000016560000}"/>
    <cellStyle name="Accent4 76" xfId="22115" xr:uid="{00000000-0005-0000-0000-000017560000}"/>
    <cellStyle name="Accent4 77" xfId="22116" xr:uid="{00000000-0005-0000-0000-000018560000}"/>
    <cellStyle name="Accent4 78" xfId="22117" xr:uid="{00000000-0005-0000-0000-000019560000}"/>
    <cellStyle name="Accent4 79" xfId="22118" xr:uid="{00000000-0005-0000-0000-00001A560000}"/>
    <cellStyle name="Accent4 79 2" xfId="22119" xr:uid="{00000000-0005-0000-0000-00001B560000}"/>
    <cellStyle name="Accent4 8" xfId="22120" xr:uid="{00000000-0005-0000-0000-00001C560000}"/>
    <cellStyle name="Accent4 8 2" xfId="22121" xr:uid="{00000000-0005-0000-0000-00001D560000}"/>
    <cellStyle name="Accent4 80" xfId="22122" xr:uid="{00000000-0005-0000-0000-00001E560000}"/>
    <cellStyle name="Accent4 80 2" xfId="22123" xr:uid="{00000000-0005-0000-0000-00001F560000}"/>
    <cellStyle name="Accent4 81" xfId="22124" xr:uid="{00000000-0005-0000-0000-000020560000}"/>
    <cellStyle name="Accent4 81 2" xfId="22125" xr:uid="{00000000-0005-0000-0000-000021560000}"/>
    <cellStyle name="Accent4 82" xfId="22126" xr:uid="{00000000-0005-0000-0000-000022560000}"/>
    <cellStyle name="Accent4 82 2" xfId="22127" xr:uid="{00000000-0005-0000-0000-000023560000}"/>
    <cellStyle name="Accent4 83" xfId="22128" xr:uid="{00000000-0005-0000-0000-000024560000}"/>
    <cellStyle name="Accent4 83 2" xfId="22129" xr:uid="{00000000-0005-0000-0000-000025560000}"/>
    <cellStyle name="Accent4 84" xfId="22130" xr:uid="{00000000-0005-0000-0000-000026560000}"/>
    <cellStyle name="Accent4 84 2" xfId="22131" xr:uid="{00000000-0005-0000-0000-000027560000}"/>
    <cellStyle name="Accent4 85" xfId="22132" xr:uid="{00000000-0005-0000-0000-000028560000}"/>
    <cellStyle name="Accent4 85 2" xfId="22133" xr:uid="{00000000-0005-0000-0000-000029560000}"/>
    <cellStyle name="Accent4 86" xfId="22134" xr:uid="{00000000-0005-0000-0000-00002A560000}"/>
    <cellStyle name="Accent4 86 2" xfId="22135" xr:uid="{00000000-0005-0000-0000-00002B560000}"/>
    <cellStyle name="Accent4 87" xfId="22136" xr:uid="{00000000-0005-0000-0000-00002C560000}"/>
    <cellStyle name="Accent4 87 2" xfId="22137" xr:uid="{00000000-0005-0000-0000-00002D560000}"/>
    <cellStyle name="Accent4 88" xfId="22138" xr:uid="{00000000-0005-0000-0000-00002E560000}"/>
    <cellStyle name="Accent4 88 2" xfId="22139" xr:uid="{00000000-0005-0000-0000-00002F560000}"/>
    <cellStyle name="Accent4 89" xfId="22140" xr:uid="{00000000-0005-0000-0000-000030560000}"/>
    <cellStyle name="Accent4 89 2" xfId="22141" xr:uid="{00000000-0005-0000-0000-000031560000}"/>
    <cellStyle name="Accent4 9" xfId="22142" xr:uid="{00000000-0005-0000-0000-000032560000}"/>
    <cellStyle name="Accent4 9 2" xfId="22143" xr:uid="{00000000-0005-0000-0000-000033560000}"/>
    <cellStyle name="Accent4 90" xfId="22144" xr:uid="{00000000-0005-0000-0000-000034560000}"/>
    <cellStyle name="Accent4 91" xfId="22145" xr:uid="{00000000-0005-0000-0000-000035560000}"/>
    <cellStyle name="Accent4 92" xfId="22146" xr:uid="{00000000-0005-0000-0000-000036560000}"/>
    <cellStyle name="Accent4 93" xfId="22147" xr:uid="{00000000-0005-0000-0000-000037560000}"/>
    <cellStyle name="Accent4 94" xfId="22148" xr:uid="{00000000-0005-0000-0000-000038560000}"/>
    <cellStyle name="Accent4 95" xfId="22149" xr:uid="{00000000-0005-0000-0000-000039560000}"/>
    <cellStyle name="Accent4 96" xfId="22150" xr:uid="{00000000-0005-0000-0000-00003A560000}"/>
    <cellStyle name="Accent4 97" xfId="22151" xr:uid="{00000000-0005-0000-0000-00003B560000}"/>
    <cellStyle name="Accent4 98" xfId="22152" xr:uid="{00000000-0005-0000-0000-00003C560000}"/>
    <cellStyle name="Accent4 99" xfId="22153" xr:uid="{00000000-0005-0000-0000-00003D560000}"/>
    <cellStyle name="Accent5" xfId="34" builtinId="45" customBuiltin="1"/>
    <cellStyle name="Accent5 10" xfId="22154" xr:uid="{00000000-0005-0000-0000-00003F560000}"/>
    <cellStyle name="Accent5 10 2" xfId="22155" xr:uid="{00000000-0005-0000-0000-000040560000}"/>
    <cellStyle name="Accent5 100" xfId="22156" xr:uid="{00000000-0005-0000-0000-000041560000}"/>
    <cellStyle name="Accent5 101" xfId="22157" xr:uid="{00000000-0005-0000-0000-000042560000}"/>
    <cellStyle name="Accent5 102" xfId="22158" xr:uid="{00000000-0005-0000-0000-000043560000}"/>
    <cellStyle name="Accent5 103" xfId="22159" xr:uid="{00000000-0005-0000-0000-000044560000}"/>
    <cellStyle name="Accent5 104" xfId="22160" xr:uid="{00000000-0005-0000-0000-000045560000}"/>
    <cellStyle name="Accent5 105" xfId="22161" xr:uid="{00000000-0005-0000-0000-000046560000}"/>
    <cellStyle name="Accent5 106" xfId="22162" xr:uid="{00000000-0005-0000-0000-000047560000}"/>
    <cellStyle name="Accent5 107" xfId="22163" xr:uid="{00000000-0005-0000-0000-000048560000}"/>
    <cellStyle name="Accent5 108" xfId="22164" xr:uid="{00000000-0005-0000-0000-000049560000}"/>
    <cellStyle name="Accent5 109" xfId="22165" xr:uid="{00000000-0005-0000-0000-00004A560000}"/>
    <cellStyle name="Accent5 11" xfId="22166" xr:uid="{00000000-0005-0000-0000-00004B560000}"/>
    <cellStyle name="Accent5 11 2" xfId="22167" xr:uid="{00000000-0005-0000-0000-00004C560000}"/>
    <cellStyle name="Accent5 110" xfId="22168" xr:uid="{00000000-0005-0000-0000-00004D560000}"/>
    <cellStyle name="Accent5 111" xfId="22169" xr:uid="{00000000-0005-0000-0000-00004E560000}"/>
    <cellStyle name="Accent5 112" xfId="22170" xr:uid="{00000000-0005-0000-0000-00004F560000}"/>
    <cellStyle name="Accent5 113" xfId="22171" xr:uid="{00000000-0005-0000-0000-000050560000}"/>
    <cellStyle name="Accent5 114" xfId="22172" xr:uid="{00000000-0005-0000-0000-000051560000}"/>
    <cellStyle name="Accent5 115" xfId="22173" xr:uid="{00000000-0005-0000-0000-000052560000}"/>
    <cellStyle name="Accent5 116" xfId="22174" xr:uid="{00000000-0005-0000-0000-000053560000}"/>
    <cellStyle name="Accent5 117" xfId="22175" xr:uid="{00000000-0005-0000-0000-000054560000}"/>
    <cellStyle name="Accent5 118" xfId="22176" xr:uid="{00000000-0005-0000-0000-000055560000}"/>
    <cellStyle name="Accent5 119" xfId="22177" xr:uid="{00000000-0005-0000-0000-000056560000}"/>
    <cellStyle name="Accent5 12" xfId="22178" xr:uid="{00000000-0005-0000-0000-000057560000}"/>
    <cellStyle name="Accent5 12 2" xfId="22179" xr:uid="{00000000-0005-0000-0000-000058560000}"/>
    <cellStyle name="Accent5 120" xfId="22180" xr:uid="{00000000-0005-0000-0000-000059560000}"/>
    <cellStyle name="Accent5 121" xfId="22181" xr:uid="{00000000-0005-0000-0000-00005A560000}"/>
    <cellStyle name="Accent5 122" xfId="22182" xr:uid="{00000000-0005-0000-0000-00005B560000}"/>
    <cellStyle name="Accent5 123" xfId="22183" xr:uid="{00000000-0005-0000-0000-00005C560000}"/>
    <cellStyle name="Accent5 124" xfId="22184" xr:uid="{00000000-0005-0000-0000-00005D560000}"/>
    <cellStyle name="Accent5 125" xfId="22185" xr:uid="{00000000-0005-0000-0000-00005E560000}"/>
    <cellStyle name="Accent5 126" xfId="22186" xr:uid="{00000000-0005-0000-0000-00005F560000}"/>
    <cellStyle name="Accent5 127" xfId="22187" xr:uid="{00000000-0005-0000-0000-000060560000}"/>
    <cellStyle name="Accent5 128" xfId="22188" xr:uid="{00000000-0005-0000-0000-000061560000}"/>
    <cellStyle name="Accent5 129" xfId="22189" xr:uid="{00000000-0005-0000-0000-000062560000}"/>
    <cellStyle name="Accent5 13" xfId="22190" xr:uid="{00000000-0005-0000-0000-000063560000}"/>
    <cellStyle name="Accent5 13 2" xfId="22191" xr:uid="{00000000-0005-0000-0000-000064560000}"/>
    <cellStyle name="Accent5 130" xfId="22192" xr:uid="{00000000-0005-0000-0000-000065560000}"/>
    <cellStyle name="Accent5 131" xfId="22193" xr:uid="{00000000-0005-0000-0000-000066560000}"/>
    <cellStyle name="Accent5 132" xfId="22194" xr:uid="{00000000-0005-0000-0000-000067560000}"/>
    <cellStyle name="Accent5 133" xfId="22195" xr:uid="{00000000-0005-0000-0000-000068560000}"/>
    <cellStyle name="Accent5 134" xfId="22196" xr:uid="{00000000-0005-0000-0000-000069560000}"/>
    <cellStyle name="Accent5 135" xfId="22197" xr:uid="{00000000-0005-0000-0000-00006A560000}"/>
    <cellStyle name="Accent5 136" xfId="22198" xr:uid="{00000000-0005-0000-0000-00006B560000}"/>
    <cellStyle name="Accent5 137" xfId="22199" xr:uid="{00000000-0005-0000-0000-00006C560000}"/>
    <cellStyle name="Accent5 138" xfId="22200" xr:uid="{00000000-0005-0000-0000-00006D560000}"/>
    <cellStyle name="Accent5 139" xfId="22201" xr:uid="{00000000-0005-0000-0000-00006E560000}"/>
    <cellStyle name="Accent5 14" xfId="22202" xr:uid="{00000000-0005-0000-0000-00006F560000}"/>
    <cellStyle name="Accent5 14 2" xfId="22203" xr:uid="{00000000-0005-0000-0000-000070560000}"/>
    <cellStyle name="Accent5 140" xfId="22204" xr:uid="{00000000-0005-0000-0000-000071560000}"/>
    <cellStyle name="Accent5 141" xfId="22205" xr:uid="{00000000-0005-0000-0000-000072560000}"/>
    <cellStyle name="Accent5 142" xfId="22206" xr:uid="{00000000-0005-0000-0000-000073560000}"/>
    <cellStyle name="Accent5 143" xfId="22207" xr:uid="{00000000-0005-0000-0000-000074560000}"/>
    <cellStyle name="Accent5 144" xfId="22208" xr:uid="{00000000-0005-0000-0000-000075560000}"/>
    <cellStyle name="Accent5 145" xfId="22209" xr:uid="{00000000-0005-0000-0000-000076560000}"/>
    <cellStyle name="Accent5 146" xfId="22210" xr:uid="{00000000-0005-0000-0000-000077560000}"/>
    <cellStyle name="Accent5 147" xfId="22211" xr:uid="{00000000-0005-0000-0000-000078560000}"/>
    <cellStyle name="Accent5 148" xfId="22212" xr:uid="{00000000-0005-0000-0000-000079560000}"/>
    <cellStyle name="Accent5 149" xfId="22213" xr:uid="{00000000-0005-0000-0000-00007A560000}"/>
    <cellStyle name="Accent5 15" xfId="22214" xr:uid="{00000000-0005-0000-0000-00007B560000}"/>
    <cellStyle name="Accent5 15 2" xfId="22215" xr:uid="{00000000-0005-0000-0000-00007C560000}"/>
    <cellStyle name="Accent5 150" xfId="22216" xr:uid="{00000000-0005-0000-0000-00007D560000}"/>
    <cellStyle name="Accent5 151" xfId="22217" xr:uid="{00000000-0005-0000-0000-00007E560000}"/>
    <cellStyle name="Accent5 152" xfId="22218" xr:uid="{00000000-0005-0000-0000-00007F560000}"/>
    <cellStyle name="Accent5 153" xfId="22219" xr:uid="{00000000-0005-0000-0000-000080560000}"/>
    <cellStyle name="Accent5 154" xfId="22220" xr:uid="{00000000-0005-0000-0000-000081560000}"/>
    <cellStyle name="Accent5 155" xfId="22221" xr:uid="{00000000-0005-0000-0000-000082560000}"/>
    <cellStyle name="Accent5 156" xfId="22222" xr:uid="{00000000-0005-0000-0000-000083560000}"/>
    <cellStyle name="Accent5 157" xfId="22223" xr:uid="{00000000-0005-0000-0000-000084560000}"/>
    <cellStyle name="Accent5 158" xfId="22224" xr:uid="{00000000-0005-0000-0000-000085560000}"/>
    <cellStyle name="Accent5 159" xfId="22225" xr:uid="{00000000-0005-0000-0000-000086560000}"/>
    <cellStyle name="Accent5 16" xfId="22226" xr:uid="{00000000-0005-0000-0000-000087560000}"/>
    <cellStyle name="Accent5 160" xfId="22227" xr:uid="{00000000-0005-0000-0000-000088560000}"/>
    <cellStyle name="Accent5 161" xfId="22228" xr:uid="{00000000-0005-0000-0000-000089560000}"/>
    <cellStyle name="Accent5 162" xfId="22229" xr:uid="{00000000-0005-0000-0000-00008A560000}"/>
    <cellStyle name="Accent5 163" xfId="22230" xr:uid="{00000000-0005-0000-0000-00008B560000}"/>
    <cellStyle name="Accent5 164" xfId="22231" xr:uid="{00000000-0005-0000-0000-00008C560000}"/>
    <cellStyle name="Accent5 165" xfId="22232" xr:uid="{00000000-0005-0000-0000-00008D560000}"/>
    <cellStyle name="Accent5 166" xfId="22233" xr:uid="{00000000-0005-0000-0000-00008E560000}"/>
    <cellStyle name="Accent5 167" xfId="22234" xr:uid="{00000000-0005-0000-0000-00008F560000}"/>
    <cellStyle name="Accent5 17" xfId="22235" xr:uid="{00000000-0005-0000-0000-000090560000}"/>
    <cellStyle name="Accent5 18" xfId="22236" xr:uid="{00000000-0005-0000-0000-000091560000}"/>
    <cellStyle name="Accent5 19" xfId="22237" xr:uid="{00000000-0005-0000-0000-000092560000}"/>
    <cellStyle name="Accent5 2" xfId="22238" xr:uid="{00000000-0005-0000-0000-000093560000}"/>
    <cellStyle name="Accent5 2 10" xfId="22239" xr:uid="{00000000-0005-0000-0000-000094560000}"/>
    <cellStyle name="Accent5 2 11" xfId="22240" xr:uid="{00000000-0005-0000-0000-000095560000}"/>
    <cellStyle name="Accent5 2 12" xfId="22241" xr:uid="{00000000-0005-0000-0000-000096560000}"/>
    <cellStyle name="Accent5 2 13" xfId="22242" xr:uid="{00000000-0005-0000-0000-000097560000}"/>
    <cellStyle name="Accent5 2 14" xfId="22243" xr:uid="{00000000-0005-0000-0000-000098560000}"/>
    <cellStyle name="Accent5 2 15" xfId="22244" xr:uid="{00000000-0005-0000-0000-000099560000}"/>
    <cellStyle name="Accent5 2 16" xfId="22245" xr:uid="{00000000-0005-0000-0000-00009A560000}"/>
    <cellStyle name="Accent5 2 17" xfId="22246" xr:uid="{00000000-0005-0000-0000-00009B560000}"/>
    <cellStyle name="Accent5 2 18" xfId="22247" xr:uid="{00000000-0005-0000-0000-00009C560000}"/>
    <cellStyle name="Accent5 2 19" xfId="22248" xr:uid="{00000000-0005-0000-0000-00009D560000}"/>
    <cellStyle name="Accent5 2 2" xfId="22249" xr:uid="{00000000-0005-0000-0000-00009E560000}"/>
    <cellStyle name="Accent5 2 20" xfId="22250" xr:uid="{00000000-0005-0000-0000-00009F560000}"/>
    <cellStyle name="Accent5 2 21" xfId="22251" xr:uid="{00000000-0005-0000-0000-0000A0560000}"/>
    <cellStyle name="Accent5 2 22" xfId="22252" xr:uid="{00000000-0005-0000-0000-0000A1560000}"/>
    <cellStyle name="Accent5 2 23" xfId="22253" xr:uid="{00000000-0005-0000-0000-0000A2560000}"/>
    <cellStyle name="Accent5 2 24" xfId="22254" xr:uid="{00000000-0005-0000-0000-0000A3560000}"/>
    <cellStyle name="Accent5 2 25" xfId="22255" xr:uid="{00000000-0005-0000-0000-0000A4560000}"/>
    <cellStyle name="Accent5 2 26" xfId="22256" xr:uid="{00000000-0005-0000-0000-0000A5560000}"/>
    <cellStyle name="Accent5 2 27" xfId="22257" xr:uid="{00000000-0005-0000-0000-0000A6560000}"/>
    <cellStyle name="Accent5 2 28" xfId="22258" xr:uid="{00000000-0005-0000-0000-0000A7560000}"/>
    <cellStyle name="Accent5 2 29" xfId="22259" xr:uid="{00000000-0005-0000-0000-0000A8560000}"/>
    <cellStyle name="Accent5 2 3" xfId="22260" xr:uid="{00000000-0005-0000-0000-0000A9560000}"/>
    <cellStyle name="Accent5 2 30" xfId="22261" xr:uid="{00000000-0005-0000-0000-0000AA560000}"/>
    <cellStyle name="Accent5 2 31" xfId="22262" xr:uid="{00000000-0005-0000-0000-0000AB560000}"/>
    <cellStyle name="Accent5 2 32" xfId="22263" xr:uid="{00000000-0005-0000-0000-0000AC560000}"/>
    <cellStyle name="Accent5 2 33" xfId="22264" xr:uid="{00000000-0005-0000-0000-0000AD560000}"/>
    <cellStyle name="Accent5 2 34" xfId="22265" xr:uid="{00000000-0005-0000-0000-0000AE560000}"/>
    <cellStyle name="Accent5 2 35" xfId="22266" xr:uid="{00000000-0005-0000-0000-0000AF560000}"/>
    <cellStyle name="Accent5 2 4" xfId="22267" xr:uid="{00000000-0005-0000-0000-0000B0560000}"/>
    <cellStyle name="Accent5 2 5" xfId="22268" xr:uid="{00000000-0005-0000-0000-0000B1560000}"/>
    <cellStyle name="Accent5 2 6" xfId="22269" xr:uid="{00000000-0005-0000-0000-0000B2560000}"/>
    <cellStyle name="Accent5 2 7" xfId="22270" xr:uid="{00000000-0005-0000-0000-0000B3560000}"/>
    <cellStyle name="Accent5 2 8" xfId="22271" xr:uid="{00000000-0005-0000-0000-0000B4560000}"/>
    <cellStyle name="Accent5 2 9" xfId="22272" xr:uid="{00000000-0005-0000-0000-0000B5560000}"/>
    <cellStyle name="Accent5 20" xfId="22273" xr:uid="{00000000-0005-0000-0000-0000B6560000}"/>
    <cellStyle name="Accent5 20 10" xfId="22274" xr:uid="{00000000-0005-0000-0000-0000B7560000}"/>
    <cellStyle name="Accent5 20 11" xfId="22275" xr:uid="{00000000-0005-0000-0000-0000B8560000}"/>
    <cellStyle name="Accent5 20 12" xfId="22276" xr:uid="{00000000-0005-0000-0000-0000B9560000}"/>
    <cellStyle name="Accent5 20 13" xfId="22277" xr:uid="{00000000-0005-0000-0000-0000BA560000}"/>
    <cellStyle name="Accent5 20 14" xfId="22278" xr:uid="{00000000-0005-0000-0000-0000BB560000}"/>
    <cellStyle name="Accent5 20 15" xfId="22279" xr:uid="{00000000-0005-0000-0000-0000BC560000}"/>
    <cellStyle name="Accent5 20 16" xfId="22280" xr:uid="{00000000-0005-0000-0000-0000BD560000}"/>
    <cellStyle name="Accent5 20 2" xfId="22281" xr:uid="{00000000-0005-0000-0000-0000BE560000}"/>
    <cellStyle name="Accent5 20 3" xfId="22282" xr:uid="{00000000-0005-0000-0000-0000BF560000}"/>
    <cellStyle name="Accent5 20 4" xfId="22283" xr:uid="{00000000-0005-0000-0000-0000C0560000}"/>
    <cellStyle name="Accent5 20 5" xfId="22284" xr:uid="{00000000-0005-0000-0000-0000C1560000}"/>
    <cellStyle name="Accent5 20 6" xfId="22285" xr:uid="{00000000-0005-0000-0000-0000C2560000}"/>
    <cellStyle name="Accent5 20 7" xfId="22286" xr:uid="{00000000-0005-0000-0000-0000C3560000}"/>
    <cellStyle name="Accent5 20 8" xfId="22287" xr:uid="{00000000-0005-0000-0000-0000C4560000}"/>
    <cellStyle name="Accent5 20 9" xfId="22288" xr:uid="{00000000-0005-0000-0000-0000C5560000}"/>
    <cellStyle name="Accent5 21" xfId="22289" xr:uid="{00000000-0005-0000-0000-0000C6560000}"/>
    <cellStyle name="Accent5 21 2" xfId="22290" xr:uid="{00000000-0005-0000-0000-0000C7560000}"/>
    <cellStyle name="Accent5 21 3" xfId="22291" xr:uid="{00000000-0005-0000-0000-0000C8560000}"/>
    <cellStyle name="Accent5 22" xfId="22292" xr:uid="{00000000-0005-0000-0000-0000C9560000}"/>
    <cellStyle name="Accent5 23" xfId="22293" xr:uid="{00000000-0005-0000-0000-0000CA560000}"/>
    <cellStyle name="Accent5 24" xfId="22294" xr:uid="{00000000-0005-0000-0000-0000CB560000}"/>
    <cellStyle name="Accent5 25" xfId="22295" xr:uid="{00000000-0005-0000-0000-0000CC560000}"/>
    <cellStyle name="Accent5 26" xfId="22296" xr:uid="{00000000-0005-0000-0000-0000CD560000}"/>
    <cellStyle name="Accent5 27" xfId="22297" xr:uid="{00000000-0005-0000-0000-0000CE560000}"/>
    <cellStyle name="Accent5 28" xfId="22298" xr:uid="{00000000-0005-0000-0000-0000CF560000}"/>
    <cellStyle name="Accent5 29" xfId="22299" xr:uid="{00000000-0005-0000-0000-0000D0560000}"/>
    <cellStyle name="Accent5 3" xfId="22300" xr:uid="{00000000-0005-0000-0000-0000D1560000}"/>
    <cellStyle name="Accent5 3 10" xfId="22301" xr:uid="{00000000-0005-0000-0000-0000D2560000}"/>
    <cellStyle name="Accent5 3 10 10" xfId="22302" xr:uid="{00000000-0005-0000-0000-0000D3560000}"/>
    <cellStyle name="Accent5 3 10 11" xfId="22303" xr:uid="{00000000-0005-0000-0000-0000D4560000}"/>
    <cellStyle name="Accent5 3 10 12" xfId="22304" xr:uid="{00000000-0005-0000-0000-0000D5560000}"/>
    <cellStyle name="Accent5 3 10 13" xfId="22305" xr:uid="{00000000-0005-0000-0000-0000D6560000}"/>
    <cellStyle name="Accent5 3 10 14" xfId="22306" xr:uid="{00000000-0005-0000-0000-0000D7560000}"/>
    <cellStyle name="Accent5 3 10 15" xfId="22307" xr:uid="{00000000-0005-0000-0000-0000D8560000}"/>
    <cellStyle name="Accent5 3 10 2" xfId="22308" xr:uid="{00000000-0005-0000-0000-0000D9560000}"/>
    <cellStyle name="Accent5 3 10 3" xfId="22309" xr:uid="{00000000-0005-0000-0000-0000DA560000}"/>
    <cellStyle name="Accent5 3 10 4" xfId="22310" xr:uid="{00000000-0005-0000-0000-0000DB560000}"/>
    <cellStyle name="Accent5 3 10 5" xfId="22311" xr:uid="{00000000-0005-0000-0000-0000DC560000}"/>
    <cellStyle name="Accent5 3 10 6" xfId="22312" xr:uid="{00000000-0005-0000-0000-0000DD560000}"/>
    <cellStyle name="Accent5 3 10 7" xfId="22313" xr:uid="{00000000-0005-0000-0000-0000DE560000}"/>
    <cellStyle name="Accent5 3 10 8" xfId="22314" xr:uid="{00000000-0005-0000-0000-0000DF560000}"/>
    <cellStyle name="Accent5 3 10 9" xfId="22315" xr:uid="{00000000-0005-0000-0000-0000E0560000}"/>
    <cellStyle name="Accent5 3 11" xfId="22316" xr:uid="{00000000-0005-0000-0000-0000E1560000}"/>
    <cellStyle name="Accent5 3 11 10" xfId="22317" xr:uid="{00000000-0005-0000-0000-0000E2560000}"/>
    <cellStyle name="Accent5 3 11 11" xfId="22318" xr:uid="{00000000-0005-0000-0000-0000E3560000}"/>
    <cellStyle name="Accent5 3 11 12" xfId="22319" xr:uid="{00000000-0005-0000-0000-0000E4560000}"/>
    <cellStyle name="Accent5 3 11 13" xfId="22320" xr:uid="{00000000-0005-0000-0000-0000E5560000}"/>
    <cellStyle name="Accent5 3 11 14" xfId="22321" xr:uid="{00000000-0005-0000-0000-0000E6560000}"/>
    <cellStyle name="Accent5 3 11 15" xfId="22322" xr:uid="{00000000-0005-0000-0000-0000E7560000}"/>
    <cellStyle name="Accent5 3 11 2" xfId="22323" xr:uid="{00000000-0005-0000-0000-0000E8560000}"/>
    <cellStyle name="Accent5 3 11 3" xfId="22324" xr:uid="{00000000-0005-0000-0000-0000E9560000}"/>
    <cellStyle name="Accent5 3 11 4" xfId="22325" xr:uid="{00000000-0005-0000-0000-0000EA560000}"/>
    <cellStyle name="Accent5 3 11 5" xfId="22326" xr:uid="{00000000-0005-0000-0000-0000EB560000}"/>
    <cellStyle name="Accent5 3 11 6" xfId="22327" xr:uid="{00000000-0005-0000-0000-0000EC560000}"/>
    <cellStyle name="Accent5 3 11 7" xfId="22328" xr:uid="{00000000-0005-0000-0000-0000ED560000}"/>
    <cellStyle name="Accent5 3 11 8" xfId="22329" xr:uid="{00000000-0005-0000-0000-0000EE560000}"/>
    <cellStyle name="Accent5 3 11 9" xfId="22330" xr:uid="{00000000-0005-0000-0000-0000EF560000}"/>
    <cellStyle name="Accent5 3 12" xfId="22331" xr:uid="{00000000-0005-0000-0000-0000F0560000}"/>
    <cellStyle name="Accent5 3 12 10" xfId="22332" xr:uid="{00000000-0005-0000-0000-0000F1560000}"/>
    <cellStyle name="Accent5 3 12 11" xfId="22333" xr:uid="{00000000-0005-0000-0000-0000F2560000}"/>
    <cellStyle name="Accent5 3 12 12" xfId="22334" xr:uid="{00000000-0005-0000-0000-0000F3560000}"/>
    <cellStyle name="Accent5 3 12 13" xfId="22335" xr:uid="{00000000-0005-0000-0000-0000F4560000}"/>
    <cellStyle name="Accent5 3 12 14" xfId="22336" xr:uid="{00000000-0005-0000-0000-0000F5560000}"/>
    <cellStyle name="Accent5 3 12 15" xfId="22337" xr:uid="{00000000-0005-0000-0000-0000F6560000}"/>
    <cellStyle name="Accent5 3 12 2" xfId="22338" xr:uid="{00000000-0005-0000-0000-0000F7560000}"/>
    <cellStyle name="Accent5 3 12 3" xfId="22339" xr:uid="{00000000-0005-0000-0000-0000F8560000}"/>
    <cellStyle name="Accent5 3 12 4" xfId="22340" xr:uid="{00000000-0005-0000-0000-0000F9560000}"/>
    <cellStyle name="Accent5 3 12 5" xfId="22341" xr:uid="{00000000-0005-0000-0000-0000FA560000}"/>
    <cellStyle name="Accent5 3 12 6" xfId="22342" xr:uid="{00000000-0005-0000-0000-0000FB560000}"/>
    <cellStyle name="Accent5 3 12 7" xfId="22343" xr:uid="{00000000-0005-0000-0000-0000FC560000}"/>
    <cellStyle name="Accent5 3 12 8" xfId="22344" xr:uid="{00000000-0005-0000-0000-0000FD560000}"/>
    <cellStyle name="Accent5 3 12 9" xfId="22345" xr:uid="{00000000-0005-0000-0000-0000FE560000}"/>
    <cellStyle name="Accent5 3 13" xfId="22346" xr:uid="{00000000-0005-0000-0000-0000FF560000}"/>
    <cellStyle name="Accent5 3 13 10" xfId="22347" xr:uid="{00000000-0005-0000-0000-000000570000}"/>
    <cellStyle name="Accent5 3 13 11" xfId="22348" xr:uid="{00000000-0005-0000-0000-000001570000}"/>
    <cellStyle name="Accent5 3 13 12" xfId="22349" xr:uid="{00000000-0005-0000-0000-000002570000}"/>
    <cellStyle name="Accent5 3 13 13" xfId="22350" xr:uid="{00000000-0005-0000-0000-000003570000}"/>
    <cellStyle name="Accent5 3 13 14" xfId="22351" xr:uid="{00000000-0005-0000-0000-000004570000}"/>
    <cellStyle name="Accent5 3 13 15" xfId="22352" xr:uid="{00000000-0005-0000-0000-000005570000}"/>
    <cellStyle name="Accent5 3 13 2" xfId="22353" xr:uid="{00000000-0005-0000-0000-000006570000}"/>
    <cellStyle name="Accent5 3 13 3" xfId="22354" xr:uid="{00000000-0005-0000-0000-000007570000}"/>
    <cellStyle name="Accent5 3 13 4" xfId="22355" xr:uid="{00000000-0005-0000-0000-000008570000}"/>
    <cellStyle name="Accent5 3 13 5" xfId="22356" xr:uid="{00000000-0005-0000-0000-000009570000}"/>
    <cellStyle name="Accent5 3 13 6" xfId="22357" xr:uid="{00000000-0005-0000-0000-00000A570000}"/>
    <cellStyle name="Accent5 3 13 7" xfId="22358" xr:uid="{00000000-0005-0000-0000-00000B570000}"/>
    <cellStyle name="Accent5 3 13 8" xfId="22359" xr:uid="{00000000-0005-0000-0000-00000C570000}"/>
    <cellStyle name="Accent5 3 13 9" xfId="22360" xr:uid="{00000000-0005-0000-0000-00000D570000}"/>
    <cellStyle name="Accent5 3 14" xfId="22361" xr:uid="{00000000-0005-0000-0000-00000E570000}"/>
    <cellStyle name="Accent5 3 14 10" xfId="22362" xr:uid="{00000000-0005-0000-0000-00000F570000}"/>
    <cellStyle name="Accent5 3 14 11" xfId="22363" xr:uid="{00000000-0005-0000-0000-000010570000}"/>
    <cellStyle name="Accent5 3 14 12" xfId="22364" xr:uid="{00000000-0005-0000-0000-000011570000}"/>
    <cellStyle name="Accent5 3 14 13" xfId="22365" xr:uid="{00000000-0005-0000-0000-000012570000}"/>
    <cellStyle name="Accent5 3 14 14" xfId="22366" xr:uid="{00000000-0005-0000-0000-000013570000}"/>
    <cellStyle name="Accent5 3 14 15" xfId="22367" xr:uid="{00000000-0005-0000-0000-000014570000}"/>
    <cellStyle name="Accent5 3 14 2" xfId="22368" xr:uid="{00000000-0005-0000-0000-000015570000}"/>
    <cellStyle name="Accent5 3 14 3" xfId="22369" xr:uid="{00000000-0005-0000-0000-000016570000}"/>
    <cellStyle name="Accent5 3 14 4" xfId="22370" xr:uid="{00000000-0005-0000-0000-000017570000}"/>
    <cellStyle name="Accent5 3 14 5" xfId="22371" xr:uid="{00000000-0005-0000-0000-000018570000}"/>
    <cellStyle name="Accent5 3 14 6" xfId="22372" xr:uid="{00000000-0005-0000-0000-000019570000}"/>
    <cellStyle name="Accent5 3 14 7" xfId="22373" xr:uid="{00000000-0005-0000-0000-00001A570000}"/>
    <cellStyle name="Accent5 3 14 8" xfId="22374" xr:uid="{00000000-0005-0000-0000-00001B570000}"/>
    <cellStyle name="Accent5 3 14 9" xfId="22375" xr:uid="{00000000-0005-0000-0000-00001C570000}"/>
    <cellStyle name="Accent5 3 15" xfId="22376" xr:uid="{00000000-0005-0000-0000-00001D570000}"/>
    <cellStyle name="Accent5 3 15 10" xfId="22377" xr:uid="{00000000-0005-0000-0000-00001E570000}"/>
    <cellStyle name="Accent5 3 15 11" xfId="22378" xr:uid="{00000000-0005-0000-0000-00001F570000}"/>
    <cellStyle name="Accent5 3 15 12" xfId="22379" xr:uid="{00000000-0005-0000-0000-000020570000}"/>
    <cellStyle name="Accent5 3 15 13" xfId="22380" xr:uid="{00000000-0005-0000-0000-000021570000}"/>
    <cellStyle name="Accent5 3 15 14" xfId="22381" xr:uid="{00000000-0005-0000-0000-000022570000}"/>
    <cellStyle name="Accent5 3 15 15" xfId="22382" xr:uid="{00000000-0005-0000-0000-000023570000}"/>
    <cellStyle name="Accent5 3 15 2" xfId="22383" xr:uid="{00000000-0005-0000-0000-000024570000}"/>
    <cellStyle name="Accent5 3 15 3" xfId="22384" xr:uid="{00000000-0005-0000-0000-000025570000}"/>
    <cellStyle name="Accent5 3 15 4" xfId="22385" xr:uid="{00000000-0005-0000-0000-000026570000}"/>
    <cellStyle name="Accent5 3 15 5" xfId="22386" xr:uid="{00000000-0005-0000-0000-000027570000}"/>
    <cellStyle name="Accent5 3 15 6" xfId="22387" xr:uid="{00000000-0005-0000-0000-000028570000}"/>
    <cellStyle name="Accent5 3 15 7" xfId="22388" xr:uid="{00000000-0005-0000-0000-000029570000}"/>
    <cellStyle name="Accent5 3 15 8" xfId="22389" xr:uid="{00000000-0005-0000-0000-00002A570000}"/>
    <cellStyle name="Accent5 3 15 9" xfId="22390" xr:uid="{00000000-0005-0000-0000-00002B570000}"/>
    <cellStyle name="Accent5 3 16" xfId="22391" xr:uid="{00000000-0005-0000-0000-00002C570000}"/>
    <cellStyle name="Accent5 3 16 10" xfId="22392" xr:uid="{00000000-0005-0000-0000-00002D570000}"/>
    <cellStyle name="Accent5 3 16 11" xfId="22393" xr:uid="{00000000-0005-0000-0000-00002E570000}"/>
    <cellStyle name="Accent5 3 16 12" xfId="22394" xr:uid="{00000000-0005-0000-0000-00002F570000}"/>
    <cellStyle name="Accent5 3 16 13" xfId="22395" xr:uid="{00000000-0005-0000-0000-000030570000}"/>
    <cellStyle name="Accent5 3 16 14" xfId="22396" xr:uid="{00000000-0005-0000-0000-000031570000}"/>
    <cellStyle name="Accent5 3 16 15" xfId="22397" xr:uid="{00000000-0005-0000-0000-000032570000}"/>
    <cellStyle name="Accent5 3 16 2" xfId="22398" xr:uid="{00000000-0005-0000-0000-000033570000}"/>
    <cellStyle name="Accent5 3 16 3" xfId="22399" xr:uid="{00000000-0005-0000-0000-000034570000}"/>
    <cellStyle name="Accent5 3 16 4" xfId="22400" xr:uid="{00000000-0005-0000-0000-000035570000}"/>
    <cellStyle name="Accent5 3 16 5" xfId="22401" xr:uid="{00000000-0005-0000-0000-000036570000}"/>
    <cellStyle name="Accent5 3 16 6" xfId="22402" xr:uid="{00000000-0005-0000-0000-000037570000}"/>
    <cellStyle name="Accent5 3 16 7" xfId="22403" xr:uid="{00000000-0005-0000-0000-000038570000}"/>
    <cellStyle name="Accent5 3 16 8" xfId="22404" xr:uid="{00000000-0005-0000-0000-000039570000}"/>
    <cellStyle name="Accent5 3 16 9" xfId="22405" xr:uid="{00000000-0005-0000-0000-00003A570000}"/>
    <cellStyle name="Accent5 3 17" xfId="22406" xr:uid="{00000000-0005-0000-0000-00003B570000}"/>
    <cellStyle name="Accent5 3 17 10" xfId="22407" xr:uid="{00000000-0005-0000-0000-00003C570000}"/>
    <cellStyle name="Accent5 3 17 11" xfId="22408" xr:uid="{00000000-0005-0000-0000-00003D570000}"/>
    <cellStyle name="Accent5 3 17 12" xfId="22409" xr:uid="{00000000-0005-0000-0000-00003E570000}"/>
    <cellStyle name="Accent5 3 17 13" xfId="22410" xr:uid="{00000000-0005-0000-0000-00003F570000}"/>
    <cellStyle name="Accent5 3 17 14" xfId="22411" xr:uid="{00000000-0005-0000-0000-000040570000}"/>
    <cellStyle name="Accent5 3 17 15" xfId="22412" xr:uid="{00000000-0005-0000-0000-000041570000}"/>
    <cellStyle name="Accent5 3 17 2" xfId="22413" xr:uid="{00000000-0005-0000-0000-000042570000}"/>
    <cellStyle name="Accent5 3 17 3" xfId="22414" xr:uid="{00000000-0005-0000-0000-000043570000}"/>
    <cellStyle name="Accent5 3 17 4" xfId="22415" xr:uid="{00000000-0005-0000-0000-000044570000}"/>
    <cellStyle name="Accent5 3 17 5" xfId="22416" xr:uid="{00000000-0005-0000-0000-000045570000}"/>
    <cellStyle name="Accent5 3 17 6" xfId="22417" xr:uid="{00000000-0005-0000-0000-000046570000}"/>
    <cellStyle name="Accent5 3 17 7" xfId="22418" xr:uid="{00000000-0005-0000-0000-000047570000}"/>
    <cellStyle name="Accent5 3 17 8" xfId="22419" xr:uid="{00000000-0005-0000-0000-000048570000}"/>
    <cellStyle name="Accent5 3 17 9" xfId="22420" xr:uid="{00000000-0005-0000-0000-000049570000}"/>
    <cellStyle name="Accent5 3 18" xfId="22421" xr:uid="{00000000-0005-0000-0000-00004A570000}"/>
    <cellStyle name="Accent5 3 18 10" xfId="22422" xr:uid="{00000000-0005-0000-0000-00004B570000}"/>
    <cellStyle name="Accent5 3 18 11" xfId="22423" xr:uid="{00000000-0005-0000-0000-00004C570000}"/>
    <cellStyle name="Accent5 3 18 12" xfId="22424" xr:uid="{00000000-0005-0000-0000-00004D570000}"/>
    <cellStyle name="Accent5 3 18 13" xfId="22425" xr:uid="{00000000-0005-0000-0000-00004E570000}"/>
    <cellStyle name="Accent5 3 18 14" xfId="22426" xr:uid="{00000000-0005-0000-0000-00004F570000}"/>
    <cellStyle name="Accent5 3 18 15" xfId="22427" xr:uid="{00000000-0005-0000-0000-000050570000}"/>
    <cellStyle name="Accent5 3 18 2" xfId="22428" xr:uid="{00000000-0005-0000-0000-000051570000}"/>
    <cellStyle name="Accent5 3 18 3" xfId="22429" xr:uid="{00000000-0005-0000-0000-000052570000}"/>
    <cellStyle name="Accent5 3 18 4" xfId="22430" xr:uid="{00000000-0005-0000-0000-000053570000}"/>
    <cellStyle name="Accent5 3 18 5" xfId="22431" xr:uid="{00000000-0005-0000-0000-000054570000}"/>
    <cellStyle name="Accent5 3 18 6" xfId="22432" xr:uid="{00000000-0005-0000-0000-000055570000}"/>
    <cellStyle name="Accent5 3 18 7" xfId="22433" xr:uid="{00000000-0005-0000-0000-000056570000}"/>
    <cellStyle name="Accent5 3 18 8" xfId="22434" xr:uid="{00000000-0005-0000-0000-000057570000}"/>
    <cellStyle name="Accent5 3 18 9" xfId="22435" xr:uid="{00000000-0005-0000-0000-000058570000}"/>
    <cellStyle name="Accent5 3 19" xfId="22436" xr:uid="{00000000-0005-0000-0000-000059570000}"/>
    <cellStyle name="Accent5 3 19 10" xfId="22437" xr:uid="{00000000-0005-0000-0000-00005A570000}"/>
    <cellStyle name="Accent5 3 19 11" xfId="22438" xr:uid="{00000000-0005-0000-0000-00005B570000}"/>
    <cellStyle name="Accent5 3 19 12" xfId="22439" xr:uid="{00000000-0005-0000-0000-00005C570000}"/>
    <cellStyle name="Accent5 3 19 13" xfId="22440" xr:uid="{00000000-0005-0000-0000-00005D570000}"/>
    <cellStyle name="Accent5 3 19 14" xfId="22441" xr:uid="{00000000-0005-0000-0000-00005E570000}"/>
    <cellStyle name="Accent5 3 19 15" xfId="22442" xr:uid="{00000000-0005-0000-0000-00005F570000}"/>
    <cellStyle name="Accent5 3 19 2" xfId="22443" xr:uid="{00000000-0005-0000-0000-000060570000}"/>
    <cellStyle name="Accent5 3 19 3" xfId="22444" xr:uid="{00000000-0005-0000-0000-000061570000}"/>
    <cellStyle name="Accent5 3 19 4" xfId="22445" xr:uid="{00000000-0005-0000-0000-000062570000}"/>
    <cellStyle name="Accent5 3 19 5" xfId="22446" xr:uid="{00000000-0005-0000-0000-000063570000}"/>
    <cellStyle name="Accent5 3 19 6" xfId="22447" xr:uid="{00000000-0005-0000-0000-000064570000}"/>
    <cellStyle name="Accent5 3 19 7" xfId="22448" xr:uid="{00000000-0005-0000-0000-000065570000}"/>
    <cellStyle name="Accent5 3 19 8" xfId="22449" xr:uid="{00000000-0005-0000-0000-000066570000}"/>
    <cellStyle name="Accent5 3 19 9" xfId="22450" xr:uid="{00000000-0005-0000-0000-000067570000}"/>
    <cellStyle name="Accent5 3 2" xfId="22451" xr:uid="{00000000-0005-0000-0000-000068570000}"/>
    <cellStyle name="Accent5 3 2 10" xfId="22452" xr:uid="{00000000-0005-0000-0000-000069570000}"/>
    <cellStyle name="Accent5 3 2 11" xfId="22453" xr:uid="{00000000-0005-0000-0000-00006A570000}"/>
    <cellStyle name="Accent5 3 2 12" xfId="22454" xr:uid="{00000000-0005-0000-0000-00006B570000}"/>
    <cellStyle name="Accent5 3 2 13" xfId="22455" xr:uid="{00000000-0005-0000-0000-00006C570000}"/>
    <cellStyle name="Accent5 3 2 14" xfId="22456" xr:uid="{00000000-0005-0000-0000-00006D570000}"/>
    <cellStyle name="Accent5 3 2 15" xfId="22457" xr:uid="{00000000-0005-0000-0000-00006E570000}"/>
    <cellStyle name="Accent5 3 2 16" xfId="22458" xr:uid="{00000000-0005-0000-0000-00006F570000}"/>
    <cellStyle name="Accent5 3 2 17" xfId="22459" xr:uid="{00000000-0005-0000-0000-000070570000}"/>
    <cellStyle name="Accent5 3 2 18" xfId="22460" xr:uid="{00000000-0005-0000-0000-000071570000}"/>
    <cellStyle name="Accent5 3 2 19" xfId="22461" xr:uid="{00000000-0005-0000-0000-000072570000}"/>
    <cellStyle name="Accent5 3 2 2" xfId="22462" xr:uid="{00000000-0005-0000-0000-000073570000}"/>
    <cellStyle name="Accent5 3 2 20" xfId="22463" xr:uid="{00000000-0005-0000-0000-000074570000}"/>
    <cellStyle name="Accent5 3 2 21" xfId="22464" xr:uid="{00000000-0005-0000-0000-000075570000}"/>
    <cellStyle name="Accent5 3 2 22" xfId="22465" xr:uid="{00000000-0005-0000-0000-000076570000}"/>
    <cellStyle name="Accent5 3 2 23" xfId="22466" xr:uid="{00000000-0005-0000-0000-000077570000}"/>
    <cellStyle name="Accent5 3 2 24" xfId="22467" xr:uid="{00000000-0005-0000-0000-000078570000}"/>
    <cellStyle name="Accent5 3 2 25" xfId="22468" xr:uid="{00000000-0005-0000-0000-000079570000}"/>
    <cellStyle name="Accent5 3 2 26" xfId="22469" xr:uid="{00000000-0005-0000-0000-00007A570000}"/>
    <cellStyle name="Accent5 3 2 27" xfId="22470" xr:uid="{00000000-0005-0000-0000-00007B570000}"/>
    <cellStyle name="Accent5 3 2 28" xfId="22471" xr:uid="{00000000-0005-0000-0000-00007C570000}"/>
    <cellStyle name="Accent5 3 2 29" xfId="22472" xr:uid="{00000000-0005-0000-0000-00007D570000}"/>
    <cellStyle name="Accent5 3 2 3" xfId="22473" xr:uid="{00000000-0005-0000-0000-00007E570000}"/>
    <cellStyle name="Accent5 3 2 30" xfId="22474" xr:uid="{00000000-0005-0000-0000-00007F570000}"/>
    <cellStyle name="Accent5 3 2 31" xfId="22475" xr:uid="{00000000-0005-0000-0000-000080570000}"/>
    <cellStyle name="Accent5 3 2 32" xfId="22476" xr:uid="{00000000-0005-0000-0000-000081570000}"/>
    <cellStyle name="Accent5 3 2 33" xfId="22477" xr:uid="{00000000-0005-0000-0000-000082570000}"/>
    <cellStyle name="Accent5 3 2 34" xfId="22478" xr:uid="{00000000-0005-0000-0000-000083570000}"/>
    <cellStyle name="Accent5 3 2 35" xfId="22479" xr:uid="{00000000-0005-0000-0000-000084570000}"/>
    <cellStyle name="Accent5 3 2 36" xfId="22480" xr:uid="{00000000-0005-0000-0000-000085570000}"/>
    <cellStyle name="Accent5 3 2 37" xfId="22481" xr:uid="{00000000-0005-0000-0000-000086570000}"/>
    <cellStyle name="Accent5 3 2 38" xfId="22482" xr:uid="{00000000-0005-0000-0000-000087570000}"/>
    <cellStyle name="Accent5 3 2 39" xfId="22483" xr:uid="{00000000-0005-0000-0000-000088570000}"/>
    <cellStyle name="Accent5 3 2 4" xfId="22484" xr:uid="{00000000-0005-0000-0000-000089570000}"/>
    <cellStyle name="Accent5 3 2 40" xfId="22485" xr:uid="{00000000-0005-0000-0000-00008A570000}"/>
    <cellStyle name="Accent5 3 2 41" xfId="22486" xr:uid="{00000000-0005-0000-0000-00008B570000}"/>
    <cellStyle name="Accent5 3 2 42" xfId="22487" xr:uid="{00000000-0005-0000-0000-00008C570000}"/>
    <cellStyle name="Accent5 3 2 43" xfId="22488" xr:uid="{00000000-0005-0000-0000-00008D570000}"/>
    <cellStyle name="Accent5 3 2 44" xfId="22489" xr:uid="{00000000-0005-0000-0000-00008E570000}"/>
    <cellStyle name="Accent5 3 2 45" xfId="22490" xr:uid="{00000000-0005-0000-0000-00008F570000}"/>
    <cellStyle name="Accent5 3 2 46" xfId="22491" xr:uid="{00000000-0005-0000-0000-000090570000}"/>
    <cellStyle name="Accent5 3 2 47" xfId="22492" xr:uid="{00000000-0005-0000-0000-000091570000}"/>
    <cellStyle name="Accent5 3 2 48" xfId="22493" xr:uid="{00000000-0005-0000-0000-000092570000}"/>
    <cellStyle name="Accent5 3 2 49" xfId="22494" xr:uid="{00000000-0005-0000-0000-000093570000}"/>
    <cellStyle name="Accent5 3 2 5" xfId="22495" xr:uid="{00000000-0005-0000-0000-000094570000}"/>
    <cellStyle name="Accent5 3 2 50" xfId="22496" xr:uid="{00000000-0005-0000-0000-000095570000}"/>
    <cellStyle name="Accent5 3 2 51" xfId="22497" xr:uid="{00000000-0005-0000-0000-000096570000}"/>
    <cellStyle name="Accent5 3 2 52" xfId="22498" xr:uid="{00000000-0005-0000-0000-000097570000}"/>
    <cellStyle name="Accent5 3 2 53" xfId="22499" xr:uid="{00000000-0005-0000-0000-000098570000}"/>
    <cellStyle name="Accent5 3 2 6" xfId="22500" xr:uid="{00000000-0005-0000-0000-000099570000}"/>
    <cellStyle name="Accent5 3 2 7" xfId="22501" xr:uid="{00000000-0005-0000-0000-00009A570000}"/>
    <cellStyle name="Accent5 3 2 8" xfId="22502" xr:uid="{00000000-0005-0000-0000-00009B570000}"/>
    <cellStyle name="Accent5 3 2 9" xfId="22503" xr:uid="{00000000-0005-0000-0000-00009C570000}"/>
    <cellStyle name="Accent5 3 20" xfId="22504" xr:uid="{00000000-0005-0000-0000-00009D570000}"/>
    <cellStyle name="Accent5 3 20 10" xfId="22505" xr:uid="{00000000-0005-0000-0000-00009E570000}"/>
    <cellStyle name="Accent5 3 20 11" xfId="22506" xr:uid="{00000000-0005-0000-0000-00009F570000}"/>
    <cellStyle name="Accent5 3 20 12" xfId="22507" xr:uid="{00000000-0005-0000-0000-0000A0570000}"/>
    <cellStyle name="Accent5 3 20 13" xfId="22508" xr:uid="{00000000-0005-0000-0000-0000A1570000}"/>
    <cellStyle name="Accent5 3 20 14" xfId="22509" xr:uid="{00000000-0005-0000-0000-0000A2570000}"/>
    <cellStyle name="Accent5 3 20 15" xfId="22510" xr:uid="{00000000-0005-0000-0000-0000A3570000}"/>
    <cellStyle name="Accent5 3 20 2" xfId="22511" xr:uid="{00000000-0005-0000-0000-0000A4570000}"/>
    <cellStyle name="Accent5 3 20 3" xfId="22512" xr:uid="{00000000-0005-0000-0000-0000A5570000}"/>
    <cellStyle name="Accent5 3 20 4" xfId="22513" xr:uid="{00000000-0005-0000-0000-0000A6570000}"/>
    <cellStyle name="Accent5 3 20 5" xfId="22514" xr:uid="{00000000-0005-0000-0000-0000A7570000}"/>
    <cellStyle name="Accent5 3 20 6" xfId="22515" xr:uid="{00000000-0005-0000-0000-0000A8570000}"/>
    <cellStyle name="Accent5 3 20 7" xfId="22516" xr:uid="{00000000-0005-0000-0000-0000A9570000}"/>
    <cellStyle name="Accent5 3 20 8" xfId="22517" xr:uid="{00000000-0005-0000-0000-0000AA570000}"/>
    <cellStyle name="Accent5 3 20 9" xfId="22518" xr:uid="{00000000-0005-0000-0000-0000AB570000}"/>
    <cellStyle name="Accent5 3 21" xfId="22519" xr:uid="{00000000-0005-0000-0000-0000AC570000}"/>
    <cellStyle name="Accent5 3 21 10" xfId="22520" xr:uid="{00000000-0005-0000-0000-0000AD570000}"/>
    <cellStyle name="Accent5 3 21 11" xfId="22521" xr:uid="{00000000-0005-0000-0000-0000AE570000}"/>
    <cellStyle name="Accent5 3 21 12" xfId="22522" xr:uid="{00000000-0005-0000-0000-0000AF570000}"/>
    <cellStyle name="Accent5 3 21 13" xfId="22523" xr:uid="{00000000-0005-0000-0000-0000B0570000}"/>
    <cellStyle name="Accent5 3 21 14" xfId="22524" xr:uid="{00000000-0005-0000-0000-0000B1570000}"/>
    <cellStyle name="Accent5 3 21 15" xfId="22525" xr:uid="{00000000-0005-0000-0000-0000B2570000}"/>
    <cellStyle name="Accent5 3 21 2" xfId="22526" xr:uid="{00000000-0005-0000-0000-0000B3570000}"/>
    <cellStyle name="Accent5 3 21 3" xfId="22527" xr:uid="{00000000-0005-0000-0000-0000B4570000}"/>
    <cellStyle name="Accent5 3 21 4" xfId="22528" xr:uid="{00000000-0005-0000-0000-0000B5570000}"/>
    <cellStyle name="Accent5 3 21 5" xfId="22529" xr:uid="{00000000-0005-0000-0000-0000B6570000}"/>
    <cellStyle name="Accent5 3 21 6" xfId="22530" xr:uid="{00000000-0005-0000-0000-0000B7570000}"/>
    <cellStyle name="Accent5 3 21 7" xfId="22531" xr:uid="{00000000-0005-0000-0000-0000B8570000}"/>
    <cellStyle name="Accent5 3 21 8" xfId="22532" xr:uid="{00000000-0005-0000-0000-0000B9570000}"/>
    <cellStyle name="Accent5 3 21 9" xfId="22533" xr:uid="{00000000-0005-0000-0000-0000BA570000}"/>
    <cellStyle name="Accent5 3 22" xfId="22534" xr:uid="{00000000-0005-0000-0000-0000BB570000}"/>
    <cellStyle name="Accent5 3 22 10" xfId="22535" xr:uid="{00000000-0005-0000-0000-0000BC570000}"/>
    <cellStyle name="Accent5 3 22 11" xfId="22536" xr:uid="{00000000-0005-0000-0000-0000BD570000}"/>
    <cellStyle name="Accent5 3 22 12" xfId="22537" xr:uid="{00000000-0005-0000-0000-0000BE570000}"/>
    <cellStyle name="Accent5 3 22 13" xfId="22538" xr:uid="{00000000-0005-0000-0000-0000BF570000}"/>
    <cellStyle name="Accent5 3 22 14" xfId="22539" xr:uid="{00000000-0005-0000-0000-0000C0570000}"/>
    <cellStyle name="Accent5 3 22 15" xfId="22540" xr:uid="{00000000-0005-0000-0000-0000C1570000}"/>
    <cellStyle name="Accent5 3 22 2" xfId="22541" xr:uid="{00000000-0005-0000-0000-0000C2570000}"/>
    <cellStyle name="Accent5 3 22 3" xfId="22542" xr:uid="{00000000-0005-0000-0000-0000C3570000}"/>
    <cellStyle name="Accent5 3 22 4" xfId="22543" xr:uid="{00000000-0005-0000-0000-0000C4570000}"/>
    <cellStyle name="Accent5 3 22 5" xfId="22544" xr:uid="{00000000-0005-0000-0000-0000C5570000}"/>
    <cellStyle name="Accent5 3 22 6" xfId="22545" xr:uid="{00000000-0005-0000-0000-0000C6570000}"/>
    <cellStyle name="Accent5 3 22 7" xfId="22546" xr:uid="{00000000-0005-0000-0000-0000C7570000}"/>
    <cellStyle name="Accent5 3 22 8" xfId="22547" xr:uid="{00000000-0005-0000-0000-0000C8570000}"/>
    <cellStyle name="Accent5 3 22 9" xfId="22548" xr:uid="{00000000-0005-0000-0000-0000C9570000}"/>
    <cellStyle name="Accent5 3 23" xfId="22549" xr:uid="{00000000-0005-0000-0000-0000CA570000}"/>
    <cellStyle name="Accent5 3 23 10" xfId="22550" xr:uid="{00000000-0005-0000-0000-0000CB570000}"/>
    <cellStyle name="Accent5 3 23 11" xfId="22551" xr:uid="{00000000-0005-0000-0000-0000CC570000}"/>
    <cellStyle name="Accent5 3 23 12" xfId="22552" xr:uid="{00000000-0005-0000-0000-0000CD570000}"/>
    <cellStyle name="Accent5 3 23 13" xfId="22553" xr:uid="{00000000-0005-0000-0000-0000CE570000}"/>
    <cellStyle name="Accent5 3 23 14" xfId="22554" xr:uid="{00000000-0005-0000-0000-0000CF570000}"/>
    <cellStyle name="Accent5 3 23 15" xfId="22555" xr:uid="{00000000-0005-0000-0000-0000D0570000}"/>
    <cellStyle name="Accent5 3 23 2" xfId="22556" xr:uid="{00000000-0005-0000-0000-0000D1570000}"/>
    <cellStyle name="Accent5 3 23 3" xfId="22557" xr:uid="{00000000-0005-0000-0000-0000D2570000}"/>
    <cellStyle name="Accent5 3 23 4" xfId="22558" xr:uid="{00000000-0005-0000-0000-0000D3570000}"/>
    <cellStyle name="Accent5 3 23 5" xfId="22559" xr:uid="{00000000-0005-0000-0000-0000D4570000}"/>
    <cellStyle name="Accent5 3 23 6" xfId="22560" xr:uid="{00000000-0005-0000-0000-0000D5570000}"/>
    <cellStyle name="Accent5 3 23 7" xfId="22561" xr:uid="{00000000-0005-0000-0000-0000D6570000}"/>
    <cellStyle name="Accent5 3 23 8" xfId="22562" xr:uid="{00000000-0005-0000-0000-0000D7570000}"/>
    <cellStyle name="Accent5 3 23 9" xfId="22563" xr:uid="{00000000-0005-0000-0000-0000D8570000}"/>
    <cellStyle name="Accent5 3 24" xfId="22564" xr:uid="{00000000-0005-0000-0000-0000D9570000}"/>
    <cellStyle name="Accent5 3 24 10" xfId="22565" xr:uid="{00000000-0005-0000-0000-0000DA570000}"/>
    <cellStyle name="Accent5 3 24 11" xfId="22566" xr:uid="{00000000-0005-0000-0000-0000DB570000}"/>
    <cellStyle name="Accent5 3 24 12" xfId="22567" xr:uid="{00000000-0005-0000-0000-0000DC570000}"/>
    <cellStyle name="Accent5 3 24 13" xfId="22568" xr:uid="{00000000-0005-0000-0000-0000DD570000}"/>
    <cellStyle name="Accent5 3 24 14" xfId="22569" xr:uid="{00000000-0005-0000-0000-0000DE570000}"/>
    <cellStyle name="Accent5 3 24 15" xfId="22570" xr:uid="{00000000-0005-0000-0000-0000DF570000}"/>
    <cellStyle name="Accent5 3 24 2" xfId="22571" xr:uid="{00000000-0005-0000-0000-0000E0570000}"/>
    <cellStyle name="Accent5 3 24 3" xfId="22572" xr:uid="{00000000-0005-0000-0000-0000E1570000}"/>
    <cellStyle name="Accent5 3 24 4" xfId="22573" xr:uid="{00000000-0005-0000-0000-0000E2570000}"/>
    <cellStyle name="Accent5 3 24 5" xfId="22574" xr:uid="{00000000-0005-0000-0000-0000E3570000}"/>
    <cellStyle name="Accent5 3 24 6" xfId="22575" xr:uid="{00000000-0005-0000-0000-0000E4570000}"/>
    <cellStyle name="Accent5 3 24 7" xfId="22576" xr:uid="{00000000-0005-0000-0000-0000E5570000}"/>
    <cellStyle name="Accent5 3 24 8" xfId="22577" xr:uid="{00000000-0005-0000-0000-0000E6570000}"/>
    <cellStyle name="Accent5 3 24 9" xfId="22578" xr:uid="{00000000-0005-0000-0000-0000E7570000}"/>
    <cellStyle name="Accent5 3 25" xfId="22579" xr:uid="{00000000-0005-0000-0000-0000E8570000}"/>
    <cellStyle name="Accent5 3 25 10" xfId="22580" xr:uid="{00000000-0005-0000-0000-0000E9570000}"/>
    <cellStyle name="Accent5 3 25 11" xfId="22581" xr:uid="{00000000-0005-0000-0000-0000EA570000}"/>
    <cellStyle name="Accent5 3 25 12" xfId="22582" xr:uid="{00000000-0005-0000-0000-0000EB570000}"/>
    <cellStyle name="Accent5 3 25 13" xfId="22583" xr:uid="{00000000-0005-0000-0000-0000EC570000}"/>
    <cellStyle name="Accent5 3 25 14" xfId="22584" xr:uid="{00000000-0005-0000-0000-0000ED570000}"/>
    <cellStyle name="Accent5 3 25 15" xfId="22585" xr:uid="{00000000-0005-0000-0000-0000EE570000}"/>
    <cellStyle name="Accent5 3 25 2" xfId="22586" xr:uid="{00000000-0005-0000-0000-0000EF570000}"/>
    <cellStyle name="Accent5 3 25 3" xfId="22587" xr:uid="{00000000-0005-0000-0000-0000F0570000}"/>
    <cellStyle name="Accent5 3 25 4" xfId="22588" xr:uid="{00000000-0005-0000-0000-0000F1570000}"/>
    <cellStyle name="Accent5 3 25 5" xfId="22589" xr:uid="{00000000-0005-0000-0000-0000F2570000}"/>
    <cellStyle name="Accent5 3 25 6" xfId="22590" xr:uid="{00000000-0005-0000-0000-0000F3570000}"/>
    <cellStyle name="Accent5 3 25 7" xfId="22591" xr:uid="{00000000-0005-0000-0000-0000F4570000}"/>
    <cellStyle name="Accent5 3 25 8" xfId="22592" xr:uid="{00000000-0005-0000-0000-0000F5570000}"/>
    <cellStyle name="Accent5 3 25 9" xfId="22593" xr:uid="{00000000-0005-0000-0000-0000F6570000}"/>
    <cellStyle name="Accent5 3 26" xfId="22594" xr:uid="{00000000-0005-0000-0000-0000F7570000}"/>
    <cellStyle name="Accent5 3 26 10" xfId="22595" xr:uid="{00000000-0005-0000-0000-0000F8570000}"/>
    <cellStyle name="Accent5 3 26 11" xfId="22596" xr:uid="{00000000-0005-0000-0000-0000F9570000}"/>
    <cellStyle name="Accent5 3 26 12" xfId="22597" xr:uid="{00000000-0005-0000-0000-0000FA570000}"/>
    <cellStyle name="Accent5 3 26 13" xfId="22598" xr:uid="{00000000-0005-0000-0000-0000FB570000}"/>
    <cellStyle name="Accent5 3 26 14" xfId="22599" xr:uid="{00000000-0005-0000-0000-0000FC570000}"/>
    <cellStyle name="Accent5 3 26 15" xfId="22600" xr:uid="{00000000-0005-0000-0000-0000FD570000}"/>
    <cellStyle name="Accent5 3 26 2" xfId="22601" xr:uid="{00000000-0005-0000-0000-0000FE570000}"/>
    <cellStyle name="Accent5 3 26 3" xfId="22602" xr:uid="{00000000-0005-0000-0000-0000FF570000}"/>
    <cellStyle name="Accent5 3 26 4" xfId="22603" xr:uid="{00000000-0005-0000-0000-000000580000}"/>
    <cellStyle name="Accent5 3 26 5" xfId="22604" xr:uid="{00000000-0005-0000-0000-000001580000}"/>
    <cellStyle name="Accent5 3 26 6" xfId="22605" xr:uid="{00000000-0005-0000-0000-000002580000}"/>
    <cellStyle name="Accent5 3 26 7" xfId="22606" xr:uid="{00000000-0005-0000-0000-000003580000}"/>
    <cellStyle name="Accent5 3 26 8" xfId="22607" xr:uid="{00000000-0005-0000-0000-000004580000}"/>
    <cellStyle name="Accent5 3 26 9" xfId="22608" xr:uid="{00000000-0005-0000-0000-000005580000}"/>
    <cellStyle name="Accent5 3 27" xfId="22609" xr:uid="{00000000-0005-0000-0000-000006580000}"/>
    <cellStyle name="Accent5 3 27 10" xfId="22610" xr:uid="{00000000-0005-0000-0000-000007580000}"/>
    <cellStyle name="Accent5 3 27 11" xfId="22611" xr:uid="{00000000-0005-0000-0000-000008580000}"/>
    <cellStyle name="Accent5 3 27 12" xfId="22612" xr:uid="{00000000-0005-0000-0000-000009580000}"/>
    <cellStyle name="Accent5 3 27 13" xfId="22613" xr:uid="{00000000-0005-0000-0000-00000A580000}"/>
    <cellStyle name="Accent5 3 27 14" xfId="22614" xr:uid="{00000000-0005-0000-0000-00000B580000}"/>
    <cellStyle name="Accent5 3 27 15" xfId="22615" xr:uid="{00000000-0005-0000-0000-00000C580000}"/>
    <cellStyle name="Accent5 3 27 2" xfId="22616" xr:uid="{00000000-0005-0000-0000-00000D580000}"/>
    <cellStyle name="Accent5 3 27 3" xfId="22617" xr:uid="{00000000-0005-0000-0000-00000E580000}"/>
    <cellStyle name="Accent5 3 27 4" xfId="22618" xr:uid="{00000000-0005-0000-0000-00000F580000}"/>
    <cellStyle name="Accent5 3 27 5" xfId="22619" xr:uid="{00000000-0005-0000-0000-000010580000}"/>
    <cellStyle name="Accent5 3 27 6" xfId="22620" xr:uid="{00000000-0005-0000-0000-000011580000}"/>
    <cellStyle name="Accent5 3 27 7" xfId="22621" xr:uid="{00000000-0005-0000-0000-000012580000}"/>
    <cellStyle name="Accent5 3 27 8" xfId="22622" xr:uid="{00000000-0005-0000-0000-000013580000}"/>
    <cellStyle name="Accent5 3 27 9" xfId="22623" xr:uid="{00000000-0005-0000-0000-000014580000}"/>
    <cellStyle name="Accent5 3 28" xfId="22624" xr:uid="{00000000-0005-0000-0000-000015580000}"/>
    <cellStyle name="Accent5 3 28 10" xfId="22625" xr:uid="{00000000-0005-0000-0000-000016580000}"/>
    <cellStyle name="Accent5 3 28 11" xfId="22626" xr:uid="{00000000-0005-0000-0000-000017580000}"/>
    <cellStyle name="Accent5 3 28 12" xfId="22627" xr:uid="{00000000-0005-0000-0000-000018580000}"/>
    <cellStyle name="Accent5 3 28 13" xfId="22628" xr:uid="{00000000-0005-0000-0000-000019580000}"/>
    <cellStyle name="Accent5 3 28 14" xfId="22629" xr:uid="{00000000-0005-0000-0000-00001A580000}"/>
    <cellStyle name="Accent5 3 28 15" xfId="22630" xr:uid="{00000000-0005-0000-0000-00001B580000}"/>
    <cellStyle name="Accent5 3 28 2" xfId="22631" xr:uid="{00000000-0005-0000-0000-00001C580000}"/>
    <cellStyle name="Accent5 3 28 3" xfId="22632" xr:uid="{00000000-0005-0000-0000-00001D580000}"/>
    <cellStyle name="Accent5 3 28 4" xfId="22633" xr:uid="{00000000-0005-0000-0000-00001E580000}"/>
    <cellStyle name="Accent5 3 28 5" xfId="22634" xr:uid="{00000000-0005-0000-0000-00001F580000}"/>
    <cellStyle name="Accent5 3 28 6" xfId="22635" xr:uid="{00000000-0005-0000-0000-000020580000}"/>
    <cellStyle name="Accent5 3 28 7" xfId="22636" xr:uid="{00000000-0005-0000-0000-000021580000}"/>
    <cellStyle name="Accent5 3 28 8" xfId="22637" xr:uid="{00000000-0005-0000-0000-000022580000}"/>
    <cellStyle name="Accent5 3 28 9" xfId="22638" xr:uid="{00000000-0005-0000-0000-000023580000}"/>
    <cellStyle name="Accent5 3 29" xfId="22639" xr:uid="{00000000-0005-0000-0000-000024580000}"/>
    <cellStyle name="Accent5 3 29 10" xfId="22640" xr:uid="{00000000-0005-0000-0000-000025580000}"/>
    <cellStyle name="Accent5 3 29 11" xfId="22641" xr:uid="{00000000-0005-0000-0000-000026580000}"/>
    <cellStyle name="Accent5 3 29 12" xfId="22642" xr:uid="{00000000-0005-0000-0000-000027580000}"/>
    <cellStyle name="Accent5 3 29 13" xfId="22643" xr:uid="{00000000-0005-0000-0000-000028580000}"/>
    <cellStyle name="Accent5 3 29 14" xfId="22644" xr:uid="{00000000-0005-0000-0000-000029580000}"/>
    <cellStyle name="Accent5 3 29 15" xfId="22645" xr:uid="{00000000-0005-0000-0000-00002A580000}"/>
    <cellStyle name="Accent5 3 29 2" xfId="22646" xr:uid="{00000000-0005-0000-0000-00002B580000}"/>
    <cellStyle name="Accent5 3 29 3" xfId="22647" xr:uid="{00000000-0005-0000-0000-00002C580000}"/>
    <cellStyle name="Accent5 3 29 4" xfId="22648" xr:uid="{00000000-0005-0000-0000-00002D580000}"/>
    <cellStyle name="Accent5 3 29 5" xfId="22649" xr:uid="{00000000-0005-0000-0000-00002E580000}"/>
    <cellStyle name="Accent5 3 29 6" xfId="22650" xr:uid="{00000000-0005-0000-0000-00002F580000}"/>
    <cellStyle name="Accent5 3 29 7" xfId="22651" xr:uid="{00000000-0005-0000-0000-000030580000}"/>
    <cellStyle name="Accent5 3 29 8" xfId="22652" xr:uid="{00000000-0005-0000-0000-000031580000}"/>
    <cellStyle name="Accent5 3 29 9" xfId="22653" xr:uid="{00000000-0005-0000-0000-000032580000}"/>
    <cellStyle name="Accent5 3 3" xfId="22654" xr:uid="{00000000-0005-0000-0000-000033580000}"/>
    <cellStyle name="Accent5 3 3 10" xfId="22655" xr:uid="{00000000-0005-0000-0000-000034580000}"/>
    <cellStyle name="Accent5 3 3 11" xfId="22656" xr:uid="{00000000-0005-0000-0000-000035580000}"/>
    <cellStyle name="Accent5 3 3 12" xfId="22657" xr:uid="{00000000-0005-0000-0000-000036580000}"/>
    <cellStyle name="Accent5 3 3 13" xfId="22658" xr:uid="{00000000-0005-0000-0000-000037580000}"/>
    <cellStyle name="Accent5 3 3 14" xfId="22659" xr:uid="{00000000-0005-0000-0000-000038580000}"/>
    <cellStyle name="Accent5 3 3 15" xfId="22660" xr:uid="{00000000-0005-0000-0000-000039580000}"/>
    <cellStyle name="Accent5 3 3 16" xfId="22661" xr:uid="{00000000-0005-0000-0000-00003A580000}"/>
    <cellStyle name="Accent5 3 3 2" xfId="22662" xr:uid="{00000000-0005-0000-0000-00003B580000}"/>
    <cellStyle name="Accent5 3 3 3" xfId="22663" xr:uid="{00000000-0005-0000-0000-00003C580000}"/>
    <cellStyle name="Accent5 3 3 4" xfId="22664" xr:uid="{00000000-0005-0000-0000-00003D580000}"/>
    <cellStyle name="Accent5 3 3 5" xfId="22665" xr:uid="{00000000-0005-0000-0000-00003E580000}"/>
    <cellStyle name="Accent5 3 3 6" xfId="22666" xr:uid="{00000000-0005-0000-0000-00003F580000}"/>
    <cellStyle name="Accent5 3 3 7" xfId="22667" xr:uid="{00000000-0005-0000-0000-000040580000}"/>
    <cellStyle name="Accent5 3 3 8" xfId="22668" xr:uid="{00000000-0005-0000-0000-000041580000}"/>
    <cellStyle name="Accent5 3 3 9" xfId="22669" xr:uid="{00000000-0005-0000-0000-000042580000}"/>
    <cellStyle name="Accent5 3 30" xfId="22670" xr:uid="{00000000-0005-0000-0000-000043580000}"/>
    <cellStyle name="Accent5 3 30 10" xfId="22671" xr:uid="{00000000-0005-0000-0000-000044580000}"/>
    <cellStyle name="Accent5 3 30 11" xfId="22672" xr:uid="{00000000-0005-0000-0000-000045580000}"/>
    <cellStyle name="Accent5 3 30 12" xfId="22673" xr:uid="{00000000-0005-0000-0000-000046580000}"/>
    <cellStyle name="Accent5 3 30 13" xfId="22674" xr:uid="{00000000-0005-0000-0000-000047580000}"/>
    <cellStyle name="Accent5 3 30 14" xfId="22675" xr:uid="{00000000-0005-0000-0000-000048580000}"/>
    <cellStyle name="Accent5 3 30 15" xfId="22676" xr:uid="{00000000-0005-0000-0000-000049580000}"/>
    <cellStyle name="Accent5 3 30 2" xfId="22677" xr:uid="{00000000-0005-0000-0000-00004A580000}"/>
    <cellStyle name="Accent5 3 30 3" xfId="22678" xr:uid="{00000000-0005-0000-0000-00004B580000}"/>
    <cellStyle name="Accent5 3 30 4" xfId="22679" xr:uid="{00000000-0005-0000-0000-00004C580000}"/>
    <cellStyle name="Accent5 3 30 5" xfId="22680" xr:uid="{00000000-0005-0000-0000-00004D580000}"/>
    <cellStyle name="Accent5 3 30 6" xfId="22681" xr:uid="{00000000-0005-0000-0000-00004E580000}"/>
    <cellStyle name="Accent5 3 30 7" xfId="22682" xr:uid="{00000000-0005-0000-0000-00004F580000}"/>
    <cellStyle name="Accent5 3 30 8" xfId="22683" xr:uid="{00000000-0005-0000-0000-000050580000}"/>
    <cellStyle name="Accent5 3 30 9" xfId="22684" xr:uid="{00000000-0005-0000-0000-000051580000}"/>
    <cellStyle name="Accent5 3 31" xfId="22685" xr:uid="{00000000-0005-0000-0000-000052580000}"/>
    <cellStyle name="Accent5 3 31 10" xfId="22686" xr:uid="{00000000-0005-0000-0000-000053580000}"/>
    <cellStyle name="Accent5 3 31 11" xfId="22687" xr:uid="{00000000-0005-0000-0000-000054580000}"/>
    <cellStyle name="Accent5 3 31 12" xfId="22688" xr:uid="{00000000-0005-0000-0000-000055580000}"/>
    <cellStyle name="Accent5 3 31 13" xfId="22689" xr:uid="{00000000-0005-0000-0000-000056580000}"/>
    <cellStyle name="Accent5 3 31 14" xfId="22690" xr:uid="{00000000-0005-0000-0000-000057580000}"/>
    <cellStyle name="Accent5 3 31 15" xfId="22691" xr:uid="{00000000-0005-0000-0000-000058580000}"/>
    <cellStyle name="Accent5 3 31 2" xfId="22692" xr:uid="{00000000-0005-0000-0000-000059580000}"/>
    <cellStyle name="Accent5 3 31 3" xfId="22693" xr:uid="{00000000-0005-0000-0000-00005A580000}"/>
    <cellStyle name="Accent5 3 31 4" xfId="22694" xr:uid="{00000000-0005-0000-0000-00005B580000}"/>
    <cellStyle name="Accent5 3 31 5" xfId="22695" xr:uid="{00000000-0005-0000-0000-00005C580000}"/>
    <cellStyle name="Accent5 3 31 6" xfId="22696" xr:uid="{00000000-0005-0000-0000-00005D580000}"/>
    <cellStyle name="Accent5 3 31 7" xfId="22697" xr:uid="{00000000-0005-0000-0000-00005E580000}"/>
    <cellStyle name="Accent5 3 31 8" xfId="22698" xr:uid="{00000000-0005-0000-0000-00005F580000}"/>
    <cellStyle name="Accent5 3 31 9" xfId="22699" xr:uid="{00000000-0005-0000-0000-000060580000}"/>
    <cellStyle name="Accent5 3 32" xfId="22700" xr:uid="{00000000-0005-0000-0000-000061580000}"/>
    <cellStyle name="Accent5 3 32 10" xfId="22701" xr:uid="{00000000-0005-0000-0000-000062580000}"/>
    <cellStyle name="Accent5 3 32 11" xfId="22702" xr:uid="{00000000-0005-0000-0000-000063580000}"/>
    <cellStyle name="Accent5 3 32 12" xfId="22703" xr:uid="{00000000-0005-0000-0000-000064580000}"/>
    <cellStyle name="Accent5 3 32 13" xfId="22704" xr:uid="{00000000-0005-0000-0000-000065580000}"/>
    <cellStyle name="Accent5 3 32 14" xfId="22705" xr:uid="{00000000-0005-0000-0000-000066580000}"/>
    <cellStyle name="Accent5 3 32 15" xfId="22706" xr:uid="{00000000-0005-0000-0000-000067580000}"/>
    <cellStyle name="Accent5 3 32 2" xfId="22707" xr:uid="{00000000-0005-0000-0000-000068580000}"/>
    <cellStyle name="Accent5 3 32 3" xfId="22708" xr:uid="{00000000-0005-0000-0000-000069580000}"/>
    <cellStyle name="Accent5 3 32 4" xfId="22709" xr:uid="{00000000-0005-0000-0000-00006A580000}"/>
    <cellStyle name="Accent5 3 32 5" xfId="22710" xr:uid="{00000000-0005-0000-0000-00006B580000}"/>
    <cellStyle name="Accent5 3 32 6" xfId="22711" xr:uid="{00000000-0005-0000-0000-00006C580000}"/>
    <cellStyle name="Accent5 3 32 7" xfId="22712" xr:uid="{00000000-0005-0000-0000-00006D580000}"/>
    <cellStyle name="Accent5 3 32 8" xfId="22713" xr:uid="{00000000-0005-0000-0000-00006E580000}"/>
    <cellStyle name="Accent5 3 32 9" xfId="22714" xr:uid="{00000000-0005-0000-0000-00006F580000}"/>
    <cellStyle name="Accent5 3 33" xfId="22715" xr:uid="{00000000-0005-0000-0000-000070580000}"/>
    <cellStyle name="Accent5 3 34" xfId="22716" xr:uid="{00000000-0005-0000-0000-000071580000}"/>
    <cellStyle name="Accent5 3 35" xfId="22717" xr:uid="{00000000-0005-0000-0000-000072580000}"/>
    <cellStyle name="Accent5 3 36" xfId="22718" xr:uid="{00000000-0005-0000-0000-000073580000}"/>
    <cellStyle name="Accent5 3 37" xfId="22719" xr:uid="{00000000-0005-0000-0000-000074580000}"/>
    <cellStyle name="Accent5 3 38" xfId="22720" xr:uid="{00000000-0005-0000-0000-000075580000}"/>
    <cellStyle name="Accent5 3 39" xfId="22721" xr:uid="{00000000-0005-0000-0000-000076580000}"/>
    <cellStyle name="Accent5 3 4" xfId="22722" xr:uid="{00000000-0005-0000-0000-000077580000}"/>
    <cellStyle name="Accent5 3 4 10" xfId="22723" xr:uid="{00000000-0005-0000-0000-000078580000}"/>
    <cellStyle name="Accent5 3 4 11" xfId="22724" xr:uid="{00000000-0005-0000-0000-000079580000}"/>
    <cellStyle name="Accent5 3 4 12" xfId="22725" xr:uid="{00000000-0005-0000-0000-00007A580000}"/>
    <cellStyle name="Accent5 3 4 13" xfId="22726" xr:uid="{00000000-0005-0000-0000-00007B580000}"/>
    <cellStyle name="Accent5 3 4 14" xfId="22727" xr:uid="{00000000-0005-0000-0000-00007C580000}"/>
    <cellStyle name="Accent5 3 4 15" xfId="22728" xr:uid="{00000000-0005-0000-0000-00007D580000}"/>
    <cellStyle name="Accent5 3 4 2" xfId="22729" xr:uid="{00000000-0005-0000-0000-00007E580000}"/>
    <cellStyle name="Accent5 3 4 3" xfId="22730" xr:uid="{00000000-0005-0000-0000-00007F580000}"/>
    <cellStyle name="Accent5 3 4 4" xfId="22731" xr:uid="{00000000-0005-0000-0000-000080580000}"/>
    <cellStyle name="Accent5 3 4 5" xfId="22732" xr:uid="{00000000-0005-0000-0000-000081580000}"/>
    <cellStyle name="Accent5 3 4 6" xfId="22733" xr:uid="{00000000-0005-0000-0000-000082580000}"/>
    <cellStyle name="Accent5 3 4 7" xfId="22734" xr:uid="{00000000-0005-0000-0000-000083580000}"/>
    <cellStyle name="Accent5 3 4 8" xfId="22735" xr:uid="{00000000-0005-0000-0000-000084580000}"/>
    <cellStyle name="Accent5 3 4 9" xfId="22736" xr:uid="{00000000-0005-0000-0000-000085580000}"/>
    <cellStyle name="Accent5 3 40" xfId="22737" xr:uid="{00000000-0005-0000-0000-000086580000}"/>
    <cellStyle name="Accent5 3 41" xfId="22738" xr:uid="{00000000-0005-0000-0000-000087580000}"/>
    <cellStyle name="Accent5 3 42" xfId="22739" xr:uid="{00000000-0005-0000-0000-000088580000}"/>
    <cellStyle name="Accent5 3 43" xfId="22740" xr:uid="{00000000-0005-0000-0000-000089580000}"/>
    <cellStyle name="Accent5 3 44" xfId="22741" xr:uid="{00000000-0005-0000-0000-00008A580000}"/>
    <cellStyle name="Accent5 3 45" xfId="22742" xr:uid="{00000000-0005-0000-0000-00008B580000}"/>
    <cellStyle name="Accent5 3 46" xfId="22743" xr:uid="{00000000-0005-0000-0000-00008C580000}"/>
    <cellStyle name="Accent5 3 47" xfId="22744" xr:uid="{00000000-0005-0000-0000-00008D580000}"/>
    <cellStyle name="Accent5 3 48" xfId="22745" xr:uid="{00000000-0005-0000-0000-00008E580000}"/>
    <cellStyle name="Accent5 3 49" xfId="22746" xr:uid="{00000000-0005-0000-0000-00008F580000}"/>
    <cellStyle name="Accent5 3 5" xfId="22747" xr:uid="{00000000-0005-0000-0000-000090580000}"/>
    <cellStyle name="Accent5 3 5 10" xfId="22748" xr:uid="{00000000-0005-0000-0000-000091580000}"/>
    <cellStyle name="Accent5 3 5 11" xfId="22749" xr:uid="{00000000-0005-0000-0000-000092580000}"/>
    <cellStyle name="Accent5 3 5 12" xfId="22750" xr:uid="{00000000-0005-0000-0000-000093580000}"/>
    <cellStyle name="Accent5 3 5 13" xfId="22751" xr:uid="{00000000-0005-0000-0000-000094580000}"/>
    <cellStyle name="Accent5 3 5 14" xfId="22752" xr:uid="{00000000-0005-0000-0000-000095580000}"/>
    <cellStyle name="Accent5 3 5 15" xfId="22753" xr:uid="{00000000-0005-0000-0000-000096580000}"/>
    <cellStyle name="Accent5 3 5 2" xfId="22754" xr:uid="{00000000-0005-0000-0000-000097580000}"/>
    <cellStyle name="Accent5 3 5 3" xfId="22755" xr:uid="{00000000-0005-0000-0000-000098580000}"/>
    <cellStyle name="Accent5 3 5 4" xfId="22756" xr:uid="{00000000-0005-0000-0000-000099580000}"/>
    <cellStyle name="Accent5 3 5 5" xfId="22757" xr:uid="{00000000-0005-0000-0000-00009A580000}"/>
    <cellStyle name="Accent5 3 5 6" xfId="22758" xr:uid="{00000000-0005-0000-0000-00009B580000}"/>
    <cellStyle name="Accent5 3 5 7" xfId="22759" xr:uid="{00000000-0005-0000-0000-00009C580000}"/>
    <cellStyle name="Accent5 3 5 8" xfId="22760" xr:uid="{00000000-0005-0000-0000-00009D580000}"/>
    <cellStyle name="Accent5 3 5 9" xfId="22761" xr:uid="{00000000-0005-0000-0000-00009E580000}"/>
    <cellStyle name="Accent5 3 50" xfId="22762" xr:uid="{00000000-0005-0000-0000-00009F580000}"/>
    <cellStyle name="Accent5 3 51" xfId="22763" xr:uid="{00000000-0005-0000-0000-0000A0580000}"/>
    <cellStyle name="Accent5 3 52" xfId="22764" xr:uid="{00000000-0005-0000-0000-0000A1580000}"/>
    <cellStyle name="Accent5 3 53" xfId="22765" xr:uid="{00000000-0005-0000-0000-0000A2580000}"/>
    <cellStyle name="Accent5 3 6" xfId="22766" xr:uid="{00000000-0005-0000-0000-0000A3580000}"/>
    <cellStyle name="Accent5 3 6 10" xfId="22767" xr:uid="{00000000-0005-0000-0000-0000A4580000}"/>
    <cellStyle name="Accent5 3 6 11" xfId="22768" xr:uid="{00000000-0005-0000-0000-0000A5580000}"/>
    <cellStyle name="Accent5 3 6 12" xfId="22769" xr:uid="{00000000-0005-0000-0000-0000A6580000}"/>
    <cellStyle name="Accent5 3 6 13" xfId="22770" xr:uid="{00000000-0005-0000-0000-0000A7580000}"/>
    <cellStyle name="Accent5 3 6 14" xfId="22771" xr:uid="{00000000-0005-0000-0000-0000A8580000}"/>
    <cellStyle name="Accent5 3 6 15" xfId="22772" xr:uid="{00000000-0005-0000-0000-0000A9580000}"/>
    <cellStyle name="Accent5 3 6 2" xfId="22773" xr:uid="{00000000-0005-0000-0000-0000AA580000}"/>
    <cellStyle name="Accent5 3 6 3" xfId="22774" xr:uid="{00000000-0005-0000-0000-0000AB580000}"/>
    <cellStyle name="Accent5 3 6 4" xfId="22775" xr:uid="{00000000-0005-0000-0000-0000AC580000}"/>
    <cellStyle name="Accent5 3 6 5" xfId="22776" xr:uid="{00000000-0005-0000-0000-0000AD580000}"/>
    <cellStyle name="Accent5 3 6 6" xfId="22777" xr:uid="{00000000-0005-0000-0000-0000AE580000}"/>
    <cellStyle name="Accent5 3 6 7" xfId="22778" xr:uid="{00000000-0005-0000-0000-0000AF580000}"/>
    <cellStyle name="Accent5 3 6 8" xfId="22779" xr:uid="{00000000-0005-0000-0000-0000B0580000}"/>
    <cellStyle name="Accent5 3 6 9" xfId="22780" xr:uid="{00000000-0005-0000-0000-0000B1580000}"/>
    <cellStyle name="Accent5 3 7" xfId="22781" xr:uid="{00000000-0005-0000-0000-0000B2580000}"/>
    <cellStyle name="Accent5 3 7 10" xfId="22782" xr:uid="{00000000-0005-0000-0000-0000B3580000}"/>
    <cellStyle name="Accent5 3 7 11" xfId="22783" xr:uid="{00000000-0005-0000-0000-0000B4580000}"/>
    <cellStyle name="Accent5 3 7 12" xfId="22784" xr:uid="{00000000-0005-0000-0000-0000B5580000}"/>
    <cellStyle name="Accent5 3 7 13" xfId="22785" xr:uid="{00000000-0005-0000-0000-0000B6580000}"/>
    <cellStyle name="Accent5 3 7 14" xfId="22786" xr:uid="{00000000-0005-0000-0000-0000B7580000}"/>
    <cellStyle name="Accent5 3 7 15" xfId="22787" xr:uid="{00000000-0005-0000-0000-0000B8580000}"/>
    <cellStyle name="Accent5 3 7 2" xfId="22788" xr:uid="{00000000-0005-0000-0000-0000B9580000}"/>
    <cellStyle name="Accent5 3 7 3" xfId="22789" xr:uid="{00000000-0005-0000-0000-0000BA580000}"/>
    <cellStyle name="Accent5 3 7 4" xfId="22790" xr:uid="{00000000-0005-0000-0000-0000BB580000}"/>
    <cellStyle name="Accent5 3 7 5" xfId="22791" xr:uid="{00000000-0005-0000-0000-0000BC580000}"/>
    <cellStyle name="Accent5 3 7 6" xfId="22792" xr:uid="{00000000-0005-0000-0000-0000BD580000}"/>
    <cellStyle name="Accent5 3 7 7" xfId="22793" xr:uid="{00000000-0005-0000-0000-0000BE580000}"/>
    <cellStyle name="Accent5 3 7 8" xfId="22794" xr:uid="{00000000-0005-0000-0000-0000BF580000}"/>
    <cellStyle name="Accent5 3 7 9" xfId="22795" xr:uid="{00000000-0005-0000-0000-0000C0580000}"/>
    <cellStyle name="Accent5 3 8" xfId="22796" xr:uid="{00000000-0005-0000-0000-0000C1580000}"/>
    <cellStyle name="Accent5 3 8 10" xfId="22797" xr:uid="{00000000-0005-0000-0000-0000C2580000}"/>
    <cellStyle name="Accent5 3 8 11" xfId="22798" xr:uid="{00000000-0005-0000-0000-0000C3580000}"/>
    <cellStyle name="Accent5 3 8 12" xfId="22799" xr:uid="{00000000-0005-0000-0000-0000C4580000}"/>
    <cellStyle name="Accent5 3 8 13" xfId="22800" xr:uid="{00000000-0005-0000-0000-0000C5580000}"/>
    <cellStyle name="Accent5 3 8 14" xfId="22801" xr:uid="{00000000-0005-0000-0000-0000C6580000}"/>
    <cellStyle name="Accent5 3 8 15" xfId="22802" xr:uid="{00000000-0005-0000-0000-0000C7580000}"/>
    <cellStyle name="Accent5 3 8 2" xfId="22803" xr:uid="{00000000-0005-0000-0000-0000C8580000}"/>
    <cellStyle name="Accent5 3 8 3" xfId="22804" xr:uid="{00000000-0005-0000-0000-0000C9580000}"/>
    <cellStyle name="Accent5 3 8 4" xfId="22805" xr:uid="{00000000-0005-0000-0000-0000CA580000}"/>
    <cellStyle name="Accent5 3 8 5" xfId="22806" xr:uid="{00000000-0005-0000-0000-0000CB580000}"/>
    <cellStyle name="Accent5 3 8 6" xfId="22807" xr:uid="{00000000-0005-0000-0000-0000CC580000}"/>
    <cellStyle name="Accent5 3 8 7" xfId="22808" xr:uid="{00000000-0005-0000-0000-0000CD580000}"/>
    <cellStyle name="Accent5 3 8 8" xfId="22809" xr:uid="{00000000-0005-0000-0000-0000CE580000}"/>
    <cellStyle name="Accent5 3 8 9" xfId="22810" xr:uid="{00000000-0005-0000-0000-0000CF580000}"/>
    <cellStyle name="Accent5 3 9" xfId="22811" xr:uid="{00000000-0005-0000-0000-0000D0580000}"/>
    <cellStyle name="Accent5 3 9 10" xfId="22812" xr:uid="{00000000-0005-0000-0000-0000D1580000}"/>
    <cellStyle name="Accent5 3 9 11" xfId="22813" xr:uid="{00000000-0005-0000-0000-0000D2580000}"/>
    <cellStyle name="Accent5 3 9 12" xfId="22814" xr:uid="{00000000-0005-0000-0000-0000D3580000}"/>
    <cellStyle name="Accent5 3 9 13" xfId="22815" xr:uid="{00000000-0005-0000-0000-0000D4580000}"/>
    <cellStyle name="Accent5 3 9 14" xfId="22816" xr:uid="{00000000-0005-0000-0000-0000D5580000}"/>
    <cellStyle name="Accent5 3 9 15" xfId="22817" xr:uid="{00000000-0005-0000-0000-0000D6580000}"/>
    <cellStyle name="Accent5 3 9 2" xfId="22818" xr:uid="{00000000-0005-0000-0000-0000D7580000}"/>
    <cellStyle name="Accent5 3 9 3" xfId="22819" xr:uid="{00000000-0005-0000-0000-0000D8580000}"/>
    <cellStyle name="Accent5 3 9 4" xfId="22820" xr:uid="{00000000-0005-0000-0000-0000D9580000}"/>
    <cellStyle name="Accent5 3 9 5" xfId="22821" xr:uid="{00000000-0005-0000-0000-0000DA580000}"/>
    <cellStyle name="Accent5 3 9 6" xfId="22822" xr:uid="{00000000-0005-0000-0000-0000DB580000}"/>
    <cellStyle name="Accent5 3 9 7" xfId="22823" xr:uid="{00000000-0005-0000-0000-0000DC580000}"/>
    <cellStyle name="Accent5 3 9 8" xfId="22824" xr:uid="{00000000-0005-0000-0000-0000DD580000}"/>
    <cellStyle name="Accent5 3 9 9" xfId="22825" xr:uid="{00000000-0005-0000-0000-0000DE580000}"/>
    <cellStyle name="Accent5 30" xfId="22826" xr:uid="{00000000-0005-0000-0000-0000DF580000}"/>
    <cellStyle name="Accent5 30 10" xfId="22827" xr:uid="{00000000-0005-0000-0000-0000E0580000}"/>
    <cellStyle name="Accent5 30 11" xfId="22828" xr:uid="{00000000-0005-0000-0000-0000E1580000}"/>
    <cellStyle name="Accent5 30 12" xfId="22829" xr:uid="{00000000-0005-0000-0000-0000E2580000}"/>
    <cellStyle name="Accent5 30 13" xfId="22830" xr:uid="{00000000-0005-0000-0000-0000E3580000}"/>
    <cellStyle name="Accent5 30 14" xfId="22831" xr:uid="{00000000-0005-0000-0000-0000E4580000}"/>
    <cellStyle name="Accent5 30 15" xfId="22832" xr:uid="{00000000-0005-0000-0000-0000E5580000}"/>
    <cellStyle name="Accent5 30 2" xfId="22833" xr:uid="{00000000-0005-0000-0000-0000E6580000}"/>
    <cellStyle name="Accent5 30 3" xfId="22834" xr:uid="{00000000-0005-0000-0000-0000E7580000}"/>
    <cellStyle name="Accent5 30 4" xfId="22835" xr:uid="{00000000-0005-0000-0000-0000E8580000}"/>
    <cellStyle name="Accent5 30 5" xfId="22836" xr:uid="{00000000-0005-0000-0000-0000E9580000}"/>
    <cellStyle name="Accent5 30 6" xfId="22837" xr:uid="{00000000-0005-0000-0000-0000EA580000}"/>
    <cellStyle name="Accent5 30 7" xfId="22838" xr:uid="{00000000-0005-0000-0000-0000EB580000}"/>
    <cellStyle name="Accent5 30 8" xfId="22839" xr:uid="{00000000-0005-0000-0000-0000EC580000}"/>
    <cellStyle name="Accent5 30 9" xfId="22840" xr:uid="{00000000-0005-0000-0000-0000ED580000}"/>
    <cellStyle name="Accent5 31" xfId="22841" xr:uid="{00000000-0005-0000-0000-0000EE580000}"/>
    <cellStyle name="Accent5 31 10" xfId="22842" xr:uid="{00000000-0005-0000-0000-0000EF580000}"/>
    <cellStyle name="Accent5 31 11" xfId="22843" xr:uid="{00000000-0005-0000-0000-0000F0580000}"/>
    <cellStyle name="Accent5 31 12" xfId="22844" xr:uid="{00000000-0005-0000-0000-0000F1580000}"/>
    <cellStyle name="Accent5 31 13" xfId="22845" xr:uid="{00000000-0005-0000-0000-0000F2580000}"/>
    <cellStyle name="Accent5 31 14" xfId="22846" xr:uid="{00000000-0005-0000-0000-0000F3580000}"/>
    <cellStyle name="Accent5 31 15" xfId="22847" xr:uid="{00000000-0005-0000-0000-0000F4580000}"/>
    <cellStyle name="Accent5 31 2" xfId="22848" xr:uid="{00000000-0005-0000-0000-0000F5580000}"/>
    <cellStyle name="Accent5 31 3" xfId="22849" xr:uid="{00000000-0005-0000-0000-0000F6580000}"/>
    <cellStyle name="Accent5 31 4" xfId="22850" xr:uid="{00000000-0005-0000-0000-0000F7580000}"/>
    <cellStyle name="Accent5 31 5" xfId="22851" xr:uid="{00000000-0005-0000-0000-0000F8580000}"/>
    <cellStyle name="Accent5 31 6" xfId="22852" xr:uid="{00000000-0005-0000-0000-0000F9580000}"/>
    <cellStyle name="Accent5 31 7" xfId="22853" xr:uid="{00000000-0005-0000-0000-0000FA580000}"/>
    <cellStyle name="Accent5 31 8" xfId="22854" xr:uid="{00000000-0005-0000-0000-0000FB580000}"/>
    <cellStyle name="Accent5 31 9" xfId="22855" xr:uid="{00000000-0005-0000-0000-0000FC580000}"/>
    <cellStyle name="Accent5 32" xfId="22856" xr:uid="{00000000-0005-0000-0000-0000FD580000}"/>
    <cellStyle name="Accent5 32 10" xfId="22857" xr:uid="{00000000-0005-0000-0000-0000FE580000}"/>
    <cellStyle name="Accent5 32 11" xfId="22858" xr:uid="{00000000-0005-0000-0000-0000FF580000}"/>
    <cellStyle name="Accent5 32 12" xfId="22859" xr:uid="{00000000-0005-0000-0000-000000590000}"/>
    <cellStyle name="Accent5 32 13" xfId="22860" xr:uid="{00000000-0005-0000-0000-000001590000}"/>
    <cellStyle name="Accent5 32 14" xfId="22861" xr:uid="{00000000-0005-0000-0000-000002590000}"/>
    <cellStyle name="Accent5 32 15" xfId="22862" xr:uid="{00000000-0005-0000-0000-000003590000}"/>
    <cellStyle name="Accent5 32 2" xfId="22863" xr:uid="{00000000-0005-0000-0000-000004590000}"/>
    <cellStyle name="Accent5 32 3" xfId="22864" xr:uid="{00000000-0005-0000-0000-000005590000}"/>
    <cellStyle name="Accent5 32 4" xfId="22865" xr:uid="{00000000-0005-0000-0000-000006590000}"/>
    <cellStyle name="Accent5 32 5" xfId="22866" xr:uid="{00000000-0005-0000-0000-000007590000}"/>
    <cellStyle name="Accent5 32 6" xfId="22867" xr:uid="{00000000-0005-0000-0000-000008590000}"/>
    <cellStyle name="Accent5 32 7" xfId="22868" xr:uid="{00000000-0005-0000-0000-000009590000}"/>
    <cellStyle name="Accent5 32 8" xfId="22869" xr:uid="{00000000-0005-0000-0000-00000A590000}"/>
    <cellStyle name="Accent5 32 9" xfId="22870" xr:uid="{00000000-0005-0000-0000-00000B590000}"/>
    <cellStyle name="Accent5 33" xfId="22871" xr:uid="{00000000-0005-0000-0000-00000C590000}"/>
    <cellStyle name="Accent5 33 10" xfId="22872" xr:uid="{00000000-0005-0000-0000-00000D590000}"/>
    <cellStyle name="Accent5 33 11" xfId="22873" xr:uid="{00000000-0005-0000-0000-00000E590000}"/>
    <cellStyle name="Accent5 33 12" xfId="22874" xr:uid="{00000000-0005-0000-0000-00000F590000}"/>
    <cellStyle name="Accent5 33 13" xfId="22875" xr:uid="{00000000-0005-0000-0000-000010590000}"/>
    <cellStyle name="Accent5 33 14" xfId="22876" xr:uid="{00000000-0005-0000-0000-000011590000}"/>
    <cellStyle name="Accent5 33 15" xfId="22877" xr:uid="{00000000-0005-0000-0000-000012590000}"/>
    <cellStyle name="Accent5 33 2" xfId="22878" xr:uid="{00000000-0005-0000-0000-000013590000}"/>
    <cellStyle name="Accent5 33 3" xfId="22879" xr:uid="{00000000-0005-0000-0000-000014590000}"/>
    <cellStyle name="Accent5 33 4" xfId="22880" xr:uid="{00000000-0005-0000-0000-000015590000}"/>
    <cellStyle name="Accent5 33 5" xfId="22881" xr:uid="{00000000-0005-0000-0000-000016590000}"/>
    <cellStyle name="Accent5 33 6" xfId="22882" xr:uid="{00000000-0005-0000-0000-000017590000}"/>
    <cellStyle name="Accent5 33 7" xfId="22883" xr:uid="{00000000-0005-0000-0000-000018590000}"/>
    <cellStyle name="Accent5 33 8" xfId="22884" xr:uid="{00000000-0005-0000-0000-000019590000}"/>
    <cellStyle name="Accent5 33 9" xfId="22885" xr:uid="{00000000-0005-0000-0000-00001A590000}"/>
    <cellStyle name="Accent5 34" xfId="22886" xr:uid="{00000000-0005-0000-0000-00001B590000}"/>
    <cellStyle name="Accent5 34 10" xfId="22887" xr:uid="{00000000-0005-0000-0000-00001C590000}"/>
    <cellStyle name="Accent5 34 11" xfId="22888" xr:uid="{00000000-0005-0000-0000-00001D590000}"/>
    <cellStyle name="Accent5 34 12" xfId="22889" xr:uid="{00000000-0005-0000-0000-00001E590000}"/>
    <cellStyle name="Accent5 34 13" xfId="22890" xr:uid="{00000000-0005-0000-0000-00001F590000}"/>
    <cellStyle name="Accent5 34 14" xfId="22891" xr:uid="{00000000-0005-0000-0000-000020590000}"/>
    <cellStyle name="Accent5 34 15" xfId="22892" xr:uid="{00000000-0005-0000-0000-000021590000}"/>
    <cellStyle name="Accent5 34 2" xfId="22893" xr:uid="{00000000-0005-0000-0000-000022590000}"/>
    <cellStyle name="Accent5 34 3" xfId="22894" xr:uid="{00000000-0005-0000-0000-000023590000}"/>
    <cellStyle name="Accent5 34 4" xfId="22895" xr:uid="{00000000-0005-0000-0000-000024590000}"/>
    <cellStyle name="Accent5 34 5" xfId="22896" xr:uid="{00000000-0005-0000-0000-000025590000}"/>
    <cellStyle name="Accent5 34 6" xfId="22897" xr:uid="{00000000-0005-0000-0000-000026590000}"/>
    <cellStyle name="Accent5 34 7" xfId="22898" xr:uid="{00000000-0005-0000-0000-000027590000}"/>
    <cellStyle name="Accent5 34 8" xfId="22899" xr:uid="{00000000-0005-0000-0000-000028590000}"/>
    <cellStyle name="Accent5 34 9" xfId="22900" xr:uid="{00000000-0005-0000-0000-000029590000}"/>
    <cellStyle name="Accent5 35" xfId="22901" xr:uid="{00000000-0005-0000-0000-00002A590000}"/>
    <cellStyle name="Accent5 35 10" xfId="22902" xr:uid="{00000000-0005-0000-0000-00002B590000}"/>
    <cellStyle name="Accent5 35 11" xfId="22903" xr:uid="{00000000-0005-0000-0000-00002C590000}"/>
    <cellStyle name="Accent5 35 12" xfId="22904" xr:uid="{00000000-0005-0000-0000-00002D590000}"/>
    <cellStyle name="Accent5 35 13" xfId="22905" xr:uid="{00000000-0005-0000-0000-00002E590000}"/>
    <cellStyle name="Accent5 35 14" xfId="22906" xr:uid="{00000000-0005-0000-0000-00002F590000}"/>
    <cellStyle name="Accent5 35 15" xfId="22907" xr:uid="{00000000-0005-0000-0000-000030590000}"/>
    <cellStyle name="Accent5 35 2" xfId="22908" xr:uid="{00000000-0005-0000-0000-000031590000}"/>
    <cellStyle name="Accent5 35 3" xfId="22909" xr:uid="{00000000-0005-0000-0000-000032590000}"/>
    <cellStyle name="Accent5 35 4" xfId="22910" xr:uid="{00000000-0005-0000-0000-000033590000}"/>
    <cellStyle name="Accent5 35 5" xfId="22911" xr:uid="{00000000-0005-0000-0000-000034590000}"/>
    <cellStyle name="Accent5 35 6" xfId="22912" xr:uid="{00000000-0005-0000-0000-000035590000}"/>
    <cellStyle name="Accent5 35 7" xfId="22913" xr:uid="{00000000-0005-0000-0000-000036590000}"/>
    <cellStyle name="Accent5 35 8" xfId="22914" xr:uid="{00000000-0005-0000-0000-000037590000}"/>
    <cellStyle name="Accent5 35 9" xfId="22915" xr:uid="{00000000-0005-0000-0000-000038590000}"/>
    <cellStyle name="Accent5 36" xfId="22916" xr:uid="{00000000-0005-0000-0000-000039590000}"/>
    <cellStyle name="Accent5 36 10" xfId="22917" xr:uid="{00000000-0005-0000-0000-00003A590000}"/>
    <cellStyle name="Accent5 36 11" xfId="22918" xr:uid="{00000000-0005-0000-0000-00003B590000}"/>
    <cellStyle name="Accent5 36 12" xfId="22919" xr:uid="{00000000-0005-0000-0000-00003C590000}"/>
    <cellStyle name="Accent5 36 13" xfId="22920" xr:uid="{00000000-0005-0000-0000-00003D590000}"/>
    <cellStyle name="Accent5 36 14" xfId="22921" xr:uid="{00000000-0005-0000-0000-00003E590000}"/>
    <cellStyle name="Accent5 36 15" xfId="22922" xr:uid="{00000000-0005-0000-0000-00003F590000}"/>
    <cellStyle name="Accent5 36 2" xfId="22923" xr:uid="{00000000-0005-0000-0000-000040590000}"/>
    <cellStyle name="Accent5 36 3" xfId="22924" xr:uid="{00000000-0005-0000-0000-000041590000}"/>
    <cellStyle name="Accent5 36 4" xfId="22925" xr:uid="{00000000-0005-0000-0000-000042590000}"/>
    <cellStyle name="Accent5 36 5" xfId="22926" xr:uid="{00000000-0005-0000-0000-000043590000}"/>
    <cellStyle name="Accent5 36 6" xfId="22927" xr:uid="{00000000-0005-0000-0000-000044590000}"/>
    <cellStyle name="Accent5 36 7" xfId="22928" xr:uid="{00000000-0005-0000-0000-000045590000}"/>
    <cellStyle name="Accent5 36 8" xfId="22929" xr:uid="{00000000-0005-0000-0000-000046590000}"/>
    <cellStyle name="Accent5 36 9" xfId="22930" xr:uid="{00000000-0005-0000-0000-000047590000}"/>
    <cellStyle name="Accent5 37" xfId="22931" xr:uid="{00000000-0005-0000-0000-000048590000}"/>
    <cellStyle name="Accent5 37 10" xfId="22932" xr:uid="{00000000-0005-0000-0000-000049590000}"/>
    <cellStyle name="Accent5 37 11" xfId="22933" xr:uid="{00000000-0005-0000-0000-00004A590000}"/>
    <cellStyle name="Accent5 37 12" xfId="22934" xr:uid="{00000000-0005-0000-0000-00004B590000}"/>
    <cellStyle name="Accent5 37 13" xfId="22935" xr:uid="{00000000-0005-0000-0000-00004C590000}"/>
    <cellStyle name="Accent5 37 14" xfId="22936" xr:uid="{00000000-0005-0000-0000-00004D590000}"/>
    <cellStyle name="Accent5 37 15" xfId="22937" xr:uid="{00000000-0005-0000-0000-00004E590000}"/>
    <cellStyle name="Accent5 37 2" xfId="22938" xr:uid="{00000000-0005-0000-0000-00004F590000}"/>
    <cellStyle name="Accent5 37 3" xfId="22939" xr:uid="{00000000-0005-0000-0000-000050590000}"/>
    <cellStyle name="Accent5 37 4" xfId="22940" xr:uid="{00000000-0005-0000-0000-000051590000}"/>
    <cellStyle name="Accent5 37 5" xfId="22941" xr:uid="{00000000-0005-0000-0000-000052590000}"/>
    <cellStyle name="Accent5 37 6" xfId="22942" xr:uid="{00000000-0005-0000-0000-000053590000}"/>
    <cellStyle name="Accent5 37 7" xfId="22943" xr:uid="{00000000-0005-0000-0000-000054590000}"/>
    <cellStyle name="Accent5 37 8" xfId="22944" xr:uid="{00000000-0005-0000-0000-000055590000}"/>
    <cellStyle name="Accent5 37 9" xfId="22945" xr:uid="{00000000-0005-0000-0000-000056590000}"/>
    <cellStyle name="Accent5 38" xfId="22946" xr:uid="{00000000-0005-0000-0000-000057590000}"/>
    <cellStyle name="Accent5 38 10" xfId="22947" xr:uid="{00000000-0005-0000-0000-000058590000}"/>
    <cellStyle name="Accent5 38 11" xfId="22948" xr:uid="{00000000-0005-0000-0000-000059590000}"/>
    <cellStyle name="Accent5 38 12" xfId="22949" xr:uid="{00000000-0005-0000-0000-00005A590000}"/>
    <cellStyle name="Accent5 38 13" xfId="22950" xr:uid="{00000000-0005-0000-0000-00005B590000}"/>
    <cellStyle name="Accent5 38 14" xfId="22951" xr:uid="{00000000-0005-0000-0000-00005C590000}"/>
    <cellStyle name="Accent5 38 15" xfId="22952" xr:uid="{00000000-0005-0000-0000-00005D590000}"/>
    <cellStyle name="Accent5 38 2" xfId="22953" xr:uid="{00000000-0005-0000-0000-00005E590000}"/>
    <cellStyle name="Accent5 38 3" xfId="22954" xr:uid="{00000000-0005-0000-0000-00005F590000}"/>
    <cellStyle name="Accent5 38 4" xfId="22955" xr:uid="{00000000-0005-0000-0000-000060590000}"/>
    <cellStyle name="Accent5 38 5" xfId="22956" xr:uid="{00000000-0005-0000-0000-000061590000}"/>
    <cellStyle name="Accent5 38 6" xfId="22957" xr:uid="{00000000-0005-0000-0000-000062590000}"/>
    <cellStyle name="Accent5 38 7" xfId="22958" xr:uid="{00000000-0005-0000-0000-000063590000}"/>
    <cellStyle name="Accent5 38 8" xfId="22959" xr:uid="{00000000-0005-0000-0000-000064590000}"/>
    <cellStyle name="Accent5 38 9" xfId="22960" xr:uid="{00000000-0005-0000-0000-000065590000}"/>
    <cellStyle name="Accent5 39" xfId="22961" xr:uid="{00000000-0005-0000-0000-000066590000}"/>
    <cellStyle name="Accent5 39 10" xfId="22962" xr:uid="{00000000-0005-0000-0000-000067590000}"/>
    <cellStyle name="Accent5 39 11" xfId="22963" xr:uid="{00000000-0005-0000-0000-000068590000}"/>
    <cellStyle name="Accent5 39 12" xfId="22964" xr:uid="{00000000-0005-0000-0000-000069590000}"/>
    <cellStyle name="Accent5 39 13" xfId="22965" xr:uid="{00000000-0005-0000-0000-00006A590000}"/>
    <cellStyle name="Accent5 39 14" xfId="22966" xr:uid="{00000000-0005-0000-0000-00006B590000}"/>
    <cellStyle name="Accent5 39 15" xfId="22967" xr:uid="{00000000-0005-0000-0000-00006C590000}"/>
    <cellStyle name="Accent5 39 2" xfId="22968" xr:uid="{00000000-0005-0000-0000-00006D590000}"/>
    <cellStyle name="Accent5 39 3" xfId="22969" xr:uid="{00000000-0005-0000-0000-00006E590000}"/>
    <cellStyle name="Accent5 39 4" xfId="22970" xr:uid="{00000000-0005-0000-0000-00006F590000}"/>
    <cellStyle name="Accent5 39 5" xfId="22971" xr:uid="{00000000-0005-0000-0000-000070590000}"/>
    <cellStyle name="Accent5 39 6" xfId="22972" xr:uid="{00000000-0005-0000-0000-000071590000}"/>
    <cellStyle name="Accent5 39 7" xfId="22973" xr:uid="{00000000-0005-0000-0000-000072590000}"/>
    <cellStyle name="Accent5 39 8" xfId="22974" xr:uid="{00000000-0005-0000-0000-000073590000}"/>
    <cellStyle name="Accent5 39 9" xfId="22975" xr:uid="{00000000-0005-0000-0000-000074590000}"/>
    <cellStyle name="Accent5 4" xfId="22976" xr:uid="{00000000-0005-0000-0000-000075590000}"/>
    <cellStyle name="Accent5 4 2" xfId="22977" xr:uid="{00000000-0005-0000-0000-000076590000}"/>
    <cellStyle name="Accent5 4 2 2" xfId="22978" xr:uid="{00000000-0005-0000-0000-000077590000}"/>
    <cellStyle name="Accent5 4 3" xfId="22979" xr:uid="{00000000-0005-0000-0000-000078590000}"/>
    <cellStyle name="Accent5 4 3 2" xfId="22980" xr:uid="{00000000-0005-0000-0000-000079590000}"/>
    <cellStyle name="Accent5 4 4" xfId="22981" xr:uid="{00000000-0005-0000-0000-00007A590000}"/>
    <cellStyle name="Accent5 4 4 2" xfId="22982" xr:uid="{00000000-0005-0000-0000-00007B590000}"/>
    <cellStyle name="Accent5 4 5" xfId="22983" xr:uid="{00000000-0005-0000-0000-00007C590000}"/>
    <cellStyle name="Accent5 4 5 2" xfId="22984" xr:uid="{00000000-0005-0000-0000-00007D590000}"/>
    <cellStyle name="Accent5 4 6" xfId="22985" xr:uid="{00000000-0005-0000-0000-00007E590000}"/>
    <cellStyle name="Accent5 4 6 2" xfId="22986" xr:uid="{00000000-0005-0000-0000-00007F590000}"/>
    <cellStyle name="Accent5 4 7" xfId="22987" xr:uid="{00000000-0005-0000-0000-000080590000}"/>
    <cellStyle name="Accent5 40" xfId="22988" xr:uid="{00000000-0005-0000-0000-000081590000}"/>
    <cellStyle name="Accent5 41" xfId="22989" xr:uid="{00000000-0005-0000-0000-000082590000}"/>
    <cellStyle name="Accent5 42" xfId="22990" xr:uid="{00000000-0005-0000-0000-000083590000}"/>
    <cellStyle name="Accent5 43" xfId="22991" xr:uid="{00000000-0005-0000-0000-000084590000}"/>
    <cellStyle name="Accent5 44" xfId="22992" xr:uid="{00000000-0005-0000-0000-000085590000}"/>
    <cellStyle name="Accent5 45" xfId="22993" xr:uid="{00000000-0005-0000-0000-000086590000}"/>
    <cellStyle name="Accent5 46" xfId="22994" xr:uid="{00000000-0005-0000-0000-000087590000}"/>
    <cellStyle name="Accent5 47" xfId="22995" xr:uid="{00000000-0005-0000-0000-000088590000}"/>
    <cellStyle name="Accent5 48" xfId="22996" xr:uid="{00000000-0005-0000-0000-000089590000}"/>
    <cellStyle name="Accent5 49" xfId="22997" xr:uid="{00000000-0005-0000-0000-00008A590000}"/>
    <cellStyle name="Accent5 5" xfId="22998" xr:uid="{00000000-0005-0000-0000-00008B590000}"/>
    <cellStyle name="Accent5 5 2" xfId="22999" xr:uid="{00000000-0005-0000-0000-00008C590000}"/>
    <cellStyle name="Accent5 5 2 2" xfId="23000" xr:uid="{00000000-0005-0000-0000-00008D590000}"/>
    <cellStyle name="Accent5 5 2 3" xfId="23001" xr:uid="{00000000-0005-0000-0000-00008E590000}"/>
    <cellStyle name="Accent5 5 2 4" xfId="23002" xr:uid="{00000000-0005-0000-0000-00008F590000}"/>
    <cellStyle name="Accent5 5 3" xfId="23003" xr:uid="{00000000-0005-0000-0000-000090590000}"/>
    <cellStyle name="Accent5 5 3 2" xfId="23004" xr:uid="{00000000-0005-0000-0000-000091590000}"/>
    <cellStyle name="Accent5 5 3 3" xfId="23005" xr:uid="{00000000-0005-0000-0000-000092590000}"/>
    <cellStyle name="Accent5 5 4" xfId="23006" xr:uid="{00000000-0005-0000-0000-000093590000}"/>
    <cellStyle name="Accent5 50" xfId="23007" xr:uid="{00000000-0005-0000-0000-000094590000}"/>
    <cellStyle name="Accent5 51" xfId="23008" xr:uid="{00000000-0005-0000-0000-000095590000}"/>
    <cellStyle name="Accent5 52" xfId="23009" xr:uid="{00000000-0005-0000-0000-000096590000}"/>
    <cellStyle name="Accent5 53" xfId="23010" xr:uid="{00000000-0005-0000-0000-000097590000}"/>
    <cellStyle name="Accent5 54" xfId="23011" xr:uid="{00000000-0005-0000-0000-000098590000}"/>
    <cellStyle name="Accent5 55" xfId="23012" xr:uid="{00000000-0005-0000-0000-000099590000}"/>
    <cellStyle name="Accent5 56" xfId="23013" xr:uid="{00000000-0005-0000-0000-00009A590000}"/>
    <cellStyle name="Accent5 57" xfId="23014" xr:uid="{00000000-0005-0000-0000-00009B590000}"/>
    <cellStyle name="Accent5 58" xfId="23015" xr:uid="{00000000-0005-0000-0000-00009C590000}"/>
    <cellStyle name="Accent5 59" xfId="23016" xr:uid="{00000000-0005-0000-0000-00009D590000}"/>
    <cellStyle name="Accent5 6" xfId="23017" xr:uid="{00000000-0005-0000-0000-00009E590000}"/>
    <cellStyle name="Accent5 6 2" xfId="23018" xr:uid="{00000000-0005-0000-0000-00009F590000}"/>
    <cellStyle name="Accent5 60" xfId="23019" xr:uid="{00000000-0005-0000-0000-0000A0590000}"/>
    <cellStyle name="Accent5 61" xfId="23020" xr:uid="{00000000-0005-0000-0000-0000A1590000}"/>
    <cellStyle name="Accent5 62" xfId="23021" xr:uid="{00000000-0005-0000-0000-0000A2590000}"/>
    <cellStyle name="Accent5 63" xfId="23022" xr:uid="{00000000-0005-0000-0000-0000A3590000}"/>
    <cellStyle name="Accent5 64" xfId="23023" xr:uid="{00000000-0005-0000-0000-0000A4590000}"/>
    <cellStyle name="Accent5 65" xfId="23024" xr:uid="{00000000-0005-0000-0000-0000A5590000}"/>
    <cellStyle name="Accent5 66" xfId="23025" xr:uid="{00000000-0005-0000-0000-0000A6590000}"/>
    <cellStyle name="Accent5 67" xfId="23026" xr:uid="{00000000-0005-0000-0000-0000A7590000}"/>
    <cellStyle name="Accent5 68" xfId="23027" xr:uid="{00000000-0005-0000-0000-0000A8590000}"/>
    <cellStyle name="Accent5 69" xfId="23028" xr:uid="{00000000-0005-0000-0000-0000A9590000}"/>
    <cellStyle name="Accent5 7" xfId="23029" xr:uid="{00000000-0005-0000-0000-0000AA590000}"/>
    <cellStyle name="Accent5 7 2" xfId="23030" xr:uid="{00000000-0005-0000-0000-0000AB590000}"/>
    <cellStyle name="Accent5 70" xfId="23031" xr:uid="{00000000-0005-0000-0000-0000AC590000}"/>
    <cellStyle name="Accent5 71" xfId="23032" xr:uid="{00000000-0005-0000-0000-0000AD590000}"/>
    <cellStyle name="Accent5 72" xfId="23033" xr:uid="{00000000-0005-0000-0000-0000AE590000}"/>
    <cellStyle name="Accent5 73" xfId="23034" xr:uid="{00000000-0005-0000-0000-0000AF590000}"/>
    <cellStyle name="Accent5 74" xfId="23035" xr:uid="{00000000-0005-0000-0000-0000B0590000}"/>
    <cellStyle name="Accent5 75" xfId="23036" xr:uid="{00000000-0005-0000-0000-0000B1590000}"/>
    <cellStyle name="Accent5 76" xfId="23037" xr:uid="{00000000-0005-0000-0000-0000B2590000}"/>
    <cellStyle name="Accent5 77" xfId="23038" xr:uid="{00000000-0005-0000-0000-0000B3590000}"/>
    <cellStyle name="Accent5 78" xfId="23039" xr:uid="{00000000-0005-0000-0000-0000B4590000}"/>
    <cellStyle name="Accent5 79" xfId="23040" xr:uid="{00000000-0005-0000-0000-0000B5590000}"/>
    <cellStyle name="Accent5 79 2" xfId="23041" xr:uid="{00000000-0005-0000-0000-0000B6590000}"/>
    <cellStyle name="Accent5 8" xfId="23042" xr:uid="{00000000-0005-0000-0000-0000B7590000}"/>
    <cellStyle name="Accent5 8 2" xfId="23043" xr:uid="{00000000-0005-0000-0000-0000B8590000}"/>
    <cellStyle name="Accent5 80" xfId="23044" xr:uid="{00000000-0005-0000-0000-0000B9590000}"/>
    <cellStyle name="Accent5 80 2" xfId="23045" xr:uid="{00000000-0005-0000-0000-0000BA590000}"/>
    <cellStyle name="Accent5 81" xfId="23046" xr:uid="{00000000-0005-0000-0000-0000BB590000}"/>
    <cellStyle name="Accent5 81 2" xfId="23047" xr:uid="{00000000-0005-0000-0000-0000BC590000}"/>
    <cellStyle name="Accent5 82" xfId="23048" xr:uid="{00000000-0005-0000-0000-0000BD590000}"/>
    <cellStyle name="Accent5 82 2" xfId="23049" xr:uid="{00000000-0005-0000-0000-0000BE590000}"/>
    <cellStyle name="Accent5 83" xfId="23050" xr:uid="{00000000-0005-0000-0000-0000BF590000}"/>
    <cellStyle name="Accent5 83 2" xfId="23051" xr:uid="{00000000-0005-0000-0000-0000C0590000}"/>
    <cellStyle name="Accent5 84" xfId="23052" xr:uid="{00000000-0005-0000-0000-0000C1590000}"/>
    <cellStyle name="Accent5 84 2" xfId="23053" xr:uid="{00000000-0005-0000-0000-0000C2590000}"/>
    <cellStyle name="Accent5 85" xfId="23054" xr:uid="{00000000-0005-0000-0000-0000C3590000}"/>
    <cellStyle name="Accent5 85 2" xfId="23055" xr:uid="{00000000-0005-0000-0000-0000C4590000}"/>
    <cellStyle name="Accent5 86" xfId="23056" xr:uid="{00000000-0005-0000-0000-0000C5590000}"/>
    <cellStyle name="Accent5 86 2" xfId="23057" xr:uid="{00000000-0005-0000-0000-0000C6590000}"/>
    <cellStyle name="Accent5 87" xfId="23058" xr:uid="{00000000-0005-0000-0000-0000C7590000}"/>
    <cellStyle name="Accent5 87 2" xfId="23059" xr:uid="{00000000-0005-0000-0000-0000C8590000}"/>
    <cellStyle name="Accent5 88" xfId="23060" xr:uid="{00000000-0005-0000-0000-0000C9590000}"/>
    <cellStyle name="Accent5 88 2" xfId="23061" xr:uid="{00000000-0005-0000-0000-0000CA590000}"/>
    <cellStyle name="Accent5 89" xfId="23062" xr:uid="{00000000-0005-0000-0000-0000CB590000}"/>
    <cellStyle name="Accent5 89 2" xfId="23063" xr:uid="{00000000-0005-0000-0000-0000CC590000}"/>
    <cellStyle name="Accent5 9" xfId="23064" xr:uid="{00000000-0005-0000-0000-0000CD590000}"/>
    <cellStyle name="Accent5 9 2" xfId="23065" xr:uid="{00000000-0005-0000-0000-0000CE590000}"/>
    <cellStyle name="Accent5 90" xfId="23066" xr:uid="{00000000-0005-0000-0000-0000CF590000}"/>
    <cellStyle name="Accent5 91" xfId="23067" xr:uid="{00000000-0005-0000-0000-0000D0590000}"/>
    <cellStyle name="Accent5 92" xfId="23068" xr:uid="{00000000-0005-0000-0000-0000D1590000}"/>
    <cellStyle name="Accent5 93" xfId="23069" xr:uid="{00000000-0005-0000-0000-0000D2590000}"/>
    <cellStyle name="Accent5 94" xfId="23070" xr:uid="{00000000-0005-0000-0000-0000D3590000}"/>
    <cellStyle name="Accent5 95" xfId="23071" xr:uid="{00000000-0005-0000-0000-0000D4590000}"/>
    <cellStyle name="Accent5 96" xfId="23072" xr:uid="{00000000-0005-0000-0000-0000D5590000}"/>
    <cellStyle name="Accent5 97" xfId="23073" xr:uid="{00000000-0005-0000-0000-0000D6590000}"/>
    <cellStyle name="Accent5 98" xfId="23074" xr:uid="{00000000-0005-0000-0000-0000D7590000}"/>
    <cellStyle name="Accent5 99" xfId="23075" xr:uid="{00000000-0005-0000-0000-0000D8590000}"/>
    <cellStyle name="Accent6" xfId="38" builtinId="49" customBuiltin="1"/>
    <cellStyle name="Accent6 10" xfId="23076" xr:uid="{00000000-0005-0000-0000-0000DA590000}"/>
    <cellStyle name="Accent6 10 2" xfId="23077" xr:uid="{00000000-0005-0000-0000-0000DB590000}"/>
    <cellStyle name="Accent6 100" xfId="23078" xr:uid="{00000000-0005-0000-0000-0000DC590000}"/>
    <cellStyle name="Accent6 101" xfId="23079" xr:uid="{00000000-0005-0000-0000-0000DD590000}"/>
    <cellStyle name="Accent6 102" xfId="23080" xr:uid="{00000000-0005-0000-0000-0000DE590000}"/>
    <cellStyle name="Accent6 103" xfId="23081" xr:uid="{00000000-0005-0000-0000-0000DF590000}"/>
    <cellStyle name="Accent6 104" xfId="23082" xr:uid="{00000000-0005-0000-0000-0000E0590000}"/>
    <cellStyle name="Accent6 105" xfId="23083" xr:uid="{00000000-0005-0000-0000-0000E1590000}"/>
    <cellStyle name="Accent6 106" xfId="23084" xr:uid="{00000000-0005-0000-0000-0000E2590000}"/>
    <cellStyle name="Accent6 107" xfId="23085" xr:uid="{00000000-0005-0000-0000-0000E3590000}"/>
    <cellStyle name="Accent6 108" xfId="23086" xr:uid="{00000000-0005-0000-0000-0000E4590000}"/>
    <cellStyle name="Accent6 109" xfId="23087" xr:uid="{00000000-0005-0000-0000-0000E5590000}"/>
    <cellStyle name="Accent6 11" xfId="23088" xr:uid="{00000000-0005-0000-0000-0000E6590000}"/>
    <cellStyle name="Accent6 11 2" xfId="23089" xr:uid="{00000000-0005-0000-0000-0000E7590000}"/>
    <cellStyle name="Accent6 110" xfId="23090" xr:uid="{00000000-0005-0000-0000-0000E8590000}"/>
    <cellStyle name="Accent6 111" xfId="23091" xr:uid="{00000000-0005-0000-0000-0000E9590000}"/>
    <cellStyle name="Accent6 112" xfId="23092" xr:uid="{00000000-0005-0000-0000-0000EA590000}"/>
    <cellStyle name="Accent6 113" xfId="23093" xr:uid="{00000000-0005-0000-0000-0000EB590000}"/>
    <cellStyle name="Accent6 114" xfId="23094" xr:uid="{00000000-0005-0000-0000-0000EC590000}"/>
    <cellStyle name="Accent6 115" xfId="23095" xr:uid="{00000000-0005-0000-0000-0000ED590000}"/>
    <cellStyle name="Accent6 116" xfId="23096" xr:uid="{00000000-0005-0000-0000-0000EE590000}"/>
    <cellStyle name="Accent6 117" xfId="23097" xr:uid="{00000000-0005-0000-0000-0000EF590000}"/>
    <cellStyle name="Accent6 118" xfId="23098" xr:uid="{00000000-0005-0000-0000-0000F0590000}"/>
    <cellStyle name="Accent6 119" xfId="23099" xr:uid="{00000000-0005-0000-0000-0000F1590000}"/>
    <cellStyle name="Accent6 12" xfId="23100" xr:uid="{00000000-0005-0000-0000-0000F2590000}"/>
    <cellStyle name="Accent6 12 2" xfId="23101" xr:uid="{00000000-0005-0000-0000-0000F3590000}"/>
    <cellStyle name="Accent6 120" xfId="23102" xr:uid="{00000000-0005-0000-0000-0000F4590000}"/>
    <cellStyle name="Accent6 121" xfId="23103" xr:uid="{00000000-0005-0000-0000-0000F5590000}"/>
    <cellStyle name="Accent6 122" xfId="23104" xr:uid="{00000000-0005-0000-0000-0000F6590000}"/>
    <cellStyle name="Accent6 123" xfId="23105" xr:uid="{00000000-0005-0000-0000-0000F7590000}"/>
    <cellStyle name="Accent6 124" xfId="23106" xr:uid="{00000000-0005-0000-0000-0000F8590000}"/>
    <cellStyle name="Accent6 125" xfId="23107" xr:uid="{00000000-0005-0000-0000-0000F9590000}"/>
    <cellStyle name="Accent6 126" xfId="23108" xr:uid="{00000000-0005-0000-0000-0000FA590000}"/>
    <cellStyle name="Accent6 127" xfId="23109" xr:uid="{00000000-0005-0000-0000-0000FB590000}"/>
    <cellStyle name="Accent6 128" xfId="23110" xr:uid="{00000000-0005-0000-0000-0000FC590000}"/>
    <cellStyle name="Accent6 129" xfId="23111" xr:uid="{00000000-0005-0000-0000-0000FD590000}"/>
    <cellStyle name="Accent6 13" xfId="23112" xr:uid="{00000000-0005-0000-0000-0000FE590000}"/>
    <cellStyle name="Accent6 13 2" xfId="23113" xr:uid="{00000000-0005-0000-0000-0000FF590000}"/>
    <cellStyle name="Accent6 130" xfId="23114" xr:uid="{00000000-0005-0000-0000-0000005A0000}"/>
    <cellStyle name="Accent6 131" xfId="23115" xr:uid="{00000000-0005-0000-0000-0000015A0000}"/>
    <cellStyle name="Accent6 132" xfId="23116" xr:uid="{00000000-0005-0000-0000-0000025A0000}"/>
    <cellStyle name="Accent6 133" xfId="23117" xr:uid="{00000000-0005-0000-0000-0000035A0000}"/>
    <cellStyle name="Accent6 134" xfId="23118" xr:uid="{00000000-0005-0000-0000-0000045A0000}"/>
    <cellStyle name="Accent6 135" xfId="23119" xr:uid="{00000000-0005-0000-0000-0000055A0000}"/>
    <cellStyle name="Accent6 136" xfId="23120" xr:uid="{00000000-0005-0000-0000-0000065A0000}"/>
    <cellStyle name="Accent6 137" xfId="23121" xr:uid="{00000000-0005-0000-0000-0000075A0000}"/>
    <cellStyle name="Accent6 138" xfId="23122" xr:uid="{00000000-0005-0000-0000-0000085A0000}"/>
    <cellStyle name="Accent6 139" xfId="23123" xr:uid="{00000000-0005-0000-0000-0000095A0000}"/>
    <cellStyle name="Accent6 14" xfId="23124" xr:uid="{00000000-0005-0000-0000-00000A5A0000}"/>
    <cellStyle name="Accent6 14 2" xfId="23125" xr:uid="{00000000-0005-0000-0000-00000B5A0000}"/>
    <cellStyle name="Accent6 140" xfId="23126" xr:uid="{00000000-0005-0000-0000-00000C5A0000}"/>
    <cellStyle name="Accent6 141" xfId="23127" xr:uid="{00000000-0005-0000-0000-00000D5A0000}"/>
    <cellStyle name="Accent6 142" xfId="23128" xr:uid="{00000000-0005-0000-0000-00000E5A0000}"/>
    <cellStyle name="Accent6 143" xfId="23129" xr:uid="{00000000-0005-0000-0000-00000F5A0000}"/>
    <cellStyle name="Accent6 144" xfId="23130" xr:uid="{00000000-0005-0000-0000-0000105A0000}"/>
    <cellStyle name="Accent6 145" xfId="23131" xr:uid="{00000000-0005-0000-0000-0000115A0000}"/>
    <cellStyle name="Accent6 146" xfId="23132" xr:uid="{00000000-0005-0000-0000-0000125A0000}"/>
    <cellStyle name="Accent6 147" xfId="23133" xr:uid="{00000000-0005-0000-0000-0000135A0000}"/>
    <cellStyle name="Accent6 148" xfId="23134" xr:uid="{00000000-0005-0000-0000-0000145A0000}"/>
    <cellStyle name="Accent6 149" xfId="23135" xr:uid="{00000000-0005-0000-0000-0000155A0000}"/>
    <cellStyle name="Accent6 15" xfId="23136" xr:uid="{00000000-0005-0000-0000-0000165A0000}"/>
    <cellStyle name="Accent6 15 2" xfId="23137" xr:uid="{00000000-0005-0000-0000-0000175A0000}"/>
    <cellStyle name="Accent6 150" xfId="23138" xr:uid="{00000000-0005-0000-0000-0000185A0000}"/>
    <cellStyle name="Accent6 151" xfId="23139" xr:uid="{00000000-0005-0000-0000-0000195A0000}"/>
    <cellStyle name="Accent6 152" xfId="23140" xr:uid="{00000000-0005-0000-0000-00001A5A0000}"/>
    <cellStyle name="Accent6 153" xfId="23141" xr:uid="{00000000-0005-0000-0000-00001B5A0000}"/>
    <cellStyle name="Accent6 154" xfId="23142" xr:uid="{00000000-0005-0000-0000-00001C5A0000}"/>
    <cellStyle name="Accent6 155" xfId="23143" xr:uid="{00000000-0005-0000-0000-00001D5A0000}"/>
    <cellStyle name="Accent6 156" xfId="23144" xr:uid="{00000000-0005-0000-0000-00001E5A0000}"/>
    <cellStyle name="Accent6 157" xfId="23145" xr:uid="{00000000-0005-0000-0000-00001F5A0000}"/>
    <cellStyle name="Accent6 158" xfId="23146" xr:uid="{00000000-0005-0000-0000-0000205A0000}"/>
    <cellStyle name="Accent6 159" xfId="23147" xr:uid="{00000000-0005-0000-0000-0000215A0000}"/>
    <cellStyle name="Accent6 16" xfId="23148" xr:uid="{00000000-0005-0000-0000-0000225A0000}"/>
    <cellStyle name="Accent6 160" xfId="23149" xr:uid="{00000000-0005-0000-0000-0000235A0000}"/>
    <cellStyle name="Accent6 161" xfId="23150" xr:uid="{00000000-0005-0000-0000-0000245A0000}"/>
    <cellStyle name="Accent6 162" xfId="23151" xr:uid="{00000000-0005-0000-0000-0000255A0000}"/>
    <cellStyle name="Accent6 163" xfId="23152" xr:uid="{00000000-0005-0000-0000-0000265A0000}"/>
    <cellStyle name="Accent6 164" xfId="23153" xr:uid="{00000000-0005-0000-0000-0000275A0000}"/>
    <cellStyle name="Accent6 165" xfId="23154" xr:uid="{00000000-0005-0000-0000-0000285A0000}"/>
    <cellStyle name="Accent6 166" xfId="23155" xr:uid="{00000000-0005-0000-0000-0000295A0000}"/>
    <cellStyle name="Accent6 167" xfId="23156" xr:uid="{00000000-0005-0000-0000-00002A5A0000}"/>
    <cellStyle name="Accent6 17" xfId="23157" xr:uid="{00000000-0005-0000-0000-00002B5A0000}"/>
    <cellStyle name="Accent6 18" xfId="23158" xr:uid="{00000000-0005-0000-0000-00002C5A0000}"/>
    <cellStyle name="Accent6 19" xfId="23159" xr:uid="{00000000-0005-0000-0000-00002D5A0000}"/>
    <cellStyle name="Accent6 2" xfId="23160" xr:uid="{00000000-0005-0000-0000-00002E5A0000}"/>
    <cellStyle name="Accent6 2 10" xfId="23161" xr:uid="{00000000-0005-0000-0000-00002F5A0000}"/>
    <cellStyle name="Accent6 2 11" xfId="23162" xr:uid="{00000000-0005-0000-0000-0000305A0000}"/>
    <cellStyle name="Accent6 2 12" xfId="23163" xr:uid="{00000000-0005-0000-0000-0000315A0000}"/>
    <cellStyle name="Accent6 2 13" xfId="23164" xr:uid="{00000000-0005-0000-0000-0000325A0000}"/>
    <cellStyle name="Accent6 2 14" xfId="23165" xr:uid="{00000000-0005-0000-0000-0000335A0000}"/>
    <cellStyle name="Accent6 2 15" xfId="23166" xr:uid="{00000000-0005-0000-0000-0000345A0000}"/>
    <cellStyle name="Accent6 2 16" xfId="23167" xr:uid="{00000000-0005-0000-0000-0000355A0000}"/>
    <cellStyle name="Accent6 2 17" xfId="23168" xr:uid="{00000000-0005-0000-0000-0000365A0000}"/>
    <cellStyle name="Accent6 2 18" xfId="23169" xr:uid="{00000000-0005-0000-0000-0000375A0000}"/>
    <cellStyle name="Accent6 2 19" xfId="23170" xr:uid="{00000000-0005-0000-0000-0000385A0000}"/>
    <cellStyle name="Accent6 2 2" xfId="23171" xr:uid="{00000000-0005-0000-0000-0000395A0000}"/>
    <cellStyle name="Accent6 2 20" xfId="23172" xr:uid="{00000000-0005-0000-0000-00003A5A0000}"/>
    <cellStyle name="Accent6 2 21" xfId="23173" xr:uid="{00000000-0005-0000-0000-00003B5A0000}"/>
    <cellStyle name="Accent6 2 22" xfId="23174" xr:uid="{00000000-0005-0000-0000-00003C5A0000}"/>
    <cellStyle name="Accent6 2 23" xfId="23175" xr:uid="{00000000-0005-0000-0000-00003D5A0000}"/>
    <cellStyle name="Accent6 2 24" xfId="23176" xr:uid="{00000000-0005-0000-0000-00003E5A0000}"/>
    <cellStyle name="Accent6 2 25" xfId="23177" xr:uid="{00000000-0005-0000-0000-00003F5A0000}"/>
    <cellStyle name="Accent6 2 26" xfId="23178" xr:uid="{00000000-0005-0000-0000-0000405A0000}"/>
    <cellStyle name="Accent6 2 27" xfId="23179" xr:uid="{00000000-0005-0000-0000-0000415A0000}"/>
    <cellStyle name="Accent6 2 28" xfId="23180" xr:uid="{00000000-0005-0000-0000-0000425A0000}"/>
    <cellStyle name="Accent6 2 29" xfId="23181" xr:uid="{00000000-0005-0000-0000-0000435A0000}"/>
    <cellStyle name="Accent6 2 3" xfId="23182" xr:uid="{00000000-0005-0000-0000-0000445A0000}"/>
    <cellStyle name="Accent6 2 30" xfId="23183" xr:uid="{00000000-0005-0000-0000-0000455A0000}"/>
    <cellStyle name="Accent6 2 31" xfId="23184" xr:uid="{00000000-0005-0000-0000-0000465A0000}"/>
    <cellStyle name="Accent6 2 32" xfId="23185" xr:uid="{00000000-0005-0000-0000-0000475A0000}"/>
    <cellStyle name="Accent6 2 33" xfId="23186" xr:uid="{00000000-0005-0000-0000-0000485A0000}"/>
    <cellStyle name="Accent6 2 34" xfId="23187" xr:uid="{00000000-0005-0000-0000-0000495A0000}"/>
    <cellStyle name="Accent6 2 35" xfId="23188" xr:uid="{00000000-0005-0000-0000-00004A5A0000}"/>
    <cellStyle name="Accent6 2 4" xfId="23189" xr:uid="{00000000-0005-0000-0000-00004B5A0000}"/>
    <cellStyle name="Accent6 2 5" xfId="23190" xr:uid="{00000000-0005-0000-0000-00004C5A0000}"/>
    <cellStyle name="Accent6 2 6" xfId="23191" xr:uid="{00000000-0005-0000-0000-00004D5A0000}"/>
    <cellStyle name="Accent6 2 7" xfId="23192" xr:uid="{00000000-0005-0000-0000-00004E5A0000}"/>
    <cellStyle name="Accent6 2 8" xfId="23193" xr:uid="{00000000-0005-0000-0000-00004F5A0000}"/>
    <cellStyle name="Accent6 2 9" xfId="23194" xr:uid="{00000000-0005-0000-0000-0000505A0000}"/>
    <cellStyle name="Accent6 20" xfId="23195" xr:uid="{00000000-0005-0000-0000-0000515A0000}"/>
    <cellStyle name="Accent6 20 10" xfId="23196" xr:uid="{00000000-0005-0000-0000-0000525A0000}"/>
    <cellStyle name="Accent6 20 11" xfId="23197" xr:uid="{00000000-0005-0000-0000-0000535A0000}"/>
    <cellStyle name="Accent6 20 12" xfId="23198" xr:uid="{00000000-0005-0000-0000-0000545A0000}"/>
    <cellStyle name="Accent6 20 13" xfId="23199" xr:uid="{00000000-0005-0000-0000-0000555A0000}"/>
    <cellStyle name="Accent6 20 14" xfId="23200" xr:uid="{00000000-0005-0000-0000-0000565A0000}"/>
    <cellStyle name="Accent6 20 15" xfId="23201" xr:uid="{00000000-0005-0000-0000-0000575A0000}"/>
    <cellStyle name="Accent6 20 16" xfId="23202" xr:uid="{00000000-0005-0000-0000-0000585A0000}"/>
    <cellStyle name="Accent6 20 2" xfId="23203" xr:uid="{00000000-0005-0000-0000-0000595A0000}"/>
    <cellStyle name="Accent6 20 3" xfId="23204" xr:uid="{00000000-0005-0000-0000-00005A5A0000}"/>
    <cellStyle name="Accent6 20 4" xfId="23205" xr:uid="{00000000-0005-0000-0000-00005B5A0000}"/>
    <cellStyle name="Accent6 20 5" xfId="23206" xr:uid="{00000000-0005-0000-0000-00005C5A0000}"/>
    <cellStyle name="Accent6 20 6" xfId="23207" xr:uid="{00000000-0005-0000-0000-00005D5A0000}"/>
    <cellStyle name="Accent6 20 7" xfId="23208" xr:uid="{00000000-0005-0000-0000-00005E5A0000}"/>
    <cellStyle name="Accent6 20 8" xfId="23209" xr:uid="{00000000-0005-0000-0000-00005F5A0000}"/>
    <cellStyle name="Accent6 20 9" xfId="23210" xr:uid="{00000000-0005-0000-0000-0000605A0000}"/>
    <cellStyle name="Accent6 21" xfId="23211" xr:uid="{00000000-0005-0000-0000-0000615A0000}"/>
    <cellStyle name="Accent6 21 2" xfId="23212" xr:uid="{00000000-0005-0000-0000-0000625A0000}"/>
    <cellStyle name="Accent6 21 3" xfId="23213" xr:uid="{00000000-0005-0000-0000-0000635A0000}"/>
    <cellStyle name="Accent6 22" xfId="23214" xr:uid="{00000000-0005-0000-0000-0000645A0000}"/>
    <cellStyle name="Accent6 23" xfId="23215" xr:uid="{00000000-0005-0000-0000-0000655A0000}"/>
    <cellStyle name="Accent6 24" xfId="23216" xr:uid="{00000000-0005-0000-0000-0000665A0000}"/>
    <cellStyle name="Accent6 25" xfId="23217" xr:uid="{00000000-0005-0000-0000-0000675A0000}"/>
    <cellStyle name="Accent6 26" xfId="23218" xr:uid="{00000000-0005-0000-0000-0000685A0000}"/>
    <cellStyle name="Accent6 27" xfId="23219" xr:uid="{00000000-0005-0000-0000-0000695A0000}"/>
    <cellStyle name="Accent6 28" xfId="23220" xr:uid="{00000000-0005-0000-0000-00006A5A0000}"/>
    <cellStyle name="Accent6 29" xfId="23221" xr:uid="{00000000-0005-0000-0000-00006B5A0000}"/>
    <cellStyle name="Accent6 3" xfId="23222" xr:uid="{00000000-0005-0000-0000-00006C5A0000}"/>
    <cellStyle name="Accent6 3 10" xfId="23223" xr:uid="{00000000-0005-0000-0000-00006D5A0000}"/>
    <cellStyle name="Accent6 3 10 10" xfId="23224" xr:uid="{00000000-0005-0000-0000-00006E5A0000}"/>
    <cellStyle name="Accent6 3 10 11" xfId="23225" xr:uid="{00000000-0005-0000-0000-00006F5A0000}"/>
    <cellStyle name="Accent6 3 10 12" xfId="23226" xr:uid="{00000000-0005-0000-0000-0000705A0000}"/>
    <cellStyle name="Accent6 3 10 13" xfId="23227" xr:uid="{00000000-0005-0000-0000-0000715A0000}"/>
    <cellStyle name="Accent6 3 10 14" xfId="23228" xr:uid="{00000000-0005-0000-0000-0000725A0000}"/>
    <cellStyle name="Accent6 3 10 15" xfId="23229" xr:uid="{00000000-0005-0000-0000-0000735A0000}"/>
    <cellStyle name="Accent6 3 10 2" xfId="23230" xr:uid="{00000000-0005-0000-0000-0000745A0000}"/>
    <cellStyle name="Accent6 3 10 3" xfId="23231" xr:uid="{00000000-0005-0000-0000-0000755A0000}"/>
    <cellStyle name="Accent6 3 10 4" xfId="23232" xr:uid="{00000000-0005-0000-0000-0000765A0000}"/>
    <cellStyle name="Accent6 3 10 5" xfId="23233" xr:uid="{00000000-0005-0000-0000-0000775A0000}"/>
    <cellStyle name="Accent6 3 10 6" xfId="23234" xr:uid="{00000000-0005-0000-0000-0000785A0000}"/>
    <cellStyle name="Accent6 3 10 7" xfId="23235" xr:uid="{00000000-0005-0000-0000-0000795A0000}"/>
    <cellStyle name="Accent6 3 10 8" xfId="23236" xr:uid="{00000000-0005-0000-0000-00007A5A0000}"/>
    <cellStyle name="Accent6 3 10 9" xfId="23237" xr:uid="{00000000-0005-0000-0000-00007B5A0000}"/>
    <cellStyle name="Accent6 3 11" xfId="23238" xr:uid="{00000000-0005-0000-0000-00007C5A0000}"/>
    <cellStyle name="Accent6 3 11 10" xfId="23239" xr:uid="{00000000-0005-0000-0000-00007D5A0000}"/>
    <cellStyle name="Accent6 3 11 11" xfId="23240" xr:uid="{00000000-0005-0000-0000-00007E5A0000}"/>
    <cellStyle name="Accent6 3 11 12" xfId="23241" xr:uid="{00000000-0005-0000-0000-00007F5A0000}"/>
    <cellStyle name="Accent6 3 11 13" xfId="23242" xr:uid="{00000000-0005-0000-0000-0000805A0000}"/>
    <cellStyle name="Accent6 3 11 14" xfId="23243" xr:uid="{00000000-0005-0000-0000-0000815A0000}"/>
    <cellStyle name="Accent6 3 11 15" xfId="23244" xr:uid="{00000000-0005-0000-0000-0000825A0000}"/>
    <cellStyle name="Accent6 3 11 2" xfId="23245" xr:uid="{00000000-0005-0000-0000-0000835A0000}"/>
    <cellStyle name="Accent6 3 11 3" xfId="23246" xr:uid="{00000000-0005-0000-0000-0000845A0000}"/>
    <cellStyle name="Accent6 3 11 4" xfId="23247" xr:uid="{00000000-0005-0000-0000-0000855A0000}"/>
    <cellStyle name="Accent6 3 11 5" xfId="23248" xr:uid="{00000000-0005-0000-0000-0000865A0000}"/>
    <cellStyle name="Accent6 3 11 6" xfId="23249" xr:uid="{00000000-0005-0000-0000-0000875A0000}"/>
    <cellStyle name="Accent6 3 11 7" xfId="23250" xr:uid="{00000000-0005-0000-0000-0000885A0000}"/>
    <cellStyle name="Accent6 3 11 8" xfId="23251" xr:uid="{00000000-0005-0000-0000-0000895A0000}"/>
    <cellStyle name="Accent6 3 11 9" xfId="23252" xr:uid="{00000000-0005-0000-0000-00008A5A0000}"/>
    <cellStyle name="Accent6 3 12" xfId="23253" xr:uid="{00000000-0005-0000-0000-00008B5A0000}"/>
    <cellStyle name="Accent6 3 12 10" xfId="23254" xr:uid="{00000000-0005-0000-0000-00008C5A0000}"/>
    <cellStyle name="Accent6 3 12 11" xfId="23255" xr:uid="{00000000-0005-0000-0000-00008D5A0000}"/>
    <cellStyle name="Accent6 3 12 12" xfId="23256" xr:uid="{00000000-0005-0000-0000-00008E5A0000}"/>
    <cellStyle name="Accent6 3 12 13" xfId="23257" xr:uid="{00000000-0005-0000-0000-00008F5A0000}"/>
    <cellStyle name="Accent6 3 12 14" xfId="23258" xr:uid="{00000000-0005-0000-0000-0000905A0000}"/>
    <cellStyle name="Accent6 3 12 15" xfId="23259" xr:uid="{00000000-0005-0000-0000-0000915A0000}"/>
    <cellStyle name="Accent6 3 12 2" xfId="23260" xr:uid="{00000000-0005-0000-0000-0000925A0000}"/>
    <cellStyle name="Accent6 3 12 3" xfId="23261" xr:uid="{00000000-0005-0000-0000-0000935A0000}"/>
    <cellStyle name="Accent6 3 12 4" xfId="23262" xr:uid="{00000000-0005-0000-0000-0000945A0000}"/>
    <cellStyle name="Accent6 3 12 5" xfId="23263" xr:uid="{00000000-0005-0000-0000-0000955A0000}"/>
    <cellStyle name="Accent6 3 12 6" xfId="23264" xr:uid="{00000000-0005-0000-0000-0000965A0000}"/>
    <cellStyle name="Accent6 3 12 7" xfId="23265" xr:uid="{00000000-0005-0000-0000-0000975A0000}"/>
    <cellStyle name="Accent6 3 12 8" xfId="23266" xr:uid="{00000000-0005-0000-0000-0000985A0000}"/>
    <cellStyle name="Accent6 3 12 9" xfId="23267" xr:uid="{00000000-0005-0000-0000-0000995A0000}"/>
    <cellStyle name="Accent6 3 13" xfId="23268" xr:uid="{00000000-0005-0000-0000-00009A5A0000}"/>
    <cellStyle name="Accent6 3 13 10" xfId="23269" xr:uid="{00000000-0005-0000-0000-00009B5A0000}"/>
    <cellStyle name="Accent6 3 13 11" xfId="23270" xr:uid="{00000000-0005-0000-0000-00009C5A0000}"/>
    <cellStyle name="Accent6 3 13 12" xfId="23271" xr:uid="{00000000-0005-0000-0000-00009D5A0000}"/>
    <cellStyle name="Accent6 3 13 13" xfId="23272" xr:uid="{00000000-0005-0000-0000-00009E5A0000}"/>
    <cellStyle name="Accent6 3 13 14" xfId="23273" xr:uid="{00000000-0005-0000-0000-00009F5A0000}"/>
    <cellStyle name="Accent6 3 13 15" xfId="23274" xr:uid="{00000000-0005-0000-0000-0000A05A0000}"/>
    <cellStyle name="Accent6 3 13 2" xfId="23275" xr:uid="{00000000-0005-0000-0000-0000A15A0000}"/>
    <cellStyle name="Accent6 3 13 3" xfId="23276" xr:uid="{00000000-0005-0000-0000-0000A25A0000}"/>
    <cellStyle name="Accent6 3 13 4" xfId="23277" xr:uid="{00000000-0005-0000-0000-0000A35A0000}"/>
    <cellStyle name="Accent6 3 13 5" xfId="23278" xr:uid="{00000000-0005-0000-0000-0000A45A0000}"/>
    <cellStyle name="Accent6 3 13 6" xfId="23279" xr:uid="{00000000-0005-0000-0000-0000A55A0000}"/>
    <cellStyle name="Accent6 3 13 7" xfId="23280" xr:uid="{00000000-0005-0000-0000-0000A65A0000}"/>
    <cellStyle name="Accent6 3 13 8" xfId="23281" xr:uid="{00000000-0005-0000-0000-0000A75A0000}"/>
    <cellStyle name="Accent6 3 13 9" xfId="23282" xr:uid="{00000000-0005-0000-0000-0000A85A0000}"/>
    <cellStyle name="Accent6 3 14" xfId="23283" xr:uid="{00000000-0005-0000-0000-0000A95A0000}"/>
    <cellStyle name="Accent6 3 14 10" xfId="23284" xr:uid="{00000000-0005-0000-0000-0000AA5A0000}"/>
    <cellStyle name="Accent6 3 14 11" xfId="23285" xr:uid="{00000000-0005-0000-0000-0000AB5A0000}"/>
    <cellStyle name="Accent6 3 14 12" xfId="23286" xr:uid="{00000000-0005-0000-0000-0000AC5A0000}"/>
    <cellStyle name="Accent6 3 14 13" xfId="23287" xr:uid="{00000000-0005-0000-0000-0000AD5A0000}"/>
    <cellStyle name="Accent6 3 14 14" xfId="23288" xr:uid="{00000000-0005-0000-0000-0000AE5A0000}"/>
    <cellStyle name="Accent6 3 14 15" xfId="23289" xr:uid="{00000000-0005-0000-0000-0000AF5A0000}"/>
    <cellStyle name="Accent6 3 14 2" xfId="23290" xr:uid="{00000000-0005-0000-0000-0000B05A0000}"/>
    <cellStyle name="Accent6 3 14 3" xfId="23291" xr:uid="{00000000-0005-0000-0000-0000B15A0000}"/>
    <cellStyle name="Accent6 3 14 4" xfId="23292" xr:uid="{00000000-0005-0000-0000-0000B25A0000}"/>
    <cellStyle name="Accent6 3 14 5" xfId="23293" xr:uid="{00000000-0005-0000-0000-0000B35A0000}"/>
    <cellStyle name="Accent6 3 14 6" xfId="23294" xr:uid="{00000000-0005-0000-0000-0000B45A0000}"/>
    <cellStyle name="Accent6 3 14 7" xfId="23295" xr:uid="{00000000-0005-0000-0000-0000B55A0000}"/>
    <cellStyle name="Accent6 3 14 8" xfId="23296" xr:uid="{00000000-0005-0000-0000-0000B65A0000}"/>
    <cellStyle name="Accent6 3 14 9" xfId="23297" xr:uid="{00000000-0005-0000-0000-0000B75A0000}"/>
    <cellStyle name="Accent6 3 15" xfId="23298" xr:uid="{00000000-0005-0000-0000-0000B85A0000}"/>
    <cellStyle name="Accent6 3 15 10" xfId="23299" xr:uid="{00000000-0005-0000-0000-0000B95A0000}"/>
    <cellStyle name="Accent6 3 15 11" xfId="23300" xr:uid="{00000000-0005-0000-0000-0000BA5A0000}"/>
    <cellStyle name="Accent6 3 15 12" xfId="23301" xr:uid="{00000000-0005-0000-0000-0000BB5A0000}"/>
    <cellStyle name="Accent6 3 15 13" xfId="23302" xr:uid="{00000000-0005-0000-0000-0000BC5A0000}"/>
    <cellStyle name="Accent6 3 15 14" xfId="23303" xr:uid="{00000000-0005-0000-0000-0000BD5A0000}"/>
    <cellStyle name="Accent6 3 15 15" xfId="23304" xr:uid="{00000000-0005-0000-0000-0000BE5A0000}"/>
    <cellStyle name="Accent6 3 15 2" xfId="23305" xr:uid="{00000000-0005-0000-0000-0000BF5A0000}"/>
    <cellStyle name="Accent6 3 15 3" xfId="23306" xr:uid="{00000000-0005-0000-0000-0000C05A0000}"/>
    <cellStyle name="Accent6 3 15 4" xfId="23307" xr:uid="{00000000-0005-0000-0000-0000C15A0000}"/>
    <cellStyle name="Accent6 3 15 5" xfId="23308" xr:uid="{00000000-0005-0000-0000-0000C25A0000}"/>
    <cellStyle name="Accent6 3 15 6" xfId="23309" xr:uid="{00000000-0005-0000-0000-0000C35A0000}"/>
    <cellStyle name="Accent6 3 15 7" xfId="23310" xr:uid="{00000000-0005-0000-0000-0000C45A0000}"/>
    <cellStyle name="Accent6 3 15 8" xfId="23311" xr:uid="{00000000-0005-0000-0000-0000C55A0000}"/>
    <cellStyle name="Accent6 3 15 9" xfId="23312" xr:uid="{00000000-0005-0000-0000-0000C65A0000}"/>
    <cellStyle name="Accent6 3 16" xfId="23313" xr:uid="{00000000-0005-0000-0000-0000C75A0000}"/>
    <cellStyle name="Accent6 3 16 10" xfId="23314" xr:uid="{00000000-0005-0000-0000-0000C85A0000}"/>
    <cellStyle name="Accent6 3 16 11" xfId="23315" xr:uid="{00000000-0005-0000-0000-0000C95A0000}"/>
    <cellStyle name="Accent6 3 16 12" xfId="23316" xr:uid="{00000000-0005-0000-0000-0000CA5A0000}"/>
    <cellStyle name="Accent6 3 16 13" xfId="23317" xr:uid="{00000000-0005-0000-0000-0000CB5A0000}"/>
    <cellStyle name="Accent6 3 16 14" xfId="23318" xr:uid="{00000000-0005-0000-0000-0000CC5A0000}"/>
    <cellStyle name="Accent6 3 16 15" xfId="23319" xr:uid="{00000000-0005-0000-0000-0000CD5A0000}"/>
    <cellStyle name="Accent6 3 16 2" xfId="23320" xr:uid="{00000000-0005-0000-0000-0000CE5A0000}"/>
    <cellStyle name="Accent6 3 16 3" xfId="23321" xr:uid="{00000000-0005-0000-0000-0000CF5A0000}"/>
    <cellStyle name="Accent6 3 16 4" xfId="23322" xr:uid="{00000000-0005-0000-0000-0000D05A0000}"/>
    <cellStyle name="Accent6 3 16 5" xfId="23323" xr:uid="{00000000-0005-0000-0000-0000D15A0000}"/>
    <cellStyle name="Accent6 3 16 6" xfId="23324" xr:uid="{00000000-0005-0000-0000-0000D25A0000}"/>
    <cellStyle name="Accent6 3 16 7" xfId="23325" xr:uid="{00000000-0005-0000-0000-0000D35A0000}"/>
    <cellStyle name="Accent6 3 16 8" xfId="23326" xr:uid="{00000000-0005-0000-0000-0000D45A0000}"/>
    <cellStyle name="Accent6 3 16 9" xfId="23327" xr:uid="{00000000-0005-0000-0000-0000D55A0000}"/>
    <cellStyle name="Accent6 3 17" xfId="23328" xr:uid="{00000000-0005-0000-0000-0000D65A0000}"/>
    <cellStyle name="Accent6 3 17 10" xfId="23329" xr:uid="{00000000-0005-0000-0000-0000D75A0000}"/>
    <cellStyle name="Accent6 3 17 11" xfId="23330" xr:uid="{00000000-0005-0000-0000-0000D85A0000}"/>
    <cellStyle name="Accent6 3 17 12" xfId="23331" xr:uid="{00000000-0005-0000-0000-0000D95A0000}"/>
    <cellStyle name="Accent6 3 17 13" xfId="23332" xr:uid="{00000000-0005-0000-0000-0000DA5A0000}"/>
    <cellStyle name="Accent6 3 17 14" xfId="23333" xr:uid="{00000000-0005-0000-0000-0000DB5A0000}"/>
    <cellStyle name="Accent6 3 17 15" xfId="23334" xr:uid="{00000000-0005-0000-0000-0000DC5A0000}"/>
    <cellStyle name="Accent6 3 17 2" xfId="23335" xr:uid="{00000000-0005-0000-0000-0000DD5A0000}"/>
    <cellStyle name="Accent6 3 17 3" xfId="23336" xr:uid="{00000000-0005-0000-0000-0000DE5A0000}"/>
    <cellStyle name="Accent6 3 17 4" xfId="23337" xr:uid="{00000000-0005-0000-0000-0000DF5A0000}"/>
    <cellStyle name="Accent6 3 17 5" xfId="23338" xr:uid="{00000000-0005-0000-0000-0000E05A0000}"/>
    <cellStyle name="Accent6 3 17 6" xfId="23339" xr:uid="{00000000-0005-0000-0000-0000E15A0000}"/>
    <cellStyle name="Accent6 3 17 7" xfId="23340" xr:uid="{00000000-0005-0000-0000-0000E25A0000}"/>
    <cellStyle name="Accent6 3 17 8" xfId="23341" xr:uid="{00000000-0005-0000-0000-0000E35A0000}"/>
    <cellStyle name="Accent6 3 17 9" xfId="23342" xr:uid="{00000000-0005-0000-0000-0000E45A0000}"/>
    <cellStyle name="Accent6 3 18" xfId="23343" xr:uid="{00000000-0005-0000-0000-0000E55A0000}"/>
    <cellStyle name="Accent6 3 18 10" xfId="23344" xr:uid="{00000000-0005-0000-0000-0000E65A0000}"/>
    <cellStyle name="Accent6 3 18 11" xfId="23345" xr:uid="{00000000-0005-0000-0000-0000E75A0000}"/>
    <cellStyle name="Accent6 3 18 12" xfId="23346" xr:uid="{00000000-0005-0000-0000-0000E85A0000}"/>
    <cellStyle name="Accent6 3 18 13" xfId="23347" xr:uid="{00000000-0005-0000-0000-0000E95A0000}"/>
    <cellStyle name="Accent6 3 18 14" xfId="23348" xr:uid="{00000000-0005-0000-0000-0000EA5A0000}"/>
    <cellStyle name="Accent6 3 18 15" xfId="23349" xr:uid="{00000000-0005-0000-0000-0000EB5A0000}"/>
    <cellStyle name="Accent6 3 18 2" xfId="23350" xr:uid="{00000000-0005-0000-0000-0000EC5A0000}"/>
    <cellStyle name="Accent6 3 18 3" xfId="23351" xr:uid="{00000000-0005-0000-0000-0000ED5A0000}"/>
    <cellStyle name="Accent6 3 18 4" xfId="23352" xr:uid="{00000000-0005-0000-0000-0000EE5A0000}"/>
    <cellStyle name="Accent6 3 18 5" xfId="23353" xr:uid="{00000000-0005-0000-0000-0000EF5A0000}"/>
    <cellStyle name="Accent6 3 18 6" xfId="23354" xr:uid="{00000000-0005-0000-0000-0000F05A0000}"/>
    <cellStyle name="Accent6 3 18 7" xfId="23355" xr:uid="{00000000-0005-0000-0000-0000F15A0000}"/>
    <cellStyle name="Accent6 3 18 8" xfId="23356" xr:uid="{00000000-0005-0000-0000-0000F25A0000}"/>
    <cellStyle name="Accent6 3 18 9" xfId="23357" xr:uid="{00000000-0005-0000-0000-0000F35A0000}"/>
    <cellStyle name="Accent6 3 19" xfId="23358" xr:uid="{00000000-0005-0000-0000-0000F45A0000}"/>
    <cellStyle name="Accent6 3 19 10" xfId="23359" xr:uid="{00000000-0005-0000-0000-0000F55A0000}"/>
    <cellStyle name="Accent6 3 19 11" xfId="23360" xr:uid="{00000000-0005-0000-0000-0000F65A0000}"/>
    <cellStyle name="Accent6 3 19 12" xfId="23361" xr:uid="{00000000-0005-0000-0000-0000F75A0000}"/>
    <cellStyle name="Accent6 3 19 13" xfId="23362" xr:uid="{00000000-0005-0000-0000-0000F85A0000}"/>
    <cellStyle name="Accent6 3 19 14" xfId="23363" xr:uid="{00000000-0005-0000-0000-0000F95A0000}"/>
    <cellStyle name="Accent6 3 19 15" xfId="23364" xr:uid="{00000000-0005-0000-0000-0000FA5A0000}"/>
    <cellStyle name="Accent6 3 19 2" xfId="23365" xr:uid="{00000000-0005-0000-0000-0000FB5A0000}"/>
    <cellStyle name="Accent6 3 19 3" xfId="23366" xr:uid="{00000000-0005-0000-0000-0000FC5A0000}"/>
    <cellStyle name="Accent6 3 19 4" xfId="23367" xr:uid="{00000000-0005-0000-0000-0000FD5A0000}"/>
    <cellStyle name="Accent6 3 19 5" xfId="23368" xr:uid="{00000000-0005-0000-0000-0000FE5A0000}"/>
    <cellStyle name="Accent6 3 19 6" xfId="23369" xr:uid="{00000000-0005-0000-0000-0000FF5A0000}"/>
    <cellStyle name="Accent6 3 19 7" xfId="23370" xr:uid="{00000000-0005-0000-0000-0000005B0000}"/>
    <cellStyle name="Accent6 3 19 8" xfId="23371" xr:uid="{00000000-0005-0000-0000-0000015B0000}"/>
    <cellStyle name="Accent6 3 19 9" xfId="23372" xr:uid="{00000000-0005-0000-0000-0000025B0000}"/>
    <cellStyle name="Accent6 3 2" xfId="23373" xr:uid="{00000000-0005-0000-0000-0000035B0000}"/>
    <cellStyle name="Accent6 3 2 10" xfId="23374" xr:uid="{00000000-0005-0000-0000-0000045B0000}"/>
    <cellStyle name="Accent6 3 2 11" xfId="23375" xr:uid="{00000000-0005-0000-0000-0000055B0000}"/>
    <cellStyle name="Accent6 3 2 12" xfId="23376" xr:uid="{00000000-0005-0000-0000-0000065B0000}"/>
    <cellStyle name="Accent6 3 2 13" xfId="23377" xr:uid="{00000000-0005-0000-0000-0000075B0000}"/>
    <cellStyle name="Accent6 3 2 14" xfId="23378" xr:uid="{00000000-0005-0000-0000-0000085B0000}"/>
    <cellStyle name="Accent6 3 2 15" xfId="23379" xr:uid="{00000000-0005-0000-0000-0000095B0000}"/>
    <cellStyle name="Accent6 3 2 16" xfId="23380" xr:uid="{00000000-0005-0000-0000-00000A5B0000}"/>
    <cellStyle name="Accent6 3 2 17" xfId="23381" xr:uid="{00000000-0005-0000-0000-00000B5B0000}"/>
    <cellStyle name="Accent6 3 2 18" xfId="23382" xr:uid="{00000000-0005-0000-0000-00000C5B0000}"/>
    <cellStyle name="Accent6 3 2 19" xfId="23383" xr:uid="{00000000-0005-0000-0000-00000D5B0000}"/>
    <cellStyle name="Accent6 3 2 2" xfId="23384" xr:uid="{00000000-0005-0000-0000-00000E5B0000}"/>
    <cellStyle name="Accent6 3 2 20" xfId="23385" xr:uid="{00000000-0005-0000-0000-00000F5B0000}"/>
    <cellStyle name="Accent6 3 2 21" xfId="23386" xr:uid="{00000000-0005-0000-0000-0000105B0000}"/>
    <cellStyle name="Accent6 3 2 22" xfId="23387" xr:uid="{00000000-0005-0000-0000-0000115B0000}"/>
    <cellStyle name="Accent6 3 2 23" xfId="23388" xr:uid="{00000000-0005-0000-0000-0000125B0000}"/>
    <cellStyle name="Accent6 3 2 24" xfId="23389" xr:uid="{00000000-0005-0000-0000-0000135B0000}"/>
    <cellStyle name="Accent6 3 2 25" xfId="23390" xr:uid="{00000000-0005-0000-0000-0000145B0000}"/>
    <cellStyle name="Accent6 3 2 26" xfId="23391" xr:uid="{00000000-0005-0000-0000-0000155B0000}"/>
    <cellStyle name="Accent6 3 2 27" xfId="23392" xr:uid="{00000000-0005-0000-0000-0000165B0000}"/>
    <cellStyle name="Accent6 3 2 28" xfId="23393" xr:uid="{00000000-0005-0000-0000-0000175B0000}"/>
    <cellStyle name="Accent6 3 2 29" xfId="23394" xr:uid="{00000000-0005-0000-0000-0000185B0000}"/>
    <cellStyle name="Accent6 3 2 3" xfId="23395" xr:uid="{00000000-0005-0000-0000-0000195B0000}"/>
    <cellStyle name="Accent6 3 2 30" xfId="23396" xr:uid="{00000000-0005-0000-0000-00001A5B0000}"/>
    <cellStyle name="Accent6 3 2 31" xfId="23397" xr:uid="{00000000-0005-0000-0000-00001B5B0000}"/>
    <cellStyle name="Accent6 3 2 32" xfId="23398" xr:uid="{00000000-0005-0000-0000-00001C5B0000}"/>
    <cellStyle name="Accent6 3 2 33" xfId="23399" xr:uid="{00000000-0005-0000-0000-00001D5B0000}"/>
    <cellStyle name="Accent6 3 2 34" xfId="23400" xr:uid="{00000000-0005-0000-0000-00001E5B0000}"/>
    <cellStyle name="Accent6 3 2 35" xfId="23401" xr:uid="{00000000-0005-0000-0000-00001F5B0000}"/>
    <cellStyle name="Accent6 3 2 36" xfId="23402" xr:uid="{00000000-0005-0000-0000-0000205B0000}"/>
    <cellStyle name="Accent6 3 2 37" xfId="23403" xr:uid="{00000000-0005-0000-0000-0000215B0000}"/>
    <cellStyle name="Accent6 3 2 38" xfId="23404" xr:uid="{00000000-0005-0000-0000-0000225B0000}"/>
    <cellStyle name="Accent6 3 2 39" xfId="23405" xr:uid="{00000000-0005-0000-0000-0000235B0000}"/>
    <cellStyle name="Accent6 3 2 4" xfId="23406" xr:uid="{00000000-0005-0000-0000-0000245B0000}"/>
    <cellStyle name="Accent6 3 2 40" xfId="23407" xr:uid="{00000000-0005-0000-0000-0000255B0000}"/>
    <cellStyle name="Accent6 3 2 41" xfId="23408" xr:uid="{00000000-0005-0000-0000-0000265B0000}"/>
    <cellStyle name="Accent6 3 2 42" xfId="23409" xr:uid="{00000000-0005-0000-0000-0000275B0000}"/>
    <cellStyle name="Accent6 3 2 43" xfId="23410" xr:uid="{00000000-0005-0000-0000-0000285B0000}"/>
    <cellStyle name="Accent6 3 2 44" xfId="23411" xr:uid="{00000000-0005-0000-0000-0000295B0000}"/>
    <cellStyle name="Accent6 3 2 45" xfId="23412" xr:uid="{00000000-0005-0000-0000-00002A5B0000}"/>
    <cellStyle name="Accent6 3 2 46" xfId="23413" xr:uid="{00000000-0005-0000-0000-00002B5B0000}"/>
    <cellStyle name="Accent6 3 2 47" xfId="23414" xr:uid="{00000000-0005-0000-0000-00002C5B0000}"/>
    <cellStyle name="Accent6 3 2 48" xfId="23415" xr:uid="{00000000-0005-0000-0000-00002D5B0000}"/>
    <cellStyle name="Accent6 3 2 49" xfId="23416" xr:uid="{00000000-0005-0000-0000-00002E5B0000}"/>
    <cellStyle name="Accent6 3 2 5" xfId="23417" xr:uid="{00000000-0005-0000-0000-00002F5B0000}"/>
    <cellStyle name="Accent6 3 2 50" xfId="23418" xr:uid="{00000000-0005-0000-0000-0000305B0000}"/>
    <cellStyle name="Accent6 3 2 51" xfId="23419" xr:uid="{00000000-0005-0000-0000-0000315B0000}"/>
    <cellStyle name="Accent6 3 2 52" xfId="23420" xr:uid="{00000000-0005-0000-0000-0000325B0000}"/>
    <cellStyle name="Accent6 3 2 53" xfId="23421" xr:uid="{00000000-0005-0000-0000-0000335B0000}"/>
    <cellStyle name="Accent6 3 2 6" xfId="23422" xr:uid="{00000000-0005-0000-0000-0000345B0000}"/>
    <cellStyle name="Accent6 3 2 7" xfId="23423" xr:uid="{00000000-0005-0000-0000-0000355B0000}"/>
    <cellStyle name="Accent6 3 2 8" xfId="23424" xr:uid="{00000000-0005-0000-0000-0000365B0000}"/>
    <cellStyle name="Accent6 3 2 9" xfId="23425" xr:uid="{00000000-0005-0000-0000-0000375B0000}"/>
    <cellStyle name="Accent6 3 20" xfId="23426" xr:uid="{00000000-0005-0000-0000-0000385B0000}"/>
    <cellStyle name="Accent6 3 20 10" xfId="23427" xr:uid="{00000000-0005-0000-0000-0000395B0000}"/>
    <cellStyle name="Accent6 3 20 11" xfId="23428" xr:uid="{00000000-0005-0000-0000-00003A5B0000}"/>
    <cellStyle name="Accent6 3 20 12" xfId="23429" xr:uid="{00000000-0005-0000-0000-00003B5B0000}"/>
    <cellStyle name="Accent6 3 20 13" xfId="23430" xr:uid="{00000000-0005-0000-0000-00003C5B0000}"/>
    <cellStyle name="Accent6 3 20 14" xfId="23431" xr:uid="{00000000-0005-0000-0000-00003D5B0000}"/>
    <cellStyle name="Accent6 3 20 15" xfId="23432" xr:uid="{00000000-0005-0000-0000-00003E5B0000}"/>
    <cellStyle name="Accent6 3 20 2" xfId="23433" xr:uid="{00000000-0005-0000-0000-00003F5B0000}"/>
    <cellStyle name="Accent6 3 20 3" xfId="23434" xr:uid="{00000000-0005-0000-0000-0000405B0000}"/>
    <cellStyle name="Accent6 3 20 4" xfId="23435" xr:uid="{00000000-0005-0000-0000-0000415B0000}"/>
    <cellStyle name="Accent6 3 20 5" xfId="23436" xr:uid="{00000000-0005-0000-0000-0000425B0000}"/>
    <cellStyle name="Accent6 3 20 6" xfId="23437" xr:uid="{00000000-0005-0000-0000-0000435B0000}"/>
    <cellStyle name="Accent6 3 20 7" xfId="23438" xr:uid="{00000000-0005-0000-0000-0000445B0000}"/>
    <cellStyle name="Accent6 3 20 8" xfId="23439" xr:uid="{00000000-0005-0000-0000-0000455B0000}"/>
    <cellStyle name="Accent6 3 20 9" xfId="23440" xr:uid="{00000000-0005-0000-0000-0000465B0000}"/>
    <cellStyle name="Accent6 3 21" xfId="23441" xr:uid="{00000000-0005-0000-0000-0000475B0000}"/>
    <cellStyle name="Accent6 3 21 10" xfId="23442" xr:uid="{00000000-0005-0000-0000-0000485B0000}"/>
    <cellStyle name="Accent6 3 21 11" xfId="23443" xr:uid="{00000000-0005-0000-0000-0000495B0000}"/>
    <cellStyle name="Accent6 3 21 12" xfId="23444" xr:uid="{00000000-0005-0000-0000-00004A5B0000}"/>
    <cellStyle name="Accent6 3 21 13" xfId="23445" xr:uid="{00000000-0005-0000-0000-00004B5B0000}"/>
    <cellStyle name="Accent6 3 21 14" xfId="23446" xr:uid="{00000000-0005-0000-0000-00004C5B0000}"/>
    <cellStyle name="Accent6 3 21 15" xfId="23447" xr:uid="{00000000-0005-0000-0000-00004D5B0000}"/>
    <cellStyle name="Accent6 3 21 2" xfId="23448" xr:uid="{00000000-0005-0000-0000-00004E5B0000}"/>
    <cellStyle name="Accent6 3 21 3" xfId="23449" xr:uid="{00000000-0005-0000-0000-00004F5B0000}"/>
    <cellStyle name="Accent6 3 21 4" xfId="23450" xr:uid="{00000000-0005-0000-0000-0000505B0000}"/>
    <cellStyle name="Accent6 3 21 5" xfId="23451" xr:uid="{00000000-0005-0000-0000-0000515B0000}"/>
    <cellStyle name="Accent6 3 21 6" xfId="23452" xr:uid="{00000000-0005-0000-0000-0000525B0000}"/>
    <cellStyle name="Accent6 3 21 7" xfId="23453" xr:uid="{00000000-0005-0000-0000-0000535B0000}"/>
    <cellStyle name="Accent6 3 21 8" xfId="23454" xr:uid="{00000000-0005-0000-0000-0000545B0000}"/>
    <cellStyle name="Accent6 3 21 9" xfId="23455" xr:uid="{00000000-0005-0000-0000-0000555B0000}"/>
    <cellStyle name="Accent6 3 22" xfId="23456" xr:uid="{00000000-0005-0000-0000-0000565B0000}"/>
    <cellStyle name="Accent6 3 22 10" xfId="23457" xr:uid="{00000000-0005-0000-0000-0000575B0000}"/>
    <cellStyle name="Accent6 3 22 11" xfId="23458" xr:uid="{00000000-0005-0000-0000-0000585B0000}"/>
    <cellStyle name="Accent6 3 22 12" xfId="23459" xr:uid="{00000000-0005-0000-0000-0000595B0000}"/>
    <cellStyle name="Accent6 3 22 13" xfId="23460" xr:uid="{00000000-0005-0000-0000-00005A5B0000}"/>
    <cellStyle name="Accent6 3 22 14" xfId="23461" xr:uid="{00000000-0005-0000-0000-00005B5B0000}"/>
    <cellStyle name="Accent6 3 22 15" xfId="23462" xr:uid="{00000000-0005-0000-0000-00005C5B0000}"/>
    <cellStyle name="Accent6 3 22 2" xfId="23463" xr:uid="{00000000-0005-0000-0000-00005D5B0000}"/>
    <cellStyle name="Accent6 3 22 3" xfId="23464" xr:uid="{00000000-0005-0000-0000-00005E5B0000}"/>
    <cellStyle name="Accent6 3 22 4" xfId="23465" xr:uid="{00000000-0005-0000-0000-00005F5B0000}"/>
    <cellStyle name="Accent6 3 22 5" xfId="23466" xr:uid="{00000000-0005-0000-0000-0000605B0000}"/>
    <cellStyle name="Accent6 3 22 6" xfId="23467" xr:uid="{00000000-0005-0000-0000-0000615B0000}"/>
    <cellStyle name="Accent6 3 22 7" xfId="23468" xr:uid="{00000000-0005-0000-0000-0000625B0000}"/>
    <cellStyle name="Accent6 3 22 8" xfId="23469" xr:uid="{00000000-0005-0000-0000-0000635B0000}"/>
    <cellStyle name="Accent6 3 22 9" xfId="23470" xr:uid="{00000000-0005-0000-0000-0000645B0000}"/>
    <cellStyle name="Accent6 3 23" xfId="23471" xr:uid="{00000000-0005-0000-0000-0000655B0000}"/>
    <cellStyle name="Accent6 3 23 10" xfId="23472" xr:uid="{00000000-0005-0000-0000-0000665B0000}"/>
    <cellStyle name="Accent6 3 23 11" xfId="23473" xr:uid="{00000000-0005-0000-0000-0000675B0000}"/>
    <cellStyle name="Accent6 3 23 12" xfId="23474" xr:uid="{00000000-0005-0000-0000-0000685B0000}"/>
    <cellStyle name="Accent6 3 23 13" xfId="23475" xr:uid="{00000000-0005-0000-0000-0000695B0000}"/>
    <cellStyle name="Accent6 3 23 14" xfId="23476" xr:uid="{00000000-0005-0000-0000-00006A5B0000}"/>
    <cellStyle name="Accent6 3 23 15" xfId="23477" xr:uid="{00000000-0005-0000-0000-00006B5B0000}"/>
    <cellStyle name="Accent6 3 23 2" xfId="23478" xr:uid="{00000000-0005-0000-0000-00006C5B0000}"/>
    <cellStyle name="Accent6 3 23 3" xfId="23479" xr:uid="{00000000-0005-0000-0000-00006D5B0000}"/>
    <cellStyle name="Accent6 3 23 4" xfId="23480" xr:uid="{00000000-0005-0000-0000-00006E5B0000}"/>
    <cellStyle name="Accent6 3 23 5" xfId="23481" xr:uid="{00000000-0005-0000-0000-00006F5B0000}"/>
    <cellStyle name="Accent6 3 23 6" xfId="23482" xr:uid="{00000000-0005-0000-0000-0000705B0000}"/>
    <cellStyle name="Accent6 3 23 7" xfId="23483" xr:uid="{00000000-0005-0000-0000-0000715B0000}"/>
    <cellStyle name="Accent6 3 23 8" xfId="23484" xr:uid="{00000000-0005-0000-0000-0000725B0000}"/>
    <cellStyle name="Accent6 3 23 9" xfId="23485" xr:uid="{00000000-0005-0000-0000-0000735B0000}"/>
    <cellStyle name="Accent6 3 24" xfId="23486" xr:uid="{00000000-0005-0000-0000-0000745B0000}"/>
    <cellStyle name="Accent6 3 24 10" xfId="23487" xr:uid="{00000000-0005-0000-0000-0000755B0000}"/>
    <cellStyle name="Accent6 3 24 11" xfId="23488" xr:uid="{00000000-0005-0000-0000-0000765B0000}"/>
    <cellStyle name="Accent6 3 24 12" xfId="23489" xr:uid="{00000000-0005-0000-0000-0000775B0000}"/>
    <cellStyle name="Accent6 3 24 13" xfId="23490" xr:uid="{00000000-0005-0000-0000-0000785B0000}"/>
    <cellStyle name="Accent6 3 24 14" xfId="23491" xr:uid="{00000000-0005-0000-0000-0000795B0000}"/>
    <cellStyle name="Accent6 3 24 15" xfId="23492" xr:uid="{00000000-0005-0000-0000-00007A5B0000}"/>
    <cellStyle name="Accent6 3 24 2" xfId="23493" xr:uid="{00000000-0005-0000-0000-00007B5B0000}"/>
    <cellStyle name="Accent6 3 24 3" xfId="23494" xr:uid="{00000000-0005-0000-0000-00007C5B0000}"/>
    <cellStyle name="Accent6 3 24 4" xfId="23495" xr:uid="{00000000-0005-0000-0000-00007D5B0000}"/>
    <cellStyle name="Accent6 3 24 5" xfId="23496" xr:uid="{00000000-0005-0000-0000-00007E5B0000}"/>
    <cellStyle name="Accent6 3 24 6" xfId="23497" xr:uid="{00000000-0005-0000-0000-00007F5B0000}"/>
    <cellStyle name="Accent6 3 24 7" xfId="23498" xr:uid="{00000000-0005-0000-0000-0000805B0000}"/>
    <cellStyle name="Accent6 3 24 8" xfId="23499" xr:uid="{00000000-0005-0000-0000-0000815B0000}"/>
    <cellStyle name="Accent6 3 24 9" xfId="23500" xr:uid="{00000000-0005-0000-0000-0000825B0000}"/>
    <cellStyle name="Accent6 3 25" xfId="23501" xr:uid="{00000000-0005-0000-0000-0000835B0000}"/>
    <cellStyle name="Accent6 3 25 10" xfId="23502" xr:uid="{00000000-0005-0000-0000-0000845B0000}"/>
    <cellStyle name="Accent6 3 25 11" xfId="23503" xr:uid="{00000000-0005-0000-0000-0000855B0000}"/>
    <cellStyle name="Accent6 3 25 12" xfId="23504" xr:uid="{00000000-0005-0000-0000-0000865B0000}"/>
    <cellStyle name="Accent6 3 25 13" xfId="23505" xr:uid="{00000000-0005-0000-0000-0000875B0000}"/>
    <cellStyle name="Accent6 3 25 14" xfId="23506" xr:uid="{00000000-0005-0000-0000-0000885B0000}"/>
    <cellStyle name="Accent6 3 25 15" xfId="23507" xr:uid="{00000000-0005-0000-0000-0000895B0000}"/>
    <cellStyle name="Accent6 3 25 2" xfId="23508" xr:uid="{00000000-0005-0000-0000-00008A5B0000}"/>
    <cellStyle name="Accent6 3 25 3" xfId="23509" xr:uid="{00000000-0005-0000-0000-00008B5B0000}"/>
    <cellStyle name="Accent6 3 25 4" xfId="23510" xr:uid="{00000000-0005-0000-0000-00008C5B0000}"/>
    <cellStyle name="Accent6 3 25 5" xfId="23511" xr:uid="{00000000-0005-0000-0000-00008D5B0000}"/>
    <cellStyle name="Accent6 3 25 6" xfId="23512" xr:uid="{00000000-0005-0000-0000-00008E5B0000}"/>
    <cellStyle name="Accent6 3 25 7" xfId="23513" xr:uid="{00000000-0005-0000-0000-00008F5B0000}"/>
    <cellStyle name="Accent6 3 25 8" xfId="23514" xr:uid="{00000000-0005-0000-0000-0000905B0000}"/>
    <cellStyle name="Accent6 3 25 9" xfId="23515" xr:uid="{00000000-0005-0000-0000-0000915B0000}"/>
    <cellStyle name="Accent6 3 26" xfId="23516" xr:uid="{00000000-0005-0000-0000-0000925B0000}"/>
    <cellStyle name="Accent6 3 26 10" xfId="23517" xr:uid="{00000000-0005-0000-0000-0000935B0000}"/>
    <cellStyle name="Accent6 3 26 11" xfId="23518" xr:uid="{00000000-0005-0000-0000-0000945B0000}"/>
    <cellStyle name="Accent6 3 26 12" xfId="23519" xr:uid="{00000000-0005-0000-0000-0000955B0000}"/>
    <cellStyle name="Accent6 3 26 13" xfId="23520" xr:uid="{00000000-0005-0000-0000-0000965B0000}"/>
    <cellStyle name="Accent6 3 26 14" xfId="23521" xr:uid="{00000000-0005-0000-0000-0000975B0000}"/>
    <cellStyle name="Accent6 3 26 15" xfId="23522" xr:uid="{00000000-0005-0000-0000-0000985B0000}"/>
    <cellStyle name="Accent6 3 26 2" xfId="23523" xr:uid="{00000000-0005-0000-0000-0000995B0000}"/>
    <cellStyle name="Accent6 3 26 3" xfId="23524" xr:uid="{00000000-0005-0000-0000-00009A5B0000}"/>
    <cellStyle name="Accent6 3 26 4" xfId="23525" xr:uid="{00000000-0005-0000-0000-00009B5B0000}"/>
    <cellStyle name="Accent6 3 26 5" xfId="23526" xr:uid="{00000000-0005-0000-0000-00009C5B0000}"/>
    <cellStyle name="Accent6 3 26 6" xfId="23527" xr:uid="{00000000-0005-0000-0000-00009D5B0000}"/>
    <cellStyle name="Accent6 3 26 7" xfId="23528" xr:uid="{00000000-0005-0000-0000-00009E5B0000}"/>
    <cellStyle name="Accent6 3 26 8" xfId="23529" xr:uid="{00000000-0005-0000-0000-00009F5B0000}"/>
    <cellStyle name="Accent6 3 26 9" xfId="23530" xr:uid="{00000000-0005-0000-0000-0000A05B0000}"/>
    <cellStyle name="Accent6 3 27" xfId="23531" xr:uid="{00000000-0005-0000-0000-0000A15B0000}"/>
    <cellStyle name="Accent6 3 27 10" xfId="23532" xr:uid="{00000000-0005-0000-0000-0000A25B0000}"/>
    <cellStyle name="Accent6 3 27 11" xfId="23533" xr:uid="{00000000-0005-0000-0000-0000A35B0000}"/>
    <cellStyle name="Accent6 3 27 12" xfId="23534" xr:uid="{00000000-0005-0000-0000-0000A45B0000}"/>
    <cellStyle name="Accent6 3 27 13" xfId="23535" xr:uid="{00000000-0005-0000-0000-0000A55B0000}"/>
    <cellStyle name="Accent6 3 27 14" xfId="23536" xr:uid="{00000000-0005-0000-0000-0000A65B0000}"/>
    <cellStyle name="Accent6 3 27 15" xfId="23537" xr:uid="{00000000-0005-0000-0000-0000A75B0000}"/>
    <cellStyle name="Accent6 3 27 2" xfId="23538" xr:uid="{00000000-0005-0000-0000-0000A85B0000}"/>
    <cellStyle name="Accent6 3 27 3" xfId="23539" xr:uid="{00000000-0005-0000-0000-0000A95B0000}"/>
    <cellStyle name="Accent6 3 27 4" xfId="23540" xr:uid="{00000000-0005-0000-0000-0000AA5B0000}"/>
    <cellStyle name="Accent6 3 27 5" xfId="23541" xr:uid="{00000000-0005-0000-0000-0000AB5B0000}"/>
    <cellStyle name="Accent6 3 27 6" xfId="23542" xr:uid="{00000000-0005-0000-0000-0000AC5B0000}"/>
    <cellStyle name="Accent6 3 27 7" xfId="23543" xr:uid="{00000000-0005-0000-0000-0000AD5B0000}"/>
    <cellStyle name="Accent6 3 27 8" xfId="23544" xr:uid="{00000000-0005-0000-0000-0000AE5B0000}"/>
    <cellStyle name="Accent6 3 27 9" xfId="23545" xr:uid="{00000000-0005-0000-0000-0000AF5B0000}"/>
    <cellStyle name="Accent6 3 28" xfId="23546" xr:uid="{00000000-0005-0000-0000-0000B05B0000}"/>
    <cellStyle name="Accent6 3 28 10" xfId="23547" xr:uid="{00000000-0005-0000-0000-0000B15B0000}"/>
    <cellStyle name="Accent6 3 28 11" xfId="23548" xr:uid="{00000000-0005-0000-0000-0000B25B0000}"/>
    <cellStyle name="Accent6 3 28 12" xfId="23549" xr:uid="{00000000-0005-0000-0000-0000B35B0000}"/>
    <cellStyle name="Accent6 3 28 13" xfId="23550" xr:uid="{00000000-0005-0000-0000-0000B45B0000}"/>
    <cellStyle name="Accent6 3 28 14" xfId="23551" xr:uid="{00000000-0005-0000-0000-0000B55B0000}"/>
    <cellStyle name="Accent6 3 28 15" xfId="23552" xr:uid="{00000000-0005-0000-0000-0000B65B0000}"/>
    <cellStyle name="Accent6 3 28 2" xfId="23553" xr:uid="{00000000-0005-0000-0000-0000B75B0000}"/>
    <cellStyle name="Accent6 3 28 3" xfId="23554" xr:uid="{00000000-0005-0000-0000-0000B85B0000}"/>
    <cellStyle name="Accent6 3 28 4" xfId="23555" xr:uid="{00000000-0005-0000-0000-0000B95B0000}"/>
    <cellStyle name="Accent6 3 28 5" xfId="23556" xr:uid="{00000000-0005-0000-0000-0000BA5B0000}"/>
    <cellStyle name="Accent6 3 28 6" xfId="23557" xr:uid="{00000000-0005-0000-0000-0000BB5B0000}"/>
    <cellStyle name="Accent6 3 28 7" xfId="23558" xr:uid="{00000000-0005-0000-0000-0000BC5B0000}"/>
    <cellStyle name="Accent6 3 28 8" xfId="23559" xr:uid="{00000000-0005-0000-0000-0000BD5B0000}"/>
    <cellStyle name="Accent6 3 28 9" xfId="23560" xr:uid="{00000000-0005-0000-0000-0000BE5B0000}"/>
    <cellStyle name="Accent6 3 29" xfId="23561" xr:uid="{00000000-0005-0000-0000-0000BF5B0000}"/>
    <cellStyle name="Accent6 3 29 10" xfId="23562" xr:uid="{00000000-0005-0000-0000-0000C05B0000}"/>
    <cellStyle name="Accent6 3 29 11" xfId="23563" xr:uid="{00000000-0005-0000-0000-0000C15B0000}"/>
    <cellStyle name="Accent6 3 29 12" xfId="23564" xr:uid="{00000000-0005-0000-0000-0000C25B0000}"/>
    <cellStyle name="Accent6 3 29 13" xfId="23565" xr:uid="{00000000-0005-0000-0000-0000C35B0000}"/>
    <cellStyle name="Accent6 3 29 14" xfId="23566" xr:uid="{00000000-0005-0000-0000-0000C45B0000}"/>
    <cellStyle name="Accent6 3 29 15" xfId="23567" xr:uid="{00000000-0005-0000-0000-0000C55B0000}"/>
    <cellStyle name="Accent6 3 29 2" xfId="23568" xr:uid="{00000000-0005-0000-0000-0000C65B0000}"/>
    <cellStyle name="Accent6 3 29 3" xfId="23569" xr:uid="{00000000-0005-0000-0000-0000C75B0000}"/>
    <cellStyle name="Accent6 3 29 4" xfId="23570" xr:uid="{00000000-0005-0000-0000-0000C85B0000}"/>
    <cellStyle name="Accent6 3 29 5" xfId="23571" xr:uid="{00000000-0005-0000-0000-0000C95B0000}"/>
    <cellStyle name="Accent6 3 29 6" xfId="23572" xr:uid="{00000000-0005-0000-0000-0000CA5B0000}"/>
    <cellStyle name="Accent6 3 29 7" xfId="23573" xr:uid="{00000000-0005-0000-0000-0000CB5B0000}"/>
    <cellStyle name="Accent6 3 29 8" xfId="23574" xr:uid="{00000000-0005-0000-0000-0000CC5B0000}"/>
    <cellStyle name="Accent6 3 29 9" xfId="23575" xr:uid="{00000000-0005-0000-0000-0000CD5B0000}"/>
    <cellStyle name="Accent6 3 3" xfId="23576" xr:uid="{00000000-0005-0000-0000-0000CE5B0000}"/>
    <cellStyle name="Accent6 3 3 10" xfId="23577" xr:uid="{00000000-0005-0000-0000-0000CF5B0000}"/>
    <cellStyle name="Accent6 3 3 11" xfId="23578" xr:uid="{00000000-0005-0000-0000-0000D05B0000}"/>
    <cellStyle name="Accent6 3 3 12" xfId="23579" xr:uid="{00000000-0005-0000-0000-0000D15B0000}"/>
    <cellStyle name="Accent6 3 3 13" xfId="23580" xr:uid="{00000000-0005-0000-0000-0000D25B0000}"/>
    <cellStyle name="Accent6 3 3 14" xfId="23581" xr:uid="{00000000-0005-0000-0000-0000D35B0000}"/>
    <cellStyle name="Accent6 3 3 15" xfId="23582" xr:uid="{00000000-0005-0000-0000-0000D45B0000}"/>
    <cellStyle name="Accent6 3 3 16" xfId="23583" xr:uid="{00000000-0005-0000-0000-0000D55B0000}"/>
    <cellStyle name="Accent6 3 3 2" xfId="23584" xr:uid="{00000000-0005-0000-0000-0000D65B0000}"/>
    <cellStyle name="Accent6 3 3 3" xfId="23585" xr:uid="{00000000-0005-0000-0000-0000D75B0000}"/>
    <cellStyle name="Accent6 3 3 4" xfId="23586" xr:uid="{00000000-0005-0000-0000-0000D85B0000}"/>
    <cellStyle name="Accent6 3 3 5" xfId="23587" xr:uid="{00000000-0005-0000-0000-0000D95B0000}"/>
    <cellStyle name="Accent6 3 3 6" xfId="23588" xr:uid="{00000000-0005-0000-0000-0000DA5B0000}"/>
    <cellStyle name="Accent6 3 3 7" xfId="23589" xr:uid="{00000000-0005-0000-0000-0000DB5B0000}"/>
    <cellStyle name="Accent6 3 3 8" xfId="23590" xr:uid="{00000000-0005-0000-0000-0000DC5B0000}"/>
    <cellStyle name="Accent6 3 3 9" xfId="23591" xr:uid="{00000000-0005-0000-0000-0000DD5B0000}"/>
    <cellStyle name="Accent6 3 30" xfId="23592" xr:uid="{00000000-0005-0000-0000-0000DE5B0000}"/>
    <cellStyle name="Accent6 3 30 10" xfId="23593" xr:uid="{00000000-0005-0000-0000-0000DF5B0000}"/>
    <cellStyle name="Accent6 3 30 11" xfId="23594" xr:uid="{00000000-0005-0000-0000-0000E05B0000}"/>
    <cellStyle name="Accent6 3 30 12" xfId="23595" xr:uid="{00000000-0005-0000-0000-0000E15B0000}"/>
    <cellStyle name="Accent6 3 30 13" xfId="23596" xr:uid="{00000000-0005-0000-0000-0000E25B0000}"/>
    <cellStyle name="Accent6 3 30 14" xfId="23597" xr:uid="{00000000-0005-0000-0000-0000E35B0000}"/>
    <cellStyle name="Accent6 3 30 15" xfId="23598" xr:uid="{00000000-0005-0000-0000-0000E45B0000}"/>
    <cellStyle name="Accent6 3 30 2" xfId="23599" xr:uid="{00000000-0005-0000-0000-0000E55B0000}"/>
    <cellStyle name="Accent6 3 30 3" xfId="23600" xr:uid="{00000000-0005-0000-0000-0000E65B0000}"/>
    <cellStyle name="Accent6 3 30 4" xfId="23601" xr:uid="{00000000-0005-0000-0000-0000E75B0000}"/>
    <cellStyle name="Accent6 3 30 5" xfId="23602" xr:uid="{00000000-0005-0000-0000-0000E85B0000}"/>
    <cellStyle name="Accent6 3 30 6" xfId="23603" xr:uid="{00000000-0005-0000-0000-0000E95B0000}"/>
    <cellStyle name="Accent6 3 30 7" xfId="23604" xr:uid="{00000000-0005-0000-0000-0000EA5B0000}"/>
    <cellStyle name="Accent6 3 30 8" xfId="23605" xr:uid="{00000000-0005-0000-0000-0000EB5B0000}"/>
    <cellStyle name="Accent6 3 30 9" xfId="23606" xr:uid="{00000000-0005-0000-0000-0000EC5B0000}"/>
    <cellStyle name="Accent6 3 31" xfId="23607" xr:uid="{00000000-0005-0000-0000-0000ED5B0000}"/>
    <cellStyle name="Accent6 3 31 10" xfId="23608" xr:uid="{00000000-0005-0000-0000-0000EE5B0000}"/>
    <cellStyle name="Accent6 3 31 11" xfId="23609" xr:uid="{00000000-0005-0000-0000-0000EF5B0000}"/>
    <cellStyle name="Accent6 3 31 12" xfId="23610" xr:uid="{00000000-0005-0000-0000-0000F05B0000}"/>
    <cellStyle name="Accent6 3 31 13" xfId="23611" xr:uid="{00000000-0005-0000-0000-0000F15B0000}"/>
    <cellStyle name="Accent6 3 31 14" xfId="23612" xr:uid="{00000000-0005-0000-0000-0000F25B0000}"/>
    <cellStyle name="Accent6 3 31 15" xfId="23613" xr:uid="{00000000-0005-0000-0000-0000F35B0000}"/>
    <cellStyle name="Accent6 3 31 2" xfId="23614" xr:uid="{00000000-0005-0000-0000-0000F45B0000}"/>
    <cellStyle name="Accent6 3 31 3" xfId="23615" xr:uid="{00000000-0005-0000-0000-0000F55B0000}"/>
    <cellStyle name="Accent6 3 31 4" xfId="23616" xr:uid="{00000000-0005-0000-0000-0000F65B0000}"/>
    <cellStyle name="Accent6 3 31 5" xfId="23617" xr:uid="{00000000-0005-0000-0000-0000F75B0000}"/>
    <cellStyle name="Accent6 3 31 6" xfId="23618" xr:uid="{00000000-0005-0000-0000-0000F85B0000}"/>
    <cellStyle name="Accent6 3 31 7" xfId="23619" xr:uid="{00000000-0005-0000-0000-0000F95B0000}"/>
    <cellStyle name="Accent6 3 31 8" xfId="23620" xr:uid="{00000000-0005-0000-0000-0000FA5B0000}"/>
    <cellStyle name="Accent6 3 31 9" xfId="23621" xr:uid="{00000000-0005-0000-0000-0000FB5B0000}"/>
    <cellStyle name="Accent6 3 32" xfId="23622" xr:uid="{00000000-0005-0000-0000-0000FC5B0000}"/>
    <cellStyle name="Accent6 3 32 10" xfId="23623" xr:uid="{00000000-0005-0000-0000-0000FD5B0000}"/>
    <cellStyle name="Accent6 3 32 11" xfId="23624" xr:uid="{00000000-0005-0000-0000-0000FE5B0000}"/>
    <cellStyle name="Accent6 3 32 12" xfId="23625" xr:uid="{00000000-0005-0000-0000-0000FF5B0000}"/>
    <cellStyle name="Accent6 3 32 13" xfId="23626" xr:uid="{00000000-0005-0000-0000-0000005C0000}"/>
    <cellStyle name="Accent6 3 32 14" xfId="23627" xr:uid="{00000000-0005-0000-0000-0000015C0000}"/>
    <cellStyle name="Accent6 3 32 15" xfId="23628" xr:uid="{00000000-0005-0000-0000-0000025C0000}"/>
    <cellStyle name="Accent6 3 32 2" xfId="23629" xr:uid="{00000000-0005-0000-0000-0000035C0000}"/>
    <cellStyle name="Accent6 3 32 3" xfId="23630" xr:uid="{00000000-0005-0000-0000-0000045C0000}"/>
    <cellStyle name="Accent6 3 32 4" xfId="23631" xr:uid="{00000000-0005-0000-0000-0000055C0000}"/>
    <cellStyle name="Accent6 3 32 5" xfId="23632" xr:uid="{00000000-0005-0000-0000-0000065C0000}"/>
    <cellStyle name="Accent6 3 32 6" xfId="23633" xr:uid="{00000000-0005-0000-0000-0000075C0000}"/>
    <cellStyle name="Accent6 3 32 7" xfId="23634" xr:uid="{00000000-0005-0000-0000-0000085C0000}"/>
    <cellStyle name="Accent6 3 32 8" xfId="23635" xr:uid="{00000000-0005-0000-0000-0000095C0000}"/>
    <cellStyle name="Accent6 3 32 9" xfId="23636" xr:uid="{00000000-0005-0000-0000-00000A5C0000}"/>
    <cellStyle name="Accent6 3 33" xfId="23637" xr:uid="{00000000-0005-0000-0000-00000B5C0000}"/>
    <cellStyle name="Accent6 3 34" xfId="23638" xr:uid="{00000000-0005-0000-0000-00000C5C0000}"/>
    <cellStyle name="Accent6 3 35" xfId="23639" xr:uid="{00000000-0005-0000-0000-00000D5C0000}"/>
    <cellStyle name="Accent6 3 36" xfId="23640" xr:uid="{00000000-0005-0000-0000-00000E5C0000}"/>
    <cellStyle name="Accent6 3 37" xfId="23641" xr:uid="{00000000-0005-0000-0000-00000F5C0000}"/>
    <cellStyle name="Accent6 3 38" xfId="23642" xr:uid="{00000000-0005-0000-0000-0000105C0000}"/>
    <cellStyle name="Accent6 3 39" xfId="23643" xr:uid="{00000000-0005-0000-0000-0000115C0000}"/>
    <cellStyle name="Accent6 3 4" xfId="23644" xr:uid="{00000000-0005-0000-0000-0000125C0000}"/>
    <cellStyle name="Accent6 3 4 10" xfId="23645" xr:uid="{00000000-0005-0000-0000-0000135C0000}"/>
    <cellStyle name="Accent6 3 4 11" xfId="23646" xr:uid="{00000000-0005-0000-0000-0000145C0000}"/>
    <cellStyle name="Accent6 3 4 12" xfId="23647" xr:uid="{00000000-0005-0000-0000-0000155C0000}"/>
    <cellStyle name="Accent6 3 4 13" xfId="23648" xr:uid="{00000000-0005-0000-0000-0000165C0000}"/>
    <cellStyle name="Accent6 3 4 14" xfId="23649" xr:uid="{00000000-0005-0000-0000-0000175C0000}"/>
    <cellStyle name="Accent6 3 4 15" xfId="23650" xr:uid="{00000000-0005-0000-0000-0000185C0000}"/>
    <cellStyle name="Accent6 3 4 2" xfId="23651" xr:uid="{00000000-0005-0000-0000-0000195C0000}"/>
    <cellStyle name="Accent6 3 4 3" xfId="23652" xr:uid="{00000000-0005-0000-0000-00001A5C0000}"/>
    <cellStyle name="Accent6 3 4 4" xfId="23653" xr:uid="{00000000-0005-0000-0000-00001B5C0000}"/>
    <cellStyle name="Accent6 3 4 5" xfId="23654" xr:uid="{00000000-0005-0000-0000-00001C5C0000}"/>
    <cellStyle name="Accent6 3 4 6" xfId="23655" xr:uid="{00000000-0005-0000-0000-00001D5C0000}"/>
    <cellStyle name="Accent6 3 4 7" xfId="23656" xr:uid="{00000000-0005-0000-0000-00001E5C0000}"/>
    <cellStyle name="Accent6 3 4 8" xfId="23657" xr:uid="{00000000-0005-0000-0000-00001F5C0000}"/>
    <cellStyle name="Accent6 3 4 9" xfId="23658" xr:uid="{00000000-0005-0000-0000-0000205C0000}"/>
    <cellStyle name="Accent6 3 40" xfId="23659" xr:uid="{00000000-0005-0000-0000-0000215C0000}"/>
    <cellStyle name="Accent6 3 41" xfId="23660" xr:uid="{00000000-0005-0000-0000-0000225C0000}"/>
    <cellStyle name="Accent6 3 42" xfId="23661" xr:uid="{00000000-0005-0000-0000-0000235C0000}"/>
    <cellStyle name="Accent6 3 43" xfId="23662" xr:uid="{00000000-0005-0000-0000-0000245C0000}"/>
    <cellStyle name="Accent6 3 44" xfId="23663" xr:uid="{00000000-0005-0000-0000-0000255C0000}"/>
    <cellStyle name="Accent6 3 45" xfId="23664" xr:uid="{00000000-0005-0000-0000-0000265C0000}"/>
    <cellStyle name="Accent6 3 46" xfId="23665" xr:uid="{00000000-0005-0000-0000-0000275C0000}"/>
    <cellStyle name="Accent6 3 47" xfId="23666" xr:uid="{00000000-0005-0000-0000-0000285C0000}"/>
    <cellStyle name="Accent6 3 48" xfId="23667" xr:uid="{00000000-0005-0000-0000-0000295C0000}"/>
    <cellStyle name="Accent6 3 49" xfId="23668" xr:uid="{00000000-0005-0000-0000-00002A5C0000}"/>
    <cellStyle name="Accent6 3 5" xfId="23669" xr:uid="{00000000-0005-0000-0000-00002B5C0000}"/>
    <cellStyle name="Accent6 3 5 10" xfId="23670" xr:uid="{00000000-0005-0000-0000-00002C5C0000}"/>
    <cellStyle name="Accent6 3 5 11" xfId="23671" xr:uid="{00000000-0005-0000-0000-00002D5C0000}"/>
    <cellStyle name="Accent6 3 5 12" xfId="23672" xr:uid="{00000000-0005-0000-0000-00002E5C0000}"/>
    <cellStyle name="Accent6 3 5 13" xfId="23673" xr:uid="{00000000-0005-0000-0000-00002F5C0000}"/>
    <cellStyle name="Accent6 3 5 14" xfId="23674" xr:uid="{00000000-0005-0000-0000-0000305C0000}"/>
    <cellStyle name="Accent6 3 5 15" xfId="23675" xr:uid="{00000000-0005-0000-0000-0000315C0000}"/>
    <cellStyle name="Accent6 3 5 2" xfId="23676" xr:uid="{00000000-0005-0000-0000-0000325C0000}"/>
    <cellStyle name="Accent6 3 5 3" xfId="23677" xr:uid="{00000000-0005-0000-0000-0000335C0000}"/>
    <cellStyle name="Accent6 3 5 4" xfId="23678" xr:uid="{00000000-0005-0000-0000-0000345C0000}"/>
    <cellStyle name="Accent6 3 5 5" xfId="23679" xr:uid="{00000000-0005-0000-0000-0000355C0000}"/>
    <cellStyle name="Accent6 3 5 6" xfId="23680" xr:uid="{00000000-0005-0000-0000-0000365C0000}"/>
    <cellStyle name="Accent6 3 5 7" xfId="23681" xr:uid="{00000000-0005-0000-0000-0000375C0000}"/>
    <cellStyle name="Accent6 3 5 8" xfId="23682" xr:uid="{00000000-0005-0000-0000-0000385C0000}"/>
    <cellStyle name="Accent6 3 5 9" xfId="23683" xr:uid="{00000000-0005-0000-0000-0000395C0000}"/>
    <cellStyle name="Accent6 3 50" xfId="23684" xr:uid="{00000000-0005-0000-0000-00003A5C0000}"/>
    <cellStyle name="Accent6 3 51" xfId="23685" xr:uid="{00000000-0005-0000-0000-00003B5C0000}"/>
    <cellStyle name="Accent6 3 52" xfId="23686" xr:uid="{00000000-0005-0000-0000-00003C5C0000}"/>
    <cellStyle name="Accent6 3 53" xfId="23687" xr:uid="{00000000-0005-0000-0000-00003D5C0000}"/>
    <cellStyle name="Accent6 3 6" xfId="23688" xr:uid="{00000000-0005-0000-0000-00003E5C0000}"/>
    <cellStyle name="Accent6 3 6 10" xfId="23689" xr:uid="{00000000-0005-0000-0000-00003F5C0000}"/>
    <cellStyle name="Accent6 3 6 11" xfId="23690" xr:uid="{00000000-0005-0000-0000-0000405C0000}"/>
    <cellStyle name="Accent6 3 6 12" xfId="23691" xr:uid="{00000000-0005-0000-0000-0000415C0000}"/>
    <cellStyle name="Accent6 3 6 13" xfId="23692" xr:uid="{00000000-0005-0000-0000-0000425C0000}"/>
    <cellStyle name="Accent6 3 6 14" xfId="23693" xr:uid="{00000000-0005-0000-0000-0000435C0000}"/>
    <cellStyle name="Accent6 3 6 15" xfId="23694" xr:uid="{00000000-0005-0000-0000-0000445C0000}"/>
    <cellStyle name="Accent6 3 6 2" xfId="23695" xr:uid="{00000000-0005-0000-0000-0000455C0000}"/>
    <cellStyle name="Accent6 3 6 3" xfId="23696" xr:uid="{00000000-0005-0000-0000-0000465C0000}"/>
    <cellStyle name="Accent6 3 6 4" xfId="23697" xr:uid="{00000000-0005-0000-0000-0000475C0000}"/>
    <cellStyle name="Accent6 3 6 5" xfId="23698" xr:uid="{00000000-0005-0000-0000-0000485C0000}"/>
    <cellStyle name="Accent6 3 6 6" xfId="23699" xr:uid="{00000000-0005-0000-0000-0000495C0000}"/>
    <cellStyle name="Accent6 3 6 7" xfId="23700" xr:uid="{00000000-0005-0000-0000-00004A5C0000}"/>
    <cellStyle name="Accent6 3 6 8" xfId="23701" xr:uid="{00000000-0005-0000-0000-00004B5C0000}"/>
    <cellStyle name="Accent6 3 6 9" xfId="23702" xr:uid="{00000000-0005-0000-0000-00004C5C0000}"/>
    <cellStyle name="Accent6 3 7" xfId="23703" xr:uid="{00000000-0005-0000-0000-00004D5C0000}"/>
    <cellStyle name="Accent6 3 7 10" xfId="23704" xr:uid="{00000000-0005-0000-0000-00004E5C0000}"/>
    <cellStyle name="Accent6 3 7 11" xfId="23705" xr:uid="{00000000-0005-0000-0000-00004F5C0000}"/>
    <cellStyle name="Accent6 3 7 12" xfId="23706" xr:uid="{00000000-0005-0000-0000-0000505C0000}"/>
    <cellStyle name="Accent6 3 7 13" xfId="23707" xr:uid="{00000000-0005-0000-0000-0000515C0000}"/>
    <cellStyle name="Accent6 3 7 14" xfId="23708" xr:uid="{00000000-0005-0000-0000-0000525C0000}"/>
    <cellStyle name="Accent6 3 7 15" xfId="23709" xr:uid="{00000000-0005-0000-0000-0000535C0000}"/>
    <cellStyle name="Accent6 3 7 2" xfId="23710" xr:uid="{00000000-0005-0000-0000-0000545C0000}"/>
    <cellStyle name="Accent6 3 7 3" xfId="23711" xr:uid="{00000000-0005-0000-0000-0000555C0000}"/>
    <cellStyle name="Accent6 3 7 4" xfId="23712" xr:uid="{00000000-0005-0000-0000-0000565C0000}"/>
    <cellStyle name="Accent6 3 7 5" xfId="23713" xr:uid="{00000000-0005-0000-0000-0000575C0000}"/>
    <cellStyle name="Accent6 3 7 6" xfId="23714" xr:uid="{00000000-0005-0000-0000-0000585C0000}"/>
    <cellStyle name="Accent6 3 7 7" xfId="23715" xr:uid="{00000000-0005-0000-0000-0000595C0000}"/>
    <cellStyle name="Accent6 3 7 8" xfId="23716" xr:uid="{00000000-0005-0000-0000-00005A5C0000}"/>
    <cellStyle name="Accent6 3 7 9" xfId="23717" xr:uid="{00000000-0005-0000-0000-00005B5C0000}"/>
    <cellStyle name="Accent6 3 8" xfId="23718" xr:uid="{00000000-0005-0000-0000-00005C5C0000}"/>
    <cellStyle name="Accent6 3 8 10" xfId="23719" xr:uid="{00000000-0005-0000-0000-00005D5C0000}"/>
    <cellStyle name="Accent6 3 8 11" xfId="23720" xr:uid="{00000000-0005-0000-0000-00005E5C0000}"/>
    <cellStyle name="Accent6 3 8 12" xfId="23721" xr:uid="{00000000-0005-0000-0000-00005F5C0000}"/>
    <cellStyle name="Accent6 3 8 13" xfId="23722" xr:uid="{00000000-0005-0000-0000-0000605C0000}"/>
    <cellStyle name="Accent6 3 8 14" xfId="23723" xr:uid="{00000000-0005-0000-0000-0000615C0000}"/>
    <cellStyle name="Accent6 3 8 15" xfId="23724" xr:uid="{00000000-0005-0000-0000-0000625C0000}"/>
    <cellStyle name="Accent6 3 8 2" xfId="23725" xr:uid="{00000000-0005-0000-0000-0000635C0000}"/>
    <cellStyle name="Accent6 3 8 3" xfId="23726" xr:uid="{00000000-0005-0000-0000-0000645C0000}"/>
    <cellStyle name="Accent6 3 8 4" xfId="23727" xr:uid="{00000000-0005-0000-0000-0000655C0000}"/>
    <cellStyle name="Accent6 3 8 5" xfId="23728" xr:uid="{00000000-0005-0000-0000-0000665C0000}"/>
    <cellStyle name="Accent6 3 8 6" xfId="23729" xr:uid="{00000000-0005-0000-0000-0000675C0000}"/>
    <cellStyle name="Accent6 3 8 7" xfId="23730" xr:uid="{00000000-0005-0000-0000-0000685C0000}"/>
    <cellStyle name="Accent6 3 8 8" xfId="23731" xr:uid="{00000000-0005-0000-0000-0000695C0000}"/>
    <cellStyle name="Accent6 3 8 9" xfId="23732" xr:uid="{00000000-0005-0000-0000-00006A5C0000}"/>
    <cellStyle name="Accent6 3 9" xfId="23733" xr:uid="{00000000-0005-0000-0000-00006B5C0000}"/>
    <cellStyle name="Accent6 3 9 10" xfId="23734" xr:uid="{00000000-0005-0000-0000-00006C5C0000}"/>
    <cellStyle name="Accent6 3 9 11" xfId="23735" xr:uid="{00000000-0005-0000-0000-00006D5C0000}"/>
    <cellStyle name="Accent6 3 9 12" xfId="23736" xr:uid="{00000000-0005-0000-0000-00006E5C0000}"/>
    <cellStyle name="Accent6 3 9 13" xfId="23737" xr:uid="{00000000-0005-0000-0000-00006F5C0000}"/>
    <cellStyle name="Accent6 3 9 14" xfId="23738" xr:uid="{00000000-0005-0000-0000-0000705C0000}"/>
    <cellStyle name="Accent6 3 9 15" xfId="23739" xr:uid="{00000000-0005-0000-0000-0000715C0000}"/>
    <cellStyle name="Accent6 3 9 2" xfId="23740" xr:uid="{00000000-0005-0000-0000-0000725C0000}"/>
    <cellStyle name="Accent6 3 9 3" xfId="23741" xr:uid="{00000000-0005-0000-0000-0000735C0000}"/>
    <cellStyle name="Accent6 3 9 4" xfId="23742" xr:uid="{00000000-0005-0000-0000-0000745C0000}"/>
    <cellStyle name="Accent6 3 9 5" xfId="23743" xr:uid="{00000000-0005-0000-0000-0000755C0000}"/>
    <cellStyle name="Accent6 3 9 6" xfId="23744" xr:uid="{00000000-0005-0000-0000-0000765C0000}"/>
    <cellStyle name="Accent6 3 9 7" xfId="23745" xr:uid="{00000000-0005-0000-0000-0000775C0000}"/>
    <cellStyle name="Accent6 3 9 8" xfId="23746" xr:uid="{00000000-0005-0000-0000-0000785C0000}"/>
    <cellStyle name="Accent6 3 9 9" xfId="23747" xr:uid="{00000000-0005-0000-0000-0000795C0000}"/>
    <cellStyle name="Accent6 30" xfId="23748" xr:uid="{00000000-0005-0000-0000-00007A5C0000}"/>
    <cellStyle name="Accent6 30 10" xfId="23749" xr:uid="{00000000-0005-0000-0000-00007B5C0000}"/>
    <cellStyle name="Accent6 30 11" xfId="23750" xr:uid="{00000000-0005-0000-0000-00007C5C0000}"/>
    <cellStyle name="Accent6 30 12" xfId="23751" xr:uid="{00000000-0005-0000-0000-00007D5C0000}"/>
    <cellStyle name="Accent6 30 13" xfId="23752" xr:uid="{00000000-0005-0000-0000-00007E5C0000}"/>
    <cellStyle name="Accent6 30 14" xfId="23753" xr:uid="{00000000-0005-0000-0000-00007F5C0000}"/>
    <cellStyle name="Accent6 30 15" xfId="23754" xr:uid="{00000000-0005-0000-0000-0000805C0000}"/>
    <cellStyle name="Accent6 30 2" xfId="23755" xr:uid="{00000000-0005-0000-0000-0000815C0000}"/>
    <cellStyle name="Accent6 30 3" xfId="23756" xr:uid="{00000000-0005-0000-0000-0000825C0000}"/>
    <cellStyle name="Accent6 30 4" xfId="23757" xr:uid="{00000000-0005-0000-0000-0000835C0000}"/>
    <cellStyle name="Accent6 30 5" xfId="23758" xr:uid="{00000000-0005-0000-0000-0000845C0000}"/>
    <cellStyle name="Accent6 30 6" xfId="23759" xr:uid="{00000000-0005-0000-0000-0000855C0000}"/>
    <cellStyle name="Accent6 30 7" xfId="23760" xr:uid="{00000000-0005-0000-0000-0000865C0000}"/>
    <cellStyle name="Accent6 30 8" xfId="23761" xr:uid="{00000000-0005-0000-0000-0000875C0000}"/>
    <cellStyle name="Accent6 30 9" xfId="23762" xr:uid="{00000000-0005-0000-0000-0000885C0000}"/>
    <cellStyle name="Accent6 31" xfId="23763" xr:uid="{00000000-0005-0000-0000-0000895C0000}"/>
    <cellStyle name="Accent6 31 10" xfId="23764" xr:uid="{00000000-0005-0000-0000-00008A5C0000}"/>
    <cellStyle name="Accent6 31 11" xfId="23765" xr:uid="{00000000-0005-0000-0000-00008B5C0000}"/>
    <cellStyle name="Accent6 31 12" xfId="23766" xr:uid="{00000000-0005-0000-0000-00008C5C0000}"/>
    <cellStyle name="Accent6 31 13" xfId="23767" xr:uid="{00000000-0005-0000-0000-00008D5C0000}"/>
    <cellStyle name="Accent6 31 14" xfId="23768" xr:uid="{00000000-0005-0000-0000-00008E5C0000}"/>
    <cellStyle name="Accent6 31 15" xfId="23769" xr:uid="{00000000-0005-0000-0000-00008F5C0000}"/>
    <cellStyle name="Accent6 31 2" xfId="23770" xr:uid="{00000000-0005-0000-0000-0000905C0000}"/>
    <cellStyle name="Accent6 31 3" xfId="23771" xr:uid="{00000000-0005-0000-0000-0000915C0000}"/>
    <cellStyle name="Accent6 31 4" xfId="23772" xr:uid="{00000000-0005-0000-0000-0000925C0000}"/>
    <cellStyle name="Accent6 31 5" xfId="23773" xr:uid="{00000000-0005-0000-0000-0000935C0000}"/>
    <cellStyle name="Accent6 31 6" xfId="23774" xr:uid="{00000000-0005-0000-0000-0000945C0000}"/>
    <cellStyle name="Accent6 31 7" xfId="23775" xr:uid="{00000000-0005-0000-0000-0000955C0000}"/>
    <cellStyle name="Accent6 31 8" xfId="23776" xr:uid="{00000000-0005-0000-0000-0000965C0000}"/>
    <cellStyle name="Accent6 31 9" xfId="23777" xr:uid="{00000000-0005-0000-0000-0000975C0000}"/>
    <cellStyle name="Accent6 32" xfId="23778" xr:uid="{00000000-0005-0000-0000-0000985C0000}"/>
    <cellStyle name="Accent6 32 10" xfId="23779" xr:uid="{00000000-0005-0000-0000-0000995C0000}"/>
    <cellStyle name="Accent6 32 11" xfId="23780" xr:uid="{00000000-0005-0000-0000-00009A5C0000}"/>
    <cellStyle name="Accent6 32 12" xfId="23781" xr:uid="{00000000-0005-0000-0000-00009B5C0000}"/>
    <cellStyle name="Accent6 32 13" xfId="23782" xr:uid="{00000000-0005-0000-0000-00009C5C0000}"/>
    <cellStyle name="Accent6 32 14" xfId="23783" xr:uid="{00000000-0005-0000-0000-00009D5C0000}"/>
    <cellStyle name="Accent6 32 15" xfId="23784" xr:uid="{00000000-0005-0000-0000-00009E5C0000}"/>
    <cellStyle name="Accent6 32 2" xfId="23785" xr:uid="{00000000-0005-0000-0000-00009F5C0000}"/>
    <cellStyle name="Accent6 32 3" xfId="23786" xr:uid="{00000000-0005-0000-0000-0000A05C0000}"/>
    <cellStyle name="Accent6 32 4" xfId="23787" xr:uid="{00000000-0005-0000-0000-0000A15C0000}"/>
    <cellStyle name="Accent6 32 5" xfId="23788" xr:uid="{00000000-0005-0000-0000-0000A25C0000}"/>
    <cellStyle name="Accent6 32 6" xfId="23789" xr:uid="{00000000-0005-0000-0000-0000A35C0000}"/>
    <cellStyle name="Accent6 32 7" xfId="23790" xr:uid="{00000000-0005-0000-0000-0000A45C0000}"/>
    <cellStyle name="Accent6 32 8" xfId="23791" xr:uid="{00000000-0005-0000-0000-0000A55C0000}"/>
    <cellStyle name="Accent6 32 9" xfId="23792" xr:uid="{00000000-0005-0000-0000-0000A65C0000}"/>
    <cellStyle name="Accent6 33" xfId="23793" xr:uid="{00000000-0005-0000-0000-0000A75C0000}"/>
    <cellStyle name="Accent6 33 10" xfId="23794" xr:uid="{00000000-0005-0000-0000-0000A85C0000}"/>
    <cellStyle name="Accent6 33 11" xfId="23795" xr:uid="{00000000-0005-0000-0000-0000A95C0000}"/>
    <cellStyle name="Accent6 33 12" xfId="23796" xr:uid="{00000000-0005-0000-0000-0000AA5C0000}"/>
    <cellStyle name="Accent6 33 13" xfId="23797" xr:uid="{00000000-0005-0000-0000-0000AB5C0000}"/>
    <cellStyle name="Accent6 33 14" xfId="23798" xr:uid="{00000000-0005-0000-0000-0000AC5C0000}"/>
    <cellStyle name="Accent6 33 15" xfId="23799" xr:uid="{00000000-0005-0000-0000-0000AD5C0000}"/>
    <cellStyle name="Accent6 33 2" xfId="23800" xr:uid="{00000000-0005-0000-0000-0000AE5C0000}"/>
    <cellStyle name="Accent6 33 3" xfId="23801" xr:uid="{00000000-0005-0000-0000-0000AF5C0000}"/>
    <cellStyle name="Accent6 33 4" xfId="23802" xr:uid="{00000000-0005-0000-0000-0000B05C0000}"/>
    <cellStyle name="Accent6 33 5" xfId="23803" xr:uid="{00000000-0005-0000-0000-0000B15C0000}"/>
    <cellStyle name="Accent6 33 6" xfId="23804" xr:uid="{00000000-0005-0000-0000-0000B25C0000}"/>
    <cellStyle name="Accent6 33 7" xfId="23805" xr:uid="{00000000-0005-0000-0000-0000B35C0000}"/>
    <cellStyle name="Accent6 33 8" xfId="23806" xr:uid="{00000000-0005-0000-0000-0000B45C0000}"/>
    <cellStyle name="Accent6 33 9" xfId="23807" xr:uid="{00000000-0005-0000-0000-0000B55C0000}"/>
    <cellStyle name="Accent6 34" xfId="23808" xr:uid="{00000000-0005-0000-0000-0000B65C0000}"/>
    <cellStyle name="Accent6 34 10" xfId="23809" xr:uid="{00000000-0005-0000-0000-0000B75C0000}"/>
    <cellStyle name="Accent6 34 11" xfId="23810" xr:uid="{00000000-0005-0000-0000-0000B85C0000}"/>
    <cellStyle name="Accent6 34 12" xfId="23811" xr:uid="{00000000-0005-0000-0000-0000B95C0000}"/>
    <cellStyle name="Accent6 34 13" xfId="23812" xr:uid="{00000000-0005-0000-0000-0000BA5C0000}"/>
    <cellStyle name="Accent6 34 14" xfId="23813" xr:uid="{00000000-0005-0000-0000-0000BB5C0000}"/>
    <cellStyle name="Accent6 34 15" xfId="23814" xr:uid="{00000000-0005-0000-0000-0000BC5C0000}"/>
    <cellStyle name="Accent6 34 2" xfId="23815" xr:uid="{00000000-0005-0000-0000-0000BD5C0000}"/>
    <cellStyle name="Accent6 34 3" xfId="23816" xr:uid="{00000000-0005-0000-0000-0000BE5C0000}"/>
    <cellStyle name="Accent6 34 4" xfId="23817" xr:uid="{00000000-0005-0000-0000-0000BF5C0000}"/>
    <cellStyle name="Accent6 34 5" xfId="23818" xr:uid="{00000000-0005-0000-0000-0000C05C0000}"/>
    <cellStyle name="Accent6 34 6" xfId="23819" xr:uid="{00000000-0005-0000-0000-0000C15C0000}"/>
    <cellStyle name="Accent6 34 7" xfId="23820" xr:uid="{00000000-0005-0000-0000-0000C25C0000}"/>
    <cellStyle name="Accent6 34 8" xfId="23821" xr:uid="{00000000-0005-0000-0000-0000C35C0000}"/>
    <cellStyle name="Accent6 34 9" xfId="23822" xr:uid="{00000000-0005-0000-0000-0000C45C0000}"/>
    <cellStyle name="Accent6 35" xfId="23823" xr:uid="{00000000-0005-0000-0000-0000C55C0000}"/>
    <cellStyle name="Accent6 35 10" xfId="23824" xr:uid="{00000000-0005-0000-0000-0000C65C0000}"/>
    <cellStyle name="Accent6 35 11" xfId="23825" xr:uid="{00000000-0005-0000-0000-0000C75C0000}"/>
    <cellStyle name="Accent6 35 12" xfId="23826" xr:uid="{00000000-0005-0000-0000-0000C85C0000}"/>
    <cellStyle name="Accent6 35 13" xfId="23827" xr:uid="{00000000-0005-0000-0000-0000C95C0000}"/>
    <cellStyle name="Accent6 35 14" xfId="23828" xr:uid="{00000000-0005-0000-0000-0000CA5C0000}"/>
    <cellStyle name="Accent6 35 15" xfId="23829" xr:uid="{00000000-0005-0000-0000-0000CB5C0000}"/>
    <cellStyle name="Accent6 35 2" xfId="23830" xr:uid="{00000000-0005-0000-0000-0000CC5C0000}"/>
    <cellStyle name="Accent6 35 3" xfId="23831" xr:uid="{00000000-0005-0000-0000-0000CD5C0000}"/>
    <cellStyle name="Accent6 35 4" xfId="23832" xr:uid="{00000000-0005-0000-0000-0000CE5C0000}"/>
    <cellStyle name="Accent6 35 5" xfId="23833" xr:uid="{00000000-0005-0000-0000-0000CF5C0000}"/>
    <cellStyle name="Accent6 35 6" xfId="23834" xr:uid="{00000000-0005-0000-0000-0000D05C0000}"/>
    <cellStyle name="Accent6 35 7" xfId="23835" xr:uid="{00000000-0005-0000-0000-0000D15C0000}"/>
    <cellStyle name="Accent6 35 8" xfId="23836" xr:uid="{00000000-0005-0000-0000-0000D25C0000}"/>
    <cellStyle name="Accent6 35 9" xfId="23837" xr:uid="{00000000-0005-0000-0000-0000D35C0000}"/>
    <cellStyle name="Accent6 36" xfId="23838" xr:uid="{00000000-0005-0000-0000-0000D45C0000}"/>
    <cellStyle name="Accent6 36 10" xfId="23839" xr:uid="{00000000-0005-0000-0000-0000D55C0000}"/>
    <cellStyle name="Accent6 36 11" xfId="23840" xr:uid="{00000000-0005-0000-0000-0000D65C0000}"/>
    <cellStyle name="Accent6 36 12" xfId="23841" xr:uid="{00000000-0005-0000-0000-0000D75C0000}"/>
    <cellStyle name="Accent6 36 13" xfId="23842" xr:uid="{00000000-0005-0000-0000-0000D85C0000}"/>
    <cellStyle name="Accent6 36 14" xfId="23843" xr:uid="{00000000-0005-0000-0000-0000D95C0000}"/>
    <cellStyle name="Accent6 36 15" xfId="23844" xr:uid="{00000000-0005-0000-0000-0000DA5C0000}"/>
    <cellStyle name="Accent6 36 2" xfId="23845" xr:uid="{00000000-0005-0000-0000-0000DB5C0000}"/>
    <cellStyle name="Accent6 36 3" xfId="23846" xr:uid="{00000000-0005-0000-0000-0000DC5C0000}"/>
    <cellStyle name="Accent6 36 4" xfId="23847" xr:uid="{00000000-0005-0000-0000-0000DD5C0000}"/>
    <cellStyle name="Accent6 36 5" xfId="23848" xr:uid="{00000000-0005-0000-0000-0000DE5C0000}"/>
    <cellStyle name="Accent6 36 6" xfId="23849" xr:uid="{00000000-0005-0000-0000-0000DF5C0000}"/>
    <cellStyle name="Accent6 36 7" xfId="23850" xr:uid="{00000000-0005-0000-0000-0000E05C0000}"/>
    <cellStyle name="Accent6 36 8" xfId="23851" xr:uid="{00000000-0005-0000-0000-0000E15C0000}"/>
    <cellStyle name="Accent6 36 9" xfId="23852" xr:uid="{00000000-0005-0000-0000-0000E25C0000}"/>
    <cellStyle name="Accent6 37" xfId="23853" xr:uid="{00000000-0005-0000-0000-0000E35C0000}"/>
    <cellStyle name="Accent6 37 10" xfId="23854" xr:uid="{00000000-0005-0000-0000-0000E45C0000}"/>
    <cellStyle name="Accent6 37 11" xfId="23855" xr:uid="{00000000-0005-0000-0000-0000E55C0000}"/>
    <cellStyle name="Accent6 37 12" xfId="23856" xr:uid="{00000000-0005-0000-0000-0000E65C0000}"/>
    <cellStyle name="Accent6 37 13" xfId="23857" xr:uid="{00000000-0005-0000-0000-0000E75C0000}"/>
    <cellStyle name="Accent6 37 14" xfId="23858" xr:uid="{00000000-0005-0000-0000-0000E85C0000}"/>
    <cellStyle name="Accent6 37 15" xfId="23859" xr:uid="{00000000-0005-0000-0000-0000E95C0000}"/>
    <cellStyle name="Accent6 37 2" xfId="23860" xr:uid="{00000000-0005-0000-0000-0000EA5C0000}"/>
    <cellStyle name="Accent6 37 3" xfId="23861" xr:uid="{00000000-0005-0000-0000-0000EB5C0000}"/>
    <cellStyle name="Accent6 37 4" xfId="23862" xr:uid="{00000000-0005-0000-0000-0000EC5C0000}"/>
    <cellStyle name="Accent6 37 5" xfId="23863" xr:uid="{00000000-0005-0000-0000-0000ED5C0000}"/>
    <cellStyle name="Accent6 37 6" xfId="23864" xr:uid="{00000000-0005-0000-0000-0000EE5C0000}"/>
    <cellStyle name="Accent6 37 7" xfId="23865" xr:uid="{00000000-0005-0000-0000-0000EF5C0000}"/>
    <cellStyle name="Accent6 37 8" xfId="23866" xr:uid="{00000000-0005-0000-0000-0000F05C0000}"/>
    <cellStyle name="Accent6 37 9" xfId="23867" xr:uid="{00000000-0005-0000-0000-0000F15C0000}"/>
    <cellStyle name="Accent6 38" xfId="23868" xr:uid="{00000000-0005-0000-0000-0000F25C0000}"/>
    <cellStyle name="Accent6 38 10" xfId="23869" xr:uid="{00000000-0005-0000-0000-0000F35C0000}"/>
    <cellStyle name="Accent6 38 11" xfId="23870" xr:uid="{00000000-0005-0000-0000-0000F45C0000}"/>
    <cellStyle name="Accent6 38 12" xfId="23871" xr:uid="{00000000-0005-0000-0000-0000F55C0000}"/>
    <cellStyle name="Accent6 38 13" xfId="23872" xr:uid="{00000000-0005-0000-0000-0000F65C0000}"/>
    <cellStyle name="Accent6 38 14" xfId="23873" xr:uid="{00000000-0005-0000-0000-0000F75C0000}"/>
    <cellStyle name="Accent6 38 15" xfId="23874" xr:uid="{00000000-0005-0000-0000-0000F85C0000}"/>
    <cellStyle name="Accent6 38 2" xfId="23875" xr:uid="{00000000-0005-0000-0000-0000F95C0000}"/>
    <cellStyle name="Accent6 38 3" xfId="23876" xr:uid="{00000000-0005-0000-0000-0000FA5C0000}"/>
    <cellStyle name="Accent6 38 4" xfId="23877" xr:uid="{00000000-0005-0000-0000-0000FB5C0000}"/>
    <cellStyle name="Accent6 38 5" xfId="23878" xr:uid="{00000000-0005-0000-0000-0000FC5C0000}"/>
    <cellStyle name="Accent6 38 6" xfId="23879" xr:uid="{00000000-0005-0000-0000-0000FD5C0000}"/>
    <cellStyle name="Accent6 38 7" xfId="23880" xr:uid="{00000000-0005-0000-0000-0000FE5C0000}"/>
    <cellStyle name="Accent6 38 8" xfId="23881" xr:uid="{00000000-0005-0000-0000-0000FF5C0000}"/>
    <cellStyle name="Accent6 38 9" xfId="23882" xr:uid="{00000000-0005-0000-0000-0000005D0000}"/>
    <cellStyle name="Accent6 39" xfId="23883" xr:uid="{00000000-0005-0000-0000-0000015D0000}"/>
    <cellStyle name="Accent6 39 10" xfId="23884" xr:uid="{00000000-0005-0000-0000-0000025D0000}"/>
    <cellStyle name="Accent6 39 11" xfId="23885" xr:uid="{00000000-0005-0000-0000-0000035D0000}"/>
    <cellStyle name="Accent6 39 12" xfId="23886" xr:uid="{00000000-0005-0000-0000-0000045D0000}"/>
    <cellStyle name="Accent6 39 13" xfId="23887" xr:uid="{00000000-0005-0000-0000-0000055D0000}"/>
    <cellStyle name="Accent6 39 14" xfId="23888" xr:uid="{00000000-0005-0000-0000-0000065D0000}"/>
    <cellStyle name="Accent6 39 15" xfId="23889" xr:uid="{00000000-0005-0000-0000-0000075D0000}"/>
    <cellStyle name="Accent6 39 2" xfId="23890" xr:uid="{00000000-0005-0000-0000-0000085D0000}"/>
    <cellStyle name="Accent6 39 3" xfId="23891" xr:uid="{00000000-0005-0000-0000-0000095D0000}"/>
    <cellStyle name="Accent6 39 4" xfId="23892" xr:uid="{00000000-0005-0000-0000-00000A5D0000}"/>
    <cellStyle name="Accent6 39 5" xfId="23893" xr:uid="{00000000-0005-0000-0000-00000B5D0000}"/>
    <cellStyle name="Accent6 39 6" xfId="23894" xr:uid="{00000000-0005-0000-0000-00000C5D0000}"/>
    <cellStyle name="Accent6 39 7" xfId="23895" xr:uid="{00000000-0005-0000-0000-00000D5D0000}"/>
    <cellStyle name="Accent6 39 8" xfId="23896" xr:uid="{00000000-0005-0000-0000-00000E5D0000}"/>
    <cellStyle name="Accent6 39 9" xfId="23897" xr:uid="{00000000-0005-0000-0000-00000F5D0000}"/>
    <cellStyle name="Accent6 4" xfId="23898" xr:uid="{00000000-0005-0000-0000-0000105D0000}"/>
    <cellStyle name="Accent6 4 2" xfId="23899" xr:uid="{00000000-0005-0000-0000-0000115D0000}"/>
    <cellStyle name="Accent6 4 2 2" xfId="23900" xr:uid="{00000000-0005-0000-0000-0000125D0000}"/>
    <cellStyle name="Accent6 4 3" xfId="23901" xr:uid="{00000000-0005-0000-0000-0000135D0000}"/>
    <cellStyle name="Accent6 4 3 2" xfId="23902" xr:uid="{00000000-0005-0000-0000-0000145D0000}"/>
    <cellStyle name="Accent6 4 4" xfId="23903" xr:uid="{00000000-0005-0000-0000-0000155D0000}"/>
    <cellStyle name="Accent6 4 4 2" xfId="23904" xr:uid="{00000000-0005-0000-0000-0000165D0000}"/>
    <cellStyle name="Accent6 4 5" xfId="23905" xr:uid="{00000000-0005-0000-0000-0000175D0000}"/>
    <cellStyle name="Accent6 4 5 2" xfId="23906" xr:uid="{00000000-0005-0000-0000-0000185D0000}"/>
    <cellStyle name="Accent6 4 6" xfId="23907" xr:uid="{00000000-0005-0000-0000-0000195D0000}"/>
    <cellStyle name="Accent6 4 6 2" xfId="23908" xr:uid="{00000000-0005-0000-0000-00001A5D0000}"/>
    <cellStyle name="Accent6 4 7" xfId="23909" xr:uid="{00000000-0005-0000-0000-00001B5D0000}"/>
    <cellStyle name="Accent6 40" xfId="23910" xr:uid="{00000000-0005-0000-0000-00001C5D0000}"/>
    <cellStyle name="Accent6 41" xfId="23911" xr:uid="{00000000-0005-0000-0000-00001D5D0000}"/>
    <cellStyle name="Accent6 42" xfId="23912" xr:uid="{00000000-0005-0000-0000-00001E5D0000}"/>
    <cellStyle name="Accent6 43" xfId="23913" xr:uid="{00000000-0005-0000-0000-00001F5D0000}"/>
    <cellStyle name="Accent6 44" xfId="23914" xr:uid="{00000000-0005-0000-0000-0000205D0000}"/>
    <cellStyle name="Accent6 45" xfId="23915" xr:uid="{00000000-0005-0000-0000-0000215D0000}"/>
    <cellStyle name="Accent6 46" xfId="23916" xr:uid="{00000000-0005-0000-0000-0000225D0000}"/>
    <cellStyle name="Accent6 47" xfId="23917" xr:uid="{00000000-0005-0000-0000-0000235D0000}"/>
    <cellStyle name="Accent6 48" xfId="23918" xr:uid="{00000000-0005-0000-0000-0000245D0000}"/>
    <cellStyle name="Accent6 49" xfId="23919" xr:uid="{00000000-0005-0000-0000-0000255D0000}"/>
    <cellStyle name="Accent6 5" xfId="23920" xr:uid="{00000000-0005-0000-0000-0000265D0000}"/>
    <cellStyle name="Accent6 5 2" xfId="23921" xr:uid="{00000000-0005-0000-0000-0000275D0000}"/>
    <cellStyle name="Accent6 5 2 2" xfId="23922" xr:uid="{00000000-0005-0000-0000-0000285D0000}"/>
    <cellStyle name="Accent6 5 2 3" xfId="23923" xr:uid="{00000000-0005-0000-0000-0000295D0000}"/>
    <cellStyle name="Accent6 5 2 4" xfId="23924" xr:uid="{00000000-0005-0000-0000-00002A5D0000}"/>
    <cellStyle name="Accent6 5 3" xfId="23925" xr:uid="{00000000-0005-0000-0000-00002B5D0000}"/>
    <cellStyle name="Accent6 5 3 2" xfId="23926" xr:uid="{00000000-0005-0000-0000-00002C5D0000}"/>
    <cellStyle name="Accent6 5 3 3" xfId="23927" xr:uid="{00000000-0005-0000-0000-00002D5D0000}"/>
    <cellStyle name="Accent6 5 4" xfId="23928" xr:uid="{00000000-0005-0000-0000-00002E5D0000}"/>
    <cellStyle name="Accent6 50" xfId="23929" xr:uid="{00000000-0005-0000-0000-00002F5D0000}"/>
    <cellStyle name="Accent6 51" xfId="23930" xr:uid="{00000000-0005-0000-0000-0000305D0000}"/>
    <cellStyle name="Accent6 52" xfId="23931" xr:uid="{00000000-0005-0000-0000-0000315D0000}"/>
    <cellStyle name="Accent6 53" xfId="23932" xr:uid="{00000000-0005-0000-0000-0000325D0000}"/>
    <cellStyle name="Accent6 54" xfId="23933" xr:uid="{00000000-0005-0000-0000-0000335D0000}"/>
    <cellStyle name="Accent6 55" xfId="23934" xr:uid="{00000000-0005-0000-0000-0000345D0000}"/>
    <cellStyle name="Accent6 56" xfId="23935" xr:uid="{00000000-0005-0000-0000-0000355D0000}"/>
    <cellStyle name="Accent6 57" xfId="23936" xr:uid="{00000000-0005-0000-0000-0000365D0000}"/>
    <cellStyle name="Accent6 58" xfId="23937" xr:uid="{00000000-0005-0000-0000-0000375D0000}"/>
    <cellStyle name="Accent6 59" xfId="23938" xr:uid="{00000000-0005-0000-0000-0000385D0000}"/>
    <cellStyle name="Accent6 6" xfId="23939" xr:uid="{00000000-0005-0000-0000-0000395D0000}"/>
    <cellStyle name="Accent6 6 2" xfId="23940" xr:uid="{00000000-0005-0000-0000-00003A5D0000}"/>
    <cellStyle name="Accent6 60" xfId="23941" xr:uid="{00000000-0005-0000-0000-00003B5D0000}"/>
    <cellStyle name="Accent6 61" xfId="23942" xr:uid="{00000000-0005-0000-0000-00003C5D0000}"/>
    <cellStyle name="Accent6 62" xfId="23943" xr:uid="{00000000-0005-0000-0000-00003D5D0000}"/>
    <cellStyle name="Accent6 63" xfId="23944" xr:uid="{00000000-0005-0000-0000-00003E5D0000}"/>
    <cellStyle name="Accent6 64" xfId="23945" xr:uid="{00000000-0005-0000-0000-00003F5D0000}"/>
    <cellStyle name="Accent6 65" xfId="23946" xr:uid="{00000000-0005-0000-0000-0000405D0000}"/>
    <cellStyle name="Accent6 66" xfId="23947" xr:uid="{00000000-0005-0000-0000-0000415D0000}"/>
    <cellStyle name="Accent6 67" xfId="23948" xr:uid="{00000000-0005-0000-0000-0000425D0000}"/>
    <cellStyle name="Accent6 68" xfId="23949" xr:uid="{00000000-0005-0000-0000-0000435D0000}"/>
    <cellStyle name="Accent6 69" xfId="23950" xr:uid="{00000000-0005-0000-0000-0000445D0000}"/>
    <cellStyle name="Accent6 7" xfId="23951" xr:uid="{00000000-0005-0000-0000-0000455D0000}"/>
    <cellStyle name="Accent6 7 2" xfId="23952" xr:uid="{00000000-0005-0000-0000-0000465D0000}"/>
    <cellStyle name="Accent6 70" xfId="23953" xr:uid="{00000000-0005-0000-0000-0000475D0000}"/>
    <cellStyle name="Accent6 71" xfId="23954" xr:uid="{00000000-0005-0000-0000-0000485D0000}"/>
    <cellStyle name="Accent6 72" xfId="23955" xr:uid="{00000000-0005-0000-0000-0000495D0000}"/>
    <cellStyle name="Accent6 73" xfId="23956" xr:uid="{00000000-0005-0000-0000-00004A5D0000}"/>
    <cellStyle name="Accent6 74" xfId="23957" xr:uid="{00000000-0005-0000-0000-00004B5D0000}"/>
    <cellStyle name="Accent6 75" xfId="23958" xr:uid="{00000000-0005-0000-0000-00004C5D0000}"/>
    <cellStyle name="Accent6 76" xfId="23959" xr:uid="{00000000-0005-0000-0000-00004D5D0000}"/>
    <cellStyle name="Accent6 77" xfId="23960" xr:uid="{00000000-0005-0000-0000-00004E5D0000}"/>
    <cellStyle name="Accent6 78" xfId="23961" xr:uid="{00000000-0005-0000-0000-00004F5D0000}"/>
    <cellStyle name="Accent6 79" xfId="23962" xr:uid="{00000000-0005-0000-0000-0000505D0000}"/>
    <cellStyle name="Accent6 79 2" xfId="23963" xr:uid="{00000000-0005-0000-0000-0000515D0000}"/>
    <cellStyle name="Accent6 8" xfId="23964" xr:uid="{00000000-0005-0000-0000-0000525D0000}"/>
    <cellStyle name="Accent6 8 2" xfId="23965" xr:uid="{00000000-0005-0000-0000-0000535D0000}"/>
    <cellStyle name="Accent6 80" xfId="23966" xr:uid="{00000000-0005-0000-0000-0000545D0000}"/>
    <cellStyle name="Accent6 80 2" xfId="23967" xr:uid="{00000000-0005-0000-0000-0000555D0000}"/>
    <cellStyle name="Accent6 81" xfId="23968" xr:uid="{00000000-0005-0000-0000-0000565D0000}"/>
    <cellStyle name="Accent6 81 2" xfId="23969" xr:uid="{00000000-0005-0000-0000-0000575D0000}"/>
    <cellStyle name="Accent6 82" xfId="23970" xr:uid="{00000000-0005-0000-0000-0000585D0000}"/>
    <cellStyle name="Accent6 82 2" xfId="23971" xr:uid="{00000000-0005-0000-0000-0000595D0000}"/>
    <cellStyle name="Accent6 83" xfId="23972" xr:uid="{00000000-0005-0000-0000-00005A5D0000}"/>
    <cellStyle name="Accent6 83 2" xfId="23973" xr:uid="{00000000-0005-0000-0000-00005B5D0000}"/>
    <cellStyle name="Accent6 84" xfId="23974" xr:uid="{00000000-0005-0000-0000-00005C5D0000}"/>
    <cellStyle name="Accent6 84 2" xfId="23975" xr:uid="{00000000-0005-0000-0000-00005D5D0000}"/>
    <cellStyle name="Accent6 85" xfId="23976" xr:uid="{00000000-0005-0000-0000-00005E5D0000}"/>
    <cellStyle name="Accent6 85 2" xfId="23977" xr:uid="{00000000-0005-0000-0000-00005F5D0000}"/>
    <cellStyle name="Accent6 86" xfId="23978" xr:uid="{00000000-0005-0000-0000-0000605D0000}"/>
    <cellStyle name="Accent6 86 2" xfId="23979" xr:uid="{00000000-0005-0000-0000-0000615D0000}"/>
    <cellStyle name="Accent6 87" xfId="23980" xr:uid="{00000000-0005-0000-0000-0000625D0000}"/>
    <cellStyle name="Accent6 87 2" xfId="23981" xr:uid="{00000000-0005-0000-0000-0000635D0000}"/>
    <cellStyle name="Accent6 88" xfId="23982" xr:uid="{00000000-0005-0000-0000-0000645D0000}"/>
    <cellStyle name="Accent6 88 2" xfId="23983" xr:uid="{00000000-0005-0000-0000-0000655D0000}"/>
    <cellStyle name="Accent6 89" xfId="23984" xr:uid="{00000000-0005-0000-0000-0000665D0000}"/>
    <cellStyle name="Accent6 89 2" xfId="23985" xr:uid="{00000000-0005-0000-0000-0000675D0000}"/>
    <cellStyle name="Accent6 9" xfId="23986" xr:uid="{00000000-0005-0000-0000-0000685D0000}"/>
    <cellStyle name="Accent6 9 2" xfId="23987" xr:uid="{00000000-0005-0000-0000-0000695D0000}"/>
    <cellStyle name="Accent6 90" xfId="23988" xr:uid="{00000000-0005-0000-0000-00006A5D0000}"/>
    <cellStyle name="Accent6 91" xfId="23989" xr:uid="{00000000-0005-0000-0000-00006B5D0000}"/>
    <cellStyle name="Accent6 92" xfId="23990" xr:uid="{00000000-0005-0000-0000-00006C5D0000}"/>
    <cellStyle name="Accent6 93" xfId="23991" xr:uid="{00000000-0005-0000-0000-00006D5D0000}"/>
    <cellStyle name="Accent6 94" xfId="23992" xr:uid="{00000000-0005-0000-0000-00006E5D0000}"/>
    <cellStyle name="Accent6 95" xfId="23993" xr:uid="{00000000-0005-0000-0000-00006F5D0000}"/>
    <cellStyle name="Accent6 96" xfId="23994" xr:uid="{00000000-0005-0000-0000-0000705D0000}"/>
    <cellStyle name="Accent6 97" xfId="23995" xr:uid="{00000000-0005-0000-0000-0000715D0000}"/>
    <cellStyle name="Accent6 98" xfId="23996" xr:uid="{00000000-0005-0000-0000-0000725D0000}"/>
    <cellStyle name="Accent6 99" xfId="23997" xr:uid="{00000000-0005-0000-0000-0000735D0000}"/>
    <cellStyle name="Act_%1" xfId="23998" xr:uid="{00000000-0005-0000-0000-0000745D0000}"/>
    <cellStyle name="Akcent 1" xfId="23999" xr:uid="{00000000-0005-0000-0000-0000755D0000}"/>
    <cellStyle name="Akcent 2" xfId="24000" xr:uid="{00000000-0005-0000-0000-0000765D0000}"/>
    <cellStyle name="Akcent 3" xfId="24001" xr:uid="{00000000-0005-0000-0000-0000775D0000}"/>
    <cellStyle name="Akcent 4" xfId="24002" xr:uid="{00000000-0005-0000-0000-0000785D0000}"/>
    <cellStyle name="Akcent 5" xfId="24003" xr:uid="{00000000-0005-0000-0000-0000795D0000}"/>
    <cellStyle name="Akcent 6" xfId="24004" xr:uid="{00000000-0005-0000-0000-00007A5D0000}"/>
    <cellStyle name="annotation" xfId="24005" xr:uid="{00000000-0005-0000-0000-00007B5D0000}"/>
    <cellStyle name="Assumption" xfId="44" xr:uid="{00000000-0005-0000-0000-00007C5D0000}"/>
    <cellStyle name="Avertissement" xfId="24006" xr:uid="{00000000-0005-0000-0000-00007D5D0000}"/>
    <cellStyle name="Backdrop" xfId="24007" xr:uid="{00000000-0005-0000-0000-00007E5D0000}"/>
    <cellStyle name="Bad" xfId="7" builtinId="27" hidden="1" customBuiltin="1"/>
    <cellStyle name="Bad" xfId="54" builtinId="27" hidden="1" customBuiltin="1"/>
    <cellStyle name="Bad" xfId="76" builtinId="27" customBuiltin="1"/>
    <cellStyle name="Bad 10" xfId="24008" xr:uid="{00000000-0005-0000-0000-0000825D0000}"/>
    <cellStyle name="Bad 10 2" xfId="24009" xr:uid="{00000000-0005-0000-0000-0000835D0000}"/>
    <cellStyle name="Bad 100" xfId="24010" xr:uid="{00000000-0005-0000-0000-0000845D0000}"/>
    <cellStyle name="Bad 101" xfId="24011" xr:uid="{00000000-0005-0000-0000-0000855D0000}"/>
    <cellStyle name="Bad 102" xfId="24012" xr:uid="{00000000-0005-0000-0000-0000865D0000}"/>
    <cellStyle name="Bad 103" xfId="24013" xr:uid="{00000000-0005-0000-0000-0000875D0000}"/>
    <cellStyle name="Bad 104" xfId="24014" xr:uid="{00000000-0005-0000-0000-0000885D0000}"/>
    <cellStyle name="Bad 105" xfId="24015" xr:uid="{00000000-0005-0000-0000-0000895D0000}"/>
    <cellStyle name="Bad 106" xfId="24016" xr:uid="{00000000-0005-0000-0000-00008A5D0000}"/>
    <cellStyle name="Bad 107" xfId="24017" xr:uid="{00000000-0005-0000-0000-00008B5D0000}"/>
    <cellStyle name="Bad 108" xfId="24018" xr:uid="{00000000-0005-0000-0000-00008C5D0000}"/>
    <cellStyle name="Bad 109" xfId="24019" xr:uid="{00000000-0005-0000-0000-00008D5D0000}"/>
    <cellStyle name="Bad 11" xfId="24020" xr:uid="{00000000-0005-0000-0000-00008E5D0000}"/>
    <cellStyle name="Bad 11 2" xfId="24021" xr:uid="{00000000-0005-0000-0000-00008F5D0000}"/>
    <cellStyle name="Bad 110" xfId="24022" xr:uid="{00000000-0005-0000-0000-0000905D0000}"/>
    <cellStyle name="Bad 111" xfId="24023" xr:uid="{00000000-0005-0000-0000-0000915D0000}"/>
    <cellStyle name="Bad 112" xfId="24024" xr:uid="{00000000-0005-0000-0000-0000925D0000}"/>
    <cellStyle name="Bad 113" xfId="24025" xr:uid="{00000000-0005-0000-0000-0000935D0000}"/>
    <cellStyle name="Bad 114" xfId="24026" xr:uid="{00000000-0005-0000-0000-0000945D0000}"/>
    <cellStyle name="Bad 115" xfId="24027" xr:uid="{00000000-0005-0000-0000-0000955D0000}"/>
    <cellStyle name="Bad 116" xfId="24028" xr:uid="{00000000-0005-0000-0000-0000965D0000}"/>
    <cellStyle name="Bad 117" xfId="24029" xr:uid="{00000000-0005-0000-0000-0000975D0000}"/>
    <cellStyle name="Bad 118" xfId="24030" xr:uid="{00000000-0005-0000-0000-0000985D0000}"/>
    <cellStyle name="Bad 119" xfId="24031" xr:uid="{00000000-0005-0000-0000-0000995D0000}"/>
    <cellStyle name="Bad 12" xfId="24032" xr:uid="{00000000-0005-0000-0000-00009A5D0000}"/>
    <cellStyle name="Bad 12 2" xfId="24033" xr:uid="{00000000-0005-0000-0000-00009B5D0000}"/>
    <cellStyle name="Bad 120" xfId="24034" xr:uid="{00000000-0005-0000-0000-00009C5D0000}"/>
    <cellStyle name="Bad 121" xfId="24035" xr:uid="{00000000-0005-0000-0000-00009D5D0000}"/>
    <cellStyle name="Bad 122" xfId="24036" xr:uid="{00000000-0005-0000-0000-00009E5D0000}"/>
    <cellStyle name="Bad 123" xfId="24037" xr:uid="{00000000-0005-0000-0000-00009F5D0000}"/>
    <cellStyle name="Bad 124" xfId="24038" xr:uid="{00000000-0005-0000-0000-0000A05D0000}"/>
    <cellStyle name="Bad 125" xfId="24039" xr:uid="{00000000-0005-0000-0000-0000A15D0000}"/>
    <cellStyle name="Bad 126" xfId="24040" xr:uid="{00000000-0005-0000-0000-0000A25D0000}"/>
    <cellStyle name="Bad 127" xfId="24041" xr:uid="{00000000-0005-0000-0000-0000A35D0000}"/>
    <cellStyle name="Bad 128" xfId="24042" xr:uid="{00000000-0005-0000-0000-0000A45D0000}"/>
    <cellStyle name="Bad 129" xfId="24043" xr:uid="{00000000-0005-0000-0000-0000A55D0000}"/>
    <cellStyle name="Bad 13" xfId="24044" xr:uid="{00000000-0005-0000-0000-0000A65D0000}"/>
    <cellStyle name="Bad 13 2" xfId="24045" xr:uid="{00000000-0005-0000-0000-0000A75D0000}"/>
    <cellStyle name="Bad 130" xfId="24046" xr:uid="{00000000-0005-0000-0000-0000A85D0000}"/>
    <cellStyle name="Bad 131" xfId="24047" xr:uid="{00000000-0005-0000-0000-0000A95D0000}"/>
    <cellStyle name="Bad 132" xfId="24048" xr:uid="{00000000-0005-0000-0000-0000AA5D0000}"/>
    <cellStyle name="Bad 133" xfId="24049" xr:uid="{00000000-0005-0000-0000-0000AB5D0000}"/>
    <cellStyle name="Bad 134" xfId="24050" xr:uid="{00000000-0005-0000-0000-0000AC5D0000}"/>
    <cellStyle name="Bad 135" xfId="24051" xr:uid="{00000000-0005-0000-0000-0000AD5D0000}"/>
    <cellStyle name="Bad 136" xfId="24052" xr:uid="{00000000-0005-0000-0000-0000AE5D0000}"/>
    <cellStyle name="Bad 137" xfId="24053" xr:uid="{00000000-0005-0000-0000-0000AF5D0000}"/>
    <cellStyle name="Bad 138" xfId="24054" xr:uid="{00000000-0005-0000-0000-0000B05D0000}"/>
    <cellStyle name="Bad 139" xfId="24055" xr:uid="{00000000-0005-0000-0000-0000B15D0000}"/>
    <cellStyle name="Bad 14" xfId="24056" xr:uid="{00000000-0005-0000-0000-0000B25D0000}"/>
    <cellStyle name="Bad 14 2" xfId="24057" xr:uid="{00000000-0005-0000-0000-0000B35D0000}"/>
    <cellStyle name="Bad 140" xfId="24058" xr:uid="{00000000-0005-0000-0000-0000B45D0000}"/>
    <cellStyle name="Bad 141" xfId="24059" xr:uid="{00000000-0005-0000-0000-0000B55D0000}"/>
    <cellStyle name="Bad 142" xfId="24060" xr:uid="{00000000-0005-0000-0000-0000B65D0000}"/>
    <cellStyle name="Bad 143" xfId="24061" xr:uid="{00000000-0005-0000-0000-0000B75D0000}"/>
    <cellStyle name="Bad 144" xfId="24062" xr:uid="{00000000-0005-0000-0000-0000B85D0000}"/>
    <cellStyle name="Bad 145" xfId="24063" xr:uid="{00000000-0005-0000-0000-0000B95D0000}"/>
    <cellStyle name="Bad 146" xfId="24064" xr:uid="{00000000-0005-0000-0000-0000BA5D0000}"/>
    <cellStyle name="Bad 147" xfId="24065" xr:uid="{00000000-0005-0000-0000-0000BB5D0000}"/>
    <cellStyle name="Bad 148" xfId="24066" xr:uid="{00000000-0005-0000-0000-0000BC5D0000}"/>
    <cellStyle name="Bad 149" xfId="24067" xr:uid="{00000000-0005-0000-0000-0000BD5D0000}"/>
    <cellStyle name="Bad 15" xfId="24068" xr:uid="{00000000-0005-0000-0000-0000BE5D0000}"/>
    <cellStyle name="Bad 15 2" xfId="24069" xr:uid="{00000000-0005-0000-0000-0000BF5D0000}"/>
    <cellStyle name="Bad 150" xfId="24070" xr:uid="{00000000-0005-0000-0000-0000C05D0000}"/>
    <cellStyle name="Bad 151" xfId="24071" xr:uid="{00000000-0005-0000-0000-0000C15D0000}"/>
    <cellStyle name="Bad 152" xfId="24072" xr:uid="{00000000-0005-0000-0000-0000C25D0000}"/>
    <cellStyle name="Bad 153" xfId="24073" xr:uid="{00000000-0005-0000-0000-0000C35D0000}"/>
    <cellStyle name="Bad 154" xfId="24074" xr:uid="{00000000-0005-0000-0000-0000C45D0000}"/>
    <cellStyle name="Bad 155" xfId="24075" xr:uid="{00000000-0005-0000-0000-0000C55D0000}"/>
    <cellStyle name="Bad 156" xfId="24076" xr:uid="{00000000-0005-0000-0000-0000C65D0000}"/>
    <cellStyle name="Bad 157" xfId="24077" xr:uid="{00000000-0005-0000-0000-0000C75D0000}"/>
    <cellStyle name="Bad 158" xfId="24078" xr:uid="{00000000-0005-0000-0000-0000C85D0000}"/>
    <cellStyle name="Bad 159" xfId="24079" xr:uid="{00000000-0005-0000-0000-0000C95D0000}"/>
    <cellStyle name="Bad 16" xfId="24080" xr:uid="{00000000-0005-0000-0000-0000CA5D0000}"/>
    <cellStyle name="Bad 160" xfId="24081" xr:uid="{00000000-0005-0000-0000-0000CB5D0000}"/>
    <cellStyle name="Bad 161" xfId="24082" xr:uid="{00000000-0005-0000-0000-0000CC5D0000}"/>
    <cellStyle name="Bad 162" xfId="24083" xr:uid="{00000000-0005-0000-0000-0000CD5D0000}"/>
    <cellStyle name="Bad 163" xfId="24084" xr:uid="{00000000-0005-0000-0000-0000CE5D0000}"/>
    <cellStyle name="Bad 164" xfId="24085" xr:uid="{00000000-0005-0000-0000-0000CF5D0000}"/>
    <cellStyle name="Bad 165" xfId="24086" xr:uid="{00000000-0005-0000-0000-0000D05D0000}"/>
    <cellStyle name="Bad 166" xfId="24087" xr:uid="{00000000-0005-0000-0000-0000D15D0000}"/>
    <cellStyle name="Bad 167" xfId="24088" xr:uid="{00000000-0005-0000-0000-0000D25D0000}"/>
    <cellStyle name="Bad 17" xfId="24089" xr:uid="{00000000-0005-0000-0000-0000D35D0000}"/>
    <cellStyle name="Bad 18" xfId="24090" xr:uid="{00000000-0005-0000-0000-0000D45D0000}"/>
    <cellStyle name="Bad 19" xfId="24091" xr:uid="{00000000-0005-0000-0000-0000D55D0000}"/>
    <cellStyle name="Bad 2" xfId="24092" xr:uid="{00000000-0005-0000-0000-0000D65D0000}"/>
    <cellStyle name="Bad 2 10" xfId="24093" xr:uid="{00000000-0005-0000-0000-0000D75D0000}"/>
    <cellStyle name="Bad 2 11" xfId="24094" xr:uid="{00000000-0005-0000-0000-0000D85D0000}"/>
    <cellStyle name="Bad 2 12" xfId="24095" xr:uid="{00000000-0005-0000-0000-0000D95D0000}"/>
    <cellStyle name="Bad 2 13" xfId="24096" xr:uid="{00000000-0005-0000-0000-0000DA5D0000}"/>
    <cellStyle name="Bad 2 14" xfId="24097" xr:uid="{00000000-0005-0000-0000-0000DB5D0000}"/>
    <cellStyle name="Bad 2 15" xfId="24098" xr:uid="{00000000-0005-0000-0000-0000DC5D0000}"/>
    <cellStyle name="Bad 2 16" xfId="24099" xr:uid="{00000000-0005-0000-0000-0000DD5D0000}"/>
    <cellStyle name="Bad 2 17" xfId="24100" xr:uid="{00000000-0005-0000-0000-0000DE5D0000}"/>
    <cellStyle name="Bad 2 18" xfId="24101" xr:uid="{00000000-0005-0000-0000-0000DF5D0000}"/>
    <cellStyle name="Bad 2 19" xfId="24102" xr:uid="{00000000-0005-0000-0000-0000E05D0000}"/>
    <cellStyle name="Bad 2 2" xfId="24103" xr:uid="{00000000-0005-0000-0000-0000E15D0000}"/>
    <cellStyle name="Bad 2 20" xfId="24104" xr:uid="{00000000-0005-0000-0000-0000E25D0000}"/>
    <cellStyle name="Bad 2 21" xfId="24105" xr:uid="{00000000-0005-0000-0000-0000E35D0000}"/>
    <cellStyle name="Bad 2 22" xfId="24106" xr:uid="{00000000-0005-0000-0000-0000E45D0000}"/>
    <cellStyle name="Bad 2 23" xfId="24107" xr:uid="{00000000-0005-0000-0000-0000E55D0000}"/>
    <cellStyle name="Bad 2 24" xfId="24108" xr:uid="{00000000-0005-0000-0000-0000E65D0000}"/>
    <cellStyle name="Bad 2 25" xfId="24109" xr:uid="{00000000-0005-0000-0000-0000E75D0000}"/>
    <cellStyle name="Bad 2 26" xfId="24110" xr:uid="{00000000-0005-0000-0000-0000E85D0000}"/>
    <cellStyle name="Bad 2 27" xfId="24111" xr:uid="{00000000-0005-0000-0000-0000E95D0000}"/>
    <cellStyle name="Bad 2 28" xfId="24112" xr:uid="{00000000-0005-0000-0000-0000EA5D0000}"/>
    <cellStyle name="Bad 2 29" xfId="24113" xr:uid="{00000000-0005-0000-0000-0000EB5D0000}"/>
    <cellStyle name="Bad 2 3" xfId="24114" xr:uid="{00000000-0005-0000-0000-0000EC5D0000}"/>
    <cellStyle name="Bad 2 30" xfId="24115" xr:uid="{00000000-0005-0000-0000-0000ED5D0000}"/>
    <cellStyle name="Bad 2 31" xfId="24116" xr:uid="{00000000-0005-0000-0000-0000EE5D0000}"/>
    <cellStyle name="Bad 2 32" xfId="24117" xr:uid="{00000000-0005-0000-0000-0000EF5D0000}"/>
    <cellStyle name="Bad 2 33" xfId="24118" xr:uid="{00000000-0005-0000-0000-0000F05D0000}"/>
    <cellStyle name="Bad 2 34" xfId="24119" xr:uid="{00000000-0005-0000-0000-0000F15D0000}"/>
    <cellStyle name="Bad 2 35" xfId="24120" xr:uid="{00000000-0005-0000-0000-0000F25D0000}"/>
    <cellStyle name="Bad 2 4" xfId="24121" xr:uid="{00000000-0005-0000-0000-0000F35D0000}"/>
    <cellStyle name="Bad 2 5" xfId="24122" xr:uid="{00000000-0005-0000-0000-0000F45D0000}"/>
    <cellStyle name="Bad 2 6" xfId="24123" xr:uid="{00000000-0005-0000-0000-0000F55D0000}"/>
    <cellStyle name="Bad 2 7" xfId="24124" xr:uid="{00000000-0005-0000-0000-0000F65D0000}"/>
    <cellStyle name="Bad 2 8" xfId="24125" xr:uid="{00000000-0005-0000-0000-0000F75D0000}"/>
    <cellStyle name="Bad 2 9" xfId="24126" xr:uid="{00000000-0005-0000-0000-0000F85D0000}"/>
    <cellStyle name="Bad 20" xfId="24127" xr:uid="{00000000-0005-0000-0000-0000F95D0000}"/>
    <cellStyle name="Bad 20 10" xfId="24128" xr:uid="{00000000-0005-0000-0000-0000FA5D0000}"/>
    <cellStyle name="Bad 20 11" xfId="24129" xr:uid="{00000000-0005-0000-0000-0000FB5D0000}"/>
    <cellStyle name="Bad 20 12" xfId="24130" xr:uid="{00000000-0005-0000-0000-0000FC5D0000}"/>
    <cellStyle name="Bad 20 13" xfId="24131" xr:uid="{00000000-0005-0000-0000-0000FD5D0000}"/>
    <cellStyle name="Bad 20 14" xfId="24132" xr:uid="{00000000-0005-0000-0000-0000FE5D0000}"/>
    <cellStyle name="Bad 20 15" xfId="24133" xr:uid="{00000000-0005-0000-0000-0000FF5D0000}"/>
    <cellStyle name="Bad 20 16" xfId="24134" xr:uid="{00000000-0005-0000-0000-0000005E0000}"/>
    <cellStyle name="Bad 20 2" xfId="24135" xr:uid="{00000000-0005-0000-0000-0000015E0000}"/>
    <cellStyle name="Bad 20 3" xfId="24136" xr:uid="{00000000-0005-0000-0000-0000025E0000}"/>
    <cellStyle name="Bad 20 4" xfId="24137" xr:uid="{00000000-0005-0000-0000-0000035E0000}"/>
    <cellStyle name="Bad 20 5" xfId="24138" xr:uid="{00000000-0005-0000-0000-0000045E0000}"/>
    <cellStyle name="Bad 20 6" xfId="24139" xr:uid="{00000000-0005-0000-0000-0000055E0000}"/>
    <cellStyle name="Bad 20 7" xfId="24140" xr:uid="{00000000-0005-0000-0000-0000065E0000}"/>
    <cellStyle name="Bad 20 8" xfId="24141" xr:uid="{00000000-0005-0000-0000-0000075E0000}"/>
    <cellStyle name="Bad 20 9" xfId="24142" xr:uid="{00000000-0005-0000-0000-0000085E0000}"/>
    <cellStyle name="Bad 21" xfId="24143" xr:uid="{00000000-0005-0000-0000-0000095E0000}"/>
    <cellStyle name="Bad 21 2" xfId="24144" xr:uid="{00000000-0005-0000-0000-00000A5E0000}"/>
    <cellStyle name="Bad 21 3" xfId="24145" xr:uid="{00000000-0005-0000-0000-00000B5E0000}"/>
    <cellStyle name="Bad 22" xfId="24146" xr:uid="{00000000-0005-0000-0000-00000C5E0000}"/>
    <cellStyle name="Bad 23" xfId="24147" xr:uid="{00000000-0005-0000-0000-00000D5E0000}"/>
    <cellStyle name="Bad 24" xfId="24148" xr:uid="{00000000-0005-0000-0000-00000E5E0000}"/>
    <cellStyle name="Bad 25" xfId="24149" xr:uid="{00000000-0005-0000-0000-00000F5E0000}"/>
    <cellStyle name="Bad 26" xfId="24150" xr:uid="{00000000-0005-0000-0000-0000105E0000}"/>
    <cellStyle name="Bad 27" xfId="24151" xr:uid="{00000000-0005-0000-0000-0000115E0000}"/>
    <cellStyle name="Bad 28" xfId="24152" xr:uid="{00000000-0005-0000-0000-0000125E0000}"/>
    <cellStyle name="Bad 29" xfId="24153" xr:uid="{00000000-0005-0000-0000-0000135E0000}"/>
    <cellStyle name="Bad 3" xfId="24154" xr:uid="{00000000-0005-0000-0000-0000145E0000}"/>
    <cellStyle name="Bad 3 10" xfId="24155" xr:uid="{00000000-0005-0000-0000-0000155E0000}"/>
    <cellStyle name="Bad 3 10 10" xfId="24156" xr:uid="{00000000-0005-0000-0000-0000165E0000}"/>
    <cellStyle name="Bad 3 10 11" xfId="24157" xr:uid="{00000000-0005-0000-0000-0000175E0000}"/>
    <cellStyle name="Bad 3 10 12" xfId="24158" xr:uid="{00000000-0005-0000-0000-0000185E0000}"/>
    <cellStyle name="Bad 3 10 13" xfId="24159" xr:uid="{00000000-0005-0000-0000-0000195E0000}"/>
    <cellStyle name="Bad 3 10 14" xfId="24160" xr:uid="{00000000-0005-0000-0000-00001A5E0000}"/>
    <cellStyle name="Bad 3 10 15" xfId="24161" xr:uid="{00000000-0005-0000-0000-00001B5E0000}"/>
    <cellStyle name="Bad 3 10 2" xfId="24162" xr:uid="{00000000-0005-0000-0000-00001C5E0000}"/>
    <cellStyle name="Bad 3 10 3" xfId="24163" xr:uid="{00000000-0005-0000-0000-00001D5E0000}"/>
    <cellStyle name="Bad 3 10 4" xfId="24164" xr:uid="{00000000-0005-0000-0000-00001E5E0000}"/>
    <cellStyle name="Bad 3 10 5" xfId="24165" xr:uid="{00000000-0005-0000-0000-00001F5E0000}"/>
    <cellStyle name="Bad 3 10 6" xfId="24166" xr:uid="{00000000-0005-0000-0000-0000205E0000}"/>
    <cellStyle name="Bad 3 10 7" xfId="24167" xr:uid="{00000000-0005-0000-0000-0000215E0000}"/>
    <cellStyle name="Bad 3 10 8" xfId="24168" xr:uid="{00000000-0005-0000-0000-0000225E0000}"/>
    <cellStyle name="Bad 3 10 9" xfId="24169" xr:uid="{00000000-0005-0000-0000-0000235E0000}"/>
    <cellStyle name="Bad 3 11" xfId="24170" xr:uid="{00000000-0005-0000-0000-0000245E0000}"/>
    <cellStyle name="Bad 3 11 10" xfId="24171" xr:uid="{00000000-0005-0000-0000-0000255E0000}"/>
    <cellStyle name="Bad 3 11 11" xfId="24172" xr:uid="{00000000-0005-0000-0000-0000265E0000}"/>
    <cellStyle name="Bad 3 11 12" xfId="24173" xr:uid="{00000000-0005-0000-0000-0000275E0000}"/>
    <cellStyle name="Bad 3 11 13" xfId="24174" xr:uid="{00000000-0005-0000-0000-0000285E0000}"/>
    <cellStyle name="Bad 3 11 14" xfId="24175" xr:uid="{00000000-0005-0000-0000-0000295E0000}"/>
    <cellStyle name="Bad 3 11 15" xfId="24176" xr:uid="{00000000-0005-0000-0000-00002A5E0000}"/>
    <cellStyle name="Bad 3 11 2" xfId="24177" xr:uid="{00000000-0005-0000-0000-00002B5E0000}"/>
    <cellStyle name="Bad 3 11 3" xfId="24178" xr:uid="{00000000-0005-0000-0000-00002C5E0000}"/>
    <cellStyle name="Bad 3 11 4" xfId="24179" xr:uid="{00000000-0005-0000-0000-00002D5E0000}"/>
    <cellStyle name="Bad 3 11 5" xfId="24180" xr:uid="{00000000-0005-0000-0000-00002E5E0000}"/>
    <cellStyle name="Bad 3 11 6" xfId="24181" xr:uid="{00000000-0005-0000-0000-00002F5E0000}"/>
    <cellStyle name="Bad 3 11 7" xfId="24182" xr:uid="{00000000-0005-0000-0000-0000305E0000}"/>
    <cellStyle name="Bad 3 11 8" xfId="24183" xr:uid="{00000000-0005-0000-0000-0000315E0000}"/>
    <cellStyle name="Bad 3 11 9" xfId="24184" xr:uid="{00000000-0005-0000-0000-0000325E0000}"/>
    <cellStyle name="Bad 3 12" xfId="24185" xr:uid="{00000000-0005-0000-0000-0000335E0000}"/>
    <cellStyle name="Bad 3 12 10" xfId="24186" xr:uid="{00000000-0005-0000-0000-0000345E0000}"/>
    <cellStyle name="Bad 3 12 11" xfId="24187" xr:uid="{00000000-0005-0000-0000-0000355E0000}"/>
    <cellStyle name="Bad 3 12 12" xfId="24188" xr:uid="{00000000-0005-0000-0000-0000365E0000}"/>
    <cellStyle name="Bad 3 12 13" xfId="24189" xr:uid="{00000000-0005-0000-0000-0000375E0000}"/>
    <cellStyle name="Bad 3 12 14" xfId="24190" xr:uid="{00000000-0005-0000-0000-0000385E0000}"/>
    <cellStyle name="Bad 3 12 15" xfId="24191" xr:uid="{00000000-0005-0000-0000-0000395E0000}"/>
    <cellStyle name="Bad 3 12 2" xfId="24192" xr:uid="{00000000-0005-0000-0000-00003A5E0000}"/>
    <cellStyle name="Bad 3 12 3" xfId="24193" xr:uid="{00000000-0005-0000-0000-00003B5E0000}"/>
    <cellStyle name="Bad 3 12 4" xfId="24194" xr:uid="{00000000-0005-0000-0000-00003C5E0000}"/>
    <cellStyle name="Bad 3 12 5" xfId="24195" xr:uid="{00000000-0005-0000-0000-00003D5E0000}"/>
    <cellStyle name="Bad 3 12 6" xfId="24196" xr:uid="{00000000-0005-0000-0000-00003E5E0000}"/>
    <cellStyle name="Bad 3 12 7" xfId="24197" xr:uid="{00000000-0005-0000-0000-00003F5E0000}"/>
    <cellStyle name="Bad 3 12 8" xfId="24198" xr:uid="{00000000-0005-0000-0000-0000405E0000}"/>
    <cellStyle name="Bad 3 12 9" xfId="24199" xr:uid="{00000000-0005-0000-0000-0000415E0000}"/>
    <cellStyle name="Bad 3 13" xfId="24200" xr:uid="{00000000-0005-0000-0000-0000425E0000}"/>
    <cellStyle name="Bad 3 13 10" xfId="24201" xr:uid="{00000000-0005-0000-0000-0000435E0000}"/>
    <cellStyle name="Bad 3 13 11" xfId="24202" xr:uid="{00000000-0005-0000-0000-0000445E0000}"/>
    <cellStyle name="Bad 3 13 12" xfId="24203" xr:uid="{00000000-0005-0000-0000-0000455E0000}"/>
    <cellStyle name="Bad 3 13 13" xfId="24204" xr:uid="{00000000-0005-0000-0000-0000465E0000}"/>
    <cellStyle name="Bad 3 13 14" xfId="24205" xr:uid="{00000000-0005-0000-0000-0000475E0000}"/>
    <cellStyle name="Bad 3 13 15" xfId="24206" xr:uid="{00000000-0005-0000-0000-0000485E0000}"/>
    <cellStyle name="Bad 3 13 2" xfId="24207" xr:uid="{00000000-0005-0000-0000-0000495E0000}"/>
    <cellStyle name="Bad 3 13 3" xfId="24208" xr:uid="{00000000-0005-0000-0000-00004A5E0000}"/>
    <cellStyle name="Bad 3 13 4" xfId="24209" xr:uid="{00000000-0005-0000-0000-00004B5E0000}"/>
    <cellStyle name="Bad 3 13 5" xfId="24210" xr:uid="{00000000-0005-0000-0000-00004C5E0000}"/>
    <cellStyle name="Bad 3 13 6" xfId="24211" xr:uid="{00000000-0005-0000-0000-00004D5E0000}"/>
    <cellStyle name="Bad 3 13 7" xfId="24212" xr:uid="{00000000-0005-0000-0000-00004E5E0000}"/>
    <cellStyle name="Bad 3 13 8" xfId="24213" xr:uid="{00000000-0005-0000-0000-00004F5E0000}"/>
    <cellStyle name="Bad 3 13 9" xfId="24214" xr:uid="{00000000-0005-0000-0000-0000505E0000}"/>
    <cellStyle name="Bad 3 14" xfId="24215" xr:uid="{00000000-0005-0000-0000-0000515E0000}"/>
    <cellStyle name="Bad 3 14 10" xfId="24216" xr:uid="{00000000-0005-0000-0000-0000525E0000}"/>
    <cellStyle name="Bad 3 14 11" xfId="24217" xr:uid="{00000000-0005-0000-0000-0000535E0000}"/>
    <cellStyle name="Bad 3 14 12" xfId="24218" xr:uid="{00000000-0005-0000-0000-0000545E0000}"/>
    <cellStyle name="Bad 3 14 13" xfId="24219" xr:uid="{00000000-0005-0000-0000-0000555E0000}"/>
    <cellStyle name="Bad 3 14 14" xfId="24220" xr:uid="{00000000-0005-0000-0000-0000565E0000}"/>
    <cellStyle name="Bad 3 14 15" xfId="24221" xr:uid="{00000000-0005-0000-0000-0000575E0000}"/>
    <cellStyle name="Bad 3 14 2" xfId="24222" xr:uid="{00000000-0005-0000-0000-0000585E0000}"/>
    <cellStyle name="Bad 3 14 3" xfId="24223" xr:uid="{00000000-0005-0000-0000-0000595E0000}"/>
    <cellStyle name="Bad 3 14 4" xfId="24224" xr:uid="{00000000-0005-0000-0000-00005A5E0000}"/>
    <cellStyle name="Bad 3 14 5" xfId="24225" xr:uid="{00000000-0005-0000-0000-00005B5E0000}"/>
    <cellStyle name="Bad 3 14 6" xfId="24226" xr:uid="{00000000-0005-0000-0000-00005C5E0000}"/>
    <cellStyle name="Bad 3 14 7" xfId="24227" xr:uid="{00000000-0005-0000-0000-00005D5E0000}"/>
    <cellStyle name="Bad 3 14 8" xfId="24228" xr:uid="{00000000-0005-0000-0000-00005E5E0000}"/>
    <cellStyle name="Bad 3 14 9" xfId="24229" xr:uid="{00000000-0005-0000-0000-00005F5E0000}"/>
    <cellStyle name="Bad 3 15" xfId="24230" xr:uid="{00000000-0005-0000-0000-0000605E0000}"/>
    <cellStyle name="Bad 3 15 10" xfId="24231" xr:uid="{00000000-0005-0000-0000-0000615E0000}"/>
    <cellStyle name="Bad 3 15 11" xfId="24232" xr:uid="{00000000-0005-0000-0000-0000625E0000}"/>
    <cellStyle name="Bad 3 15 12" xfId="24233" xr:uid="{00000000-0005-0000-0000-0000635E0000}"/>
    <cellStyle name="Bad 3 15 13" xfId="24234" xr:uid="{00000000-0005-0000-0000-0000645E0000}"/>
    <cellStyle name="Bad 3 15 14" xfId="24235" xr:uid="{00000000-0005-0000-0000-0000655E0000}"/>
    <cellStyle name="Bad 3 15 15" xfId="24236" xr:uid="{00000000-0005-0000-0000-0000665E0000}"/>
    <cellStyle name="Bad 3 15 2" xfId="24237" xr:uid="{00000000-0005-0000-0000-0000675E0000}"/>
    <cellStyle name="Bad 3 15 3" xfId="24238" xr:uid="{00000000-0005-0000-0000-0000685E0000}"/>
    <cellStyle name="Bad 3 15 4" xfId="24239" xr:uid="{00000000-0005-0000-0000-0000695E0000}"/>
    <cellStyle name="Bad 3 15 5" xfId="24240" xr:uid="{00000000-0005-0000-0000-00006A5E0000}"/>
    <cellStyle name="Bad 3 15 6" xfId="24241" xr:uid="{00000000-0005-0000-0000-00006B5E0000}"/>
    <cellStyle name="Bad 3 15 7" xfId="24242" xr:uid="{00000000-0005-0000-0000-00006C5E0000}"/>
    <cellStyle name="Bad 3 15 8" xfId="24243" xr:uid="{00000000-0005-0000-0000-00006D5E0000}"/>
    <cellStyle name="Bad 3 15 9" xfId="24244" xr:uid="{00000000-0005-0000-0000-00006E5E0000}"/>
    <cellStyle name="Bad 3 16" xfId="24245" xr:uid="{00000000-0005-0000-0000-00006F5E0000}"/>
    <cellStyle name="Bad 3 16 10" xfId="24246" xr:uid="{00000000-0005-0000-0000-0000705E0000}"/>
    <cellStyle name="Bad 3 16 11" xfId="24247" xr:uid="{00000000-0005-0000-0000-0000715E0000}"/>
    <cellStyle name="Bad 3 16 12" xfId="24248" xr:uid="{00000000-0005-0000-0000-0000725E0000}"/>
    <cellStyle name="Bad 3 16 13" xfId="24249" xr:uid="{00000000-0005-0000-0000-0000735E0000}"/>
    <cellStyle name="Bad 3 16 14" xfId="24250" xr:uid="{00000000-0005-0000-0000-0000745E0000}"/>
    <cellStyle name="Bad 3 16 15" xfId="24251" xr:uid="{00000000-0005-0000-0000-0000755E0000}"/>
    <cellStyle name="Bad 3 16 2" xfId="24252" xr:uid="{00000000-0005-0000-0000-0000765E0000}"/>
    <cellStyle name="Bad 3 16 3" xfId="24253" xr:uid="{00000000-0005-0000-0000-0000775E0000}"/>
    <cellStyle name="Bad 3 16 4" xfId="24254" xr:uid="{00000000-0005-0000-0000-0000785E0000}"/>
    <cellStyle name="Bad 3 16 5" xfId="24255" xr:uid="{00000000-0005-0000-0000-0000795E0000}"/>
    <cellStyle name="Bad 3 16 6" xfId="24256" xr:uid="{00000000-0005-0000-0000-00007A5E0000}"/>
    <cellStyle name="Bad 3 16 7" xfId="24257" xr:uid="{00000000-0005-0000-0000-00007B5E0000}"/>
    <cellStyle name="Bad 3 16 8" xfId="24258" xr:uid="{00000000-0005-0000-0000-00007C5E0000}"/>
    <cellStyle name="Bad 3 16 9" xfId="24259" xr:uid="{00000000-0005-0000-0000-00007D5E0000}"/>
    <cellStyle name="Bad 3 17" xfId="24260" xr:uid="{00000000-0005-0000-0000-00007E5E0000}"/>
    <cellStyle name="Bad 3 17 10" xfId="24261" xr:uid="{00000000-0005-0000-0000-00007F5E0000}"/>
    <cellStyle name="Bad 3 17 11" xfId="24262" xr:uid="{00000000-0005-0000-0000-0000805E0000}"/>
    <cellStyle name="Bad 3 17 12" xfId="24263" xr:uid="{00000000-0005-0000-0000-0000815E0000}"/>
    <cellStyle name="Bad 3 17 13" xfId="24264" xr:uid="{00000000-0005-0000-0000-0000825E0000}"/>
    <cellStyle name="Bad 3 17 14" xfId="24265" xr:uid="{00000000-0005-0000-0000-0000835E0000}"/>
    <cellStyle name="Bad 3 17 15" xfId="24266" xr:uid="{00000000-0005-0000-0000-0000845E0000}"/>
    <cellStyle name="Bad 3 17 2" xfId="24267" xr:uid="{00000000-0005-0000-0000-0000855E0000}"/>
    <cellStyle name="Bad 3 17 3" xfId="24268" xr:uid="{00000000-0005-0000-0000-0000865E0000}"/>
    <cellStyle name="Bad 3 17 4" xfId="24269" xr:uid="{00000000-0005-0000-0000-0000875E0000}"/>
    <cellStyle name="Bad 3 17 5" xfId="24270" xr:uid="{00000000-0005-0000-0000-0000885E0000}"/>
    <cellStyle name="Bad 3 17 6" xfId="24271" xr:uid="{00000000-0005-0000-0000-0000895E0000}"/>
    <cellStyle name="Bad 3 17 7" xfId="24272" xr:uid="{00000000-0005-0000-0000-00008A5E0000}"/>
    <cellStyle name="Bad 3 17 8" xfId="24273" xr:uid="{00000000-0005-0000-0000-00008B5E0000}"/>
    <cellStyle name="Bad 3 17 9" xfId="24274" xr:uid="{00000000-0005-0000-0000-00008C5E0000}"/>
    <cellStyle name="Bad 3 18" xfId="24275" xr:uid="{00000000-0005-0000-0000-00008D5E0000}"/>
    <cellStyle name="Bad 3 18 10" xfId="24276" xr:uid="{00000000-0005-0000-0000-00008E5E0000}"/>
    <cellStyle name="Bad 3 18 11" xfId="24277" xr:uid="{00000000-0005-0000-0000-00008F5E0000}"/>
    <cellStyle name="Bad 3 18 12" xfId="24278" xr:uid="{00000000-0005-0000-0000-0000905E0000}"/>
    <cellStyle name="Bad 3 18 13" xfId="24279" xr:uid="{00000000-0005-0000-0000-0000915E0000}"/>
    <cellStyle name="Bad 3 18 14" xfId="24280" xr:uid="{00000000-0005-0000-0000-0000925E0000}"/>
    <cellStyle name="Bad 3 18 15" xfId="24281" xr:uid="{00000000-0005-0000-0000-0000935E0000}"/>
    <cellStyle name="Bad 3 18 2" xfId="24282" xr:uid="{00000000-0005-0000-0000-0000945E0000}"/>
    <cellStyle name="Bad 3 18 3" xfId="24283" xr:uid="{00000000-0005-0000-0000-0000955E0000}"/>
    <cellStyle name="Bad 3 18 4" xfId="24284" xr:uid="{00000000-0005-0000-0000-0000965E0000}"/>
    <cellStyle name="Bad 3 18 5" xfId="24285" xr:uid="{00000000-0005-0000-0000-0000975E0000}"/>
    <cellStyle name="Bad 3 18 6" xfId="24286" xr:uid="{00000000-0005-0000-0000-0000985E0000}"/>
    <cellStyle name="Bad 3 18 7" xfId="24287" xr:uid="{00000000-0005-0000-0000-0000995E0000}"/>
    <cellStyle name="Bad 3 18 8" xfId="24288" xr:uid="{00000000-0005-0000-0000-00009A5E0000}"/>
    <cellStyle name="Bad 3 18 9" xfId="24289" xr:uid="{00000000-0005-0000-0000-00009B5E0000}"/>
    <cellStyle name="Bad 3 19" xfId="24290" xr:uid="{00000000-0005-0000-0000-00009C5E0000}"/>
    <cellStyle name="Bad 3 19 10" xfId="24291" xr:uid="{00000000-0005-0000-0000-00009D5E0000}"/>
    <cellStyle name="Bad 3 19 11" xfId="24292" xr:uid="{00000000-0005-0000-0000-00009E5E0000}"/>
    <cellStyle name="Bad 3 19 12" xfId="24293" xr:uid="{00000000-0005-0000-0000-00009F5E0000}"/>
    <cellStyle name="Bad 3 19 13" xfId="24294" xr:uid="{00000000-0005-0000-0000-0000A05E0000}"/>
    <cellStyle name="Bad 3 19 14" xfId="24295" xr:uid="{00000000-0005-0000-0000-0000A15E0000}"/>
    <cellStyle name="Bad 3 19 15" xfId="24296" xr:uid="{00000000-0005-0000-0000-0000A25E0000}"/>
    <cellStyle name="Bad 3 19 2" xfId="24297" xr:uid="{00000000-0005-0000-0000-0000A35E0000}"/>
    <cellStyle name="Bad 3 19 3" xfId="24298" xr:uid="{00000000-0005-0000-0000-0000A45E0000}"/>
    <cellStyle name="Bad 3 19 4" xfId="24299" xr:uid="{00000000-0005-0000-0000-0000A55E0000}"/>
    <cellStyle name="Bad 3 19 5" xfId="24300" xr:uid="{00000000-0005-0000-0000-0000A65E0000}"/>
    <cellStyle name="Bad 3 19 6" xfId="24301" xr:uid="{00000000-0005-0000-0000-0000A75E0000}"/>
    <cellStyle name="Bad 3 19 7" xfId="24302" xr:uid="{00000000-0005-0000-0000-0000A85E0000}"/>
    <cellStyle name="Bad 3 19 8" xfId="24303" xr:uid="{00000000-0005-0000-0000-0000A95E0000}"/>
    <cellStyle name="Bad 3 19 9" xfId="24304" xr:uid="{00000000-0005-0000-0000-0000AA5E0000}"/>
    <cellStyle name="Bad 3 2" xfId="24305" xr:uid="{00000000-0005-0000-0000-0000AB5E0000}"/>
    <cellStyle name="Bad 3 2 10" xfId="24306" xr:uid="{00000000-0005-0000-0000-0000AC5E0000}"/>
    <cellStyle name="Bad 3 2 11" xfId="24307" xr:uid="{00000000-0005-0000-0000-0000AD5E0000}"/>
    <cellStyle name="Bad 3 2 12" xfId="24308" xr:uid="{00000000-0005-0000-0000-0000AE5E0000}"/>
    <cellStyle name="Bad 3 2 13" xfId="24309" xr:uid="{00000000-0005-0000-0000-0000AF5E0000}"/>
    <cellStyle name="Bad 3 2 14" xfId="24310" xr:uid="{00000000-0005-0000-0000-0000B05E0000}"/>
    <cellStyle name="Bad 3 2 15" xfId="24311" xr:uid="{00000000-0005-0000-0000-0000B15E0000}"/>
    <cellStyle name="Bad 3 2 16" xfId="24312" xr:uid="{00000000-0005-0000-0000-0000B25E0000}"/>
    <cellStyle name="Bad 3 2 17" xfId="24313" xr:uid="{00000000-0005-0000-0000-0000B35E0000}"/>
    <cellStyle name="Bad 3 2 18" xfId="24314" xr:uid="{00000000-0005-0000-0000-0000B45E0000}"/>
    <cellStyle name="Bad 3 2 19" xfId="24315" xr:uid="{00000000-0005-0000-0000-0000B55E0000}"/>
    <cellStyle name="Bad 3 2 2" xfId="24316" xr:uid="{00000000-0005-0000-0000-0000B65E0000}"/>
    <cellStyle name="Bad 3 2 20" xfId="24317" xr:uid="{00000000-0005-0000-0000-0000B75E0000}"/>
    <cellStyle name="Bad 3 2 21" xfId="24318" xr:uid="{00000000-0005-0000-0000-0000B85E0000}"/>
    <cellStyle name="Bad 3 2 22" xfId="24319" xr:uid="{00000000-0005-0000-0000-0000B95E0000}"/>
    <cellStyle name="Bad 3 2 23" xfId="24320" xr:uid="{00000000-0005-0000-0000-0000BA5E0000}"/>
    <cellStyle name="Bad 3 2 24" xfId="24321" xr:uid="{00000000-0005-0000-0000-0000BB5E0000}"/>
    <cellStyle name="Bad 3 2 25" xfId="24322" xr:uid="{00000000-0005-0000-0000-0000BC5E0000}"/>
    <cellStyle name="Bad 3 2 26" xfId="24323" xr:uid="{00000000-0005-0000-0000-0000BD5E0000}"/>
    <cellStyle name="Bad 3 2 27" xfId="24324" xr:uid="{00000000-0005-0000-0000-0000BE5E0000}"/>
    <cellStyle name="Bad 3 2 28" xfId="24325" xr:uid="{00000000-0005-0000-0000-0000BF5E0000}"/>
    <cellStyle name="Bad 3 2 29" xfId="24326" xr:uid="{00000000-0005-0000-0000-0000C05E0000}"/>
    <cellStyle name="Bad 3 2 3" xfId="24327" xr:uid="{00000000-0005-0000-0000-0000C15E0000}"/>
    <cellStyle name="Bad 3 2 30" xfId="24328" xr:uid="{00000000-0005-0000-0000-0000C25E0000}"/>
    <cellStyle name="Bad 3 2 31" xfId="24329" xr:uid="{00000000-0005-0000-0000-0000C35E0000}"/>
    <cellStyle name="Bad 3 2 32" xfId="24330" xr:uid="{00000000-0005-0000-0000-0000C45E0000}"/>
    <cellStyle name="Bad 3 2 33" xfId="24331" xr:uid="{00000000-0005-0000-0000-0000C55E0000}"/>
    <cellStyle name="Bad 3 2 34" xfId="24332" xr:uid="{00000000-0005-0000-0000-0000C65E0000}"/>
    <cellStyle name="Bad 3 2 35" xfId="24333" xr:uid="{00000000-0005-0000-0000-0000C75E0000}"/>
    <cellStyle name="Bad 3 2 36" xfId="24334" xr:uid="{00000000-0005-0000-0000-0000C85E0000}"/>
    <cellStyle name="Bad 3 2 37" xfId="24335" xr:uid="{00000000-0005-0000-0000-0000C95E0000}"/>
    <cellStyle name="Bad 3 2 38" xfId="24336" xr:uid="{00000000-0005-0000-0000-0000CA5E0000}"/>
    <cellStyle name="Bad 3 2 39" xfId="24337" xr:uid="{00000000-0005-0000-0000-0000CB5E0000}"/>
    <cellStyle name="Bad 3 2 4" xfId="24338" xr:uid="{00000000-0005-0000-0000-0000CC5E0000}"/>
    <cellStyle name="Bad 3 2 40" xfId="24339" xr:uid="{00000000-0005-0000-0000-0000CD5E0000}"/>
    <cellStyle name="Bad 3 2 41" xfId="24340" xr:uid="{00000000-0005-0000-0000-0000CE5E0000}"/>
    <cellStyle name="Bad 3 2 42" xfId="24341" xr:uid="{00000000-0005-0000-0000-0000CF5E0000}"/>
    <cellStyle name="Bad 3 2 43" xfId="24342" xr:uid="{00000000-0005-0000-0000-0000D05E0000}"/>
    <cellStyle name="Bad 3 2 44" xfId="24343" xr:uid="{00000000-0005-0000-0000-0000D15E0000}"/>
    <cellStyle name="Bad 3 2 45" xfId="24344" xr:uid="{00000000-0005-0000-0000-0000D25E0000}"/>
    <cellStyle name="Bad 3 2 46" xfId="24345" xr:uid="{00000000-0005-0000-0000-0000D35E0000}"/>
    <cellStyle name="Bad 3 2 47" xfId="24346" xr:uid="{00000000-0005-0000-0000-0000D45E0000}"/>
    <cellStyle name="Bad 3 2 48" xfId="24347" xr:uid="{00000000-0005-0000-0000-0000D55E0000}"/>
    <cellStyle name="Bad 3 2 49" xfId="24348" xr:uid="{00000000-0005-0000-0000-0000D65E0000}"/>
    <cellStyle name="Bad 3 2 5" xfId="24349" xr:uid="{00000000-0005-0000-0000-0000D75E0000}"/>
    <cellStyle name="Bad 3 2 50" xfId="24350" xr:uid="{00000000-0005-0000-0000-0000D85E0000}"/>
    <cellStyle name="Bad 3 2 51" xfId="24351" xr:uid="{00000000-0005-0000-0000-0000D95E0000}"/>
    <cellStyle name="Bad 3 2 52" xfId="24352" xr:uid="{00000000-0005-0000-0000-0000DA5E0000}"/>
    <cellStyle name="Bad 3 2 53" xfId="24353" xr:uid="{00000000-0005-0000-0000-0000DB5E0000}"/>
    <cellStyle name="Bad 3 2 6" xfId="24354" xr:uid="{00000000-0005-0000-0000-0000DC5E0000}"/>
    <cellStyle name="Bad 3 2 7" xfId="24355" xr:uid="{00000000-0005-0000-0000-0000DD5E0000}"/>
    <cellStyle name="Bad 3 2 8" xfId="24356" xr:uid="{00000000-0005-0000-0000-0000DE5E0000}"/>
    <cellStyle name="Bad 3 2 9" xfId="24357" xr:uid="{00000000-0005-0000-0000-0000DF5E0000}"/>
    <cellStyle name="Bad 3 20" xfId="24358" xr:uid="{00000000-0005-0000-0000-0000E05E0000}"/>
    <cellStyle name="Bad 3 20 10" xfId="24359" xr:uid="{00000000-0005-0000-0000-0000E15E0000}"/>
    <cellStyle name="Bad 3 20 11" xfId="24360" xr:uid="{00000000-0005-0000-0000-0000E25E0000}"/>
    <cellStyle name="Bad 3 20 12" xfId="24361" xr:uid="{00000000-0005-0000-0000-0000E35E0000}"/>
    <cellStyle name="Bad 3 20 13" xfId="24362" xr:uid="{00000000-0005-0000-0000-0000E45E0000}"/>
    <cellStyle name="Bad 3 20 14" xfId="24363" xr:uid="{00000000-0005-0000-0000-0000E55E0000}"/>
    <cellStyle name="Bad 3 20 15" xfId="24364" xr:uid="{00000000-0005-0000-0000-0000E65E0000}"/>
    <cellStyle name="Bad 3 20 2" xfId="24365" xr:uid="{00000000-0005-0000-0000-0000E75E0000}"/>
    <cellStyle name="Bad 3 20 3" xfId="24366" xr:uid="{00000000-0005-0000-0000-0000E85E0000}"/>
    <cellStyle name="Bad 3 20 4" xfId="24367" xr:uid="{00000000-0005-0000-0000-0000E95E0000}"/>
    <cellStyle name="Bad 3 20 5" xfId="24368" xr:uid="{00000000-0005-0000-0000-0000EA5E0000}"/>
    <cellStyle name="Bad 3 20 6" xfId="24369" xr:uid="{00000000-0005-0000-0000-0000EB5E0000}"/>
    <cellStyle name="Bad 3 20 7" xfId="24370" xr:uid="{00000000-0005-0000-0000-0000EC5E0000}"/>
    <cellStyle name="Bad 3 20 8" xfId="24371" xr:uid="{00000000-0005-0000-0000-0000ED5E0000}"/>
    <cellStyle name="Bad 3 20 9" xfId="24372" xr:uid="{00000000-0005-0000-0000-0000EE5E0000}"/>
    <cellStyle name="Bad 3 21" xfId="24373" xr:uid="{00000000-0005-0000-0000-0000EF5E0000}"/>
    <cellStyle name="Bad 3 21 10" xfId="24374" xr:uid="{00000000-0005-0000-0000-0000F05E0000}"/>
    <cellStyle name="Bad 3 21 11" xfId="24375" xr:uid="{00000000-0005-0000-0000-0000F15E0000}"/>
    <cellStyle name="Bad 3 21 12" xfId="24376" xr:uid="{00000000-0005-0000-0000-0000F25E0000}"/>
    <cellStyle name="Bad 3 21 13" xfId="24377" xr:uid="{00000000-0005-0000-0000-0000F35E0000}"/>
    <cellStyle name="Bad 3 21 14" xfId="24378" xr:uid="{00000000-0005-0000-0000-0000F45E0000}"/>
    <cellStyle name="Bad 3 21 15" xfId="24379" xr:uid="{00000000-0005-0000-0000-0000F55E0000}"/>
    <cellStyle name="Bad 3 21 2" xfId="24380" xr:uid="{00000000-0005-0000-0000-0000F65E0000}"/>
    <cellStyle name="Bad 3 21 3" xfId="24381" xr:uid="{00000000-0005-0000-0000-0000F75E0000}"/>
    <cellStyle name="Bad 3 21 4" xfId="24382" xr:uid="{00000000-0005-0000-0000-0000F85E0000}"/>
    <cellStyle name="Bad 3 21 5" xfId="24383" xr:uid="{00000000-0005-0000-0000-0000F95E0000}"/>
    <cellStyle name="Bad 3 21 6" xfId="24384" xr:uid="{00000000-0005-0000-0000-0000FA5E0000}"/>
    <cellStyle name="Bad 3 21 7" xfId="24385" xr:uid="{00000000-0005-0000-0000-0000FB5E0000}"/>
    <cellStyle name="Bad 3 21 8" xfId="24386" xr:uid="{00000000-0005-0000-0000-0000FC5E0000}"/>
    <cellStyle name="Bad 3 21 9" xfId="24387" xr:uid="{00000000-0005-0000-0000-0000FD5E0000}"/>
    <cellStyle name="Bad 3 22" xfId="24388" xr:uid="{00000000-0005-0000-0000-0000FE5E0000}"/>
    <cellStyle name="Bad 3 22 10" xfId="24389" xr:uid="{00000000-0005-0000-0000-0000FF5E0000}"/>
    <cellStyle name="Bad 3 22 11" xfId="24390" xr:uid="{00000000-0005-0000-0000-0000005F0000}"/>
    <cellStyle name="Bad 3 22 12" xfId="24391" xr:uid="{00000000-0005-0000-0000-0000015F0000}"/>
    <cellStyle name="Bad 3 22 13" xfId="24392" xr:uid="{00000000-0005-0000-0000-0000025F0000}"/>
    <cellStyle name="Bad 3 22 14" xfId="24393" xr:uid="{00000000-0005-0000-0000-0000035F0000}"/>
    <cellStyle name="Bad 3 22 15" xfId="24394" xr:uid="{00000000-0005-0000-0000-0000045F0000}"/>
    <cellStyle name="Bad 3 22 2" xfId="24395" xr:uid="{00000000-0005-0000-0000-0000055F0000}"/>
    <cellStyle name="Bad 3 22 3" xfId="24396" xr:uid="{00000000-0005-0000-0000-0000065F0000}"/>
    <cellStyle name="Bad 3 22 4" xfId="24397" xr:uid="{00000000-0005-0000-0000-0000075F0000}"/>
    <cellStyle name="Bad 3 22 5" xfId="24398" xr:uid="{00000000-0005-0000-0000-0000085F0000}"/>
    <cellStyle name="Bad 3 22 6" xfId="24399" xr:uid="{00000000-0005-0000-0000-0000095F0000}"/>
    <cellStyle name="Bad 3 22 7" xfId="24400" xr:uid="{00000000-0005-0000-0000-00000A5F0000}"/>
    <cellStyle name="Bad 3 22 8" xfId="24401" xr:uid="{00000000-0005-0000-0000-00000B5F0000}"/>
    <cellStyle name="Bad 3 22 9" xfId="24402" xr:uid="{00000000-0005-0000-0000-00000C5F0000}"/>
    <cellStyle name="Bad 3 23" xfId="24403" xr:uid="{00000000-0005-0000-0000-00000D5F0000}"/>
    <cellStyle name="Bad 3 23 10" xfId="24404" xr:uid="{00000000-0005-0000-0000-00000E5F0000}"/>
    <cellStyle name="Bad 3 23 11" xfId="24405" xr:uid="{00000000-0005-0000-0000-00000F5F0000}"/>
    <cellStyle name="Bad 3 23 12" xfId="24406" xr:uid="{00000000-0005-0000-0000-0000105F0000}"/>
    <cellStyle name="Bad 3 23 13" xfId="24407" xr:uid="{00000000-0005-0000-0000-0000115F0000}"/>
    <cellStyle name="Bad 3 23 14" xfId="24408" xr:uid="{00000000-0005-0000-0000-0000125F0000}"/>
    <cellStyle name="Bad 3 23 15" xfId="24409" xr:uid="{00000000-0005-0000-0000-0000135F0000}"/>
    <cellStyle name="Bad 3 23 2" xfId="24410" xr:uid="{00000000-0005-0000-0000-0000145F0000}"/>
    <cellStyle name="Bad 3 23 3" xfId="24411" xr:uid="{00000000-0005-0000-0000-0000155F0000}"/>
    <cellStyle name="Bad 3 23 4" xfId="24412" xr:uid="{00000000-0005-0000-0000-0000165F0000}"/>
    <cellStyle name="Bad 3 23 5" xfId="24413" xr:uid="{00000000-0005-0000-0000-0000175F0000}"/>
    <cellStyle name="Bad 3 23 6" xfId="24414" xr:uid="{00000000-0005-0000-0000-0000185F0000}"/>
    <cellStyle name="Bad 3 23 7" xfId="24415" xr:uid="{00000000-0005-0000-0000-0000195F0000}"/>
    <cellStyle name="Bad 3 23 8" xfId="24416" xr:uid="{00000000-0005-0000-0000-00001A5F0000}"/>
    <cellStyle name="Bad 3 23 9" xfId="24417" xr:uid="{00000000-0005-0000-0000-00001B5F0000}"/>
    <cellStyle name="Bad 3 24" xfId="24418" xr:uid="{00000000-0005-0000-0000-00001C5F0000}"/>
    <cellStyle name="Bad 3 24 10" xfId="24419" xr:uid="{00000000-0005-0000-0000-00001D5F0000}"/>
    <cellStyle name="Bad 3 24 11" xfId="24420" xr:uid="{00000000-0005-0000-0000-00001E5F0000}"/>
    <cellStyle name="Bad 3 24 12" xfId="24421" xr:uid="{00000000-0005-0000-0000-00001F5F0000}"/>
    <cellStyle name="Bad 3 24 13" xfId="24422" xr:uid="{00000000-0005-0000-0000-0000205F0000}"/>
    <cellStyle name="Bad 3 24 14" xfId="24423" xr:uid="{00000000-0005-0000-0000-0000215F0000}"/>
    <cellStyle name="Bad 3 24 15" xfId="24424" xr:uid="{00000000-0005-0000-0000-0000225F0000}"/>
    <cellStyle name="Bad 3 24 2" xfId="24425" xr:uid="{00000000-0005-0000-0000-0000235F0000}"/>
    <cellStyle name="Bad 3 24 3" xfId="24426" xr:uid="{00000000-0005-0000-0000-0000245F0000}"/>
    <cellStyle name="Bad 3 24 4" xfId="24427" xr:uid="{00000000-0005-0000-0000-0000255F0000}"/>
    <cellStyle name="Bad 3 24 5" xfId="24428" xr:uid="{00000000-0005-0000-0000-0000265F0000}"/>
    <cellStyle name="Bad 3 24 6" xfId="24429" xr:uid="{00000000-0005-0000-0000-0000275F0000}"/>
    <cellStyle name="Bad 3 24 7" xfId="24430" xr:uid="{00000000-0005-0000-0000-0000285F0000}"/>
    <cellStyle name="Bad 3 24 8" xfId="24431" xr:uid="{00000000-0005-0000-0000-0000295F0000}"/>
    <cellStyle name="Bad 3 24 9" xfId="24432" xr:uid="{00000000-0005-0000-0000-00002A5F0000}"/>
    <cellStyle name="Bad 3 25" xfId="24433" xr:uid="{00000000-0005-0000-0000-00002B5F0000}"/>
    <cellStyle name="Bad 3 25 10" xfId="24434" xr:uid="{00000000-0005-0000-0000-00002C5F0000}"/>
    <cellStyle name="Bad 3 25 11" xfId="24435" xr:uid="{00000000-0005-0000-0000-00002D5F0000}"/>
    <cellStyle name="Bad 3 25 12" xfId="24436" xr:uid="{00000000-0005-0000-0000-00002E5F0000}"/>
    <cellStyle name="Bad 3 25 13" xfId="24437" xr:uid="{00000000-0005-0000-0000-00002F5F0000}"/>
    <cellStyle name="Bad 3 25 14" xfId="24438" xr:uid="{00000000-0005-0000-0000-0000305F0000}"/>
    <cellStyle name="Bad 3 25 15" xfId="24439" xr:uid="{00000000-0005-0000-0000-0000315F0000}"/>
    <cellStyle name="Bad 3 25 2" xfId="24440" xr:uid="{00000000-0005-0000-0000-0000325F0000}"/>
    <cellStyle name="Bad 3 25 3" xfId="24441" xr:uid="{00000000-0005-0000-0000-0000335F0000}"/>
    <cellStyle name="Bad 3 25 4" xfId="24442" xr:uid="{00000000-0005-0000-0000-0000345F0000}"/>
    <cellStyle name="Bad 3 25 5" xfId="24443" xr:uid="{00000000-0005-0000-0000-0000355F0000}"/>
    <cellStyle name="Bad 3 25 6" xfId="24444" xr:uid="{00000000-0005-0000-0000-0000365F0000}"/>
    <cellStyle name="Bad 3 25 7" xfId="24445" xr:uid="{00000000-0005-0000-0000-0000375F0000}"/>
    <cellStyle name="Bad 3 25 8" xfId="24446" xr:uid="{00000000-0005-0000-0000-0000385F0000}"/>
    <cellStyle name="Bad 3 25 9" xfId="24447" xr:uid="{00000000-0005-0000-0000-0000395F0000}"/>
    <cellStyle name="Bad 3 26" xfId="24448" xr:uid="{00000000-0005-0000-0000-00003A5F0000}"/>
    <cellStyle name="Bad 3 26 10" xfId="24449" xr:uid="{00000000-0005-0000-0000-00003B5F0000}"/>
    <cellStyle name="Bad 3 26 11" xfId="24450" xr:uid="{00000000-0005-0000-0000-00003C5F0000}"/>
    <cellStyle name="Bad 3 26 12" xfId="24451" xr:uid="{00000000-0005-0000-0000-00003D5F0000}"/>
    <cellStyle name="Bad 3 26 13" xfId="24452" xr:uid="{00000000-0005-0000-0000-00003E5F0000}"/>
    <cellStyle name="Bad 3 26 14" xfId="24453" xr:uid="{00000000-0005-0000-0000-00003F5F0000}"/>
    <cellStyle name="Bad 3 26 15" xfId="24454" xr:uid="{00000000-0005-0000-0000-0000405F0000}"/>
    <cellStyle name="Bad 3 26 2" xfId="24455" xr:uid="{00000000-0005-0000-0000-0000415F0000}"/>
    <cellStyle name="Bad 3 26 3" xfId="24456" xr:uid="{00000000-0005-0000-0000-0000425F0000}"/>
    <cellStyle name="Bad 3 26 4" xfId="24457" xr:uid="{00000000-0005-0000-0000-0000435F0000}"/>
    <cellStyle name="Bad 3 26 5" xfId="24458" xr:uid="{00000000-0005-0000-0000-0000445F0000}"/>
    <cellStyle name="Bad 3 26 6" xfId="24459" xr:uid="{00000000-0005-0000-0000-0000455F0000}"/>
    <cellStyle name="Bad 3 26 7" xfId="24460" xr:uid="{00000000-0005-0000-0000-0000465F0000}"/>
    <cellStyle name="Bad 3 26 8" xfId="24461" xr:uid="{00000000-0005-0000-0000-0000475F0000}"/>
    <cellStyle name="Bad 3 26 9" xfId="24462" xr:uid="{00000000-0005-0000-0000-0000485F0000}"/>
    <cellStyle name="Bad 3 27" xfId="24463" xr:uid="{00000000-0005-0000-0000-0000495F0000}"/>
    <cellStyle name="Bad 3 27 10" xfId="24464" xr:uid="{00000000-0005-0000-0000-00004A5F0000}"/>
    <cellStyle name="Bad 3 27 11" xfId="24465" xr:uid="{00000000-0005-0000-0000-00004B5F0000}"/>
    <cellStyle name="Bad 3 27 12" xfId="24466" xr:uid="{00000000-0005-0000-0000-00004C5F0000}"/>
    <cellStyle name="Bad 3 27 13" xfId="24467" xr:uid="{00000000-0005-0000-0000-00004D5F0000}"/>
    <cellStyle name="Bad 3 27 14" xfId="24468" xr:uid="{00000000-0005-0000-0000-00004E5F0000}"/>
    <cellStyle name="Bad 3 27 15" xfId="24469" xr:uid="{00000000-0005-0000-0000-00004F5F0000}"/>
    <cellStyle name="Bad 3 27 2" xfId="24470" xr:uid="{00000000-0005-0000-0000-0000505F0000}"/>
    <cellStyle name="Bad 3 27 3" xfId="24471" xr:uid="{00000000-0005-0000-0000-0000515F0000}"/>
    <cellStyle name="Bad 3 27 4" xfId="24472" xr:uid="{00000000-0005-0000-0000-0000525F0000}"/>
    <cellStyle name="Bad 3 27 5" xfId="24473" xr:uid="{00000000-0005-0000-0000-0000535F0000}"/>
    <cellStyle name="Bad 3 27 6" xfId="24474" xr:uid="{00000000-0005-0000-0000-0000545F0000}"/>
    <cellStyle name="Bad 3 27 7" xfId="24475" xr:uid="{00000000-0005-0000-0000-0000555F0000}"/>
    <cellStyle name="Bad 3 27 8" xfId="24476" xr:uid="{00000000-0005-0000-0000-0000565F0000}"/>
    <cellStyle name="Bad 3 27 9" xfId="24477" xr:uid="{00000000-0005-0000-0000-0000575F0000}"/>
    <cellStyle name="Bad 3 28" xfId="24478" xr:uid="{00000000-0005-0000-0000-0000585F0000}"/>
    <cellStyle name="Bad 3 28 10" xfId="24479" xr:uid="{00000000-0005-0000-0000-0000595F0000}"/>
    <cellStyle name="Bad 3 28 11" xfId="24480" xr:uid="{00000000-0005-0000-0000-00005A5F0000}"/>
    <cellStyle name="Bad 3 28 12" xfId="24481" xr:uid="{00000000-0005-0000-0000-00005B5F0000}"/>
    <cellStyle name="Bad 3 28 13" xfId="24482" xr:uid="{00000000-0005-0000-0000-00005C5F0000}"/>
    <cellStyle name="Bad 3 28 14" xfId="24483" xr:uid="{00000000-0005-0000-0000-00005D5F0000}"/>
    <cellStyle name="Bad 3 28 15" xfId="24484" xr:uid="{00000000-0005-0000-0000-00005E5F0000}"/>
    <cellStyle name="Bad 3 28 2" xfId="24485" xr:uid="{00000000-0005-0000-0000-00005F5F0000}"/>
    <cellStyle name="Bad 3 28 3" xfId="24486" xr:uid="{00000000-0005-0000-0000-0000605F0000}"/>
    <cellStyle name="Bad 3 28 4" xfId="24487" xr:uid="{00000000-0005-0000-0000-0000615F0000}"/>
    <cellStyle name="Bad 3 28 5" xfId="24488" xr:uid="{00000000-0005-0000-0000-0000625F0000}"/>
    <cellStyle name="Bad 3 28 6" xfId="24489" xr:uid="{00000000-0005-0000-0000-0000635F0000}"/>
    <cellStyle name="Bad 3 28 7" xfId="24490" xr:uid="{00000000-0005-0000-0000-0000645F0000}"/>
    <cellStyle name="Bad 3 28 8" xfId="24491" xr:uid="{00000000-0005-0000-0000-0000655F0000}"/>
    <cellStyle name="Bad 3 28 9" xfId="24492" xr:uid="{00000000-0005-0000-0000-0000665F0000}"/>
    <cellStyle name="Bad 3 29" xfId="24493" xr:uid="{00000000-0005-0000-0000-0000675F0000}"/>
    <cellStyle name="Bad 3 29 10" xfId="24494" xr:uid="{00000000-0005-0000-0000-0000685F0000}"/>
    <cellStyle name="Bad 3 29 11" xfId="24495" xr:uid="{00000000-0005-0000-0000-0000695F0000}"/>
    <cellStyle name="Bad 3 29 12" xfId="24496" xr:uid="{00000000-0005-0000-0000-00006A5F0000}"/>
    <cellStyle name="Bad 3 29 13" xfId="24497" xr:uid="{00000000-0005-0000-0000-00006B5F0000}"/>
    <cellStyle name="Bad 3 29 14" xfId="24498" xr:uid="{00000000-0005-0000-0000-00006C5F0000}"/>
    <cellStyle name="Bad 3 29 15" xfId="24499" xr:uid="{00000000-0005-0000-0000-00006D5F0000}"/>
    <cellStyle name="Bad 3 29 2" xfId="24500" xr:uid="{00000000-0005-0000-0000-00006E5F0000}"/>
    <cellStyle name="Bad 3 29 3" xfId="24501" xr:uid="{00000000-0005-0000-0000-00006F5F0000}"/>
    <cellStyle name="Bad 3 29 4" xfId="24502" xr:uid="{00000000-0005-0000-0000-0000705F0000}"/>
    <cellStyle name="Bad 3 29 5" xfId="24503" xr:uid="{00000000-0005-0000-0000-0000715F0000}"/>
    <cellStyle name="Bad 3 29 6" xfId="24504" xr:uid="{00000000-0005-0000-0000-0000725F0000}"/>
    <cellStyle name="Bad 3 29 7" xfId="24505" xr:uid="{00000000-0005-0000-0000-0000735F0000}"/>
    <cellStyle name="Bad 3 29 8" xfId="24506" xr:uid="{00000000-0005-0000-0000-0000745F0000}"/>
    <cellStyle name="Bad 3 29 9" xfId="24507" xr:uid="{00000000-0005-0000-0000-0000755F0000}"/>
    <cellStyle name="Bad 3 3" xfId="24508" xr:uid="{00000000-0005-0000-0000-0000765F0000}"/>
    <cellStyle name="Bad 3 3 10" xfId="24509" xr:uid="{00000000-0005-0000-0000-0000775F0000}"/>
    <cellStyle name="Bad 3 3 11" xfId="24510" xr:uid="{00000000-0005-0000-0000-0000785F0000}"/>
    <cellStyle name="Bad 3 3 12" xfId="24511" xr:uid="{00000000-0005-0000-0000-0000795F0000}"/>
    <cellStyle name="Bad 3 3 13" xfId="24512" xr:uid="{00000000-0005-0000-0000-00007A5F0000}"/>
    <cellStyle name="Bad 3 3 14" xfId="24513" xr:uid="{00000000-0005-0000-0000-00007B5F0000}"/>
    <cellStyle name="Bad 3 3 15" xfId="24514" xr:uid="{00000000-0005-0000-0000-00007C5F0000}"/>
    <cellStyle name="Bad 3 3 16" xfId="24515" xr:uid="{00000000-0005-0000-0000-00007D5F0000}"/>
    <cellStyle name="Bad 3 3 2" xfId="24516" xr:uid="{00000000-0005-0000-0000-00007E5F0000}"/>
    <cellStyle name="Bad 3 3 3" xfId="24517" xr:uid="{00000000-0005-0000-0000-00007F5F0000}"/>
    <cellStyle name="Bad 3 3 4" xfId="24518" xr:uid="{00000000-0005-0000-0000-0000805F0000}"/>
    <cellStyle name="Bad 3 3 5" xfId="24519" xr:uid="{00000000-0005-0000-0000-0000815F0000}"/>
    <cellStyle name="Bad 3 3 6" xfId="24520" xr:uid="{00000000-0005-0000-0000-0000825F0000}"/>
    <cellStyle name="Bad 3 3 7" xfId="24521" xr:uid="{00000000-0005-0000-0000-0000835F0000}"/>
    <cellStyle name="Bad 3 3 8" xfId="24522" xr:uid="{00000000-0005-0000-0000-0000845F0000}"/>
    <cellStyle name="Bad 3 3 9" xfId="24523" xr:uid="{00000000-0005-0000-0000-0000855F0000}"/>
    <cellStyle name="Bad 3 30" xfId="24524" xr:uid="{00000000-0005-0000-0000-0000865F0000}"/>
    <cellStyle name="Bad 3 30 10" xfId="24525" xr:uid="{00000000-0005-0000-0000-0000875F0000}"/>
    <cellStyle name="Bad 3 30 11" xfId="24526" xr:uid="{00000000-0005-0000-0000-0000885F0000}"/>
    <cellStyle name="Bad 3 30 12" xfId="24527" xr:uid="{00000000-0005-0000-0000-0000895F0000}"/>
    <cellStyle name="Bad 3 30 13" xfId="24528" xr:uid="{00000000-0005-0000-0000-00008A5F0000}"/>
    <cellStyle name="Bad 3 30 14" xfId="24529" xr:uid="{00000000-0005-0000-0000-00008B5F0000}"/>
    <cellStyle name="Bad 3 30 15" xfId="24530" xr:uid="{00000000-0005-0000-0000-00008C5F0000}"/>
    <cellStyle name="Bad 3 30 2" xfId="24531" xr:uid="{00000000-0005-0000-0000-00008D5F0000}"/>
    <cellStyle name="Bad 3 30 3" xfId="24532" xr:uid="{00000000-0005-0000-0000-00008E5F0000}"/>
    <cellStyle name="Bad 3 30 4" xfId="24533" xr:uid="{00000000-0005-0000-0000-00008F5F0000}"/>
    <cellStyle name="Bad 3 30 5" xfId="24534" xr:uid="{00000000-0005-0000-0000-0000905F0000}"/>
    <cellStyle name="Bad 3 30 6" xfId="24535" xr:uid="{00000000-0005-0000-0000-0000915F0000}"/>
    <cellStyle name="Bad 3 30 7" xfId="24536" xr:uid="{00000000-0005-0000-0000-0000925F0000}"/>
    <cellStyle name="Bad 3 30 8" xfId="24537" xr:uid="{00000000-0005-0000-0000-0000935F0000}"/>
    <cellStyle name="Bad 3 30 9" xfId="24538" xr:uid="{00000000-0005-0000-0000-0000945F0000}"/>
    <cellStyle name="Bad 3 31" xfId="24539" xr:uid="{00000000-0005-0000-0000-0000955F0000}"/>
    <cellStyle name="Bad 3 31 10" xfId="24540" xr:uid="{00000000-0005-0000-0000-0000965F0000}"/>
    <cellStyle name="Bad 3 31 11" xfId="24541" xr:uid="{00000000-0005-0000-0000-0000975F0000}"/>
    <cellStyle name="Bad 3 31 12" xfId="24542" xr:uid="{00000000-0005-0000-0000-0000985F0000}"/>
    <cellStyle name="Bad 3 31 13" xfId="24543" xr:uid="{00000000-0005-0000-0000-0000995F0000}"/>
    <cellStyle name="Bad 3 31 14" xfId="24544" xr:uid="{00000000-0005-0000-0000-00009A5F0000}"/>
    <cellStyle name="Bad 3 31 15" xfId="24545" xr:uid="{00000000-0005-0000-0000-00009B5F0000}"/>
    <cellStyle name="Bad 3 31 2" xfId="24546" xr:uid="{00000000-0005-0000-0000-00009C5F0000}"/>
    <cellStyle name="Bad 3 31 3" xfId="24547" xr:uid="{00000000-0005-0000-0000-00009D5F0000}"/>
    <cellStyle name="Bad 3 31 4" xfId="24548" xr:uid="{00000000-0005-0000-0000-00009E5F0000}"/>
    <cellStyle name="Bad 3 31 5" xfId="24549" xr:uid="{00000000-0005-0000-0000-00009F5F0000}"/>
    <cellStyle name="Bad 3 31 6" xfId="24550" xr:uid="{00000000-0005-0000-0000-0000A05F0000}"/>
    <cellStyle name="Bad 3 31 7" xfId="24551" xr:uid="{00000000-0005-0000-0000-0000A15F0000}"/>
    <cellStyle name="Bad 3 31 8" xfId="24552" xr:uid="{00000000-0005-0000-0000-0000A25F0000}"/>
    <cellStyle name="Bad 3 31 9" xfId="24553" xr:uid="{00000000-0005-0000-0000-0000A35F0000}"/>
    <cellStyle name="Bad 3 32" xfId="24554" xr:uid="{00000000-0005-0000-0000-0000A45F0000}"/>
    <cellStyle name="Bad 3 32 10" xfId="24555" xr:uid="{00000000-0005-0000-0000-0000A55F0000}"/>
    <cellStyle name="Bad 3 32 11" xfId="24556" xr:uid="{00000000-0005-0000-0000-0000A65F0000}"/>
    <cellStyle name="Bad 3 32 12" xfId="24557" xr:uid="{00000000-0005-0000-0000-0000A75F0000}"/>
    <cellStyle name="Bad 3 32 13" xfId="24558" xr:uid="{00000000-0005-0000-0000-0000A85F0000}"/>
    <cellStyle name="Bad 3 32 14" xfId="24559" xr:uid="{00000000-0005-0000-0000-0000A95F0000}"/>
    <cellStyle name="Bad 3 32 15" xfId="24560" xr:uid="{00000000-0005-0000-0000-0000AA5F0000}"/>
    <cellStyle name="Bad 3 32 2" xfId="24561" xr:uid="{00000000-0005-0000-0000-0000AB5F0000}"/>
    <cellStyle name="Bad 3 32 3" xfId="24562" xr:uid="{00000000-0005-0000-0000-0000AC5F0000}"/>
    <cellStyle name="Bad 3 32 4" xfId="24563" xr:uid="{00000000-0005-0000-0000-0000AD5F0000}"/>
    <cellStyle name="Bad 3 32 5" xfId="24564" xr:uid="{00000000-0005-0000-0000-0000AE5F0000}"/>
    <cellStyle name="Bad 3 32 6" xfId="24565" xr:uid="{00000000-0005-0000-0000-0000AF5F0000}"/>
    <cellStyle name="Bad 3 32 7" xfId="24566" xr:uid="{00000000-0005-0000-0000-0000B05F0000}"/>
    <cellStyle name="Bad 3 32 8" xfId="24567" xr:uid="{00000000-0005-0000-0000-0000B15F0000}"/>
    <cellStyle name="Bad 3 32 9" xfId="24568" xr:uid="{00000000-0005-0000-0000-0000B25F0000}"/>
    <cellStyle name="Bad 3 33" xfId="24569" xr:uid="{00000000-0005-0000-0000-0000B35F0000}"/>
    <cellStyle name="Bad 3 34" xfId="24570" xr:uid="{00000000-0005-0000-0000-0000B45F0000}"/>
    <cellStyle name="Bad 3 35" xfId="24571" xr:uid="{00000000-0005-0000-0000-0000B55F0000}"/>
    <cellStyle name="Bad 3 36" xfId="24572" xr:uid="{00000000-0005-0000-0000-0000B65F0000}"/>
    <cellStyle name="Bad 3 37" xfId="24573" xr:uid="{00000000-0005-0000-0000-0000B75F0000}"/>
    <cellStyle name="Bad 3 38" xfId="24574" xr:uid="{00000000-0005-0000-0000-0000B85F0000}"/>
    <cellStyle name="Bad 3 39" xfId="24575" xr:uid="{00000000-0005-0000-0000-0000B95F0000}"/>
    <cellStyle name="Bad 3 4" xfId="24576" xr:uid="{00000000-0005-0000-0000-0000BA5F0000}"/>
    <cellStyle name="Bad 3 4 10" xfId="24577" xr:uid="{00000000-0005-0000-0000-0000BB5F0000}"/>
    <cellStyle name="Bad 3 4 11" xfId="24578" xr:uid="{00000000-0005-0000-0000-0000BC5F0000}"/>
    <cellStyle name="Bad 3 4 12" xfId="24579" xr:uid="{00000000-0005-0000-0000-0000BD5F0000}"/>
    <cellStyle name="Bad 3 4 13" xfId="24580" xr:uid="{00000000-0005-0000-0000-0000BE5F0000}"/>
    <cellStyle name="Bad 3 4 14" xfId="24581" xr:uid="{00000000-0005-0000-0000-0000BF5F0000}"/>
    <cellStyle name="Bad 3 4 15" xfId="24582" xr:uid="{00000000-0005-0000-0000-0000C05F0000}"/>
    <cellStyle name="Bad 3 4 2" xfId="24583" xr:uid="{00000000-0005-0000-0000-0000C15F0000}"/>
    <cellStyle name="Bad 3 4 3" xfId="24584" xr:uid="{00000000-0005-0000-0000-0000C25F0000}"/>
    <cellStyle name="Bad 3 4 4" xfId="24585" xr:uid="{00000000-0005-0000-0000-0000C35F0000}"/>
    <cellStyle name="Bad 3 4 5" xfId="24586" xr:uid="{00000000-0005-0000-0000-0000C45F0000}"/>
    <cellStyle name="Bad 3 4 6" xfId="24587" xr:uid="{00000000-0005-0000-0000-0000C55F0000}"/>
    <cellStyle name="Bad 3 4 7" xfId="24588" xr:uid="{00000000-0005-0000-0000-0000C65F0000}"/>
    <cellStyle name="Bad 3 4 8" xfId="24589" xr:uid="{00000000-0005-0000-0000-0000C75F0000}"/>
    <cellStyle name="Bad 3 4 9" xfId="24590" xr:uid="{00000000-0005-0000-0000-0000C85F0000}"/>
    <cellStyle name="Bad 3 40" xfId="24591" xr:uid="{00000000-0005-0000-0000-0000C95F0000}"/>
    <cellStyle name="Bad 3 41" xfId="24592" xr:uid="{00000000-0005-0000-0000-0000CA5F0000}"/>
    <cellStyle name="Bad 3 42" xfId="24593" xr:uid="{00000000-0005-0000-0000-0000CB5F0000}"/>
    <cellStyle name="Bad 3 43" xfId="24594" xr:uid="{00000000-0005-0000-0000-0000CC5F0000}"/>
    <cellStyle name="Bad 3 44" xfId="24595" xr:uid="{00000000-0005-0000-0000-0000CD5F0000}"/>
    <cellStyle name="Bad 3 45" xfId="24596" xr:uid="{00000000-0005-0000-0000-0000CE5F0000}"/>
    <cellStyle name="Bad 3 46" xfId="24597" xr:uid="{00000000-0005-0000-0000-0000CF5F0000}"/>
    <cellStyle name="Bad 3 47" xfId="24598" xr:uid="{00000000-0005-0000-0000-0000D05F0000}"/>
    <cellStyle name="Bad 3 48" xfId="24599" xr:uid="{00000000-0005-0000-0000-0000D15F0000}"/>
    <cellStyle name="Bad 3 49" xfId="24600" xr:uid="{00000000-0005-0000-0000-0000D25F0000}"/>
    <cellStyle name="Bad 3 5" xfId="24601" xr:uid="{00000000-0005-0000-0000-0000D35F0000}"/>
    <cellStyle name="Bad 3 5 10" xfId="24602" xr:uid="{00000000-0005-0000-0000-0000D45F0000}"/>
    <cellStyle name="Bad 3 5 11" xfId="24603" xr:uid="{00000000-0005-0000-0000-0000D55F0000}"/>
    <cellStyle name="Bad 3 5 12" xfId="24604" xr:uid="{00000000-0005-0000-0000-0000D65F0000}"/>
    <cellStyle name="Bad 3 5 13" xfId="24605" xr:uid="{00000000-0005-0000-0000-0000D75F0000}"/>
    <cellStyle name="Bad 3 5 14" xfId="24606" xr:uid="{00000000-0005-0000-0000-0000D85F0000}"/>
    <cellStyle name="Bad 3 5 15" xfId="24607" xr:uid="{00000000-0005-0000-0000-0000D95F0000}"/>
    <cellStyle name="Bad 3 5 2" xfId="24608" xr:uid="{00000000-0005-0000-0000-0000DA5F0000}"/>
    <cellStyle name="Bad 3 5 3" xfId="24609" xr:uid="{00000000-0005-0000-0000-0000DB5F0000}"/>
    <cellStyle name="Bad 3 5 4" xfId="24610" xr:uid="{00000000-0005-0000-0000-0000DC5F0000}"/>
    <cellStyle name="Bad 3 5 5" xfId="24611" xr:uid="{00000000-0005-0000-0000-0000DD5F0000}"/>
    <cellStyle name="Bad 3 5 6" xfId="24612" xr:uid="{00000000-0005-0000-0000-0000DE5F0000}"/>
    <cellStyle name="Bad 3 5 7" xfId="24613" xr:uid="{00000000-0005-0000-0000-0000DF5F0000}"/>
    <cellStyle name="Bad 3 5 8" xfId="24614" xr:uid="{00000000-0005-0000-0000-0000E05F0000}"/>
    <cellStyle name="Bad 3 5 9" xfId="24615" xr:uid="{00000000-0005-0000-0000-0000E15F0000}"/>
    <cellStyle name="Bad 3 50" xfId="24616" xr:uid="{00000000-0005-0000-0000-0000E25F0000}"/>
    <cellStyle name="Bad 3 51" xfId="24617" xr:uid="{00000000-0005-0000-0000-0000E35F0000}"/>
    <cellStyle name="Bad 3 52" xfId="24618" xr:uid="{00000000-0005-0000-0000-0000E45F0000}"/>
    <cellStyle name="Bad 3 53" xfId="24619" xr:uid="{00000000-0005-0000-0000-0000E55F0000}"/>
    <cellStyle name="Bad 3 6" xfId="24620" xr:uid="{00000000-0005-0000-0000-0000E65F0000}"/>
    <cellStyle name="Bad 3 6 10" xfId="24621" xr:uid="{00000000-0005-0000-0000-0000E75F0000}"/>
    <cellStyle name="Bad 3 6 11" xfId="24622" xr:uid="{00000000-0005-0000-0000-0000E85F0000}"/>
    <cellStyle name="Bad 3 6 12" xfId="24623" xr:uid="{00000000-0005-0000-0000-0000E95F0000}"/>
    <cellStyle name="Bad 3 6 13" xfId="24624" xr:uid="{00000000-0005-0000-0000-0000EA5F0000}"/>
    <cellStyle name="Bad 3 6 14" xfId="24625" xr:uid="{00000000-0005-0000-0000-0000EB5F0000}"/>
    <cellStyle name="Bad 3 6 15" xfId="24626" xr:uid="{00000000-0005-0000-0000-0000EC5F0000}"/>
    <cellStyle name="Bad 3 6 2" xfId="24627" xr:uid="{00000000-0005-0000-0000-0000ED5F0000}"/>
    <cellStyle name="Bad 3 6 3" xfId="24628" xr:uid="{00000000-0005-0000-0000-0000EE5F0000}"/>
    <cellStyle name="Bad 3 6 4" xfId="24629" xr:uid="{00000000-0005-0000-0000-0000EF5F0000}"/>
    <cellStyle name="Bad 3 6 5" xfId="24630" xr:uid="{00000000-0005-0000-0000-0000F05F0000}"/>
    <cellStyle name="Bad 3 6 6" xfId="24631" xr:uid="{00000000-0005-0000-0000-0000F15F0000}"/>
    <cellStyle name="Bad 3 6 7" xfId="24632" xr:uid="{00000000-0005-0000-0000-0000F25F0000}"/>
    <cellStyle name="Bad 3 6 8" xfId="24633" xr:uid="{00000000-0005-0000-0000-0000F35F0000}"/>
    <cellStyle name="Bad 3 6 9" xfId="24634" xr:uid="{00000000-0005-0000-0000-0000F45F0000}"/>
    <cellStyle name="Bad 3 7" xfId="24635" xr:uid="{00000000-0005-0000-0000-0000F55F0000}"/>
    <cellStyle name="Bad 3 7 10" xfId="24636" xr:uid="{00000000-0005-0000-0000-0000F65F0000}"/>
    <cellStyle name="Bad 3 7 11" xfId="24637" xr:uid="{00000000-0005-0000-0000-0000F75F0000}"/>
    <cellStyle name="Bad 3 7 12" xfId="24638" xr:uid="{00000000-0005-0000-0000-0000F85F0000}"/>
    <cellStyle name="Bad 3 7 13" xfId="24639" xr:uid="{00000000-0005-0000-0000-0000F95F0000}"/>
    <cellStyle name="Bad 3 7 14" xfId="24640" xr:uid="{00000000-0005-0000-0000-0000FA5F0000}"/>
    <cellStyle name="Bad 3 7 15" xfId="24641" xr:uid="{00000000-0005-0000-0000-0000FB5F0000}"/>
    <cellStyle name="Bad 3 7 2" xfId="24642" xr:uid="{00000000-0005-0000-0000-0000FC5F0000}"/>
    <cellStyle name="Bad 3 7 3" xfId="24643" xr:uid="{00000000-0005-0000-0000-0000FD5F0000}"/>
    <cellStyle name="Bad 3 7 4" xfId="24644" xr:uid="{00000000-0005-0000-0000-0000FE5F0000}"/>
    <cellStyle name="Bad 3 7 5" xfId="24645" xr:uid="{00000000-0005-0000-0000-0000FF5F0000}"/>
    <cellStyle name="Bad 3 7 6" xfId="24646" xr:uid="{00000000-0005-0000-0000-000000600000}"/>
    <cellStyle name="Bad 3 7 7" xfId="24647" xr:uid="{00000000-0005-0000-0000-000001600000}"/>
    <cellStyle name="Bad 3 7 8" xfId="24648" xr:uid="{00000000-0005-0000-0000-000002600000}"/>
    <cellStyle name="Bad 3 7 9" xfId="24649" xr:uid="{00000000-0005-0000-0000-000003600000}"/>
    <cellStyle name="Bad 3 8" xfId="24650" xr:uid="{00000000-0005-0000-0000-000004600000}"/>
    <cellStyle name="Bad 3 8 10" xfId="24651" xr:uid="{00000000-0005-0000-0000-000005600000}"/>
    <cellStyle name="Bad 3 8 11" xfId="24652" xr:uid="{00000000-0005-0000-0000-000006600000}"/>
    <cellStyle name="Bad 3 8 12" xfId="24653" xr:uid="{00000000-0005-0000-0000-000007600000}"/>
    <cellStyle name="Bad 3 8 13" xfId="24654" xr:uid="{00000000-0005-0000-0000-000008600000}"/>
    <cellStyle name="Bad 3 8 14" xfId="24655" xr:uid="{00000000-0005-0000-0000-000009600000}"/>
    <cellStyle name="Bad 3 8 15" xfId="24656" xr:uid="{00000000-0005-0000-0000-00000A600000}"/>
    <cellStyle name="Bad 3 8 2" xfId="24657" xr:uid="{00000000-0005-0000-0000-00000B600000}"/>
    <cellStyle name="Bad 3 8 3" xfId="24658" xr:uid="{00000000-0005-0000-0000-00000C600000}"/>
    <cellStyle name="Bad 3 8 4" xfId="24659" xr:uid="{00000000-0005-0000-0000-00000D600000}"/>
    <cellStyle name="Bad 3 8 5" xfId="24660" xr:uid="{00000000-0005-0000-0000-00000E600000}"/>
    <cellStyle name="Bad 3 8 6" xfId="24661" xr:uid="{00000000-0005-0000-0000-00000F600000}"/>
    <cellStyle name="Bad 3 8 7" xfId="24662" xr:uid="{00000000-0005-0000-0000-000010600000}"/>
    <cellStyle name="Bad 3 8 8" xfId="24663" xr:uid="{00000000-0005-0000-0000-000011600000}"/>
    <cellStyle name="Bad 3 8 9" xfId="24664" xr:uid="{00000000-0005-0000-0000-000012600000}"/>
    <cellStyle name="Bad 3 9" xfId="24665" xr:uid="{00000000-0005-0000-0000-000013600000}"/>
    <cellStyle name="Bad 3 9 10" xfId="24666" xr:uid="{00000000-0005-0000-0000-000014600000}"/>
    <cellStyle name="Bad 3 9 11" xfId="24667" xr:uid="{00000000-0005-0000-0000-000015600000}"/>
    <cellStyle name="Bad 3 9 12" xfId="24668" xr:uid="{00000000-0005-0000-0000-000016600000}"/>
    <cellStyle name="Bad 3 9 13" xfId="24669" xr:uid="{00000000-0005-0000-0000-000017600000}"/>
    <cellStyle name="Bad 3 9 14" xfId="24670" xr:uid="{00000000-0005-0000-0000-000018600000}"/>
    <cellStyle name="Bad 3 9 15" xfId="24671" xr:uid="{00000000-0005-0000-0000-000019600000}"/>
    <cellStyle name="Bad 3 9 2" xfId="24672" xr:uid="{00000000-0005-0000-0000-00001A600000}"/>
    <cellStyle name="Bad 3 9 3" xfId="24673" xr:uid="{00000000-0005-0000-0000-00001B600000}"/>
    <cellStyle name="Bad 3 9 4" xfId="24674" xr:uid="{00000000-0005-0000-0000-00001C600000}"/>
    <cellStyle name="Bad 3 9 5" xfId="24675" xr:uid="{00000000-0005-0000-0000-00001D600000}"/>
    <cellStyle name="Bad 3 9 6" xfId="24676" xr:uid="{00000000-0005-0000-0000-00001E600000}"/>
    <cellStyle name="Bad 3 9 7" xfId="24677" xr:uid="{00000000-0005-0000-0000-00001F600000}"/>
    <cellStyle name="Bad 3 9 8" xfId="24678" xr:uid="{00000000-0005-0000-0000-000020600000}"/>
    <cellStyle name="Bad 3 9 9" xfId="24679" xr:uid="{00000000-0005-0000-0000-000021600000}"/>
    <cellStyle name="Bad 30" xfId="24680" xr:uid="{00000000-0005-0000-0000-000022600000}"/>
    <cellStyle name="Bad 30 10" xfId="24681" xr:uid="{00000000-0005-0000-0000-000023600000}"/>
    <cellStyle name="Bad 30 11" xfId="24682" xr:uid="{00000000-0005-0000-0000-000024600000}"/>
    <cellStyle name="Bad 30 12" xfId="24683" xr:uid="{00000000-0005-0000-0000-000025600000}"/>
    <cellStyle name="Bad 30 13" xfId="24684" xr:uid="{00000000-0005-0000-0000-000026600000}"/>
    <cellStyle name="Bad 30 14" xfId="24685" xr:uid="{00000000-0005-0000-0000-000027600000}"/>
    <cellStyle name="Bad 30 15" xfId="24686" xr:uid="{00000000-0005-0000-0000-000028600000}"/>
    <cellStyle name="Bad 30 2" xfId="24687" xr:uid="{00000000-0005-0000-0000-000029600000}"/>
    <cellStyle name="Bad 30 3" xfId="24688" xr:uid="{00000000-0005-0000-0000-00002A600000}"/>
    <cellStyle name="Bad 30 4" xfId="24689" xr:uid="{00000000-0005-0000-0000-00002B600000}"/>
    <cellStyle name="Bad 30 5" xfId="24690" xr:uid="{00000000-0005-0000-0000-00002C600000}"/>
    <cellStyle name="Bad 30 6" xfId="24691" xr:uid="{00000000-0005-0000-0000-00002D600000}"/>
    <cellStyle name="Bad 30 7" xfId="24692" xr:uid="{00000000-0005-0000-0000-00002E600000}"/>
    <cellStyle name="Bad 30 8" xfId="24693" xr:uid="{00000000-0005-0000-0000-00002F600000}"/>
    <cellStyle name="Bad 30 9" xfId="24694" xr:uid="{00000000-0005-0000-0000-000030600000}"/>
    <cellStyle name="Bad 31" xfId="24695" xr:uid="{00000000-0005-0000-0000-000031600000}"/>
    <cellStyle name="Bad 31 10" xfId="24696" xr:uid="{00000000-0005-0000-0000-000032600000}"/>
    <cellStyle name="Bad 31 11" xfId="24697" xr:uid="{00000000-0005-0000-0000-000033600000}"/>
    <cellStyle name="Bad 31 12" xfId="24698" xr:uid="{00000000-0005-0000-0000-000034600000}"/>
    <cellStyle name="Bad 31 13" xfId="24699" xr:uid="{00000000-0005-0000-0000-000035600000}"/>
    <cellStyle name="Bad 31 14" xfId="24700" xr:uid="{00000000-0005-0000-0000-000036600000}"/>
    <cellStyle name="Bad 31 15" xfId="24701" xr:uid="{00000000-0005-0000-0000-000037600000}"/>
    <cellStyle name="Bad 31 2" xfId="24702" xr:uid="{00000000-0005-0000-0000-000038600000}"/>
    <cellStyle name="Bad 31 3" xfId="24703" xr:uid="{00000000-0005-0000-0000-000039600000}"/>
    <cellStyle name="Bad 31 4" xfId="24704" xr:uid="{00000000-0005-0000-0000-00003A600000}"/>
    <cellStyle name="Bad 31 5" xfId="24705" xr:uid="{00000000-0005-0000-0000-00003B600000}"/>
    <cellStyle name="Bad 31 6" xfId="24706" xr:uid="{00000000-0005-0000-0000-00003C600000}"/>
    <cellStyle name="Bad 31 7" xfId="24707" xr:uid="{00000000-0005-0000-0000-00003D600000}"/>
    <cellStyle name="Bad 31 8" xfId="24708" xr:uid="{00000000-0005-0000-0000-00003E600000}"/>
    <cellStyle name="Bad 31 9" xfId="24709" xr:uid="{00000000-0005-0000-0000-00003F600000}"/>
    <cellStyle name="Bad 32" xfId="24710" xr:uid="{00000000-0005-0000-0000-000040600000}"/>
    <cellStyle name="Bad 32 10" xfId="24711" xr:uid="{00000000-0005-0000-0000-000041600000}"/>
    <cellStyle name="Bad 32 11" xfId="24712" xr:uid="{00000000-0005-0000-0000-000042600000}"/>
    <cellStyle name="Bad 32 12" xfId="24713" xr:uid="{00000000-0005-0000-0000-000043600000}"/>
    <cellStyle name="Bad 32 13" xfId="24714" xr:uid="{00000000-0005-0000-0000-000044600000}"/>
    <cellStyle name="Bad 32 14" xfId="24715" xr:uid="{00000000-0005-0000-0000-000045600000}"/>
    <cellStyle name="Bad 32 15" xfId="24716" xr:uid="{00000000-0005-0000-0000-000046600000}"/>
    <cellStyle name="Bad 32 2" xfId="24717" xr:uid="{00000000-0005-0000-0000-000047600000}"/>
    <cellStyle name="Bad 32 3" xfId="24718" xr:uid="{00000000-0005-0000-0000-000048600000}"/>
    <cellStyle name="Bad 32 4" xfId="24719" xr:uid="{00000000-0005-0000-0000-000049600000}"/>
    <cellStyle name="Bad 32 5" xfId="24720" xr:uid="{00000000-0005-0000-0000-00004A600000}"/>
    <cellStyle name="Bad 32 6" xfId="24721" xr:uid="{00000000-0005-0000-0000-00004B600000}"/>
    <cellStyle name="Bad 32 7" xfId="24722" xr:uid="{00000000-0005-0000-0000-00004C600000}"/>
    <cellStyle name="Bad 32 8" xfId="24723" xr:uid="{00000000-0005-0000-0000-00004D600000}"/>
    <cellStyle name="Bad 32 9" xfId="24724" xr:uid="{00000000-0005-0000-0000-00004E600000}"/>
    <cellStyle name="Bad 33" xfId="24725" xr:uid="{00000000-0005-0000-0000-00004F600000}"/>
    <cellStyle name="Bad 33 10" xfId="24726" xr:uid="{00000000-0005-0000-0000-000050600000}"/>
    <cellStyle name="Bad 33 11" xfId="24727" xr:uid="{00000000-0005-0000-0000-000051600000}"/>
    <cellStyle name="Bad 33 12" xfId="24728" xr:uid="{00000000-0005-0000-0000-000052600000}"/>
    <cellStyle name="Bad 33 13" xfId="24729" xr:uid="{00000000-0005-0000-0000-000053600000}"/>
    <cellStyle name="Bad 33 14" xfId="24730" xr:uid="{00000000-0005-0000-0000-000054600000}"/>
    <cellStyle name="Bad 33 15" xfId="24731" xr:uid="{00000000-0005-0000-0000-000055600000}"/>
    <cellStyle name="Bad 33 2" xfId="24732" xr:uid="{00000000-0005-0000-0000-000056600000}"/>
    <cellStyle name="Bad 33 3" xfId="24733" xr:uid="{00000000-0005-0000-0000-000057600000}"/>
    <cellStyle name="Bad 33 4" xfId="24734" xr:uid="{00000000-0005-0000-0000-000058600000}"/>
    <cellStyle name="Bad 33 5" xfId="24735" xr:uid="{00000000-0005-0000-0000-000059600000}"/>
    <cellStyle name="Bad 33 6" xfId="24736" xr:uid="{00000000-0005-0000-0000-00005A600000}"/>
    <cellStyle name="Bad 33 7" xfId="24737" xr:uid="{00000000-0005-0000-0000-00005B600000}"/>
    <cellStyle name="Bad 33 8" xfId="24738" xr:uid="{00000000-0005-0000-0000-00005C600000}"/>
    <cellStyle name="Bad 33 9" xfId="24739" xr:uid="{00000000-0005-0000-0000-00005D600000}"/>
    <cellStyle name="Bad 34" xfId="24740" xr:uid="{00000000-0005-0000-0000-00005E600000}"/>
    <cellStyle name="Bad 34 10" xfId="24741" xr:uid="{00000000-0005-0000-0000-00005F600000}"/>
    <cellStyle name="Bad 34 11" xfId="24742" xr:uid="{00000000-0005-0000-0000-000060600000}"/>
    <cellStyle name="Bad 34 12" xfId="24743" xr:uid="{00000000-0005-0000-0000-000061600000}"/>
    <cellStyle name="Bad 34 13" xfId="24744" xr:uid="{00000000-0005-0000-0000-000062600000}"/>
    <cellStyle name="Bad 34 14" xfId="24745" xr:uid="{00000000-0005-0000-0000-000063600000}"/>
    <cellStyle name="Bad 34 15" xfId="24746" xr:uid="{00000000-0005-0000-0000-000064600000}"/>
    <cellStyle name="Bad 34 2" xfId="24747" xr:uid="{00000000-0005-0000-0000-000065600000}"/>
    <cellStyle name="Bad 34 3" xfId="24748" xr:uid="{00000000-0005-0000-0000-000066600000}"/>
    <cellStyle name="Bad 34 4" xfId="24749" xr:uid="{00000000-0005-0000-0000-000067600000}"/>
    <cellStyle name="Bad 34 5" xfId="24750" xr:uid="{00000000-0005-0000-0000-000068600000}"/>
    <cellStyle name="Bad 34 6" xfId="24751" xr:uid="{00000000-0005-0000-0000-000069600000}"/>
    <cellStyle name="Bad 34 7" xfId="24752" xr:uid="{00000000-0005-0000-0000-00006A600000}"/>
    <cellStyle name="Bad 34 8" xfId="24753" xr:uid="{00000000-0005-0000-0000-00006B600000}"/>
    <cellStyle name="Bad 34 9" xfId="24754" xr:uid="{00000000-0005-0000-0000-00006C600000}"/>
    <cellStyle name="Bad 35" xfId="24755" xr:uid="{00000000-0005-0000-0000-00006D600000}"/>
    <cellStyle name="Bad 35 10" xfId="24756" xr:uid="{00000000-0005-0000-0000-00006E600000}"/>
    <cellStyle name="Bad 35 11" xfId="24757" xr:uid="{00000000-0005-0000-0000-00006F600000}"/>
    <cellStyle name="Bad 35 12" xfId="24758" xr:uid="{00000000-0005-0000-0000-000070600000}"/>
    <cellStyle name="Bad 35 13" xfId="24759" xr:uid="{00000000-0005-0000-0000-000071600000}"/>
    <cellStyle name="Bad 35 14" xfId="24760" xr:uid="{00000000-0005-0000-0000-000072600000}"/>
    <cellStyle name="Bad 35 15" xfId="24761" xr:uid="{00000000-0005-0000-0000-000073600000}"/>
    <cellStyle name="Bad 35 2" xfId="24762" xr:uid="{00000000-0005-0000-0000-000074600000}"/>
    <cellStyle name="Bad 35 3" xfId="24763" xr:uid="{00000000-0005-0000-0000-000075600000}"/>
    <cellStyle name="Bad 35 4" xfId="24764" xr:uid="{00000000-0005-0000-0000-000076600000}"/>
    <cellStyle name="Bad 35 5" xfId="24765" xr:uid="{00000000-0005-0000-0000-000077600000}"/>
    <cellStyle name="Bad 35 6" xfId="24766" xr:uid="{00000000-0005-0000-0000-000078600000}"/>
    <cellStyle name="Bad 35 7" xfId="24767" xr:uid="{00000000-0005-0000-0000-000079600000}"/>
    <cellStyle name="Bad 35 8" xfId="24768" xr:uid="{00000000-0005-0000-0000-00007A600000}"/>
    <cellStyle name="Bad 35 9" xfId="24769" xr:uid="{00000000-0005-0000-0000-00007B600000}"/>
    <cellStyle name="Bad 36" xfId="24770" xr:uid="{00000000-0005-0000-0000-00007C600000}"/>
    <cellStyle name="Bad 36 10" xfId="24771" xr:uid="{00000000-0005-0000-0000-00007D600000}"/>
    <cellStyle name="Bad 36 11" xfId="24772" xr:uid="{00000000-0005-0000-0000-00007E600000}"/>
    <cellStyle name="Bad 36 12" xfId="24773" xr:uid="{00000000-0005-0000-0000-00007F600000}"/>
    <cellStyle name="Bad 36 13" xfId="24774" xr:uid="{00000000-0005-0000-0000-000080600000}"/>
    <cellStyle name="Bad 36 14" xfId="24775" xr:uid="{00000000-0005-0000-0000-000081600000}"/>
    <cellStyle name="Bad 36 15" xfId="24776" xr:uid="{00000000-0005-0000-0000-000082600000}"/>
    <cellStyle name="Bad 36 2" xfId="24777" xr:uid="{00000000-0005-0000-0000-000083600000}"/>
    <cellStyle name="Bad 36 3" xfId="24778" xr:uid="{00000000-0005-0000-0000-000084600000}"/>
    <cellStyle name="Bad 36 4" xfId="24779" xr:uid="{00000000-0005-0000-0000-000085600000}"/>
    <cellStyle name="Bad 36 5" xfId="24780" xr:uid="{00000000-0005-0000-0000-000086600000}"/>
    <cellStyle name="Bad 36 6" xfId="24781" xr:uid="{00000000-0005-0000-0000-000087600000}"/>
    <cellStyle name="Bad 36 7" xfId="24782" xr:uid="{00000000-0005-0000-0000-000088600000}"/>
    <cellStyle name="Bad 36 8" xfId="24783" xr:uid="{00000000-0005-0000-0000-000089600000}"/>
    <cellStyle name="Bad 36 9" xfId="24784" xr:uid="{00000000-0005-0000-0000-00008A600000}"/>
    <cellStyle name="Bad 37" xfId="24785" xr:uid="{00000000-0005-0000-0000-00008B600000}"/>
    <cellStyle name="Bad 37 10" xfId="24786" xr:uid="{00000000-0005-0000-0000-00008C600000}"/>
    <cellStyle name="Bad 37 11" xfId="24787" xr:uid="{00000000-0005-0000-0000-00008D600000}"/>
    <cellStyle name="Bad 37 12" xfId="24788" xr:uid="{00000000-0005-0000-0000-00008E600000}"/>
    <cellStyle name="Bad 37 13" xfId="24789" xr:uid="{00000000-0005-0000-0000-00008F600000}"/>
    <cellStyle name="Bad 37 14" xfId="24790" xr:uid="{00000000-0005-0000-0000-000090600000}"/>
    <cellStyle name="Bad 37 15" xfId="24791" xr:uid="{00000000-0005-0000-0000-000091600000}"/>
    <cellStyle name="Bad 37 2" xfId="24792" xr:uid="{00000000-0005-0000-0000-000092600000}"/>
    <cellStyle name="Bad 37 3" xfId="24793" xr:uid="{00000000-0005-0000-0000-000093600000}"/>
    <cellStyle name="Bad 37 4" xfId="24794" xr:uid="{00000000-0005-0000-0000-000094600000}"/>
    <cellStyle name="Bad 37 5" xfId="24795" xr:uid="{00000000-0005-0000-0000-000095600000}"/>
    <cellStyle name="Bad 37 6" xfId="24796" xr:uid="{00000000-0005-0000-0000-000096600000}"/>
    <cellStyle name="Bad 37 7" xfId="24797" xr:uid="{00000000-0005-0000-0000-000097600000}"/>
    <cellStyle name="Bad 37 8" xfId="24798" xr:uid="{00000000-0005-0000-0000-000098600000}"/>
    <cellStyle name="Bad 37 9" xfId="24799" xr:uid="{00000000-0005-0000-0000-000099600000}"/>
    <cellStyle name="Bad 38" xfId="24800" xr:uid="{00000000-0005-0000-0000-00009A600000}"/>
    <cellStyle name="Bad 38 10" xfId="24801" xr:uid="{00000000-0005-0000-0000-00009B600000}"/>
    <cellStyle name="Bad 38 11" xfId="24802" xr:uid="{00000000-0005-0000-0000-00009C600000}"/>
    <cellStyle name="Bad 38 12" xfId="24803" xr:uid="{00000000-0005-0000-0000-00009D600000}"/>
    <cellStyle name="Bad 38 13" xfId="24804" xr:uid="{00000000-0005-0000-0000-00009E600000}"/>
    <cellStyle name="Bad 38 14" xfId="24805" xr:uid="{00000000-0005-0000-0000-00009F600000}"/>
    <cellStyle name="Bad 38 15" xfId="24806" xr:uid="{00000000-0005-0000-0000-0000A0600000}"/>
    <cellStyle name="Bad 38 2" xfId="24807" xr:uid="{00000000-0005-0000-0000-0000A1600000}"/>
    <cellStyle name="Bad 38 3" xfId="24808" xr:uid="{00000000-0005-0000-0000-0000A2600000}"/>
    <cellStyle name="Bad 38 4" xfId="24809" xr:uid="{00000000-0005-0000-0000-0000A3600000}"/>
    <cellStyle name="Bad 38 5" xfId="24810" xr:uid="{00000000-0005-0000-0000-0000A4600000}"/>
    <cellStyle name="Bad 38 6" xfId="24811" xr:uid="{00000000-0005-0000-0000-0000A5600000}"/>
    <cellStyle name="Bad 38 7" xfId="24812" xr:uid="{00000000-0005-0000-0000-0000A6600000}"/>
    <cellStyle name="Bad 38 8" xfId="24813" xr:uid="{00000000-0005-0000-0000-0000A7600000}"/>
    <cellStyle name="Bad 38 9" xfId="24814" xr:uid="{00000000-0005-0000-0000-0000A8600000}"/>
    <cellStyle name="Bad 39" xfId="24815" xr:uid="{00000000-0005-0000-0000-0000A9600000}"/>
    <cellStyle name="Bad 39 10" xfId="24816" xr:uid="{00000000-0005-0000-0000-0000AA600000}"/>
    <cellStyle name="Bad 39 11" xfId="24817" xr:uid="{00000000-0005-0000-0000-0000AB600000}"/>
    <cellStyle name="Bad 39 12" xfId="24818" xr:uid="{00000000-0005-0000-0000-0000AC600000}"/>
    <cellStyle name="Bad 39 13" xfId="24819" xr:uid="{00000000-0005-0000-0000-0000AD600000}"/>
    <cellStyle name="Bad 39 14" xfId="24820" xr:uid="{00000000-0005-0000-0000-0000AE600000}"/>
    <cellStyle name="Bad 39 15" xfId="24821" xr:uid="{00000000-0005-0000-0000-0000AF600000}"/>
    <cellStyle name="Bad 39 2" xfId="24822" xr:uid="{00000000-0005-0000-0000-0000B0600000}"/>
    <cellStyle name="Bad 39 3" xfId="24823" xr:uid="{00000000-0005-0000-0000-0000B1600000}"/>
    <cellStyle name="Bad 39 4" xfId="24824" xr:uid="{00000000-0005-0000-0000-0000B2600000}"/>
    <cellStyle name="Bad 39 5" xfId="24825" xr:uid="{00000000-0005-0000-0000-0000B3600000}"/>
    <cellStyle name="Bad 39 6" xfId="24826" xr:uid="{00000000-0005-0000-0000-0000B4600000}"/>
    <cellStyle name="Bad 39 7" xfId="24827" xr:uid="{00000000-0005-0000-0000-0000B5600000}"/>
    <cellStyle name="Bad 39 8" xfId="24828" xr:uid="{00000000-0005-0000-0000-0000B6600000}"/>
    <cellStyle name="Bad 39 9" xfId="24829" xr:uid="{00000000-0005-0000-0000-0000B7600000}"/>
    <cellStyle name="Bad 4" xfId="24830" xr:uid="{00000000-0005-0000-0000-0000B8600000}"/>
    <cellStyle name="Bad 4 2" xfId="24831" xr:uid="{00000000-0005-0000-0000-0000B9600000}"/>
    <cellStyle name="Bad 4 2 2" xfId="24832" xr:uid="{00000000-0005-0000-0000-0000BA600000}"/>
    <cellStyle name="Bad 4 3" xfId="24833" xr:uid="{00000000-0005-0000-0000-0000BB600000}"/>
    <cellStyle name="Bad 4 3 2" xfId="24834" xr:uid="{00000000-0005-0000-0000-0000BC600000}"/>
    <cellStyle name="Bad 4 4" xfId="24835" xr:uid="{00000000-0005-0000-0000-0000BD600000}"/>
    <cellStyle name="Bad 4 4 2" xfId="24836" xr:uid="{00000000-0005-0000-0000-0000BE600000}"/>
    <cellStyle name="Bad 4 5" xfId="24837" xr:uid="{00000000-0005-0000-0000-0000BF600000}"/>
    <cellStyle name="Bad 4 5 2" xfId="24838" xr:uid="{00000000-0005-0000-0000-0000C0600000}"/>
    <cellStyle name="Bad 4 6" xfId="24839" xr:uid="{00000000-0005-0000-0000-0000C1600000}"/>
    <cellStyle name="Bad 4 6 2" xfId="24840" xr:uid="{00000000-0005-0000-0000-0000C2600000}"/>
    <cellStyle name="Bad 4 7" xfId="24841" xr:uid="{00000000-0005-0000-0000-0000C3600000}"/>
    <cellStyle name="Bad 40" xfId="24842" xr:uid="{00000000-0005-0000-0000-0000C4600000}"/>
    <cellStyle name="Bad 41" xfId="24843" xr:uid="{00000000-0005-0000-0000-0000C5600000}"/>
    <cellStyle name="Bad 42" xfId="24844" xr:uid="{00000000-0005-0000-0000-0000C6600000}"/>
    <cellStyle name="Bad 43" xfId="24845" xr:uid="{00000000-0005-0000-0000-0000C7600000}"/>
    <cellStyle name="Bad 44" xfId="24846" xr:uid="{00000000-0005-0000-0000-0000C8600000}"/>
    <cellStyle name="Bad 45" xfId="24847" xr:uid="{00000000-0005-0000-0000-0000C9600000}"/>
    <cellStyle name="Bad 46" xfId="24848" xr:uid="{00000000-0005-0000-0000-0000CA600000}"/>
    <cellStyle name="Bad 47" xfId="24849" xr:uid="{00000000-0005-0000-0000-0000CB600000}"/>
    <cellStyle name="Bad 48" xfId="24850" xr:uid="{00000000-0005-0000-0000-0000CC600000}"/>
    <cellStyle name="Bad 49" xfId="24851" xr:uid="{00000000-0005-0000-0000-0000CD600000}"/>
    <cellStyle name="Bad 5" xfId="24852" xr:uid="{00000000-0005-0000-0000-0000CE600000}"/>
    <cellStyle name="Bad 5 2" xfId="24853" xr:uid="{00000000-0005-0000-0000-0000CF600000}"/>
    <cellStyle name="Bad 5 2 2" xfId="24854" xr:uid="{00000000-0005-0000-0000-0000D0600000}"/>
    <cellStyle name="Bad 5 2 3" xfId="24855" xr:uid="{00000000-0005-0000-0000-0000D1600000}"/>
    <cellStyle name="Bad 5 2 4" xfId="24856" xr:uid="{00000000-0005-0000-0000-0000D2600000}"/>
    <cellStyle name="Bad 5 3" xfId="24857" xr:uid="{00000000-0005-0000-0000-0000D3600000}"/>
    <cellStyle name="Bad 5 3 2" xfId="24858" xr:uid="{00000000-0005-0000-0000-0000D4600000}"/>
    <cellStyle name="Bad 5 3 3" xfId="24859" xr:uid="{00000000-0005-0000-0000-0000D5600000}"/>
    <cellStyle name="Bad 5 4" xfId="24860" xr:uid="{00000000-0005-0000-0000-0000D6600000}"/>
    <cellStyle name="Bad 50" xfId="24861" xr:uid="{00000000-0005-0000-0000-0000D7600000}"/>
    <cellStyle name="Bad 51" xfId="24862" xr:uid="{00000000-0005-0000-0000-0000D8600000}"/>
    <cellStyle name="Bad 52" xfId="24863" xr:uid="{00000000-0005-0000-0000-0000D9600000}"/>
    <cellStyle name="Bad 53" xfId="24864" xr:uid="{00000000-0005-0000-0000-0000DA600000}"/>
    <cellStyle name="Bad 54" xfId="24865" xr:uid="{00000000-0005-0000-0000-0000DB600000}"/>
    <cellStyle name="Bad 55" xfId="24866" xr:uid="{00000000-0005-0000-0000-0000DC600000}"/>
    <cellStyle name="Bad 56" xfId="24867" xr:uid="{00000000-0005-0000-0000-0000DD600000}"/>
    <cellStyle name="Bad 57" xfId="24868" xr:uid="{00000000-0005-0000-0000-0000DE600000}"/>
    <cellStyle name="Bad 58" xfId="24869" xr:uid="{00000000-0005-0000-0000-0000DF600000}"/>
    <cellStyle name="Bad 59" xfId="24870" xr:uid="{00000000-0005-0000-0000-0000E0600000}"/>
    <cellStyle name="Bad 6" xfId="24871" xr:uid="{00000000-0005-0000-0000-0000E1600000}"/>
    <cellStyle name="Bad 6 2" xfId="24872" xr:uid="{00000000-0005-0000-0000-0000E2600000}"/>
    <cellStyle name="Bad 60" xfId="24873" xr:uid="{00000000-0005-0000-0000-0000E3600000}"/>
    <cellStyle name="Bad 61" xfId="24874" xr:uid="{00000000-0005-0000-0000-0000E4600000}"/>
    <cellStyle name="Bad 62" xfId="24875" xr:uid="{00000000-0005-0000-0000-0000E5600000}"/>
    <cellStyle name="Bad 63" xfId="24876" xr:uid="{00000000-0005-0000-0000-0000E6600000}"/>
    <cellStyle name="Bad 64" xfId="24877" xr:uid="{00000000-0005-0000-0000-0000E7600000}"/>
    <cellStyle name="Bad 65" xfId="24878" xr:uid="{00000000-0005-0000-0000-0000E8600000}"/>
    <cellStyle name="Bad 66" xfId="24879" xr:uid="{00000000-0005-0000-0000-0000E9600000}"/>
    <cellStyle name="Bad 67" xfId="24880" xr:uid="{00000000-0005-0000-0000-0000EA600000}"/>
    <cellStyle name="Bad 68" xfId="24881" xr:uid="{00000000-0005-0000-0000-0000EB600000}"/>
    <cellStyle name="Bad 69" xfId="24882" xr:uid="{00000000-0005-0000-0000-0000EC600000}"/>
    <cellStyle name="Bad 7" xfId="24883" xr:uid="{00000000-0005-0000-0000-0000ED600000}"/>
    <cellStyle name="Bad 7 2" xfId="24884" xr:uid="{00000000-0005-0000-0000-0000EE600000}"/>
    <cellStyle name="Bad 70" xfId="24885" xr:uid="{00000000-0005-0000-0000-0000EF600000}"/>
    <cellStyle name="Bad 71" xfId="24886" xr:uid="{00000000-0005-0000-0000-0000F0600000}"/>
    <cellStyle name="Bad 72" xfId="24887" xr:uid="{00000000-0005-0000-0000-0000F1600000}"/>
    <cellStyle name="Bad 73" xfId="24888" xr:uid="{00000000-0005-0000-0000-0000F2600000}"/>
    <cellStyle name="Bad 74" xfId="24889" xr:uid="{00000000-0005-0000-0000-0000F3600000}"/>
    <cellStyle name="Bad 75" xfId="24890" xr:uid="{00000000-0005-0000-0000-0000F4600000}"/>
    <cellStyle name="Bad 76" xfId="24891" xr:uid="{00000000-0005-0000-0000-0000F5600000}"/>
    <cellStyle name="Bad 77" xfId="24892" xr:uid="{00000000-0005-0000-0000-0000F6600000}"/>
    <cellStyle name="Bad 78" xfId="24893" xr:uid="{00000000-0005-0000-0000-0000F7600000}"/>
    <cellStyle name="Bad 79" xfId="24894" xr:uid="{00000000-0005-0000-0000-0000F8600000}"/>
    <cellStyle name="Bad 79 2" xfId="24895" xr:uid="{00000000-0005-0000-0000-0000F9600000}"/>
    <cellStyle name="Bad 8" xfId="24896" xr:uid="{00000000-0005-0000-0000-0000FA600000}"/>
    <cellStyle name="Bad 8 2" xfId="24897" xr:uid="{00000000-0005-0000-0000-0000FB600000}"/>
    <cellStyle name="Bad 80" xfId="24898" xr:uid="{00000000-0005-0000-0000-0000FC600000}"/>
    <cellStyle name="Bad 80 2" xfId="24899" xr:uid="{00000000-0005-0000-0000-0000FD600000}"/>
    <cellStyle name="Bad 81" xfId="24900" xr:uid="{00000000-0005-0000-0000-0000FE600000}"/>
    <cellStyle name="Bad 81 2" xfId="24901" xr:uid="{00000000-0005-0000-0000-0000FF600000}"/>
    <cellStyle name="Bad 82" xfId="24902" xr:uid="{00000000-0005-0000-0000-000000610000}"/>
    <cellStyle name="Bad 82 2" xfId="24903" xr:uid="{00000000-0005-0000-0000-000001610000}"/>
    <cellStyle name="Bad 83" xfId="24904" xr:uid="{00000000-0005-0000-0000-000002610000}"/>
    <cellStyle name="Bad 83 2" xfId="24905" xr:uid="{00000000-0005-0000-0000-000003610000}"/>
    <cellStyle name="Bad 84" xfId="24906" xr:uid="{00000000-0005-0000-0000-000004610000}"/>
    <cellStyle name="Bad 84 2" xfId="24907" xr:uid="{00000000-0005-0000-0000-000005610000}"/>
    <cellStyle name="Bad 85" xfId="24908" xr:uid="{00000000-0005-0000-0000-000006610000}"/>
    <cellStyle name="Bad 85 2" xfId="24909" xr:uid="{00000000-0005-0000-0000-000007610000}"/>
    <cellStyle name="Bad 86" xfId="24910" xr:uid="{00000000-0005-0000-0000-000008610000}"/>
    <cellStyle name="Bad 86 2" xfId="24911" xr:uid="{00000000-0005-0000-0000-000009610000}"/>
    <cellStyle name="Bad 87" xfId="24912" xr:uid="{00000000-0005-0000-0000-00000A610000}"/>
    <cellStyle name="Bad 87 2" xfId="24913" xr:uid="{00000000-0005-0000-0000-00000B610000}"/>
    <cellStyle name="Bad 88" xfId="24914" xr:uid="{00000000-0005-0000-0000-00000C610000}"/>
    <cellStyle name="Bad 88 2" xfId="24915" xr:uid="{00000000-0005-0000-0000-00000D610000}"/>
    <cellStyle name="Bad 89" xfId="24916" xr:uid="{00000000-0005-0000-0000-00000E610000}"/>
    <cellStyle name="Bad 89 2" xfId="24917" xr:uid="{00000000-0005-0000-0000-00000F610000}"/>
    <cellStyle name="Bad 9" xfId="24918" xr:uid="{00000000-0005-0000-0000-000010610000}"/>
    <cellStyle name="Bad 9 2" xfId="24919" xr:uid="{00000000-0005-0000-0000-000011610000}"/>
    <cellStyle name="Bad 90" xfId="24920" xr:uid="{00000000-0005-0000-0000-000012610000}"/>
    <cellStyle name="Bad 91" xfId="24921" xr:uid="{00000000-0005-0000-0000-000013610000}"/>
    <cellStyle name="Bad 92" xfId="24922" xr:uid="{00000000-0005-0000-0000-000014610000}"/>
    <cellStyle name="Bad 93" xfId="24923" xr:uid="{00000000-0005-0000-0000-000015610000}"/>
    <cellStyle name="Bad 94" xfId="24924" xr:uid="{00000000-0005-0000-0000-000016610000}"/>
    <cellStyle name="Bad 95" xfId="24925" xr:uid="{00000000-0005-0000-0000-000017610000}"/>
    <cellStyle name="Bad 96" xfId="24926" xr:uid="{00000000-0005-0000-0000-000018610000}"/>
    <cellStyle name="Bad 97" xfId="24927" xr:uid="{00000000-0005-0000-0000-000019610000}"/>
    <cellStyle name="Bad 98" xfId="24928" xr:uid="{00000000-0005-0000-0000-00001A610000}"/>
    <cellStyle name="Bad 99" xfId="24929" xr:uid="{00000000-0005-0000-0000-00001B610000}"/>
    <cellStyle name="Calc Input" xfId="43" xr:uid="{00000000-0005-0000-0000-00001C610000}"/>
    <cellStyle name="Calc Outputs" xfId="42" xr:uid="{00000000-0005-0000-0000-00001D610000}"/>
    <cellStyle name="Calcul" xfId="24930" xr:uid="{00000000-0005-0000-0000-00001E610000}"/>
    <cellStyle name="Calculation" xfId="11" builtinId="22" hidden="1" customBuiltin="1"/>
    <cellStyle name="Calculation" xfId="58" builtinId="22" hidden="1" customBuiltin="1"/>
    <cellStyle name="Calculation" xfId="80" builtinId="22" hidden="1" customBuiltin="1"/>
    <cellStyle name="Calculation 10" xfId="24931" xr:uid="{00000000-0005-0000-0000-000022610000}"/>
    <cellStyle name="Calculation 10 2" xfId="24932" xr:uid="{00000000-0005-0000-0000-000023610000}"/>
    <cellStyle name="Calculation 100" xfId="24933" xr:uid="{00000000-0005-0000-0000-000024610000}"/>
    <cellStyle name="Calculation 101" xfId="24934" xr:uid="{00000000-0005-0000-0000-000025610000}"/>
    <cellStyle name="Calculation 102" xfId="24935" xr:uid="{00000000-0005-0000-0000-000026610000}"/>
    <cellStyle name="Calculation 103" xfId="24936" xr:uid="{00000000-0005-0000-0000-000027610000}"/>
    <cellStyle name="Calculation 104" xfId="24937" xr:uid="{00000000-0005-0000-0000-000028610000}"/>
    <cellStyle name="Calculation 105" xfId="24938" xr:uid="{00000000-0005-0000-0000-000029610000}"/>
    <cellStyle name="Calculation 106" xfId="24939" xr:uid="{00000000-0005-0000-0000-00002A610000}"/>
    <cellStyle name="Calculation 107" xfId="24940" xr:uid="{00000000-0005-0000-0000-00002B610000}"/>
    <cellStyle name="Calculation 108" xfId="24941" xr:uid="{00000000-0005-0000-0000-00002C610000}"/>
    <cellStyle name="Calculation 109" xfId="24942" xr:uid="{00000000-0005-0000-0000-00002D610000}"/>
    <cellStyle name="Calculation 11" xfId="24943" xr:uid="{00000000-0005-0000-0000-00002E610000}"/>
    <cellStyle name="Calculation 11 2" xfId="24944" xr:uid="{00000000-0005-0000-0000-00002F610000}"/>
    <cellStyle name="Calculation 110" xfId="24945" xr:uid="{00000000-0005-0000-0000-000030610000}"/>
    <cellStyle name="Calculation 111" xfId="24946" xr:uid="{00000000-0005-0000-0000-000031610000}"/>
    <cellStyle name="Calculation 112" xfId="24947" xr:uid="{00000000-0005-0000-0000-000032610000}"/>
    <cellStyle name="Calculation 113" xfId="24948" xr:uid="{00000000-0005-0000-0000-000033610000}"/>
    <cellStyle name="Calculation 114" xfId="24949" xr:uid="{00000000-0005-0000-0000-000034610000}"/>
    <cellStyle name="Calculation 115" xfId="24950" xr:uid="{00000000-0005-0000-0000-000035610000}"/>
    <cellStyle name="Calculation 116" xfId="24951" xr:uid="{00000000-0005-0000-0000-000036610000}"/>
    <cellStyle name="Calculation 117" xfId="24952" xr:uid="{00000000-0005-0000-0000-000037610000}"/>
    <cellStyle name="Calculation 118" xfId="24953" xr:uid="{00000000-0005-0000-0000-000038610000}"/>
    <cellStyle name="Calculation 119" xfId="24954" xr:uid="{00000000-0005-0000-0000-000039610000}"/>
    <cellStyle name="Calculation 12" xfId="24955" xr:uid="{00000000-0005-0000-0000-00003A610000}"/>
    <cellStyle name="Calculation 12 2" xfId="24956" xr:uid="{00000000-0005-0000-0000-00003B610000}"/>
    <cellStyle name="Calculation 120" xfId="24957" xr:uid="{00000000-0005-0000-0000-00003C610000}"/>
    <cellStyle name="Calculation 121" xfId="24958" xr:uid="{00000000-0005-0000-0000-00003D610000}"/>
    <cellStyle name="Calculation 122" xfId="24959" xr:uid="{00000000-0005-0000-0000-00003E610000}"/>
    <cellStyle name="Calculation 123" xfId="24960" xr:uid="{00000000-0005-0000-0000-00003F610000}"/>
    <cellStyle name="Calculation 124" xfId="24961" xr:uid="{00000000-0005-0000-0000-000040610000}"/>
    <cellStyle name="Calculation 125" xfId="24962" xr:uid="{00000000-0005-0000-0000-000041610000}"/>
    <cellStyle name="Calculation 126" xfId="24963" xr:uid="{00000000-0005-0000-0000-000042610000}"/>
    <cellStyle name="Calculation 127" xfId="24964" xr:uid="{00000000-0005-0000-0000-000043610000}"/>
    <cellStyle name="Calculation 128" xfId="24965" xr:uid="{00000000-0005-0000-0000-000044610000}"/>
    <cellStyle name="Calculation 129" xfId="24966" xr:uid="{00000000-0005-0000-0000-000045610000}"/>
    <cellStyle name="Calculation 13" xfId="24967" xr:uid="{00000000-0005-0000-0000-000046610000}"/>
    <cellStyle name="Calculation 13 2" xfId="24968" xr:uid="{00000000-0005-0000-0000-000047610000}"/>
    <cellStyle name="Calculation 130" xfId="24969" xr:uid="{00000000-0005-0000-0000-000048610000}"/>
    <cellStyle name="Calculation 131" xfId="24970" xr:uid="{00000000-0005-0000-0000-000049610000}"/>
    <cellStyle name="Calculation 132" xfId="24971" xr:uid="{00000000-0005-0000-0000-00004A610000}"/>
    <cellStyle name="Calculation 133" xfId="24972" xr:uid="{00000000-0005-0000-0000-00004B610000}"/>
    <cellStyle name="Calculation 134" xfId="24973" xr:uid="{00000000-0005-0000-0000-00004C610000}"/>
    <cellStyle name="Calculation 135" xfId="24974" xr:uid="{00000000-0005-0000-0000-00004D610000}"/>
    <cellStyle name="Calculation 136" xfId="24975" xr:uid="{00000000-0005-0000-0000-00004E610000}"/>
    <cellStyle name="Calculation 137" xfId="24976" xr:uid="{00000000-0005-0000-0000-00004F610000}"/>
    <cellStyle name="Calculation 138" xfId="24977" xr:uid="{00000000-0005-0000-0000-000050610000}"/>
    <cellStyle name="Calculation 139" xfId="24978" xr:uid="{00000000-0005-0000-0000-000051610000}"/>
    <cellStyle name="Calculation 14" xfId="24979" xr:uid="{00000000-0005-0000-0000-000052610000}"/>
    <cellStyle name="Calculation 14 2" xfId="24980" xr:uid="{00000000-0005-0000-0000-000053610000}"/>
    <cellStyle name="Calculation 140" xfId="24981" xr:uid="{00000000-0005-0000-0000-000054610000}"/>
    <cellStyle name="Calculation 141" xfId="24982" xr:uid="{00000000-0005-0000-0000-000055610000}"/>
    <cellStyle name="Calculation 142" xfId="24983" xr:uid="{00000000-0005-0000-0000-000056610000}"/>
    <cellStyle name="Calculation 143" xfId="24984" xr:uid="{00000000-0005-0000-0000-000057610000}"/>
    <cellStyle name="Calculation 144" xfId="24985" xr:uid="{00000000-0005-0000-0000-000058610000}"/>
    <cellStyle name="Calculation 145" xfId="24986" xr:uid="{00000000-0005-0000-0000-000059610000}"/>
    <cellStyle name="Calculation 146" xfId="24987" xr:uid="{00000000-0005-0000-0000-00005A610000}"/>
    <cellStyle name="Calculation 147" xfId="24988" xr:uid="{00000000-0005-0000-0000-00005B610000}"/>
    <cellStyle name="Calculation 148" xfId="24989" xr:uid="{00000000-0005-0000-0000-00005C610000}"/>
    <cellStyle name="Calculation 149" xfId="24990" xr:uid="{00000000-0005-0000-0000-00005D610000}"/>
    <cellStyle name="Calculation 15" xfId="24991" xr:uid="{00000000-0005-0000-0000-00005E610000}"/>
    <cellStyle name="Calculation 15 2" xfId="24992" xr:uid="{00000000-0005-0000-0000-00005F610000}"/>
    <cellStyle name="Calculation 150" xfId="24993" xr:uid="{00000000-0005-0000-0000-000060610000}"/>
    <cellStyle name="Calculation 151" xfId="24994" xr:uid="{00000000-0005-0000-0000-000061610000}"/>
    <cellStyle name="Calculation 152" xfId="24995" xr:uid="{00000000-0005-0000-0000-000062610000}"/>
    <cellStyle name="Calculation 153" xfId="24996" xr:uid="{00000000-0005-0000-0000-000063610000}"/>
    <cellStyle name="Calculation 154" xfId="24997" xr:uid="{00000000-0005-0000-0000-000064610000}"/>
    <cellStyle name="Calculation 155" xfId="24998" xr:uid="{00000000-0005-0000-0000-000065610000}"/>
    <cellStyle name="Calculation 156" xfId="24999" xr:uid="{00000000-0005-0000-0000-000066610000}"/>
    <cellStyle name="Calculation 157" xfId="25000" xr:uid="{00000000-0005-0000-0000-000067610000}"/>
    <cellStyle name="Calculation 158" xfId="25001" xr:uid="{00000000-0005-0000-0000-000068610000}"/>
    <cellStyle name="Calculation 159" xfId="25002" xr:uid="{00000000-0005-0000-0000-000069610000}"/>
    <cellStyle name="Calculation 16" xfId="25003" xr:uid="{00000000-0005-0000-0000-00006A610000}"/>
    <cellStyle name="Calculation 160" xfId="25004" xr:uid="{00000000-0005-0000-0000-00006B610000}"/>
    <cellStyle name="Calculation 161" xfId="25005" xr:uid="{00000000-0005-0000-0000-00006C610000}"/>
    <cellStyle name="Calculation 162" xfId="25006" xr:uid="{00000000-0005-0000-0000-00006D610000}"/>
    <cellStyle name="Calculation 163" xfId="25007" xr:uid="{00000000-0005-0000-0000-00006E610000}"/>
    <cellStyle name="Calculation 164" xfId="25008" xr:uid="{00000000-0005-0000-0000-00006F610000}"/>
    <cellStyle name="Calculation 165" xfId="25009" xr:uid="{00000000-0005-0000-0000-000070610000}"/>
    <cellStyle name="Calculation 166" xfId="25010" xr:uid="{00000000-0005-0000-0000-000071610000}"/>
    <cellStyle name="Calculation 167" xfId="25011" xr:uid="{00000000-0005-0000-0000-000072610000}"/>
    <cellStyle name="Calculation 17" xfId="25012" xr:uid="{00000000-0005-0000-0000-000073610000}"/>
    <cellStyle name="Calculation 18" xfId="25013" xr:uid="{00000000-0005-0000-0000-000074610000}"/>
    <cellStyle name="Calculation 19" xfId="25014" xr:uid="{00000000-0005-0000-0000-000075610000}"/>
    <cellStyle name="Calculation 2" xfId="25015" xr:uid="{00000000-0005-0000-0000-000076610000}"/>
    <cellStyle name="Calculation 2 10" xfId="25016" xr:uid="{00000000-0005-0000-0000-000077610000}"/>
    <cellStyle name="Calculation 2 11" xfId="25017" xr:uid="{00000000-0005-0000-0000-000078610000}"/>
    <cellStyle name="Calculation 2 12" xfId="25018" xr:uid="{00000000-0005-0000-0000-000079610000}"/>
    <cellStyle name="Calculation 2 13" xfId="25019" xr:uid="{00000000-0005-0000-0000-00007A610000}"/>
    <cellStyle name="Calculation 2 14" xfId="25020" xr:uid="{00000000-0005-0000-0000-00007B610000}"/>
    <cellStyle name="Calculation 2 15" xfId="25021" xr:uid="{00000000-0005-0000-0000-00007C610000}"/>
    <cellStyle name="Calculation 2 16" xfId="25022" xr:uid="{00000000-0005-0000-0000-00007D610000}"/>
    <cellStyle name="Calculation 2 17" xfId="25023" xr:uid="{00000000-0005-0000-0000-00007E610000}"/>
    <cellStyle name="Calculation 2 18" xfId="25024" xr:uid="{00000000-0005-0000-0000-00007F610000}"/>
    <cellStyle name="Calculation 2 19" xfId="25025" xr:uid="{00000000-0005-0000-0000-000080610000}"/>
    <cellStyle name="Calculation 2 2" xfId="25026" xr:uid="{00000000-0005-0000-0000-000081610000}"/>
    <cellStyle name="Calculation 2 2 10" xfId="25027" xr:uid="{00000000-0005-0000-0000-000082610000}"/>
    <cellStyle name="Calculation 2 2 11" xfId="25028" xr:uid="{00000000-0005-0000-0000-000083610000}"/>
    <cellStyle name="Calculation 2 2 12" xfId="25029" xr:uid="{00000000-0005-0000-0000-000084610000}"/>
    <cellStyle name="Calculation 2 2 13" xfId="25030" xr:uid="{00000000-0005-0000-0000-000085610000}"/>
    <cellStyle name="Calculation 2 2 14" xfId="25031" xr:uid="{00000000-0005-0000-0000-000086610000}"/>
    <cellStyle name="Calculation 2 2 2" xfId="25032" xr:uid="{00000000-0005-0000-0000-000087610000}"/>
    <cellStyle name="Calculation 2 2 3" xfId="25033" xr:uid="{00000000-0005-0000-0000-000088610000}"/>
    <cellStyle name="Calculation 2 2 3 2" xfId="25034" xr:uid="{00000000-0005-0000-0000-000089610000}"/>
    <cellStyle name="Calculation 2 2 3 3" xfId="25035" xr:uid="{00000000-0005-0000-0000-00008A610000}"/>
    <cellStyle name="Calculation 2 2 3 4" xfId="25036" xr:uid="{00000000-0005-0000-0000-00008B610000}"/>
    <cellStyle name="Calculation 2 2 3 5" xfId="25037" xr:uid="{00000000-0005-0000-0000-00008C610000}"/>
    <cellStyle name="Calculation 2 2 4" xfId="25038" xr:uid="{00000000-0005-0000-0000-00008D610000}"/>
    <cellStyle name="Calculation 2 2 5" xfId="25039" xr:uid="{00000000-0005-0000-0000-00008E610000}"/>
    <cellStyle name="Calculation 2 2 6" xfId="25040" xr:uid="{00000000-0005-0000-0000-00008F610000}"/>
    <cellStyle name="Calculation 2 2 7" xfId="25041" xr:uid="{00000000-0005-0000-0000-000090610000}"/>
    <cellStyle name="Calculation 2 2 8" xfId="25042" xr:uid="{00000000-0005-0000-0000-000091610000}"/>
    <cellStyle name="Calculation 2 2 9" xfId="25043" xr:uid="{00000000-0005-0000-0000-000092610000}"/>
    <cellStyle name="Calculation 2 20" xfId="25044" xr:uid="{00000000-0005-0000-0000-000093610000}"/>
    <cellStyle name="Calculation 2 21" xfId="25045" xr:uid="{00000000-0005-0000-0000-000094610000}"/>
    <cellStyle name="Calculation 2 22" xfId="25046" xr:uid="{00000000-0005-0000-0000-000095610000}"/>
    <cellStyle name="Calculation 2 23" xfId="25047" xr:uid="{00000000-0005-0000-0000-000096610000}"/>
    <cellStyle name="Calculation 2 24" xfId="25048" xr:uid="{00000000-0005-0000-0000-000097610000}"/>
    <cellStyle name="Calculation 2 25" xfId="25049" xr:uid="{00000000-0005-0000-0000-000098610000}"/>
    <cellStyle name="Calculation 2 26" xfId="25050" xr:uid="{00000000-0005-0000-0000-000099610000}"/>
    <cellStyle name="Calculation 2 27" xfId="25051" xr:uid="{00000000-0005-0000-0000-00009A610000}"/>
    <cellStyle name="Calculation 2 28" xfId="25052" xr:uid="{00000000-0005-0000-0000-00009B610000}"/>
    <cellStyle name="Calculation 2 29" xfId="25053" xr:uid="{00000000-0005-0000-0000-00009C610000}"/>
    <cellStyle name="Calculation 2 3" xfId="25054" xr:uid="{00000000-0005-0000-0000-00009D610000}"/>
    <cellStyle name="Calculation 2 3 10" xfId="25055" xr:uid="{00000000-0005-0000-0000-00009E610000}"/>
    <cellStyle name="Calculation 2 3 11" xfId="25056" xr:uid="{00000000-0005-0000-0000-00009F610000}"/>
    <cellStyle name="Calculation 2 3 12" xfId="25057" xr:uid="{00000000-0005-0000-0000-0000A0610000}"/>
    <cellStyle name="Calculation 2 3 13" xfId="25058" xr:uid="{00000000-0005-0000-0000-0000A1610000}"/>
    <cellStyle name="Calculation 2 3 14" xfId="25059" xr:uid="{00000000-0005-0000-0000-0000A2610000}"/>
    <cellStyle name="Calculation 2 3 2" xfId="25060" xr:uid="{00000000-0005-0000-0000-0000A3610000}"/>
    <cellStyle name="Calculation 2 3 3" xfId="25061" xr:uid="{00000000-0005-0000-0000-0000A4610000}"/>
    <cellStyle name="Calculation 2 3 4" xfId="25062" xr:uid="{00000000-0005-0000-0000-0000A5610000}"/>
    <cellStyle name="Calculation 2 3 5" xfId="25063" xr:uid="{00000000-0005-0000-0000-0000A6610000}"/>
    <cellStyle name="Calculation 2 3 6" xfId="25064" xr:uid="{00000000-0005-0000-0000-0000A7610000}"/>
    <cellStyle name="Calculation 2 3 7" xfId="25065" xr:uid="{00000000-0005-0000-0000-0000A8610000}"/>
    <cellStyle name="Calculation 2 3 8" xfId="25066" xr:uid="{00000000-0005-0000-0000-0000A9610000}"/>
    <cellStyle name="Calculation 2 3 9" xfId="25067" xr:uid="{00000000-0005-0000-0000-0000AA610000}"/>
    <cellStyle name="Calculation 2 30" xfId="25068" xr:uid="{00000000-0005-0000-0000-0000AB610000}"/>
    <cellStyle name="Calculation 2 31" xfId="25069" xr:uid="{00000000-0005-0000-0000-0000AC610000}"/>
    <cellStyle name="Calculation 2 32" xfId="25070" xr:uid="{00000000-0005-0000-0000-0000AD610000}"/>
    <cellStyle name="Calculation 2 33" xfId="25071" xr:uid="{00000000-0005-0000-0000-0000AE610000}"/>
    <cellStyle name="Calculation 2 34" xfId="25072" xr:uid="{00000000-0005-0000-0000-0000AF610000}"/>
    <cellStyle name="Calculation 2 35" xfId="25073" xr:uid="{00000000-0005-0000-0000-0000B0610000}"/>
    <cellStyle name="Calculation 2 4" xfId="25074" xr:uid="{00000000-0005-0000-0000-0000B1610000}"/>
    <cellStyle name="Calculation 2 5" xfId="25075" xr:uid="{00000000-0005-0000-0000-0000B2610000}"/>
    <cellStyle name="Calculation 2 6" xfId="25076" xr:uid="{00000000-0005-0000-0000-0000B3610000}"/>
    <cellStyle name="Calculation 2 7" xfId="25077" xr:uid="{00000000-0005-0000-0000-0000B4610000}"/>
    <cellStyle name="Calculation 2 8" xfId="25078" xr:uid="{00000000-0005-0000-0000-0000B5610000}"/>
    <cellStyle name="Calculation 2 9" xfId="25079" xr:uid="{00000000-0005-0000-0000-0000B6610000}"/>
    <cellStyle name="Calculation 2_Belker-InternalTrade" xfId="25080" xr:uid="{00000000-0005-0000-0000-0000B7610000}"/>
    <cellStyle name="Calculation 20" xfId="25081" xr:uid="{00000000-0005-0000-0000-0000B8610000}"/>
    <cellStyle name="Calculation 20 10" xfId="25082" xr:uid="{00000000-0005-0000-0000-0000B9610000}"/>
    <cellStyle name="Calculation 20 11" xfId="25083" xr:uid="{00000000-0005-0000-0000-0000BA610000}"/>
    <cellStyle name="Calculation 20 12" xfId="25084" xr:uid="{00000000-0005-0000-0000-0000BB610000}"/>
    <cellStyle name="Calculation 20 13" xfId="25085" xr:uid="{00000000-0005-0000-0000-0000BC610000}"/>
    <cellStyle name="Calculation 20 14" xfId="25086" xr:uid="{00000000-0005-0000-0000-0000BD610000}"/>
    <cellStyle name="Calculation 20 15" xfId="25087" xr:uid="{00000000-0005-0000-0000-0000BE610000}"/>
    <cellStyle name="Calculation 20 16" xfId="25088" xr:uid="{00000000-0005-0000-0000-0000BF610000}"/>
    <cellStyle name="Calculation 20 2" xfId="25089" xr:uid="{00000000-0005-0000-0000-0000C0610000}"/>
    <cellStyle name="Calculation 20 3" xfId="25090" xr:uid="{00000000-0005-0000-0000-0000C1610000}"/>
    <cellStyle name="Calculation 20 4" xfId="25091" xr:uid="{00000000-0005-0000-0000-0000C2610000}"/>
    <cellStyle name="Calculation 20 5" xfId="25092" xr:uid="{00000000-0005-0000-0000-0000C3610000}"/>
    <cellStyle name="Calculation 20 6" xfId="25093" xr:uid="{00000000-0005-0000-0000-0000C4610000}"/>
    <cellStyle name="Calculation 20 7" xfId="25094" xr:uid="{00000000-0005-0000-0000-0000C5610000}"/>
    <cellStyle name="Calculation 20 8" xfId="25095" xr:uid="{00000000-0005-0000-0000-0000C6610000}"/>
    <cellStyle name="Calculation 20 9" xfId="25096" xr:uid="{00000000-0005-0000-0000-0000C7610000}"/>
    <cellStyle name="Calculation 21" xfId="25097" xr:uid="{00000000-0005-0000-0000-0000C8610000}"/>
    <cellStyle name="Calculation 21 2" xfId="25098" xr:uid="{00000000-0005-0000-0000-0000C9610000}"/>
    <cellStyle name="Calculation 21 3" xfId="25099" xr:uid="{00000000-0005-0000-0000-0000CA610000}"/>
    <cellStyle name="Calculation 22" xfId="25100" xr:uid="{00000000-0005-0000-0000-0000CB610000}"/>
    <cellStyle name="Calculation 23" xfId="25101" xr:uid="{00000000-0005-0000-0000-0000CC610000}"/>
    <cellStyle name="Calculation 24" xfId="25102" xr:uid="{00000000-0005-0000-0000-0000CD610000}"/>
    <cellStyle name="Calculation 25" xfId="25103" xr:uid="{00000000-0005-0000-0000-0000CE610000}"/>
    <cellStyle name="Calculation 26" xfId="25104" xr:uid="{00000000-0005-0000-0000-0000CF610000}"/>
    <cellStyle name="Calculation 27" xfId="25105" xr:uid="{00000000-0005-0000-0000-0000D0610000}"/>
    <cellStyle name="Calculation 28" xfId="25106" xr:uid="{00000000-0005-0000-0000-0000D1610000}"/>
    <cellStyle name="Calculation 29" xfId="25107" xr:uid="{00000000-0005-0000-0000-0000D2610000}"/>
    <cellStyle name="Calculation 3" xfId="25108" xr:uid="{00000000-0005-0000-0000-0000D3610000}"/>
    <cellStyle name="Calculation 3 10" xfId="25109" xr:uid="{00000000-0005-0000-0000-0000D4610000}"/>
    <cellStyle name="Calculation 3 10 10" xfId="25110" xr:uid="{00000000-0005-0000-0000-0000D5610000}"/>
    <cellStyle name="Calculation 3 10 11" xfId="25111" xr:uid="{00000000-0005-0000-0000-0000D6610000}"/>
    <cellStyle name="Calculation 3 10 12" xfId="25112" xr:uid="{00000000-0005-0000-0000-0000D7610000}"/>
    <cellStyle name="Calculation 3 10 13" xfId="25113" xr:uid="{00000000-0005-0000-0000-0000D8610000}"/>
    <cellStyle name="Calculation 3 10 14" xfId="25114" xr:uid="{00000000-0005-0000-0000-0000D9610000}"/>
    <cellStyle name="Calculation 3 10 15" xfId="25115" xr:uid="{00000000-0005-0000-0000-0000DA610000}"/>
    <cellStyle name="Calculation 3 10 2" xfId="25116" xr:uid="{00000000-0005-0000-0000-0000DB610000}"/>
    <cellStyle name="Calculation 3 10 3" xfId="25117" xr:uid="{00000000-0005-0000-0000-0000DC610000}"/>
    <cellStyle name="Calculation 3 10 4" xfId="25118" xr:uid="{00000000-0005-0000-0000-0000DD610000}"/>
    <cellStyle name="Calculation 3 10 5" xfId="25119" xr:uid="{00000000-0005-0000-0000-0000DE610000}"/>
    <cellStyle name="Calculation 3 10 6" xfId="25120" xr:uid="{00000000-0005-0000-0000-0000DF610000}"/>
    <cellStyle name="Calculation 3 10 7" xfId="25121" xr:uid="{00000000-0005-0000-0000-0000E0610000}"/>
    <cellStyle name="Calculation 3 10 8" xfId="25122" xr:uid="{00000000-0005-0000-0000-0000E1610000}"/>
    <cellStyle name="Calculation 3 10 9" xfId="25123" xr:uid="{00000000-0005-0000-0000-0000E2610000}"/>
    <cellStyle name="Calculation 3 11" xfId="25124" xr:uid="{00000000-0005-0000-0000-0000E3610000}"/>
    <cellStyle name="Calculation 3 11 10" xfId="25125" xr:uid="{00000000-0005-0000-0000-0000E4610000}"/>
    <cellStyle name="Calculation 3 11 11" xfId="25126" xr:uid="{00000000-0005-0000-0000-0000E5610000}"/>
    <cellStyle name="Calculation 3 11 12" xfId="25127" xr:uid="{00000000-0005-0000-0000-0000E6610000}"/>
    <cellStyle name="Calculation 3 11 13" xfId="25128" xr:uid="{00000000-0005-0000-0000-0000E7610000}"/>
    <cellStyle name="Calculation 3 11 14" xfId="25129" xr:uid="{00000000-0005-0000-0000-0000E8610000}"/>
    <cellStyle name="Calculation 3 11 15" xfId="25130" xr:uid="{00000000-0005-0000-0000-0000E9610000}"/>
    <cellStyle name="Calculation 3 11 2" xfId="25131" xr:uid="{00000000-0005-0000-0000-0000EA610000}"/>
    <cellStyle name="Calculation 3 11 3" xfId="25132" xr:uid="{00000000-0005-0000-0000-0000EB610000}"/>
    <cellStyle name="Calculation 3 11 4" xfId="25133" xr:uid="{00000000-0005-0000-0000-0000EC610000}"/>
    <cellStyle name="Calculation 3 11 5" xfId="25134" xr:uid="{00000000-0005-0000-0000-0000ED610000}"/>
    <cellStyle name="Calculation 3 11 6" xfId="25135" xr:uid="{00000000-0005-0000-0000-0000EE610000}"/>
    <cellStyle name="Calculation 3 11 7" xfId="25136" xr:uid="{00000000-0005-0000-0000-0000EF610000}"/>
    <cellStyle name="Calculation 3 11 8" xfId="25137" xr:uid="{00000000-0005-0000-0000-0000F0610000}"/>
    <cellStyle name="Calculation 3 11 9" xfId="25138" xr:uid="{00000000-0005-0000-0000-0000F1610000}"/>
    <cellStyle name="Calculation 3 12" xfId="25139" xr:uid="{00000000-0005-0000-0000-0000F2610000}"/>
    <cellStyle name="Calculation 3 12 10" xfId="25140" xr:uid="{00000000-0005-0000-0000-0000F3610000}"/>
    <cellStyle name="Calculation 3 12 11" xfId="25141" xr:uid="{00000000-0005-0000-0000-0000F4610000}"/>
    <cellStyle name="Calculation 3 12 12" xfId="25142" xr:uid="{00000000-0005-0000-0000-0000F5610000}"/>
    <cellStyle name="Calculation 3 12 13" xfId="25143" xr:uid="{00000000-0005-0000-0000-0000F6610000}"/>
    <cellStyle name="Calculation 3 12 14" xfId="25144" xr:uid="{00000000-0005-0000-0000-0000F7610000}"/>
    <cellStyle name="Calculation 3 12 15" xfId="25145" xr:uid="{00000000-0005-0000-0000-0000F8610000}"/>
    <cellStyle name="Calculation 3 12 2" xfId="25146" xr:uid="{00000000-0005-0000-0000-0000F9610000}"/>
    <cellStyle name="Calculation 3 12 3" xfId="25147" xr:uid="{00000000-0005-0000-0000-0000FA610000}"/>
    <cellStyle name="Calculation 3 12 4" xfId="25148" xr:uid="{00000000-0005-0000-0000-0000FB610000}"/>
    <cellStyle name="Calculation 3 12 5" xfId="25149" xr:uid="{00000000-0005-0000-0000-0000FC610000}"/>
    <cellStyle name="Calculation 3 12 6" xfId="25150" xr:uid="{00000000-0005-0000-0000-0000FD610000}"/>
    <cellStyle name="Calculation 3 12 7" xfId="25151" xr:uid="{00000000-0005-0000-0000-0000FE610000}"/>
    <cellStyle name="Calculation 3 12 8" xfId="25152" xr:uid="{00000000-0005-0000-0000-0000FF610000}"/>
    <cellStyle name="Calculation 3 12 9" xfId="25153" xr:uid="{00000000-0005-0000-0000-000000620000}"/>
    <cellStyle name="Calculation 3 13" xfId="25154" xr:uid="{00000000-0005-0000-0000-000001620000}"/>
    <cellStyle name="Calculation 3 13 10" xfId="25155" xr:uid="{00000000-0005-0000-0000-000002620000}"/>
    <cellStyle name="Calculation 3 13 11" xfId="25156" xr:uid="{00000000-0005-0000-0000-000003620000}"/>
    <cellStyle name="Calculation 3 13 12" xfId="25157" xr:uid="{00000000-0005-0000-0000-000004620000}"/>
    <cellStyle name="Calculation 3 13 13" xfId="25158" xr:uid="{00000000-0005-0000-0000-000005620000}"/>
    <cellStyle name="Calculation 3 13 14" xfId="25159" xr:uid="{00000000-0005-0000-0000-000006620000}"/>
    <cellStyle name="Calculation 3 13 15" xfId="25160" xr:uid="{00000000-0005-0000-0000-000007620000}"/>
    <cellStyle name="Calculation 3 13 2" xfId="25161" xr:uid="{00000000-0005-0000-0000-000008620000}"/>
    <cellStyle name="Calculation 3 13 3" xfId="25162" xr:uid="{00000000-0005-0000-0000-000009620000}"/>
    <cellStyle name="Calculation 3 13 4" xfId="25163" xr:uid="{00000000-0005-0000-0000-00000A620000}"/>
    <cellStyle name="Calculation 3 13 5" xfId="25164" xr:uid="{00000000-0005-0000-0000-00000B620000}"/>
    <cellStyle name="Calculation 3 13 6" xfId="25165" xr:uid="{00000000-0005-0000-0000-00000C620000}"/>
    <cellStyle name="Calculation 3 13 7" xfId="25166" xr:uid="{00000000-0005-0000-0000-00000D620000}"/>
    <cellStyle name="Calculation 3 13 8" xfId="25167" xr:uid="{00000000-0005-0000-0000-00000E620000}"/>
    <cellStyle name="Calculation 3 13 9" xfId="25168" xr:uid="{00000000-0005-0000-0000-00000F620000}"/>
    <cellStyle name="Calculation 3 14" xfId="25169" xr:uid="{00000000-0005-0000-0000-000010620000}"/>
    <cellStyle name="Calculation 3 14 10" xfId="25170" xr:uid="{00000000-0005-0000-0000-000011620000}"/>
    <cellStyle name="Calculation 3 14 11" xfId="25171" xr:uid="{00000000-0005-0000-0000-000012620000}"/>
    <cellStyle name="Calculation 3 14 12" xfId="25172" xr:uid="{00000000-0005-0000-0000-000013620000}"/>
    <cellStyle name="Calculation 3 14 13" xfId="25173" xr:uid="{00000000-0005-0000-0000-000014620000}"/>
    <cellStyle name="Calculation 3 14 14" xfId="25174" xr:uid="{00000000-0005-0000-0000-000015620000}"/>
    <cellStyle name="Calculation 3 14 15" xfId="25175" xr:uid="{00000000-0005-0000-0000-000016620000}"/>
    <cellStyle name="Calculation 3 14 2" xfId="25176" xr:uid="{00000000-0005-0000-0000-000017620000}"/>
    <cellStyle name="Calculation 3 14 3" xfId="25177" xr:uid="{00000000-0005-0000-0000-000018620000}"/>
    <cellStyle name="Calculation 3 14 4" xfId="25178" xr:uid="{00000000-0005-0000-0000-000019620000}"/>
    <cellStyle name="Calculation 3 14 5" xfId="25179" xr:uid="{00000000-0005-0000-0000-00001A620000}"/>
    <cellStyle name="Calculation 3 14 6" xfId="25180" xr:uid="{00000000-0005-0000-0000-00001B620000}"/>
    <cellStyle name="Calculation 3 14 7" xfId="25181" xr:uid="{00000000-0005-0000-0000-00001C620000}"/>
    <cellStyle name="Calculation 3 14 8" xfId="25182" xr:uid="{00000000-0005-0000-0000-00001D620000}"/>
    <cellStyle name="Calculation 3 14 9" xfId="25183" xr:uid="{00000000-0005-0000-0000-00001E620000}"/>
    <cellStyle name="Calculation 3 15" xfId="25184" xr:uid="{00000000-0005-0000-0000-00001F620000}"/>
    <cellStyle name="Calculation 3 15 10" xfId="25185" xr:uid="{00000000-0005-0000-0000-000020620000}"/>
    <cellStyle name="Calculation 3 15 11" xfId="25186" xr:uid="{00000000-0005-0000-0000-000021620000}"/>
    <cellStyle name="Calculation 3 15 12" xfId="25187" xr:uid="{00000000-0005-0000-0000-000022620000}"/>
    <cellStyle name="Calculation 3 15 13" xfId="25188" xr:uid="{00000000-0005-0000-0000-000023620000}"/>
    <cellStyle name="Calculation 3 15 14" xfId="25189" xr:uid="{00000000-0005-0000-0000-000024620000}"/>
    <cellStyle name="Calculation 3 15 15" xfId="25190" xr:uid="{00000000-0005-0000-0000-000025620000}"/>
    <cellStyle name="Calculation 3 15 2" xfId="25191" xr:uid="{00000000-0005-0000-0000-000026620000}"/>
    <cellStyle name="Calculation 3 15 3" xfId="25192" xr:uid="{00000000-0005-0000-0000-000027620000}"/>
    <cellStyle name="Calculation 3 15 4" xfId="25193" xr:uid="{00000000-0005-0000-0000-000028620000}"/>
    <cellStyle name="Calculation 3 15 5" xfId="25194" xr:uid="{00000000-0005-0000-0000-000029620000}"/>
    <cellStyle name="Calculation 3 15 6" xfId="25195" xr:uid="{00000000-0005-0000-0000-00002A620000}"/>
    <cellStyle name="Calculation 3 15 7" xfId="25196" xr:uid="{00000000-0005-0000-0000-00002B620000}"/>
    <cellStyle name="Calculation 3 15 8" xfId="25197" xr:uid="{00000000-0005-0000-0000-00002C620000}"/>
    <cellStyle name="Calculation 3 15 9" xfId="25198" xr:uid="{00000000-0005-0000-0000-00002D620000}"/>
    <cellStyle name="Calculation 3 16" xfId="25199" xr:uid="{00000000-0005-0000-0000-00002E620000}"/>
    <cellStyle name="Calculation 3 16 10" xfId="25200" xr:uid="{00000000-0005-0000-0000-00002F620000}"/>
    <cellStyle name="Calculation 3 16 11" xfId="25201" xr:uid="{00000000-0005-0000-0000-000030620000}"/>
    <cellStyle name="Calculation 3 16 12" xfId="25202" xr:uid="{00000000-0005-0000-0000-000031620000}"/>
    <cellStyle name="Calculation 3 16 13" xfId="25203" xr:uid="{00000000-0005-0000-0000-000032620000}"/>
    <cellStyle name="Calculation 3 16 14" xfId="25204" xr:uid="{00000000-0005-0000-0000-000033620000}"/>
    <cellStyle name="Calculation 3 16 15" xfId="25205" xr:uid="{00000000-0005-0000-0000-000034620000}"/>
    <cellStyle name="Calculation 3 16 2" xfId="25206" xr:uid="{00000000-0005-0000-0000-000035620000}"/>
    <cellStyle name="Calculation 3 16 3" xfId="25207" xr:uid="{00000000-0005-0000-0000-000036620000}"/>
    <cellStyle name="Calculation 3 16 4" xfId="25208" xr:uid="{00000000-0005-0000-0000-000037620000}"/>
    <cellStyle name="Calculation 3 16 5" xfId="25209" xr:uid="{00000000-0005-0000-0000-000038620000}"/>
    <cellStyle name="Calculation 3 16 6" xfId="25210" xr:uid="{00000000-0005-0000-0000-000039620000}"/>
    <cellStyle name="Calculation 3 16 7" xfId="25211" xr:uid="{00000000-0005-0000-0000-00003A620000}"/>
    <cellStyle name="Calculation 3 16 8" xfId="25212" xr:uid="{00000000-0005-0000-0000-00003B620000}"/>
    <cellStyle name="Calculation 3 16 9" xfId="25213" xr:uid="{00000000-0005-0000-0000-00003C620000}"/>
    <cellStyle name="Calculation 3 17" xfId="25214" xr:uid="{00000000-0005-0000-0000-00003D620000}"/>
    <cellStyle name="Calculation 3 17 10" xfId="25215" xr:uid="{00000000-0005-0000-0000-00003E620000}"/>
    <cellStyle name="Calculation 3 17 11" xfId="25216" xr:uid="{00000000-0005-0000-0000-00003F620000}"/>
    <cellStyle name="Calculation 3 17 12" xfId="25217" xr:uid="{00000000-0005-0000-0000-000040620000}"/>
    <cellStyle name="Calculation 3 17 13" xfId="25218" xr:uid="{00000000-0005-0000-0000-000041620000}"/>
    <cellStyle name="Calculation 3 17 14" xfId="25219" xr:uid="{00000000-0005-0000-0000-000042620000}"/>
    <cellStyle name="Calculation 3 17 15" xfId="25220" xr:uid="{00000000-0005-0000-0000-000043620000}"/>
    <cellStyle name="Calculation 3 17 2" xfId="25221" xr:uid="{00000000-0005-0000-0000-000044620000}"/>
    <cellStyle name="Calculation 3 17 3" xfId="25222" xr:uid="{00000000-0005-0000-0000-000045620000}"/>
    <cellStyle name="Calculation 3 17 4" xfId="25223" xr:uid="{00000000-0005-0000-0000-000046620000}"/>
    <cellStyle name="Calculation 3 17 5" xfId="25224" xr:uid="{00000000-0005-0000-0000-000047620000}"/>
    <cellStyle name="Calculation 3 17 6" xfId="25225" xr:uid="{00000000-0005-0000-0000-000048620000}"/>
    <cellStyle name="Calculation 3 17 7" xfId="25226" xr:uid="{00000000-0005-0000-0000-000049620000}"/>
    <cellStyle name="Calculation 3 17 8" xfId="25227" xr:uid="{00000000-0005-0000-0000-00004A620000}"/>
    <cellStyle name="Calculation 3 17 9" xfId="25228" xr:uid="{00000000-0005-0000-0000-00004B620000}"/>
    <cellStyle name="Calculation 3 18" xfId="25229" xr:uid="{00000000-0005-0000-0000-00004C620000}"/>
    <cellStyle name="Calculation 3 18 10" xfId="25230" xr:uid="{00000000-0005-0000-0000-00004D620000}"/>
    <cellStyle name="Calculation 3 18 11" xfId="25231" xr:uid="{00000000-0005-0000-0000-00004E620000}"/>
    <cellStyle name="Calculation 3 18 12" xfId="25232" xr:uid="{00000000-0005-0000-0000-00004F620000}"/>
    <cellStyle name="Calculation 3 18 13" xfId="25233" xr:uid="{00000000-0005-0000-0000-000050620000}"/>
    <cellStyle name="Calculation 3 18 14" xfId="25234" xr:uid="{00000000-0005-0000-0000-000051620000}"/>
    <cellStyle name="Calculation 3 18 15" xfId="25235" xr:uid="{00000000-0005-0000-0000-000052620000}"/>
    <cellStyle name="Calculation 3 18 2" xfId="25236" xr:uid="{00000000-0005-0000-0000-000053620000}"/>
    <cellStyle name="Calculation 3 18 3" xfId="25237" xr:uid="{00000000-0005-0000-0000-000054620000}"/>
    <cellStyle name="Calculation 3 18 4" xfId="25238" xr:uid="{00000000-0005-0000-0000-000055620000}"/>
    <cellStyle name="Calculation 3 18 5" xfId="25239" xr:uid="{00000000-0005-0000-0000-000056620000}"/>
    <cellStyle name="Calculation 3 18 6" xfId="25240" xr:uid="{00000000-0005-0000-0000-000057620000}"/>
    <cellStyle name="Calculation 3 18 7" xfId="25241" xr:uid="{00000000-0005-0000-0000-000058620000}"/>
    <cellStyle name="Calculation 3 18 8" xfId="25242" xr:uid="{00000000-0005-0000-0000-000059620000}"/>
    <cellStyle name="Calculation 3 18 9" xfId="25243" xr:uid="{00000000-0005-0000-0000-00005A620000}"/>
    <cellStyle name="Calculation 3 19" xfId="25244" xr:uid="{00000000-0005-0000-0000-00005B620000}"/>
    <cellStyle name="Calculation 3 19 10" xfId="25245" xr:uid="{00000000-0005-0000-0000-00005C620000}"/>
    <cellStyle name="Calculation 3 19 11" xfId="25246" xr:uid="{00000000-0005-0000-0000-00005D620000}"/>
    <cellStyle name="Calculation 3 19 12" xfId="25247" xr:uid="{00000000-0005-0000-0000-00005E620000}"/>
    <cellStyle name="Calculation 3 19 13" xfId="25248" xr:uid="{00000000-0005-0000-0000-00005F620000}"/>
    <cellStyle name="Calculation 3 19 14" xfId="25249" xr:uid="{00000000-0005-0000-0000-000060620000}"/>
    <cellStyle name="Calculation 3 19 15" xfId="25250" xr:uid="{00000000-0005-0000-0000-000061620000}"/>
    <cellStyle name="Calculation 3 19 2" xfId="25251" xr:uid="{00000000-0005-0000-0000-000062620000}"/>
    <cellStyle name="Calculation 3 19 3" xfId="25252" xr:uid="{00000000-0005-0000-0000-000063620000}"/>
    <cellStyle name="Calculation 3 19 4" xfId="25253" xr:uid="{00000000-0005-0000-0000-000064620000}"/>
    <cellStyle name="Calculation 3 19 5" xfId="25254" xr:uid="{00000000-0005-0000-0000-000065620000}"/>
    <cellStyle name="Calculation 3 19 6" xfId="25255" xr:uid="{00000000-0005-0000-0000-000066620000}"/>
    <cellStyle name="Calculation 3 19 7" xfId="25256" xr:uid="{00000000-0005-0000-0000-000067620000}"/>
    <cellStyle name="Calculation 3 19 8" xfId="25257" xr:uid="{00000000-0005-0000-0000-000068620000}"/>
    <cellStyle name="Calculation 3 19 9" xfId="25258" xr:uid="{00000000-0005-0000-0000-000069620000}"/>
    <cellStyle name="Calculation 3 2" xfId="25259" xr:uid="{00000000-0005-0000-0000-00006A620000}"/>
    <cellStyle name="Calculation 3 2 10" xfId="25260" xr:uid="{00000000-0005-0000-0000-00006B620000}"/>
    <cellStyle name="Calculation 3 2 11" xfId="25261" xr:uid="{00000000-0005-0000-0000-00006C620000}"/>
    <cellStyle name="Calculation 3 2 12" xfId="25262" xr:uid="{00000000-0005-0000-0000-00006D620000}"/>
    <cellStyle name="Calculation 3 2 13" xfId="25263" xr:uid="{00000000-0005-0000-0000-00006E620000}"/>
    <cellStyle name="Calculation 3 2 14" xfId="25264" xr:uid="{00000000-0005-0000-0000-00006F620000}"/>
    <cellStyle name="Calculation 3 2 15" xfId="25265" xr:uid="{00000000-0005-0000-0000-000070620000}"/>
    <cellStyle name="Calculation 3 2 16" xfId="25266" xr:uid="{00000000-0005-0000-0000-000071620000}"/>
    <cellStyle name="Calculation 3 2 17" xfId="25267" xr:uid="{00000000-0005-0000-0000-000072620000}"/>
    <cellStyle name="Calculation 3 2 18" xfId="25268" xr:uid="{00000000-0005-0000-0000-000073620000}"/>
    <cellStyle name="Calculation 3 2 19" xfId="25269" xr:uid="{00000000-0005-0000-0000-000074620000}"/>
    <cellStyle name="Calculation 3 2 2" xfId="25270" xr:uid="{00000000-0005-0000-0000-000075620000}"/>
    <cellStyle name="Calculation 3 2 20" xfId="25271" xr:uid="{00000000-0005-0000-0000-000076620000}"/>
    <cellStyle name="Calculation 3 2 21" xfId="25272" xr:uid="{00000000-0005-0000-0000-000077620000}"/>
    <cellStyle name="Calculation 3 2 22" xfId="25273" xr:uid="{00000000-0005-0000-0000-000078620000}"/>
    <cellStyle name="Calculation 3 2 23" xfId="25274" xr:uid="{00000000-0005-0000-0000-000079620000}"/>
    <cellStyle name="Calculation 3 2 24" xfId="25275" xr:uid="{00000000-0005-0000-0000-00007A620000}"/>
    <cellStyle name="Calculation 3 2 25" xfId="25276" xr:uid="{00000000-0005-0000-0000-00007B620000}"/>
    <cellStyle name="Calculation 3 2 26" xfId="25277" xr:uid="{00000000-0005-0000-0000-00007C620000}"/>
    <cellStyle name="Calculation 3 2 27" xfId="25278" xr:uid="{00000000-0005-0000-0000-00007D620000}"/>
    <cellStyle name="Calculation 3 2 28" xfId="25279" xr:uid="{00000000-0005-0000-0000-00007E620000}"/>
    <cellStyle name="Calculation 3 2 29" xfId="25280" xr:uid="{00000000-0005-0000-0000-00007F620000}"/>
    <cellStyle name="Calculation 3 2 3" xfId="25281" xr:uid="{00000000-0005-0000-0000-000080620000}"/>
    <cellStyle name="Calculation 3 2 30" xfId="25282" xr:uid="{00000000-0005-0000-0000-000081620000}"/>
    <cellStyle name="Calculation 3 2 31" xfId="25283" xr:uid="{00000000-0005-0000-0000-000082620000}"/>
    <cellStyle name="Calculation 3 2 32" xfId="25284" xr:uid="{00000000-0005-0000-0000-000083620000}"/>
    <cellStyle name="Calculation 3 2 33" xfId="25285" xr:uid="{00000000-0005-0000-0000-000084620000}"/>
    <cellStyle name="Calculation 3 2 34" xfId="25286" xr:uid="{00000000-0005-0000-0000-000085620000}"/>
    <cellStyle name="Calculation 3 2 35" xfId="25287" xr:uid="{00000000-0005-0000-0000-000086620000}"/>
    <cellStyle name="Calculation 3 2 36" xfId="25288" xr:uid="{00000000-0005-0000-0000-000087620000}"/>
    <cellStyle name="Calculation 3 2 37" xfId="25289" xr:uid="{00000000-0005-0000-0000-000088620000}"/>
    <cellStyle name="Calculation 3 2 38" xfId="25290" xr:uid="{00000000-0005-0000-0000-000089620000}"/>
    <cellStyle name="Calculation 3 2 39" xfId="25291" xr:uid="{00000000-0005-0000-0000-00008A620000}"/>
    <cellStyle name="Calculation 3 2 4" xfId="25292" xr:uid="{00000000-0005-0000-0000-00008B620000}"/>
    <cellStyle name="Calculation 3 2 40" xfId="25293" xr:uid="{00000000-0005-0000-0000-00008C620000}"/>
    <cellStyle name="Calculation 3 2 41" xfId="25294" xr:uid="{00000000-0005-0000-0000-00008D620000}"/>
    <cellStyle name="Calculation 3 2 42" xfId="25295" xr:uid="{00000000-0005-0000-0000-00008E620000}"/>
    <cellStyle name="Calculation 3 2 43" xfId="25296" xr:uid="{00000000-0005-0000-0000-00008F620000}"/>
    <cellStyle name="Calculation 3 2 44" xfId="25297" xr:uid="{00000000-0005-0000-0000-000090620000}"/>
    <cellStyle name="Calculation 3 2 45" xfId="25298" xr:uid="{00000000-0005-0000-0000-000091620000}"/>
    <cellStyle name="Calculation 3 2 46" xfId="25299" xr:uid="{00000000-0005-0000-0000-000092620000}"/>
    <cellStyle name="Calculation 3 2 47" xfId="25300" xr:uid="{00000000-0005-0000-0000-000093620000}"/>
    <cellStyle name="Calculation 3 2 48" xfId="25301" xr:uid="{00000000-0005-0000-0000-000094620000}"/>
    <cellStyle name="Calculation 3 2 49" xfId="25302" xr:uid="{00000000-0005-0000-0000-000095620000}"/>
    <cellStyle name="Calculation 3 2 5" xfId="25303" xr:uid="{00000000-0005-0000-0000-000096620000}"/>
    <cellStyle name="Calculation 3 2 50" xfId="25304" xr:uid="{00000000-0005-0000-0000-000097620000}"/>
    <cellStyle name="Calculation 3 2 51" xfId="25305" xr:uid="{00000000-0005-0000-0000-000098620000}"/>
    <cellStyle name="Calculation 3 2 52" xfId="25306" xr:uid="{00000000-0005-0000-0000-000099620000}"/>
    <cellStyle name="Calculation 3 2 53" xfId="25307" xr:uid="{00000000-0005-0000-0000-00009A620000}"/>
    <cellStyle name="Calculation 3 2 6" xfId="25308" xr:uid="{00000000-0005-0000-0000-00009B620000}"/>
    <cellStyle name="Calculation 3 2 7" xfId="25309" xr:uid="{00000000-0005-0000-0000-00009C620000}"/>
    <cellStyle name="Calculation 3 2 8" xfId="25310" xr:uid="{00000000-0005-0000-0000-00009D620000}"/>
    <cellStyle name="Calculation 3 2 9" xfId="25311" xr:uid="{00000000-0005-0000-0000-00009E620000}"/>
    <cellStyle name="Calculation 3 20" xfId="25312" xr:uid="{00000000-0005-0000-0000-00009F620000}"/>
    <cellStyle name="Calculation 3 20 10" xfId="25313" xr:uid="{00000000-0005-0000-0000-0000A0620000}"/>
    <cellStyle name="Calculation 3 20 11" xfId="25314" xr:uid="{00000000-0005-0000-0000-0000A1620000}"/>
    <cellStyle name="Calculation 3 20 12" xfId="25315" xr:uid="{00000000-0005-0000-0000-0000A2620000}"/>
    <cellStyle name="Calculation 3 20 13" xfId="25316" xr:uid="{00000000-0005-0000-0000-0000A3620000}"/>
    <cellStyle name="Calculation 3 20 14" xfId="25317" xr:uid="{00000000-0005-0000-0000-0000A4620000}"/>
    <cellStyle name="Calculation 3 20 15" xfId="25318" xr:uid="{00000000-0005-0000-0000-0000A5620000}"/>
    <cellStyle name="Calculation 3 20 2" xfId="25319" xr:uid="{00000000-0005-0000-0000-0000A6620000}"/>
    <cellStyle name="Calculation 3 20 3" xfId="25320" xr:uid="{00000000-0005-0000-0000-0000A7620000}"/>
    <cellStyle name="Calculation 3 20 4" xfId="25321" xr:uid="{00000000-0005-0000-0000-0000A8620000}"/>
    <cellStyle name="Calculation 3 20 5" xfId="25322" xr:uid="{00000000-0005-0000-0000-0000A9620000}"/>
    <cellStyle name="Calculation 3 20 6" xfId="25323" xr:uid="{00000000-0005-0000-0000-0000AA620000}"/>
    <cellStyle name="Calculation 3 20 7" xfId="25324" xr:uid="{00000000-0005-0000-0000-0000AB620000}"/>
    <cellStyle name="Calculation 3 20 8" xfId="25325" xr:uid="{00000000-0005-0000-0000-0000AC620000}"/>
    <cellStyle name="Calculation 3 20 9" xfId="25326" xr:uid="{00000000-0005-0000-0000-0000AD620000}"/>
    <cellStyle name="Calculation 3 21" xfId="25327" xr:uid="{00000000-0005-0000-0000-0000AE620000}"/>
    <cellStyle name="Calculation 3 21 10" xfId="25328" xr:uid="{00000000-0005-0000-0000-0000AF620000}"/>
    <cellStyle name="Calculation 3 21 11" xfId="25329" xr:uid="{00000000-0005-0000-0000-0000B0620000}"/>
    <cellStyle name="Calculation 3 21 12" xfId="25330" xr:uid="{00000000-0005-0000-0000-0000B1620000}"/>
    <cellStyle name="Calculation 3 21 13" xfId="25331" xr:uid="{00000000-0005-0000-0000-0000B2620000}"/>
    <cellStyle name="Calculation 3 21 14" xfId="25332" xr:uid="{00000000-0005-0000-0000-0000B3620000}"/>
    <cellStyle name="Calculation 3 21 15" xfId="25333" xr:uid="{00000000-0005-0000-0000-0000B4620000}"/>
    <cellStyle name="Calculation 3 21 2" xfId="25334" xr:uid="{00000000-0005-0000-0000-0000B5620000}"/>
    <cellStyle name="Calculation 3 21 3" xfId="25335" xr:uid="{00000000-0005-0000-0000-0000B6620000}"/>
    <cellStyle name="Calculation 3 21 4" xfId="25336" xr:uid="{00000000-0005-0000-0000-0000B7620000}"/>
    <cellStyle name="Calculation 3 21 5" xfId="25337" xr:uid="{00000000-0005-0000-0000-0000B8620000}"/>
    <cellStyle name="Calculation 3 21 6" xfId="25338" xr:uid="{00000000-0005-0000-0000-0000B9620000}"/>
    <cellStyle name="Calculation 3 21 7" xfId="25339" xr:uid="{00000000-0005-0000-0000-0000BA620000}"/>
    <cellStyle name="Calculation 3 21 8" xfId="25340" xr:uid="{00000000-0005-0000-0000-0000BB620000}"/>
    <cellStyle name="Calculation 3 21 9" xfId="25341" xr:uid="{00000000-0005-0000-0000-0000BC620000}"/>
    <cellStyle name="Calculation 3 22" xfId="25342" xr:uid="{00000000-0005-0000-0000-0000BD620000}"/>
    <cellStyle name="Calculation 3 22 10" xfId="25343" xr:uid="{00000000-0005-0000-0000-0000BE620000}"/>
    <cellStyle name="Calculation 3 22 11" xfId="25344" xr:uid="{00000000-0005-0000-0000-0000BF620000}"/>
    <cellStyle name="Calculation 3 22 12" xfId="25345" xr:uid="{00000000-0005-0000-0000-0000C0620000}"/>
    <cellStyle name="Calculation 3 22 13" xfId="25346" xr:uid="{00000000-0005-0000-0000-0000C1620000}"/>
    <cellStyle name="Calculation 3 22 14" xfId="25347" xr:uid="{00000000-0005-0000-0000-0000C2620000}"/>
    <cellStyle name="Calculation 3 22 15" xfId="25348" xr:uid="{00000000-0005-0000-0000-0000C3620000}"/>
    <cellStyle name="Calculation 3 22 2" xfId="25349" xr:uid="{00000000-0005-0000-0000-0000C4620000}"/>
    <cellStyle name="Calculation 3 22 3" xfId="25350" xr:uid="{00000000-0005-0000-0000-0000C5620000}"/>
    <cellStyle name="Calculation 3 22 4" xfId="25351" xr:uid="{00000000-0005-0000-0000-0000C6620000}"/>
    <cellStyle name="Calculation 3 22 5" xfId="25352" xr:uid="{00000000-0005-0000-0000-0000C7620000}"/>
    <cellStyle name="Calculation 3 22 6" xfId="25353" xr:uid="{00000000-0005-0000-0000-0000C8620000}"/>
    <cellStyle name="Calculation 3 22 7" xfId="25354" xr:uid="{00000000-0005-0000-0000-0000C9620000}"/>
    <cellStyle name="Calculation 3 22 8" xfId="25355" xr:uid="{00000000-0005-0000-0000-0000CA620000}"/>
    <cellStyle name="Calculation 3 22 9" xfId="25356" xr:uid="{00000000-0005-0000-0000-0000CB620000}"/>
    <cellStyle name="Calculation 3 23" xfId="25357" xr:uid="{00000000-0005-0000-0000-0000CC620000}"/>
    <cellStyle name="Calculation 3 23 10" xfId="25358" xr:uid="{00000000-0005-0000-0000-0000CD620000}"/>
    <cellStyle name="Calculation 3 23 11" xfId="25359" xr:uid="{00000000-0005-0000-0000-0000CE620000}"/>
    <cellStyle name="Calculation 3 23 12" xfId="25360" xr:uid="{00000000-0005-0000-0000-0000CF620000}"/>
    <cellStyle name="Calculation 3 23 13" xfId="25361" xr:uid="{00000000-0005-0000-0000-0000D0620000}"/>
    <cellStyle name="Calculation 3 23 14" xfId="25362" xr:uid="{00000000-0005-0000-0000-0000D1620000}"/>
    <cellStyle name="Calculation 3 23 15" xfId="25363" xr:uid="{00000000-0005-0000-0000-0000D2620000}"/>
    <cellStyle name="Calculation 3 23 2" xfId="25364" xr:uid="{00000000-0005-0000-0000-0000D3620000}"/>
    <cellStyle name="Calculation 3 23 3" xfId="25365" xr:uid="{00000000-0005-0000-0000-0000D4620000}"/>
    <cellStyle name="Calculation 3 23 4" xfId="25366" xr:uid="{00000000-0005-0000-0000-0000D5620000}"/>
    <cellStyle name="Calculation 3 23 5" xfId="25367" xr:uid="{00000000-0005-0000-0000-0000D6620000}"/>
    <cellStyle name="Calculation 3 23 6" xfId="25368" xr:uid="{00000000-0005-0000-0000-0000D7620000}"/>
    <cellStyle name="Calculation 3 23 7" xfId="25369" xr:uid="{00000000-0005-0000-0000-0000D8620000}"/>
    <cellStyle name="Calculation 3 23 8" xfId="25370" xr:uid="{00000000-0005-0000-0000-0000D9620000}"/>
    <cellStyle name="Calculation 3 23 9" xfId="25371" xr:uid="{00000000-0005-0000-0000-0000DA620000}"/>
    <cellStyle name="Calculation 3 24" xfId="25372" xr:uid="{00000000-0005-0000-0000-0000DB620000}"/>
    <cellStyle name="Calculation 3 24 10" xfId="25373" xr:uid="{00000000-0005-0000-0000-0000DC620000}"/>
    <cellStyle name="Calculation 3 24 11" xfId="25374" xr:uid="{00000000-0005-0000-0000-0000DD620000}"/>
    <cellStyle name="Calculation 3 24 12" xfId="25375" xr:uid="{00000000-0005-0000-0000-0000DE620000}"/>
    <cellStyle name="Calculation 3 24 13" xfId="25376" xr:uid="{00000000-0005-0000-0000-0000DF620000}"/>
    <cellStyle name="Calculation 3 24 14" xfId="25377" xr:uid="{00000000-0005-0000-0000-0000E0620000}"/>
    <cellStyle name="Calculation 3 24 15" xfId="25378" xr:uid="{00000000-0005-0000-0000-0000E1620000}"/>
    <cellStyle name="Calculation 3 24 2" xfId="25379" xr:uid="{00000000-0005-0000-0000-0000E2620000}"/>
    <cellStyle name="Calculation 3 24 3" xfId="25380" xr:uid="{00000000-0005-0000-0000-0000E3620000}"/>
    <cellStyle name="Calculation 3 24 4" xfId="25381" xr:uid="{00000000-0005-0000-0000-0000E4620000}"/>
    <cellStyle name="Calculation 3 24 5" xfId="25382" xr:uid="{00000000-0005-0000-0000-0000E5620000}"/>
    <cellStyle name="Calculation 3 24 6" xfId="25383" xr:uid="{00000000-0005-0000-0000-0000E6620000}"/>
    <cellStyle name="Calculation 3 24 7" xfId="25384" xr:uid="{00000000-0005-0000-0000-0000E7620000}"/>
    <cellStyle name="Calculation 3 24 8" xfId="25385" xr:uid="{00000000-0005-0000-0000-0000E8620000}"/>
    <cellStyle name="Calculation 3 24 9" xfId="25386" xr:uid="{00000000-0005-0000-0000-0000E9620000}"/>
    <cellStyle name="Calculation 3 25" xfId="25387" xr:uid="{00000000-0005-0000-0000-0000EA620000}"/>
    <cellStyle name="Calculation 3 25 10" xfId="25388" xr:uid="{00000000-0005-0000-0000-0000EB620000}"/>
    <cellStyle name="Calculation 3 25 11" xfId="25389" xr:uid="{00000000-0005-0000-0000-0000EC620000}"/>
    <cellStyle name="Calculation 3 25 12" xfId="25390" xr:uid="{00000000-0005-0000-0000-0000ED620000}"/>
    <cellStyle name="Calculation 3 25 13" xfId="25391" xr:uid="{00000000-0005-0000-0000-0000EE620000}"/>
    <cellStyle name="Calculation 3 25 14" xfId="25392" xr:uid="{00000000-0005-0000-0000-0000EF620000}"/>
    <cellStyle name="Calculation 3 25 15" xfId="25393" xr:uid="{00000000-0005-0000-0000-0000F0620000}"/>
    <cellStyle name="Calculation 3 25 2" xfId="25394" xr:uid="{00000000-0005-0000-0000-0000F1620000}"/>
    <cellStyle name="Calculation 3 25 3" xfId="25395" xr:uid="{00000000-0005-0000-0000-0000F2620000}"/>
    <cellStyle name="Calculation 3 25 4" xfId="25396" xr:uid="{00000000-0005-0000-0000-0000F3620000}"/>
    <cellStyle name="Calculation 3 25 5" xfId="25397" xr:uid="{00000000-0005-0000-0000-0000F4620000}"/>
    <cellStyle name="Calculation 3 25 6" xfId="25398" xr:uid="{00000000-0005-0000-0000-0000F5620000}"/>
    <cellStyle name="Calculation 3 25 7" xfId="25399" xr:uid="{00000000-0005-0000-0000-0000F6620000}"/>
    <cellStyle name="Calculation 3 25 8" xfId="25400" xr:uid="{00000000-0005-0000-0000-0000F7620000}"/>
    <cellStyle name="Calculation 3 25 9" xfId="25401" xr:uid="{00000000-0005-0000-0000-0000F8620000}"/>
    <cellStyle name="Calculation 3 26" xfId="25402" xr:uid="{00000000-0005-0000-0000-0000F9620000}"/>
    <cellStyle name="Calculation 3 26 10" xfId="25403" xr:uid="{00000000-0005-0000-0000-0000FA620000}"/>
    <cellStyle name="Calculation 3 26 11" xfId="25404" xr:uid="{00000000-0005-0000-0000-0000FB620000}"/>
    <cellStyle name="Calculation 3 26 12" xfId="25405" xr:uid="{00000000-0005-0000-0000-0000FC620000}"/>
    <cellStyle name="Calculation 3 26 13" xfId="25406" xr:uid="{00000000-0005-0000-0000-0000FD620000}"/>
    <cellStyle name="Calculation 3 26 14" xfId="25407" xr:uid="{00000000-0005-0000-0000-0000FE620000}"/>
    <cellStyle name="Calculation 3 26 15" xfId="25408" xr:uid="{00000000-0005-0000-0000-0000FF620000}"/>
    <cellStyle name="Calculation 3 26 2" xfId="25409" xr:uid="{00000000-0005-0000-0000-000000630000}"/>
    <cellStyle name="Calculation 3 26 3" xfId="25410" xr:uid="{00000000-0005-0000-0000-000001630000}"/>
    <cellStyle name="Calculation 3 26 4" xfId="25411" xr:uid="{00000000-0005-0000-0000-000002630000}"/>
    <cellStyle name="Calculation 3 26 5" xfId="25412" xr:uid="{00000000-0005-0000-0000-000003630000}"/>
    <cellStyle name="Calculation 3 26 6" xfId="25413" xr:uid="{00000000-0005-0000-0000-000004630000}"/>
    <cellStyle name="Calculation 3 26 7" xfId="25414" xr:uid="{00000000-0005-0000-0000-000005630000}"/>
    <cellStyle name="Calculation 3 26 8" xfId="25415" xr:uid="{00000000-0005-0000-0000-000006630000}"/>
    <cellStyle name="Calculation 3 26 9" xfId="25416" xr:uid="{00000000-0005-0000-0000-000007630000}"/>
    <cellStyle name="Calculation 3 27" xfId="25417" xr:uid="{00000000-0005-0000-0000-000008630000}"/>
    <cellStyle name="Calculation 3 27 10" xfId="25418" xr:uid="{00000000-0005-0000-0000-000009630000}"/>
    <cellStyle name="Calculation 3 27 11" xfId="25419" xr:uid="{00000000-0005-0000-0000-00000A630000}"/>
    <cellStyle name="Calculation 3 27 12" xfId="25420" xr:uid="{00000000-0005-0000-0000-00000B630000}"/>
    <cellStyle name="Calculation 3 27 13" xfId="25421" xr:uid="{00000000-0005-0000-0000-00000C630000}"/>
    <cellStyle name="Calculation 3 27 14" xfId="25422" xr:uid="{00000000-0005-0000-0000-00000D630000}"/>
    <cellStyle name="Calculation 3 27 15" xfId="25423" xr:uid="{00000000-0005-0000-0000-00000E630000}"/>
    <cellStyle name="Calculation 3 27 2" xfId="25424" xr:uid="{00000000-0005-0000-0000-00000F630000}"/>
    <cellStyle name="Calculation 3 27 3" xfId="25425" xr:uid="{00000000-0005-0000-0000-000010630000}"/>
    <cellStyle name="Calculation 3 27 4" xfId="25426" xr:uid="{00000000-0005-0000-0000-000011630000}"/>
    <cellStyle name="Calculation 3 27 5" xfId="25427" xr:uid="{00000000-0005-0000-0000-000012630000}"/>
    <cellStyle name="Calculation 3 27 6" xfId="25428" xr:uid="{00000000-0005-0000-0000-000013630000}"/>
    <cellStyle name="Calculation 3 27 7" xfId="25429" xr:uid="{00000000-0005-0000-0000-000014630000}"/>
    <cellStyle name="Calculation 3 27 8" xfId="25430" xr:uid="{00000000-0005-0000-0000-000015630000}"/>
    <cellStyle name="Calculation 3 27 9" xfId="25431" xr:uid="{00000000-0005-0000-0000-000016630000}"/>
    <cellStyle name="Calculation 3 28" xfId="25432" xr:uid="{00000000-0005-0000-0000-000017630000}"/>
    <cellStyle name="Calculation 3 28 10" xfId="25433" xr:uid="{00000000-0005-0000-0000-000018630000}"/>
    <cellStyle name="Calculation 3 28 11" xfId="25434" xr:uid="{00000000-0005-0000-0000-000019630000}"/>
    <cellStyle name="Calculation 3 28 12" xfId="25435" xr:uid="{00000000-0005-0000-0000-00001A630000}"/>
    <cellStyle name="Calculation 3 28 13" xfId="25436" xr:uid="{00000000-0005-0000-0000-00001B630000}"/>
    <cellStyle name="Calculation 3 28 14" xfId="25437" xr:uid="{00000000-0005-0000-0000-00001C630000}"/>
    <cellStyle name="Calculation 3 28 15" xfId="25438" xr:uid="{00000000-0005-0000-0000-00001D630000}"/>
    <cellStyle name="Calculation 3 28 2" xfId="25439" xr:uid="{00000000-0005-0000-0000-00001E630000}"/>
    <cellStyle name="Calculation 3 28 3" xfId="25440" xr:uid="{00000000-0005-0000-0000-00001F630000}"/>
    <cellStyle name="Calculation 3 28 4" xfId="25441" xr:uid="{00000000-0005-0000-0000-000020630000}"/>
    <cellStyle name="Calculation 3 28 5" xfId="25442" xr:uid="{00000000-0005-0000-0000-000021630000}"/>
    <cellStyle name="Calculation 3 28 6" xfId="25443" xr:uid="{00000000-0005-0000-0000-000022630000}"/>
    <cellStyle name="Calculation 3 28 7" xfId="25444" xr:uid="{00000000-0005-0000-0000-000023630000}"/>
    <cellStyle name="Calculation 3 28 8" xfId="25445" xr:uid="{00000000-0005-0000-0000-000024630000}"/>
    <cellStyle name="Calculation 3 28 9" xfId="25446" xr:uid="{00000000-0005-0000-0000-000025630000}"/>
    <cellStyle name="Calculation 3 29" xfId="25447" xr:uid="{00000000-0005-0000-0000-000026630000}"/>
    <cellStyle name="Calculation 3 29 10" xfId="25448" xr:uid="{00000000-0005-0000-0000-000027630000}"/>
    <cellStyle name="Calculation 3 29 11" xfId="25449" xr:uid="{00000000-0005-0000-0000-000028630000}"/>
    <cellStyle name="Calculation 3 29 12" xfId="25450" xr:uid="{00000000-0005-0000-0000-000029630000}"/>
    <cellStyle name="Calculation 3 29 13" xfId="25451" xr:uid="{00000000-0005-0000-0000-00002A630000}"/>
    <cellStyle name="Calculation 3 29 14" xfId="25452" xr:uid="{00000000-0005-0000-0000-00002B630000}"/>
    <cellStyle name="Calculation 3 29 15" xfId="25453" xr:uid="{00000000-0005-0000-0000-00002C630000}"/>
    <cellStyle name="Calculation 3 29 2" xfId="25454" xr:uid="{00000000-0005-0000-0000-00002D630000}"/>
    <cellStyle name="Calculation 3 29 3" xfId="25455" xr:uid="{00000000-0005-0000-0000-00002E630000}"/>
    <cellStyle name="Calculation 3 29 4" xfId="25456" xr:uid="{00000000-0005-0000-0000-00002F630000}"/>
    <cellStyle name="Calculation 3 29 5" xfId="25457" xr:uid="{00000000-0005-0000-0000-000030630000}"/>
    <cellStyle name="Calculation 3 29 6" xfId="25458" xr:uid="{00000000-0005-0000-0000-000031630000}"/>
    <cellStyle name="Calculation 3 29 7" xfId="25459" xr:uid="{00000000-0005-0000-0000-000032630000}"/>
    <cellStyle name="Calculation 3 29 8" xfId="25460" xr:uid="{00000000-0005-0000-0000-000033630000}"/>
    <cellStyle name="Calculation 3 29 9" xfId="25461" xr:uid="{00000000-0005-0000-0000-000034630000}"/>
    <cellStyle name="Calculation 3 3" xfId="25462" xr:uid="{00000000-0005-0000-0000-000035630000}"/>
    <cellStyle name="Calculation 3 3 10" xfId="25463" xr:uid="{00000000-0005-0000-0000-000036630000}"/>
    <cellStyle name="Calculation 3 3 11" xfId="25464" xr:uid="{00000000-0005-0000-0000-000037630000}"/>
    <cellStyle name="Calculation 3 3 12" xfId="25465" xr:uid="{00000000-0005-0000-0000-000038630000}"/>
    <cellStyle name="Calculation 3 3 13" xfId="25466" xr:uid="{00000000-0005-0000-0000-000039630000}"/>
    <cellStyle name="Calculation 3 3 14" xfId="25467" xr:uid="{00000000-0005-0000-0000-00003A630000}"/>
    <cellStyle name="Calculation 3 3 15" xfId="25468" xr:uid="{00000000-0005-0000-0000-00003B630000}"/>
    <cellStyle name="Calculation 3 3 16" xfId="25469" xr:uid="{00000000-0005-0000-0000-00003C630000}"/>
    <cellStyle name="Calculation 3 3 2" xfId="25470" xr:uid="{00000000-0005-0000-0000-00003D630000}"/>
    <cellStyle name="Calculation 3 3 3" xfId="25471" xr:uid="{00000000-0005-0000-0000-00003E630000}"/>
    <cellStyle name="Calculation 3 3 4" xfId="25472" xr:uid="{00000000-0005-0000-0000-00003F630000}"/>
    <cellStyle name="Calculation 3 3 5" xfId="25473" xr:uid="{00000000-0005-0000-0000-000040630000}"/>
    <cellStyle name="Calculation 3 3 6" xfId="25474" xr:uid="{00000000-0005-0000-0000-000041630000}"/>
    <cellStyle name="Calculation 3 3 7" xfId="25475" xr:uid="{00000000-0005-0000-0000-000042630000}"/>
    <cellStyle name="Calculation 3 3 8" xfId="25476" xr:uid="{00000000-0005-0000-0000-000043630000}"/>
    <cellStyle name="Calculation 3 3 9" xfId="25477" xr:uid="{00000000-0005-0000-0000-000044630000}"/>
    <cellStyle name="Calculation 3 30" xfId="25478" xr:uid="{00000000-0005-0000-0000-000045630000}"/>
    <cellStyle name="Calculation 3 30 10" xfId="25479" xr:uid="{00000000-0005-0000-0000-000046630000}"/>
    <cellStyle name="Calculation 3 30 11" xfId="25480" xr:uid="{00000000-0005-0000-0000-000047630000}"/>
    <cellStyle name="Calculation 3 30 12" xfId="25481" xr:uid="{00000000-0005-0000-0000-000048630000}"/>
    <cellStyle name="Calculation 3 30 13" xfId="25482" xr:uid="{00000000-0005-0000-0000-000049630000}"/>
    <cellStyle name="Calculation 3 30 14" xfId="25483" xr:uid="{00000000-0005-0000-0000-00004A630000}"/>
    <cellStyle name="Calculation 3 30 15" xfId="25484" xr:uid="{00000000-0005-0000-0000-00004B630000}"/>
    <cellStyle name="Calculation 3 30 2" xfId="25485" xr:uid="{00000000-0005-0000-0000-00004C630000}"/>
    <cellStyle name="Calculation 3 30 3" xfId="25486" xr:uid="{00000000-0005-0000-0000-00004D630000}"/>
    <cellStyle name="Calculation 3 30 4" xfId="25487" xr:uid="{00000000-0005-0000-0000-00004E630000}"/>
    <cellStyle name="Calculation 3 30 5" xfId="25488" xr:uid="{00000000-0005-0000-0000-00004F630000}"/>
    <cellStyle name="Calculation 3 30 6" xfId="25489" xr:uid="{00000000-0005-0000-0000-000050630000}"/>
    <cellStyle name="Calculation 3 30 7" xfId="25490" xr:uid="{00000000-0005-0000-0000-000051630000}"/>
    <cellStyle name="Calculation 3 30 8" xfId="25491" xr:uid="{00000000-0005-0000-0000-000052630000}"/>
    <cellStyle name="Calculation 3 30 9" xfId="25492" xr:uid="{00000000-0005-0000-0000-000053630000}"/>
    <cellStyle name="Calculation 3 31" xfId="25493" xr:uid="{00000000-0005-0000-0000-000054630000}"/>
    <cellStyle name="Calculation 3 31 10" xfId="25494" xr:uid="{00000000-0005-0000-0000-000055630000}"/>
    <cellStyle name="Calculation 3 31 11" xfId="25495" xr:uid="{00000000-0005-0000-0000-000056630000}"/>
    <cellStyle name="Calculation 3 31 12" xfId="25496" xr:uid="{00000000-0005-0000-0000-000057630000}"/>
    <cellStyle name="Calculation 3 31 13" xfId="25497" xr:uid="{00000000-0005-0000-0000-000058630000}"/>
    <cellStyle name="Calculation 3 31 14" xfId="25498" xr:uid="{00000000-0005-0000-0000-000059630000}"/>
    <cellStyle name="Calculation 3 31 15" xfId="25499" xr:uid="{00000000-0005-0000-0000-00005A630000}"/>
    <cellStyle name="Calculation 3 31 2" xfId="25500" xr:uid="{00000000-0005-0000-0000-00005B630000}"/>
    <cellStyle name="Calculation 3 31 3" xfId="25501" xr:uid="{00000000-0005-0000-0000-00005C630000}"/>
    <cellStyle name="Calculation 3 31 4" xfId="25502" xr:uid="{00000000-0005-0000-0000-00005D630000}"/>
    <cellStyle name="Calculation 3 31 5" xfId="25503" xr:uid="{00000000-0005-0000-0000-00005E630000}"/>
    <cellStyle name="Calculation 3 31 6" xfId="25504" xr:uid="{00000000-0005-0000-0000-00005F630000}"/>
    <cellStyle name="Calculation 3 31 7" xfId="25505" xr:uid="{00000000-0005-0000-0000-000060630000}"/>
    <cellStyle name="Calculation 3 31 8" xfId="25506" xr:uid="{00000000-0005-0000-0000-000061630000}"/>
    <cellStyle name="Calculation 3 31 9" xfId="25507" xr:uid="{00000000-0005-0000-0000-000062630000}"/>
    <cellStyle name="Calculation 3 32" xfId="25508" xr:uid="{00000000-0005-0000-0000-000063630000}"/>
    <cellStyle name="Calculation 3 32 10" xfId="25509" xr:uid="{00000000-0005-0000-0000-000064630000}"/>
    <cellStyle name="Calculation 3 32 11" xfId="25510" xr:uid="{00000000-0005-0000-0000-000065630000}"/>
    <cellStyle name="Calculation 3 32 12" xfId="25511" xr:uid="{00000000-0005-0000-0000-000066630000}"/>
    <cellStyle name="Calculation 3 32 13" xfId="25512" xr:uid="{00000000-0005-0000-0000-000067630000}"/>
    <cellStyle name="Calculation 3 32 14" xfId="25513" xr:uid="{00000000-0005-0000-0000-000068630000}"/>
    <cellStyle name="Calculation 3 32 15" xfId="25514" xr:uid="{00000000-0005-0000-0000-000069630000}"/>
    <cellStyle name="Calculation 3 32 2" xfId="25515" xr:uid="{00000000-0005-0000-0000-00006A630000}"/>
    <cellStyle name="Calculation 3 32 3" xfId="25516" xr:uid="{00000000-0005-0000-0000-00006B630000}"/>
    <cellStyle name="Calculation 3 32 4" xfId="25517" xr:uid="{00000000-0005-0000-0000-00006C630000}"/>
    <cellStyle name="Calculation 3 32 5" xfId="25518" xr:uid="{00000000-0005-0000-0000-00006D630000}"/>
    <cellStyle name="Calculation 3 32 6" xfId="25519" xr:uid="{00000000-0005-0000-0000-00006E630000}"/>
    <cellStyle name="Calculation 3 32 7" xfId="25520" xr:uid="{00000000-0005-0000-0000-00006F630000}"/>
    <cellStyle name="Calculation 3 32 8" xfId="25521" xr:uid="{00000000-0005-0000-0000-000070630000}"/>
    <cellStyle name="Calculation 3 32 9" xfId="25522" xr:uid="{00000000-0005-0000-0000-000071630000}"/>
    <cellStyle name="Calculation 3 33" xfId="25523" xr:uid="{00000000-0005-0000-0000-000072630000}"/>
    <cellStyle name="Calculation 3 34" xfId="25524" xr:uid="{00000000-0005-0000-0000-000073630000}"/>
    <cellStyle name="Calculation 3 35" xfId="25525" xr:uid="{00000000-0005-0000-0000-000074630000}"/>
    <cellStyle name="Calculation 3 36" xfId="25526" xr:uid="{00000000-0005-0000-0000-000075630000}"/>
    <cellStyle name="Calculation 3 37" xfId="25527" xr:uid="{00000000-0005-0000-0000-000076630000}"/>
    <cellStyle name="Calculation 3 38" xfId="25528" xr:uid="{00000000-0005-0000-0000-000077630000}"/>
    <cellStyle name="Calculation 3 39" xfId="25529" xr:uid="{00000000-0005-0000-0000-000078630000}"/>
    <cellStyle name="Calculation 3 4" xfId="25530" xr:uid="{00000000-0005-0000-0000-000079630000}"/>
    <cellStyle name="Calculation 3 4 10" xfId="25531" xr:uid="{00000000-0005-0000-0000-00007A630000}"/>
    <cellStyle name="Calculation 3 4 11" xfId="25532" xr:uid="{00000000-0005-0000-0000-00007B630000}"/>
    <cellStyle name="Calculation 3 4 12" xfId="25533" xr:uid="{00000000-0005-0000-0000-00007C630000}"/>
    <cellStyle name="Calculation 3 4 13" xfId="25534" xr:uid="{00000000-0005-0000-0000-00007D630000}"/>
    <cellStyle name="Calculation 3 4 14" xfId="25535" xr:uid="{00000000-0005-0000-0000-00007E630000}"/>
    <cellStyle name="Calculation 3 4 15" xfId="25536" xr:uid="{00000000-0005-0000-0000-00007F630000}"/>
    <cellStyle name="Calculation 3 4 2" xfId="25537" xr:uid="{00000000-0005-0000-0000-000080630000}"/>
    <cellStyle name="Calculation 3 4 3" xfId="25538" xr:uid="{00000000-0005-0000-0000-000081630000}"/>
    <cellStyle name="Calculation 3 4 4" xfId="25539" xr:uid="{00000000-0005-0000-0000-000082630000}"/>
    <cellStyle name="Calculation 3 4 5" xfId="25540" xr:uid="{00000000-0005-0000-0000-000083630000}"/>
    <cellStyle name="Calculation 3 4 6" xfId="25541" xr:uid="{00000000-0005-0000-0000-000084630000}"/>
    <cellStyle name="Calculation 3 4 7" xfId="25542" xr:uid="{00000000-0005-0000-0000-000085630000}"/>
    <cellStyle name="Calculation 3 4 8" xfId="25543" xr:uid="{00000000-0005-0000-0000-000086630000}"/>
    <cellStyle name="Calculation 3 4 9" xfId="25544" xr:uid="{00000000-0005-0000-0000-000087630000}"/>
    <cellStyle name="Calculation 3 40" xfId="25545" xr:uid="{00000000-0005-0000-0000-000088630000}"/>
    <cellStyle name="Calculation 3 41" xfId="25546" xr:uid="{00000000-0005-0000-0000-000089630000}"/>
    <cellStyle name="Calculation 3 42" xfId="25547" xr:uid="{00000000-0005-0000-0000-00008A630000}"/>
    <cellStyle name="Calculation 3 43" xfId="25548" xr:uid="{00000000-0005-0000-0000-00008B630000}"/>
    <cellStyle name="Calculation 3 44" xfId="25549" xr:uid="{00000000-0005-0000-0000-00008C630000}"/>
    <cellStyle name="Calculation 3 45" xfId="25550" xr:uid="{00000000-0005-0000-0000-00008D630000}"/>
    <cellStyle name="Calculation 3 46" xfId="25551" xr:uid="{00000000-0005-0000-0000-00008E630000}"/>
    <cellStyle name="Calculation 3 47" xfId="25552" xr:uid="{00000000-0005-0000-0000-00008F630000}"/>
    <cellStyle name="Calculation 3 48" xfId="25553" xr:uid="{00000000-0005-0000-0000-000090630000}"/>
    <cellStyle name="Calculation 3 49" xfId="25554" xr:uid="{00000000-0005-0000-0000-000091630000}"/>
    <cellStyle name="Calculation 3 5" xfId="25555" xr:uid="{00000000-0005-0000-0000-000092630000}"/>
    <cellStyle name="Calculation 3 5 10" xfId="25556" xr:uid="{00000000-0005-0000-0000-000093630000}"/>
    <cellStyle name="Calculation 3 5 11" xfId="25557" xr:uid="{00000000-0005-0000-0000-000094630000}"/>
    <cellStyle name="Calculation 3 5 12" xfId="25558" xr:uid="{00000000-0005-0000-0000-000095630000}"/>
    <cellStyle name="Calculation 3 5 13" xfId="25559" xr:uid="{00000000-0005-0000-0000-000096630000}"/>
    <cellStyle name="Calculation 3 5 14" xfId="25560" xr:uid="{00000000-0005-0000-0000-000097630000}"/>
    <cellStyle name="Calculation 3 5 15" xfId="25561" xr:uid="{00000000-0005-0000-0000-000098630000}"/>
    <cellStyle name="Calculation 3 5 2" xfId="25562" xr:uid="{00000000-0005-0000-0000-000099630000}"/>
    <cellStyle name="Calculation 3 5 3" xfId="25563" xr:uid="{00000000-0005-0000-0000-00009A630000}"/>
    <cellStyle name="Calculation 3 5 4" xfId="25564" xr:uid="{00000000-0005-0000-0000-00009B630000}"/>
    <cellStyle name="Calculation 3 5 5" xfId="25565" xr:uid="{00000000-0005-0000-0000-00009C630000}"/>
    <cellStyle name="Calculation 3 5 6" xfId="25566" xr:uid="{00000000-0005-0000-0000-00009D630000}"/>
    <cellStyle name="Calculation 3 5 7" xfId="25567" xr:uid="{00000000-0005-0000-0000-00009E630000}"/>
    <cellStyle name="Calculation 3 5 8" xfId="25568" xr:uid="{00000000-0005-0000-0000-00009F630000}"/>
    <cellStyle name="Calculation 3 5 9" xfId="25569" xr:uid="{00000000-0005-0000-0000-0000A0630000}"/>
    <cellStyle name="Calculation 3 50" xfId="25570" xr:uid="{00000000-0005-0000-0000-0000A1630000}"/>
    <cellStyle name="Calculation 3 51" xfId="25571" xr:uid="{00000000-0005-0000-0000-0000A2630000}"/>
    <cellStyle name="Calculation 3 52" xfId="25572" xr:uid="{00000000-0005-0000-0000-0000A3630000}"/>
    <cellStyle name="Calculation 3 53" xfId="25573" xr:uid="{00000000-0005-0000-0000-0000A4630000}"/>
    <cellStyle name="Calculation 3 6" xfId="25574" xr:uid="{00000000-0005-0000-0000-0000A5630000}"/>
    <cellStyle name="Calculation 3 6 10" xfId="25575" xr:uid="{00000000-0005-0000-0000-0000A6630000}"/>
    <cellStyle name="Calculation 3 6 11" xfId="25576" xr:uid="{00000000-0005-0000-0000-0000A7630000}"/>
    <cellStyle name="Calculation 3 6 12" xfId="25577" xr:uid="{00000000-0005-0000-0000-0000A8630000}"/>
    <cellStyle name="Calculation 3 6 13" xfId="25578" xr:uid="{00000000-0005-0000-0000-0000A9630000}"/>
    <cellStyle name="Calculation 3 6 14" xfId="25579" xr:uid="{00000000-0005-0000-0000-0000AA630000}"/>
    <cellStyle name="Calculation 3 6 15" xfId="25580" xr:uid="{00000000-0005-0000-0000-0000AB630000}"/>
    <cellStyle name="Calculation 3 6 2" xfId="25581" xr:uid="{00000000-0005-0000-0000-0000AC630000}"/>
    <cellStyle name="Calculation 3 6 3" xfId="25582" xr:uid="{00000000-0005-0000-0000-0000AD630000}"/>
    <cellStyle name="Calculation 3 6 4" xfId="25583" xr:uid="{00000000-0005-0000-0000-0000AE630000}"/>
    <cellStyle name="Calculation 3 6 5" xfId="25584" xr:uid="{00000000-0005-0000-0000-0000AF630000}"/>
    <cellStyle name="Calculation 3 6 6" xfId="25585" xr:uid="{00000000-0005-0000-0000-0000B0630000}"/>
    <cellStyle name="Calculation 3 6 7" xfId="25586" xr:uid="{00000000-0005-0000-0000-0000B1630000}"/>
    <cellStyle name="Calculation 3 6 8" xfId="25587" xr:uid="{00000000-0005-0000-0000-0000B2630000}"/>
    <cellStyle name="Calculation 3 6 9" xfId="25588" xr:uid="{00000000-0005-0000-0000-0000B3630000}"/>
    <cellStyle name="Calculation 3 7" xfId="25589" xr:uid="{00000000-0005-0000-0000-0000B4630000}"/>
    <cellStyle name="Calculation 3 7 10" xfId="25590" xr:uid="{00000000-0005-0000-0000-0000B5630000}"/>
    <cellStyle name="Calculation 3 7 11" xfId="25591" xr:uid="{00000000-0005-0000-0000-0000B6630000}"/>
    <cellStyle name="Calculation 3 7 12" xfId="25592" xr:uid="{00000000-0005-0000-0000-0000B7630000}"/>
    <cellStyle name="Calculation 3 7 13" xfId="25593" xr:uid="{00000000-0005-0000-0000-0000B8630000}"/>
    <cellStyle name="Calculation 3 7 14" xfId="25594" xr:uid="{00000000-0005-0000-0000-0000B9630000}"/>
    <cellStyle name="Calculation 3 7 15" xfId="25595" xr:uid="{00000000-0005-0000-0000-0000BA630000}"/>
    <cellStyle name="Calculation 3 7 2" xfId="25596" xr:uid="{00000000-0005-0000-0000-0000BB630000}"/>
    <cellStyle name="Calculation 3 7 3" xfId="25597" xr:uid="{00000000-0005-0000-0000-0000BC630000}"/>
    <cellStyle name="Calculation 3 7 4" xfId="25598" xr:uid="{00000000-0005-0000-0000-0000BD630000}"/>
    <cellStyle name="Calculation 3 7 5" xfId="25599" xr:uid="{00000000-0005-0000-0000-0000BE630000}"/>
    <cellStyle name="Calculation 3 7 6" xfId="25600" xr:uid="{00000000-0005-0000-0000-0000BF630000}"/>
    <cellStyle name="Calculation 3 7 7" xfId="25601" xr:uid="{00000000-0005-0000-0000-0000C0630000}"/>
    <cellStyle name="Calculation 3 7 8" xfId="25602" xr:uid="{00000000-0005-0000-0000-0000C1630000}"/>
    <cellStyle name="Calculation 3 7 9" xfId="25603" xr:uid="{00000000-0005-0000-0000-0000C2630000}"/>
    <cellStyle name="Calculation 3 8" xfId="25604" xr:uid="{00000000-0005-0000-0000-0000C3630000}"/>
    <cellStyle name="Calculation 3 8 10" xfId="25605" xr:uid="{00000000-0005-0000-0000-0000C4630000}"/>
    <cellStyle name="Calculation 3 8 11" xfId="25606" xr:uid="{00000000-0005-0000-0000-0000C5630000}"/>
    <cellStyle name="Calculation 3 8 12" xfId="25607" xr:uid="{00000000-0005-0000-0000-0000C6630000}"/>
    <cellStyle name="Calculation 3 8 13" xfId="25608" xr:uid="{00000000-0005-0000-0000-0000C7630000}"/>
    <cellStyle name="Calculation 3 8 14" xfId="25609" xr:uid="{00000000-0005-0000-0000-0000C8630000}"/>
    <cellStyle name="Calculation 3 8 15" xfId="25610" xr:uid="{00000000-0005-0000-0000-0000C9630000}"/>
    <cellStyle name="Calculation 3 8 2" xfId="25611" xr:uid="{00000000-0005-0000-0000-0000CA630000}"/>
    <cellStyle name="Calculation 3 8 3" xfId="25612" xr:uid="{00000000-0005-0000-0000-0000CB630000}"/>
    <cellStyle name="Calculation 3 8 4" xfId="25613" xr:uid="{00000000-0005-0000-0000-0000CC630000}"/>
    <cellStyle name="Calculation 3 8 5" xfId="25614" xr:uid="{00000000-0005-0000-0000-0000CD630000}"/>
    <cellStyle name="Calculation 3 8 6" xfId="25615" xr:uid="{00000000-0005-0000-0000-0000CE630000}"/>
    <cellStyle name="Calculation 3 8 7" xfId="25616" xr:uid="{00000000-0005-0000-0000-0000CF630000}"/>
    <cellStyle name="Calculation 3 8 8" xfId="25617" xr:uid="{00000000-0005-0000-0000-0000D0630000}"/>
    <cellStyle name="Calculation 3 8 9" xfId="25618" xr:uid="{00000000-0005-0000-0000-0000D1630000}"/>
    <cellStyle name="Calculation 3 9" xfId="25619" xr:uid="{00000000-0005-0000-0000-0000D2630000}"/>
    <cellStyle name="Calculation 3 9 10" xfId="25620" xr:uid="{00000000-0005-0000-0000-0000D3630000}"/>
    <cellStyle name="Calculation 3 9 11" xfId="25621" xr:uid="{00000000-0005-0000-0000-0000D4630000}"/>
    <cellStyle name="Calculation 3 9 12" xfId="25622" xr:uid="{00000000-0005-0000-0000-0000D5630000}"/>
    <cellStyle name="Calculation 3 9 13" xfId="25623" xr:uid="{00000000-0005-0000-0000-0000D6630000}"/>
    <cellStyle name="Calculation 3 9 14" xfId="25624" xr:uid="{00000000-0005-0000-0000-0000D7630000}"/>
    <cellStyle name="Calculation 3 9 15" xfId="25625" xr:uid="{00000000-0005-0000-0000-0000D8630000}"/>
    <cellStyle name="Calculation 3 9 2" xfId="25626" xr:uid="{00000000-0005-0000-0000-0000D9630000}"/>
    <cellStyle name="Calculation 3 9 3" xfId="25627" xr:uid="{00000000-0005-0000-0000-0000DA630000}"/>
    <cellStyle name="Calculation 3 9 4" xfId="25628" xr:uid="{00000000-0005-0000-0000-0000DB630000}"/>
    <cellStyle name="Calculation 3 9 5" xfId="25629" xr:uid="{00000000-0005-0000-0000-0000DC630000}"/>
    <cellStyle name="Calculation 3 9 6" xfId="25630" xr:uid="{00000000-0005-0000-0000-0000DD630000}"/>
    <cellStyle name="Calculation 3 9 7" xfId="25631" xr:uid="{00000000-0005-0000-0000-0000DE630000}"/>
    <cellStyle name="Calculation 3 9 8" xfId="25632" xr:uid="{00000000-0005-0000-0000-0000DF630000}"/>
    <cellStyle name="Calculation 3 9 9" xfId="25633" xr:uid="{00000000-0005-0000-0000-0000E0630000}"/>
    <cellStyle name="Calculation 30" xfId="25634" xr:uid="{00000000-0005-0000-0000-0000E1630000}"/>
    <cellStyle name="Calculation 30 10" xfId="25635" xr:uid="{00000000-0005-0000-0000-0000E2630000}"/>
    <cellStyle name="Calculation 30 11" xfId="25636" xr:uid="{00000000-0005-0000-0000-0000E3630000}"/>
    <cellStyle name="Calculation 30 12" xfId="25637" xr:uid="{00000000-0005-0000-0000-0000E4630000}"/>
    <cellStyle name="Calculation 30 13" xfId="25638" xr:uid="{00000000-0005-0000-0000-0000E5630000}"/>
    <cellStyle name="Calculation 30 14" xfId="25639" xr:uid="{00000000-0005-0000-0000-0000E6630000}"/>
    <cellStyle name="Calculation 30 15" xfId="25640" xr:uid="{00000000-0005-0000-0000-0000E7630000}"/>
    <cellStyle name="Calculation 30 2" xfId="25641" xr:uid="{00000000-0005-0000-0000-0000E8630000}"/>
    <cellStyle name="Calculation 30 3" xfId="25642" xr:uid="{00000000-0005-0000-0000-0000E9630000}"/>
    <cellStyle name="Calculation 30 4" xfId="25643" xr:uid="{00000000-0005-0000-0000-0000EA630000}"/>
    <cellStyle name="Calculation 30 5" xfId="25644" xr:uid="{00000000-0005-0000-0000-0000EB630000}"/>
    <cellStyle name="Calculation 30 6" xfId="25645" xr:uid="{00000000-0005-0000-0000-0000EC630000}"/>
    <cellStyle name="Calculation 30 7" xfId="25646" xr:uid="{00000000-0005-0000-0000-0000ED630000}"/>
    <cellStyle name="Calculation 30 8" xfId="25647" xr:uid="{00000000-0005-0000-0000-0000EE630000}"/>
    <cellStyle name="Calculation 30 9" xfId="25648" xr:uid="{00000000-0005-0000-0000-0000EF630000}"/>
    <cellStyle name="Calculation 31" xfId="25649" xr:uid="{00000000-0005-0000-0000-0000F0630000}"/>
    <cellStyle name="Calculation 31 10" xfId="25650" xr:uid="{00000000-0005-0000-0000-0000F1630000}"/>
    <cellStyle name="Calculation 31 11" xfId="25651" xr:uid="{00000000-0005-0000-0000-0000F2630000}"/>
    <cellStyle name="Calculation 31 12" xfId="25652" xr:uid="{00000000-0005-0000-0000-0000F3630000}"/>
    <cellStyle name="Calculation 31 13" xfId="25653" xr:uid="{00000000-0005-0000-0000-0000F4630000}"/>
    <cellStyle name="Calculation 31 14" xfId="25654" xr:uid="{00000000-0005-0000-0000-0000F5630000}"/>
    <cellStyle name="Calculation 31 15" xfId="25655" xr:uid="{00000000-0005-0000-0000-0000F6630000}"/>
    <cellStyle name="Calculation 31 2" xfId="25656" xr:uid="{00000000-0005-0000-0000-0000F7630000}"/>
    <cellStyle name="Calculation 31 3" xfId="25657" xr:uid="{00000000-0005-0000-0000-0000F8630000}"/>
    <cellStyle name="Calculation 31 4" xfId="25658" xr:uid="{00000000-0005-0000-0000-0000F9630000}"/>
    <cellStyle name="Calculation 31 5" xfId="25659" xr:uid="{00000000-0005-0000-0000-0000FA630000}"/>
    <cellStyle name="Calculation 31 6" xfId="25660" xr:uid="{00000000-0005-0000-0000-0000FB630000}"/>
    <cellStyle name="Calculation 31 7" xfId="25661" xr:uid="{00000000-0005-0000-0000-0000FC630000}"/>
    <cellStyle name="Calculation 31 8" xfId="25662" xr:uid="{00000000-0005-0000-0000-0000FD630000}"/>
    <cellStyle name="Calculation 31 9" xfId="25663" xr:uid="{00000000-0005-0000-0000-0000FE630000}"/>
    <cellStyle name="Calculation 32" xfId="25664" xr:uid="{00000000-0005-0000-0000-0000FF630000}"/>
    <cellStyle name="Calculation 32 10" xfId="25665" xr:uid="{00000000-0005-0000-0000-000000640000}"/>
    <cellStyle name="Calculation 32 11" xfId="25666" xr:uid="{00000000-0005-0000-0000-000001640000}"/>
    <cellStyle name="Calculation 32 12" xfId="25667" xr:uid="{00000000-0005-0000-0000-000002640000}"/>
    <cellStyle name="Calculation 32 13" xfId="25668" xr:uid="{00000000-0005-0000-0000-000003640000}"/>
    <cellStyle name="Calculation 32 14" xfId="25669" xr:uid="{00000000-0005-0000-0000-000004640000}"/>
    <cellStyle name="Calculation 32 15" xfId="25670" xr:uid="{00000000-0005-0000-0000-000005640000}"/>
    <cellStyle name="Calculation 32 2" xfId="25671" xr:uid="{00000000-0005-0000-0000-000006640000}"/>
    <cellStyle name="Calculation 32 3" xfId="25672" xr:uid="{00000000-0005-0000-0000-000007640000}"/>
    <cellStyle name="Calculation 32 4" xfId="25673" xr:uid="{00000000-0005-0000-0000-000008640000}"/>
    <cellStyle name="Calculation 32 5" xfId="25674" xr:uid="{00000000-0005-0000-0000-000009640000}"/>
    <cellStyle name="Calculation 32 6" xfId="25675" xr:uid="{00000000-0005-0000-0000-00000A640000}"/>
    <cellStyle name="Calculation 32 7" xfId="25676" xr:uid="{00000000-0005-0000-0000-00000B640000}"/>
    <cellStyle name="Calculation 32 8" xfId="25677" xr:uid="{00000000-0005-0000-0000-00000C640000}"/>
    <cellStyle name="Calculation 32 9" xfId="25678" xr:uid="{00000000-0005-0000-0000-00000D640000}"/>
    <cellStyle name="Calculation 33" xfId="25679" xr:uid="{00000000-0005-0000-0000-00000E640000}"/>
    <cellStyle name="Calculation 33 10" xfId="25680" xr:uid="{00000000-0005-0000-0000-00000F640000}"/>
    <cellStyle name="Calculation 33 11" xfId="25681" xr:uid="{00000000-0005-0000-0000-000010640000}"/>
    <cellStyle name="Calculation 33 12" xfId="25682" xr:uid="{00000000-0005-0000-0000-000011640000}"/>
    <cellStyle name="Calculation 33 13" xfId="25683" xr:uid="{00000000-0005-0000-0000-000012640000}"/>
    <cellStyle name="Calculation 33 14" xfId="25684" xr:uid="{00000000-0005-0000-0000-000013640000}"/>
    <cellStyle name="Calculation 33 15" xfId="25685" xr:uid="{00000000-0005-0000-0000-000014640000}"/>
    <cellStyle name="Calculation 33 2" xfId="25686" xr:uid="{00000000-0005-0000-0000-000015640000}"/>
    <cellStyle name="Calculation 33 3" xfId="25687" xr:uid="{00000000-0005-0000-0000-000016640000}"/>
    <cellStyle name="Calculation 33 4" xfId="25688" xr:uid="{00000000-0005-0000-0000-000017640000}"/>
    <cellStyle name="Calculation 33 5" xfId="25689" xr:uid="{00000000-0005-0000-0000-000018640000}"/>
    <cellStyle name="Calculation 33 6" xfId="25690" xr:uid="{00000000-0005-0000-0000-000019640000}"/>
    <cellStyle name="Calculation 33 7" xfId="25691" xr:uid="{00000000-0005-0000-0000-00001A640000}"/>
    <cellStyle name="Calculation 33 8" xfId="25692" xr:uid="{00000000-0005-0000-0000-00001B640000}"/>
    <cellStyle name="Calculation 33 9" xfId="25693" xr:uid="{00000000-0005-0000-0000-00001C640000}"/>
    <cellStyle name="Calculation 34" xfId="25694" xr:uid="{00000000-0005-0000-0000-00001D640000}"/>
    <cellStyle name="Calculation 34 10" xfId="25695" xr:uid="{00000000-0005-0000-0000-00001E640000}"/>
    <cellStyle name="Calculation 34 11" xfId="25696" xr:uid="{00000000-0005-0000-0000-00001F640000}"/>
    <cellStyle name="Calculation 34 12" xfId="25697" xr:uid="{00000000-0005-0000-0000-000020640000}"/>
    <cellStyle name="Calculation 34 13" xfId="25698" xr:uid="{00000000-0005-0000-0000-000021640000}"/>
    <cellStyle name="Calculation 34 14" xfId="25699" xr:uid="{00000000-0005-0000-0000-000022640000}"/>
    <cellStyle name="Calculation 34 15" xfId="25700" xr:uid="{00000000-0005-0000-0000-000023640000}"/>
    <cellStyle name="Calculation 34 2" xfId="25701" xr:uid="{00000000-0005-0000-0000-000024640000}"/>
    <cellStyle name="Calculation 34 3" xfId="25702" xr:uid="{00000000-0005-0000-0000-000025640000}"/>
    <cellStyle name="Calculation 34 4" xfId="25703" xr:uid="{00000000-0005-0000-0000-000026640000}"/>
    <cellStyle name="Calculation 34 5" xfId="25704" xr:uid="{00000000-0005-0000-0000-000027640000}"/>
    <cellStyle name="Calculation 34 6" xfId="25705" xr:uid="{00000000-0005-0000-0000-000028640000}"/>
    <cellStyle name="Calculation 34 7" xfId="25706" xr:uid="{00000000-0005-0000-0000-000029640000}"/>
    <cellStyle name="Calculation 34 8" xfId="25707" xr:uid="{00000000-0005-0000-0000-00002A640000}"/>
    <cellStyle name="Calculation 34 9" xfId="25708" xr:uid="{00000000-0005-0000-0000-00002B640000}"/>
    <cellStyle name="Calculation 35" xfId="25709" xr:uid="{00000000-0005-0000-0000-00002C640000}"/>
    <cellStyle name="Calculation 35 10" xfId="25710" xr:uid="{00000000-0005-0000-0000-00002D640000}"/>
    <cellStyle name="Calculation 35 11" xfId="25711" xr:uid="{00000000-0005-0000-0000-00002E640000}"/>
    <cellStyle name="Calculation 35 12" xfId="25712" xr:uid="{00000000-0005-0000-0000-00002F640000}"/>
    <cellStyle name="Calculation 35 13" xfId="25713" xr:uid="{00000000-0005-0000-0000-000030640000}"/>
    <cellStyle name="Calculation 35 14" xfId="25714" xr:uid="{00000000-0005-0000-0000-000031640000}"/>
    <cellStyle name="Calculation 35 15" xfId="25715" xr:uid="{00000000-0005-0000-0000-000032640000}"/>
    <cellStyle name="Calculation 35 2" xfId="25716" xr:uid="{00000000-0005-0000-0000-000033640000}"/>
    <cellStyle name="Calculation 35 3" xfId="25717" xr:uid="{00000000-0005-0000-0000-000034640000}"/>
    <cellStyle name="Calculation 35 4" xfId="25718" xr:uid="{00000000-0005-0000-0000-000035640000}"/>
    <cellStyle name="Calculation 35 5" xfId="25719" xr:uid="{00000000-0005-0000-0000-000036640000}"/>
    <cellStyle name="Calculation 35 6" xfId="25720" xr:uid="{00000000-0005-0000-0000-000037640000}"/>
    <cellStyle name="Calculation 35 7" xfId="25721" xr:uid="{00000000-0005-0000-0000-000038640000}"/>
    <cellStyle name="Calculation 35 8" xfId="25722" xr:uid="{00000000-0005-0000-0000-000039640000}"/>
    <cellStyle name="Calculation 35 9" xfId="25723" xr:uid="{00000000-0005-0000-0000-00003A640000}"/>
    <cellStyle name="Calculation 36" xfId="25724" xr:uid="{00000000-0005-0000-0000-00003B640000}"/>
    <cellStyle name="Calculation 36 10" xfId="25725" xr:uid="{00000000-0005-0000-0000-00003C640000}"/>
    <cellStyle name="Calculation 36 11" xfId="25726" xr:uid="{00000000-0005-0000-0000-00003D640000}"/>
    <cellStyle name="Calculation 36 12" xfId="25727" xr:uid="{00000000-0005-0000-0000-00003E640000}"/>
    <cellStyle name="Calculation 36 13" xfId="25728" xr:uid="{00000000-0005-0000-0000-00003F640000}"/>
    <cellStyle name="Calculation 36 14" xfId="25729" xr:uid="{00000000-0005-0000-0000-000040640000}"/>
    <cellStyle name="Calculation 36 15" xfId="25730" xr:uid="{00000000-0005-0000-0000-000041640000}"/>
    <cellStyle name="Calculation 36 2" xfId="25731" xr:uid="{00000000-0005-0000-0000-000042640000}"/>
    <cellStyle name="Calculation 36 3" xfId="25732" xr:uid="{00000000-0005-0000-0000-000043640000}"/>
    <cellStyle name="Calculation 36 4" xfId="25733" xr:uid="{00000000-0005-0000-0000-000044640000}"/>
    <cellStyle name="Calculation 36 5" xfId="25734" xr:uid="{00000000-0005-0000-0000-000045640000}"/>
    <cellStyle name="Calculation 36 6" xfId="25735" xr:uid="{00000000-0005-0000-0000-000046640000}"/>
    <cellStyle name="Calculation 36 7" xfId="25736" xr:uid="{00000000-0005-0000-0000-000047640000}"/>
    <cellStyle name="Calculation 36 8" xfId="25737" xr:uid="{00000000-0005-0000-0000-000048640000}"/>
    <cellStyle name="Calculation 36 9" xfId="25738" xr:uid="{00000000-0005-0000-0000-000049640000}"/>
    <cellStyle name="Calculation 37" xfId="25739" xr:uid="{00000000-0005-0000-0000-00004A640000}"/>
    <cellStyle name="Calculation 37 10" xfId="25740" xr:uid="{00000000-0005-0000-0000-00004B640000}"/>
    <cellStyle name="Calculation 37 11" xfId="25741" xr:uid="{00000000-0005-0000-0000-00004C640000}"/>
    <cellStyle name="Calculation 37 12" xfId="25742" xr:uid="{00000000-0005-0000-0000-00004D640000}"/>
    <cellStyle name="Calculation 37 13" xfId="25743" xr:uid="{00000000-0005-0000-0000-00004E640000}"/>
    <cellStyle name="Calculation 37 14" xfId="25744" xr:uid="{00000000-0005-0000-0000-00004F640000}"/>
    <cellStyle name="Calculation 37 15" xfId="25745" xr:uid="{00000000-0005-0000-0000-000050640000}"/>
    <cellStyle name="Calculation 37 2" xfId="25746" xr:uid="{00000000-0005-0000-0000-000051640000}"/>
    <cellStyle name="Calculation 37 3" xfId="25747" xr:uid="{00000000-0005-0000-0000-000052640000}"/>
    <cellStyle name="Calculation 37 4" xfId="25748" xr:uid="{00000000-0005-0000-0000-000053640000}"/>
    <cellStyle name="Calculation 37 5" xfId="25749" xr:uid="{00000000-0005-0000-0000-000054640000}"/>
    <cellStyle name="Calculation 37 6" xfId="25750" xr:uid="{00000000-0005-0000-0000-000055640000}"/>
    <cellStyle name="Calculation 37 7" xfId="25751" xr:uid="{00000000-0005-0000-0000-000056640000}"/>
    <cellStyle name="Calculation 37 8" xfId="25752" xr:uid="{00000000-0005-0000-0000-000057640000}"/>
    <cellStyle name="Calculation 37 9" xfId="25753" xr:uid="{00000000-0005-0000-0000-000058640000}"/>
    <cellStyle name="Calculation 38" xfId="25754" xr:uid="{00000000-0005-0000-0000-000059640000}"/>
    <cellStyle name="Calculation 38 10" xfId="25755" xr:uid="{00000000-0005-0000-0000-00005A640000}"/>
    <cellStyle name="Calculation 38 11" xfId="25756" xr:uid="{00000000-0005-0000-0000-00005B640000}"/>
    <cellStyle name="Calculation 38 12" xfId="25757" xr:uid="{00000000-0005-0000-0000-00005C640000}"/>
    <cellStyle name="Calculation 38 13" xfId="25758" xr:uid="{00000000-0005-0000-0000-00005D640000}"/>
    <cellStyle name="Calculation 38 14" xfId="25759" xr:uid="{00000000-0005-0000-0000-00005E640000}"/>
    <cellStyle name="Calculation 38 15" xfId="25760" xr:uid="{00000000-0005-0000-0000-00005F640000}"/>
    <cellStyle name="Calculation 38 2" xfId="25761" xr:uid="{00000000-0005-0000-0000-000060640000}"/>
    <cellStyle name="Calculation 38 3" xfId="25762" xr:uid="{00000000-0005-0000-0000-000061640000}"/>
    <cellStyle name="Calculation 38 4" xfId="25763" xr:uid="{00000000-0005-0000-0000-000062640000}"/>
    <cellStyle name="Calculation 38 5" xfId="25764" xr:uid="{00000000-0005-0000-0000-000063640000}"/>
    <cellStyle name="Calculation 38 6" xfId="25765" xr:uid="{00000000-0005-0000-0000-000064640000}"/>
    <cellStyle name="Calculation 38 7" xfId="25766" xr:uid="{00000000-0005-0000-0000-000065640000}"/>
    <cellStyle name="Calculation 38 8" xfId="25767" xr:uid="{00000000-0005-0000-0000-000066640000}"/>
    <cellStyle name="Calculation 38 9" xfId="25768" xr:uid="{00000000-0005-0000-0000-000067640000}"/>
    <cellStyle name="Calculation 39" xfId="25769" xr:uid="{00000000-0005-0000-0000-000068640000}"/>
    <cellStyle name="Calculation 39 10" xfId="25770" xr:uid="{00000000-0005-0000-0000-000069640000}"/>
    <cellStyle name="Calculation 39 11" xfId="25771" xr:uid="{00000000-0005-0000-0000-00006A640000}"/>
    <cellStyle name="Calculation 39 12" xfId="25772" xr:uid="{00000000-0005-0000-0000-00006B640000}"/>
    <cellStyle name="Calculation 39 13" xfId="25773" xr:uid="{00000000-0005-0000-0000-00006C640000}"/>
    <cellStyle name="Calculation 39 14" xfId="25774" xr:uid="{00000000-0005-0000-0000-00006D640000}"/>
    <cellStyle name="Calculation 39 15" xfId="25775" xr:uid="{00000000-0005-0000-0000-00006E640000}"/>
    <cellStyle name="Calculation 39 2" xfId="25776" xr:uid="{00000000-0005-0000-0000-00006F640000}"/>
    <cellStyle name="Calculation 39 3" xfId="25777" xr:uid="{00000000-0005-0000-0000-000070640000}"/>
    <cellStyle name="Calculation 39 4" xfId="25778" xr:uid="{00000000-0005-0000-0000-000071640000}"/>
    <cellStyle name="Calculation 39 5" xfId="25779" xr:uid="{00000000-0005-0000-0000-000072640000}"/>
    <cellStyle name="Calculation 39 6" xfId="25780" xr:uid="{00000000-0005-0000-0000-000073640000}"/>
    <cellStyle name="Calculation 39 7" xfId="25781" xr:uid="{00000000-0005-0000-0000-000074640000}"/>
    <cellStyle name="Calculation 39 8" xfId="25782" xr:uid="{00000000-0005-0000-0000-000075640000}"/>
    <cellStyle name="Calculation 39 9" xfId="25783" xr:uid="{00000000-0005-0000-0000-000076640000}"/>
    <cellStyle name="Calculation 4" xfId="25784" xr:uid="{00000000-0005-0000-0000-000077640000}"/>
    <cellStyle name="Calculation 4 2" xfId="25785" xr:uid="{00000000-0005-0000-0000-000078640000}"/>
    <cellStyle name="Calculation 4 2 2" xfId="25786" xr:uid="{00000000-0005-0000-0000-000079640000}"/>
    <cellStyle name="Calculation 4 3" xfId="25787" xr:uid="{00000000-0005-0000-0000-00007A640000}"/>
    <cellStyle name="Calculation 4 3 2" xfId="25788" xr:uid="{00000000-0005-0000-0000-00007B640000}"/>
    <cellStyle name="Calculation 4 4" xfId="25789" xr:uid="{00000000-0005-0000-0000-00007C640000}"/>
    <cellStyle name="Calculation 4 4 2" xfId="25790" xr:uid="{00000000-0005-0000-0000-00007D640000}"/>
    <cellStyle name="Calculation 4 5" xfId="25791" xr:uid="{00000000-0005-0000-0000-00007E640000}"/>
    <cellStyle name="Calculation 4 5 2" xfId="25792" xr:uid="{00000000-0005-0000-0000-00007F640000}"/>
    <cellStyle name="Calculation 4 6" xfId="25793" xr:uid="{00000000-0005-0000-0000-000080640000}"/>
    <cellStyle name="Calculation 4 6 2" xfId="25794" xr:uid="{00000000-0005-0000-0000-000081640000}"/>
    <cellStyle name="Calculation 4 7" xfId="25795" xr:uid="{00000000-0005-0000-0000-000082640000}"/>
    <cellStyle name="Calculation 40" xfId="25796" xr:uid="{00000000-0005-0000-0000-000083640000}"/>
    <cellStyle name="Calculation 41" xfId="25797" xr:uid="{00000000-0005-0000-0000-000084640000}"/>
    <cellStyle name="Calculation 42" xfId="25798" xr:uid="{00000000-0005-0000-0000-000085640000}"/>
    <cellStyle name="Calculation 43" xfId="25799" xr:uid="{00000000-0005-0000-0000-000086640000}"/>
    <cellStyle name="Calculation 44" xfId="25800" xr:uid="{00000000-0005-0000-0000-000087640000}"/>
    <cellStyle name="Calculation 45" xfId="25801" xr:uid="{00000000-0005-0000-0000-000088640000}"/>
    <cellStyle name="Calculation 46" xfId="25802" xr:uid="{00000000-0005-0000-0000-000089640000}"/>
    <cellStyle name="Calculation 47" xfId="25803" xr:uid="{00000000-0005-0000-0000-00008A640000}"/>
    <cellStyle name="Calculation 48" xfId="25804" xr:uid="{00000000-0005-0000-0000-00008B640000}"/>
    <cellStyle name="Calculation 49" xfId="25805" xr:uid="{00000000-0005-0000-0000-00008C640000}"/>
    <cellStyle name="Calculation 5" xfId="25806" xr:uid="{00000000-0005-0000-0000-00008D640000}"/>
    <cellStyle name="Calculation 5 2" xfId="25807" xr:uid="{00000000-0005-0000-0000-00008E640000}"/>
    <cellStyle name="Calculation 5 2 2" xfId="25808" xr:uid="{00000000-0005-0000-0000-00008F640000}"/>
    <cellStyle name="Calculation 5 2 3" xfId="25809" xr:uid="{00000000-0005-0000-0000-000090640000}"/>
    <cellStyle name="Calculation 5 2 4" xfId="25810" xr:uid="{00000000-0005-0000-0000-000091640000}"/>
    <cellStyle name="Calculation 5 3" xfId="25811" xr:uid="{00000000-0005-0000-0000-000092640000}"/>
    <cellStyle name="Calculation 5 3 2" xfId="25812" xr:uid="{00000000-0005-0000-0000-000093640000}"/>
    <cellStyle name="Calculation 5 3 3" xfId="25813" xr:uid="{00000000-0005-0000-0000-000094640000}"/>
    <cellStyle name="Calculation 5 4" xfId="25814" xr:uid="{00000000-0005-0000-0000-000095640000}"/>
    <cellStyle name="Calculation 50" xfId="25815" xr:uid="{00000000-0005-0000-0000-000096640000}"/>
    <cellStyle name="Calculation 51" xfId="25816" xr:uid="{00000000-0005-0000-0000-000097640000}"/>
    <cellStyle name="Calculation 52" xfId="25817" xr:uid="{00000000-0005-0000-0000-000098640000}"/>
    <cellStyle name="Calculation 53" xfId="25818" xr:uid="{00000000-0005-0000-0000-000099640000}"/>
    <cellStyle name="Calculation 54" xfId="25819" xr:uid="{00000000-0005-0000-0000-00009A640000}"/>
    <cellStyle name="Calculation 55" xfId="25820" xr:uid="{00000000-0005-0000-0000-00009B640000}"/>
    <cellStyle name="Calculation 56" xfId="25821" xr:uid="{00000000-0005-0000-0000-00009C640000}"/>
    <cellStyle name="Calculation 57" xfId="25822" xr:uid="{00000000-0005-0000-0000-00009D640000}"/>
    <cellStyle name="Calculation 58" xfId="25823" xr:uid="{00000000-0005-0000-0000-00009E640000}"/>
    <cellStyle name="Calculation 59" xfId="25824" xr:uid="{00000000-0005-0000-0000-00009F640000}"/>
    <cellStyle name="Calculation 6" xfId="25825" xr:uid="{00000000-0005-0000-0000-0000A0640000}"/>
    <cellStyle name="Calculation 6 2" xfId="25826" xr:uid="{00000000-0005-0000-0000-0000A1640000}"/>
    <cellStyle name="Calculation 60" xfId="25827" xr:uid="{00000000-0005-0000-0000-0000A2640000}"/>
    <cellStyle name="Calculation 61" xfId="25828" xr:uid="{00000000-0005-0000-0000-0000A3640000}"/>
    <cellStyle name="Calculation 62" xfId="25829" xr:uid="{00000000-0005-0000-0000-0000A4640000}"/>
    <cellStyle name="Calculation 63" xfId="25830" xr:uid="{00000000-0005-0000-0000-0000A5640000}"/>
    <cellStyle name="Calculation 64" xfId="25831" xr:uid="{00000000-0005-0000-0000-0000A6640000}"/>
    <cellStyle name="Calculation 65" xfId="25832" xr:uid="{00000000-0005-0000-0000-0000A7640000}"/>
    <cellStyle name="Calculation 66" xfId="25833" xr:uid="{00000000-0005-0000-0000-0000A8640000}"/>
    <cellStyle name="Calculation 67" xfId="25834" xr:uid="{00000000-0005-0000-0000-0000A9640000}"/>
    <cellStyle name="Calculation 68" xfId="25835" xr:uid="{00000000-0005-0000-0000-0000AA640000}"/>
    <cellStyle name="Calculation 69" xfId="25836" xr:uid="{00000000-0005-0000-0000-0000AB640000}"/>
    <cellStyle name="Calculation 7" xfId="25837" xr:uid="{00000000-0005-0000-0000-0000AC640000}"/>
    <cellStyle name="Calculation 7 2" xfId="25838" xr:uid="{00000000-0005-0000-0000-0000AD640000}"/>
    <cellStyle name="Calculation 70" xfId="25839" xr:uid="{00000000-0005-0000-0000-0000AE640000}"/>
    <cellStyle name="Calculation 71" xfId="25840" xr:uid="{00000000-0005-0000-0000-0000AF640000}"/>
    <cellStyle name="Calculation 72" xfId="25841" xr:uid="{00000000-0005-0000-0000-0000B0640000}"/>
    <cellStyle name="Calculation 73" xfId="25842" xr:uid="{00000000-0005-0000-0000-0000B1640000}"/>
    <cellStyle name="Calculation 74" xfId="25843" xr:uid="{00000000-0005-0000-0000-0000B2640000}"/>
    <cellStyle name="Calculation 75" xfId="25844" xr:uid="{00000000-0005-0000-0000-0000B3640000}"/>
    <cellStyle name="Calculation 76" xfId="25845" xr:uid="{00000000-0005-0000-0000-0000B4640000}"/>
    <cellStyle name="Calculation 77" xfId="25846" xr:uid="{00000000-0005-0000-0000-0000B5640000}"/>
    <cellStyle name="Calculation 78" xfId="25847" xr:uid="{00000000-0005-0000-0000-0000B6640000}"/>
    <cellStyle name="Calculation 79" xfId="25848" xr:uid="{00000000-0005-0000-0000-0000B7640000}"/>
    <cellStyle name="Calculation 79 2" xfId="25849" xr:uid="{00000000-0005-0000-0000-0000B8640000}"/>
    <cellStyle name="Calculation 8" xfId="25850" xr:uid="{00000000-0005-0000-0000-0000B9640000}"/>
    <cellStyle name="Calculation 8 2" xfId="25851" xr:uid="{00000000-0005-0000-0000-0000BA640000}"/>
    <cellStyle name="Calculation 80" xfId="25852" xr:uid="{00000000-0005-0000-0000-0000BB640000}"/>
    <cellStyle name="Calculation 80 2" xfId="25853" xr:uid="{00000000-0005-0000-0000-0000BC640000}"/>
    <cellStyle name="Calculation 81" xfId="25854" xr:uid="{00000000-0005-0000-0000-0000BD640000}"/>
    <cellStyle name="Calculation 81 2" xfId="25855" xr:uid="{00000000-0005-0000-0000-0000BE640000}"/>
    <cellStyle name="Calculation 82" xfId="25856" xr:uid="{00000000-0005-0000-0000-0000BF640000}"/>
    <cellStyle name="Calculation 82 2" xfId="25857" xr:uid="{00000000-0005-0000-0000-0000C0640000}"/>
    <cellStyle name="Calculation 83" xfId="25858" xr:uid="{00000000-0005-0000-0000-0000C1640000}"/>
    <cellStyle name="Calculation 83 2" xfId="25859" xr:uid="{00000000-0005-0000-0000-0000C2640000}"/>
    <cellStyle name="Calculation 84" xfId="25860" xr:uid="{00000000-0005-0000-0000-0000C3640000}"/>
    <cellStyle name="Calculation 84 2" xfId="25861" xr:uid="{00000000-0005-0000-0000-0000C4640000}"/>
    <cellStyle name="Calculation 85" xfId="25862" xr:uid="{00000000-0005-0000-0000-0000C5640000}"/>
    <cellStyle name="Calculation 85 2" xfId="25863" xr:uid="{00000000-0005-0000-0000-0000C6640000}"/>
    <cellStyle name="Calculation 86" xfId="25864" xr:uid="{00000000-0005-0000-0000-0000C7640000}"/>
    <cellStyle name="Calculation 86 2" xfId="25865" xr:uid="{00000000-0005-0000-0000-0000C8640000}"/>
    <cellStyle name="Calculation 87" xfId="25866" xr:uid="{00000000-0005-0000-0000-0000C9640000}"/>
    <cellStyle name="Calculation 87 2" xfId="25867" xr:uid="{00000000-0005-0000-0000-0000CA640000}"/>
    <cellStyle name="Calculation 88" xfId="25868" xr:uid="{00000000-0005-0000-0000-0000CB640000}"/>
    <cellStyle name="Calculation 88 2" xfId="25869" xr:uid="{00000000-0005-0000-0000-0000CC640000}"/>
    <cellStyle name="Calculation 89" xfId="25870" xr:uid="{00000000-0005-0000-0000-0000CD640000}"/>
    <cellStyle name="Calculation 89 2" xfId="25871" xr:uid="{00000000-0005-0000-0000-0000CE640000}"/>
    <cellStyle name="Calculation 9" xfId="25872" xr:uid="{00000000-0005-0000-0000-0000CF640000}"/>
    <cellStyle name="Calculation 9 2" xfId="25873" xr:uid="{00000000-0005-0000-0000-0000D0640000}"/>
    <cellStyle name="Calculation 90" xfId="25874" xr:uid="{00000000-0005-0000-0000-0000D1640000}"/>
    <cellStyle name="Calculation 91" xfId="25875" xr:uid="{00000000-0005-0000-0000-0000D2640000}"/>
    <cellStyle name="Calculation 92" xfId="25876" xr:uid="{00000000-0005-0000-0000-0000D3640000}"/>
    <cellStyle name="Calculation 93" xfId="25877" xr:uid="{00000000-0005-0000-0000-0000D4640000}"/>
    <cellStyle name="Calculation 94" xfId="25878" xr:uid="{00000000-0005-0000-0000-0000D5640000}"/>
    <cellStyle name="Calculation 95" xfId="25879" xr:uid="{00000000-0005-0000-0000-0000D6640000}"/>
    <cellStyle name="Calculation 96" xfId="25880" xr:uid="{00000000-0005-0000-0000-0000D7640000}"/>
    <cellStyle name="Calculation 97" xfId="25881" xr:uid="{00000000-0005-0000-0000-0000D8640000}"/>
    <cellStyle name="Calculation 98" xfId="25882" xr:uid="{00000000-0005-0000-0000-0000D9640000}"/>
    <cellStyle name="Calculation 99" xfId="25883" xr:uid="{00000000-0005-0000-0000-0000DA640000}"/>
    <cellStyle name="CardColumns" xfId="25884" xr:uid="{00000000-0005-0000-0000-0000DB640000}"/>
    <cellStyle name="CardData" xfId="25885" xr:uid="{00000000-0005-0000-0000-0000DC640000}"/>
    <cellStyle name="CardData 2" xfId="25886" xr:uid="{00000000-0005-0000-0000-0000DD640000}"/>
    <cellStyle name="CardHeader" xfId="25887" xr:uid="{00000000-0005-0000-0000-0000DE640000}"/>
    <cellStyle name="CardText" xfId="25888" xr:uid="{00000000-0005-0000-0000-0000DF640000}"/>
    <cellStyle name="CardText 2" xfId="25889" xr:uid="{00000000-0005-0000-0000-0000E0640000}"/>
    <cellStyle name="Cellule liée" xfId="25890" xr:uid="{00000000-0005-0000-0000-0000E1640000}"/>
    <cellStyle name="Check Cell" xfId="13" builtinId="23" hidden="1" customBuiltin="1"/>
    <cellStyle name="Check Cell" xfId="60" builtinId="23" hidden="1" customBuiltin="1"/>
    <cellStyle name="Check Cell" xfId="82" builtinId="23" hidden="1" customBuiltin="1"/>
    <cellStyle name="Check Cell 10" xfId="25891" xr:uid="{00000000-0005-0000-0000-0000E5640000}"/>
    <cellStyle name="Check Cell 10 2" xfId="25892" xr:uid="{00000000-0005-0000-0000-0000E6640000}"/>
    <cellStyle name="Check Cell 100" xfId="25893" xr:uid="{00000000-0005-0000-0000-0000E7640000}"/>
    <cellStyle name="Check Cell 101" xfId="25894" xr:uid="{00000000-0005-0000-0000-0000E8640000}"/>
    <cellStyle name="Check Cell 102" xfId="25895" xr:uid="{00000000-0005-0000-0000-0000E9640000}"/>
    <cellStyle name="Check Cell 103" xfId="25896" xr:uid="{00000000-0005-0000-0000-0000EA640000}"/>
    <cellStyle name="Check Cell 104" xfId="25897" xr:uid="{00000000-0005-0000-0000-0000EB640000}"/>
    <cellStyle name="Check Cell 105" xfId="25898" xr:uid="{00000000-0005-0000-0000-0000EC640000}"/>
    <cellStyle name="Check Cell 106" xfId="25899" xr:uid="{00000000-0005-0000-0000-0000ED640000}"/>
    <cellStyle name="Check Cell 107" xfId="25900" xr:uid="{00000000-0005-0000-0000-0000EE640000}"/>
    <cellStyle name="Check Cell 108" xfId="25901" xr:uid="{00000000-0005-0000-0000-0000EF640000}"/>
    <cellStyle name="Check Cell 109" xfId="25902" xr:uid="{00000000-0005-0000-0000-0000F0640000}"/>
    <cellStyle name="Check Cell 11" xfId="25903" xr:uid="{00000000-0005-0000-0000-0000F1640000}"/>
    <cellStyle name="Check Cell 11 2" xfId="25904" xr:uid="{00000000-0005-0000-0000-0000F2640000}"/>
    <cellStyle name="Check Cell 110" xfId="25905" xr:uid="{00000000-0005-0000-0000-0000F3640000}"/>
    <cellStyle name="Check Cell 111" xfId="25906" xr:uid="{00000000-0005-0000-0000-0000F4640000}"/>
    <cellStyle name="Check Cell 112" xfId="25907" xr:uid="{00000000-0005-0000-0000-0000F5640000}"/>
    <cellStyle name="Check Cell 113" xfId="25908" xr:uid="{00000000-0005-0000-0000-0000F6640000}"/>
    <cellStyle name="Check Cell 114" xfId="25909" xr:uid="{00000000-0005-0000-0000-0000F7640000}"/>
    <cellStyle name="Check Cell 115" xfId="25910" xr:uid="{00000000-0005-0000-0000-0000F8640000}"/>
    <cellStyle name="Check Cell 116" xfId="25911" xr:uid="{00000000-0005-0000-0000-0000F9640000}"/>
    <cellStyle name="Check Cell 117" xfId="25912" xr:uid="{00000000-0005-0000-0000-0000FA640000}"/>
    <cellStyle name="Check Cell 118" xfId="25913" xr:uid="{00000000-0005-0000-0000-0000FB640000}"/>
    <cellStyle name="Check Cell 119" xfId="25914" xr:uid="{00000000-0005-0000-0000-0000FC640000}"/>
    <cellStyle name="Check Cell 12" xfId="25915" xr:uid="{00000000-0005-0000-0000-0000FD640000}"/>
    <cellStyle name="Check Cell 12 2" xfId="25916" xr:uid="{00000000-0005-0000-0000-0000FE640000}"/>
    <cellStyle name="Check Cell 120" xfId="25917" xr:uid="{00000000-0005-0000-0000-0000FF640000}"/>
    <cellStyle name="Check Cell 121" xfId="25918" xr:uid="{00000000-0005-0000-0000-000000650000}"/>
    <cellStyle name="Check Cell 122" xfId="25919" xr:uid="{00000000-0005-0000-0000-000001650000}"/>
    <cellStyle name="Check Cell 123" xfId="25920" xr:uid="{00000000-0005-0000-0000-000002650000}"/>
    <cellStyle name="Check Cell 124" xfId="25921" xr:uid="{00000000-0005-0000-0000-000003650000}"/>
    <cellStyle name="Check Cell 125" xfId="25922" xr:uid="{00000000-0005-0000-0000-000004650000}"/>
    <cellStyle name="Check Cell 126" xfId="25923" xr:uid="{00000000-0005-0000-0000-000005650000}"/>
    <cellStyle name="Check Cell 127" xfId="25924" xr:uid="{00000000-0005-0000-0000-000006650000}"/>
    <cellStyle name="Check Cell 128" xfId="25925" xr:uid="{00000000-0005-0000-0000-000007650000}"/>
    <cellStyle name="Check Cell 129" xfId="25926" xr:uid="{00000000-0005-0000-0000-000008650000}"/>
    <cellStyle name="Check Cell 13" xfId="25927" xr:uid="{00000000-0005-0000-0000-000009650000}"/>
    <cellStyle name="Check Cell 13 2" xfId="25928" xr:uid="{00000000-0005-0000-0000-00000A650000}"/>
    <cellStyle name="Check Cell 130" xfId="25929" xr:uid="{00000000-0005-0000-0000-00000B650000}"/>
    <cellStyle name="Check Cell 131" xfId="25930" xr:uid="{00000000-0005-0000-0000-00000C650000}"/>
    <cellStyle name="Check Cell 132" xfId="25931" xr:uid="{00000000-0005-0000-0000-00000D650000}"/>
    <cellStyle name="Check Cell 133" xfId="25932" xr:uid="{00000000-0005-0000-0000-00000E650000}"/>
    <cellStyle name="Check Cell 134" xfId="25933" xr:uid="{00000000-0005-0000-0000-00000F650000}"/>
    <cellStyle name="Check Cell 135" xfId="25934" xr:uid="{00000000-0005-0000-0000-000010650000}"/>
    <cellStyle name="Check Cell 136" xfId="25935" xr:uid="{00000000-0005-0000-0000-000011650000}"/>
    <cellStyle name="Check Cell 137" xfId="25936" xr:uid="{00000000-0005-0000-0000-000012650000}"/>
    <cellStyle name="Check Cell 138" xfId="25937" xr:uid="{00000000-0005-0000-0000-000013650000}"/>
    <cellStyle name="Check Cell 139" xfId="25938" xr:uid="{00000000-0005-0000-0000-000014650000}"/>
    <cellStyle name="Check Cell 14" xfId="25939" xr:uid="{00000000-0005-0000-0000-000015650000}"/>
    <cellStyle name="Check Cell 14 2" xfId="25940" xr:uid="{00000000-0005-0000-0000-000016650000}"/>
    <cellStyle name="Check Cell 140" xfId="25941" xr:uid="{00000000-0005-0000-0000-000017650000}"/>
    <cellStyle name="Check Cell 141" xfId="25942" xr:uid="{00000000-0005-0000-0000-000018650000}"/>
    <cellStyle name="Check Cell 142" xfId="25943" xr:uid="{00000000-0005-0000-0000-000019650000}"/>
    <cellStyle name="Check Cell 143" xfId="25944" xr:uid="{00000000-0005-0000-0000-00001A650000}"/>
    <cellStyle name="Check Cell 144" xfId="25945" xr:uid="{00000000-0005-0000-0000-00001B650000}"/>
    <cellStyle name="Check Cell 145" xfId="25946" xr:uid="{00000000-0005-0000-0000-00001C650000}"/>
    <cellStyle name="Check Cell 146" xfId="25947" xr:uid="{00000000-0005-0000-0000-00001D650000}"/>
    <cellStyle name="Check Cell 147" xfId="25948" xr:uid="{00000000-0005-0000-0000-00001E650000}"/>
    <cellStyle name="Check Cell 148" xfId="25949" xr:uid="{00000000-0005-0000-0000-00001F650000}"/>
    <cellStyle name="Check Cell 149" xfId="25950" xr:uid="{00000000-0005-0000-0000-000020650000}"/>
    <cellStyle name="Check Cell 15" xfId="25951" xr:uid="{00000000-0005-0000-0000-000021650000}"/>
    <cellStyle name="Check Cell 15 2" xfId="25952" xr:uid="{00000000-0005-0000-0000-000022650000}"/>
    <cellStyle name="Check Cell 150" xfId="25953" xr:uid="{00000000-0005-0000-0000-000023650000}"/>
    <cellStyle name="Check Cell 151" xfId="25954" xr:uid="{00000000-0005-0000-0000-000024650000}"/>
    <cellStyle name="Check Cell 152" xfId="25955" xr:uid="{00000000-0005-0000-0000-000025650000}"/>
    <cellStyle name="Check Cell 153" xfId="25956" xr:uid="{00000000-0005-0000-0000-000026650000}"/>
    <cellStyle name="Check Cell 154" xfId="25957" xr:uid="{00000000-0005-0000-0000-000027650000}"/>
    <cellStyle name="Check Cell 155" xfId="25958" xr:uid="{00000000-0005-0000-0000-000028650000}"/>
    <cellStyle name="Check Cell 156" xfId="25959" xr:uid="{00000000-0005-0000-0000-000029650000}"/>
    <cellStyle name="Check Cell 157" xfId="25960" xr:uid="{00000000-0005-0000-0000-00002A650000}"/>
    <cellStyle name="Check Cell 158" xfId="25961" xr:uid="{00000000-0005-0000-0000-00002B650000}"/>
    <cellStyle name="Check Cell 159" xfId="25962" xr:uid="{00000000-0005-0000-0000-00002C650000}"/>
    <cellStyle name="Check Cell 16" xfId="25963" xr:uid="{00000000-0005-0000-0000-00002D650000}"/>
    <cellStyle name="Check Cell 160" xfId="25964" xr:uid="{00000000-0005-0000-0000-00002E650000}"/>
    <cellStyle name="Check Cell 161" xfId="25965" xr:uid="{00000000-0005-0000-0000-00002F650000}"/>
    <cellStyle name="Check Cell 162" xfId="25966" xr:uid="{00000000-0005-0000-0000-000030650000}"/>
    <cellStyle name="Check Cell 163" xfId="25967" xr:uid="{00000000-0005-0000-0000-000031650000}"/>
    <cellStyle name="Check Cell 164" xfId="25968" xr:uid="{00000000-0005-0000-0000-000032650000}"/>
    <cellStyle name="Check Cell 165" xfId="25969" xr:uid="{00000000-0005-0000-0000-000033650000}"/>
    <cellStyle name="Check Cell 166" xfId="25970" xr:uid="{00000000-0005-0000-0000-000034650000}"/>
    <cellStyle name="Check Cell 167" xfId="25971" xr:uid="{00000000-0005-0000-0000-000035650000}"/>
    <cellStyle name="Check Cell 17" xfId="25972" xr:uid="{00000000-0005-0000-0000-000036650000}"/>
    <cellStyle name="Check Cell 18" xfId="25973" xr:uid="{00000000-0005-0000-0000-000037650000}"/>
    <cellStyle name="Check Cell 19" xfId="25974" xr:uid="{00000000-0005-0000-0000-000038650000}"/>
    <cellStyle name="Check Cell 2" xfId="25975" xr:uid="{00000000-0005-0000-0000-000039650000}"/>
    <cellStyle name="Check Cell 2 10" xfId="25976" xr:uid="{00000000-0005-0000-0000-00003A650000}"/>
    <cellStyle name="Check Cell 2 11" xfId="25977" xr:uid="{00000000-0005-0000-0000-00003B650000}"/>
    <cellStyle name="Check Cell 2 12" xfId="25978" xr:uid="{00000000-0005-0000-0000-00003C650000}"/>
    <cellStyle name="Check Cell 2 13" xfId="25979" xr:uid="{00000000-0005-0000-0000-00003D650000}"/>
    <cellStyle name="Check Cell 2 14" xfId="25980" xr:uid="{00000000-0005-0000-0000-00003E650000}"/>
    <cellStyle name="Check Cell 2 15" xfId="25981" xr:uid="{00000000-0005-0000-0000-00003F650000}"/>
    <cellStyle name="Check Cell 2 16" xfId="25982" xr:uid="{00000000-0005-0000-0000-000040650000}"/>
    <cellStyle name="Check Cell 2 17" xfId="25983" xr:uid="{00000000-0005-0000-0000-000041650000}"/>
    <cellStyle name="Check Cell 2 18" xfId="25984" xr:uid="{00000000-0005-0000-0000-000042650000}"/>
    <cellStyle name="Check Cell 2 19" xfId="25985" xr:uid="{00000000-0005-0000-0000-000043650000}"/>
    <cellStyle name="Check Cell 2 2" xfId="25986" xr:uid="{00000000-0005-0000-0000-000044650000}"/>
    <cellStyle name="Check Cell 2 2 2" xfId="25987" xr:uid="{00000000-0005-0000-0000-000045650000}"/>
    <cellStyle name="Check Cell 2 2 3" xfId="25988" xr:uid="{00000000-0005-0000-0000-000046650000}"/>
    <cellStyle name="Check Cell 2 2 4" xfId="25989" xr:uid="{00000000-0005-0000-0000-000047650000}"/>
    <cellStyle name="Check Cell 2 2 5" xfId="25990" xr:uid="{00000000-0005-0000-0000-000048650000}"/>
    <cellStyle name="Check Cell 2 2 6" xfId="25991" xr:uid="{00000000-0005-0000-0000-000049650000}"/>
    <cellStyle name="Check Cell 2 20" xfId="25992" xr:uid="{00000000-0005-0000-0000-00004A650000}"/>
    <cellStyle name="Check Cell 2 21" xfId="25993" xr:uid="{00000000-0005-0000-0000-00004B650000}"/>
    <cellStyle name="Check Cell 2 22" xfId="25994" xr:uid="{00000000-0005-0000-0000-00004C650000}"/>
    <cellStyle name="Check Cell 2 23" xfId="25995" xr:uid="{00000000-0005-0000-0000-00004D650000}"/>
    <cellStyle name="Check Cell 2 24" xfId="25996" xr:uid="{00000000-0005-0000-0000-00004E650000}"/>
    <cellStyle name="Check Cell 2 25" xfId="25997" xr:uid="{00000000-0005-0000-0000-00004F650000}"/>
    <cellStyle name="Check Cell 2 26" xfId="25998" xr:uid="{00000000-0005-0000-0000-000050650000}"/>
    <cellStyle name="Check Cell 2 27" xfId="25999" xr:uid="{00000000-0005-0000-0000-000051650000}"/>
    <cellStyle name="Check Cell 2 28" xfId="26000" xr:uid="{00000000-0005-0000-0000-000052650000}"/>
    <cellStyle name="Check Cell 2 29" xfId="26001" xr:uid="{00000000-0005-0000-0000-000053650000}"/>
    <cellStyle name="Check Cell 2 3" xfId="26002" xr:uid="{00000000-0005-0000-0000-000054650000}"/>
    <cellStyle name="Check Cell 2 30" xfId="26003" xr:uid="{00000000-0005-0000-0000-000055650000}"/>
    <cellStyle name="Check Cell 2 31" xfId="26004" xr:uid="{00000000-0005-0000-0000-000056650000}"/>
    <cellStyle name="Check Cell 2 32" xfId="26005" xr:uid="{00000000-0005-0000-0000-000057650000}"/>
    <cellStyle name="Check Cell 2 33" xfId="26006" xr:uid="{00000000-0005-0000-0000-000058650000}"/>
    <cellStyle name="Check Cell 2 34" xfId="26007" xr:uid="{00000000-0005-0000-0000-000059650000}"/>
    <cellStyle name="Check Cell 2 35" xfId="26008" xr:uid="{00000000-0005-0000-0000-00005A650000}"/>
    <cellStyle name="Check Cell 2 4" xfId="26009" xr:uid="{00000000-0005-0000-0000-00005B650000}"/>
    <cellStyle name="Check Cell 2 5" xfId="26010" xr:uid="{00000000-0005-0000-0000-00005C650000}"/>
    <cellStyle name="Check Cell 2 6" xfId="26011" xr:uid="{00000000-0005-0000-0000-00005D650000}"/>
    <cellStyle name="Check Cell 2 7" xfId="26012" xr:uid="{00000000-0005-0000-0000-00005E650000}"/>
    <cellStyle name="Check Cell 2 8" xfId="26013" xr:uid="{00000000-0005-0000-0000-00005F650000}"/>
    <cellStyle name="Check Cell 2 9" xfId="26014" xr:uid="{00000000-0005-0000-0000-000060650000}"/>
    <cellStyle name="Check Cell 2_Belker-InternalTrade" xfId="26015" xr:uid="{00000000-0005-0000-0000-000061650000}"/>
    <cellStyle name="Check Cell 20" xfId="26016" xr:uid="{00000000-0005-0000-0000-000062650000}"/>
    <cellStyle name="Check Cell 20 10" xfId="26017" xr:uid="{00000000-0005-0000-0000-000063650000}"/>
    <cellStyle name="Check Cell 20 11" xfId="26018" xr:uid="{00000000-0005-0000-0000-000064650000}"/>
    <cellStyle name="Check Cell 20 12" xfId="26019" xr:uid="{00000000-0005-0000-0000-000065650000}"/>
    <cellStyle name="Check Cell 20 13" xfId="26020" xr:uid="{00000000-0005-0000-0000-000066650000}"/>
    <cellStyle name="Check Cell 20 14" xfId="26021" xr:uid="{00000000-0005-0000-0000-000067650000}"/>
    <cellStyle name="Check Cell 20 15" xfId="26022" xr:uid="{00000000-0005-0000-0000-000068650000}"/>
    <cellStyle name="Check Cell 20 16" xfId="26023" xr:uid="{00000000-0005-0000-0000-000069650000}"/>
    <cellStyle name="Check Cell 20 2" xfId="26024" xr:uid="{00000000-0005-0000-0000-00006A650000}"/>
    <cellStyle name="Check Cell 20 3" xfId="26025" xr:uid="{00000000-0005-0000-0000-00006B650000}"/>
    <cellStyle name="Check Cell 20 4" xfId="26026" xr:uid="{00000000-0005-0000-0000-00006C650000}"/>
    <cellStyle name="Check Cell 20 5" xfId="26027" xr:uid="{00000000-0005-0000-0000-00006D650000}"/>
    <cellStyle name="Check Cell 20 6" xfId="26028" xr:uid="{00000000-0005-0000-0000-00006E650000}"/>
    <cellStyle name="Check Cell 20 7" xfId="26029" xr:uid="{00000000-0005-0000-0000-00006F650000}"/>
    <cellStyle name="Check Cell 20 8" xfId="26030" xr:uid="{00000000-0005-0000-0000-000070650000}"/>
    <cellStyle name="Check Cell 20 9" xfId="26031" xr:uid="{00000000-0005-0000-0000-000071650000}"/>
    <cellStyle name="Check Cell 21" xfId="26032" xr:uid="{00000000-0005-0000-0000-000072650000}"/>
    <cellStyle name="Check Cell 21 2" xfId="26033" xr:uid="{00000000-0005-0000-0000-000073650000}"/>
    <cellStyle name="Check Cell 21 3" xfId="26034" xr:uid="{00000000-0005-0000-0000-000074650000}"/>
    <cellStyle name="Check Cell 22" xfId="26035" xr:uid="{00000000-0005-0000-0000-000075650000}"/>
    <cellStyle name="Check Cell 23" xfId="26036" xr:uid="{00000000-0005-0000-0000-000076650000}"/>
    <cellStyle name="Check Cell 24" xfId="26037" xr:uid="{00000000-0005-0000-0000-000077650000}"/>
    <cellStyle name="Check Cell 25" xfId="26038" xr:uid="{00000000-0005-0000-0000-000078650000}"/>
    <cellStyle name="Check Cell 26" xfId="26039" xr:uid="{00000000-0005-0000-0000-000079650000}"/>
    <cellStyle name="Check Cell 27" xfId="26040" xr:uid="{00000000-0005-0000-0000-00007A650000}"/>
    <cellStyle name="Check Cell 28" xfId="26041" xr:uid="{00000000-0005-0000-0000-00007B650000}"/>
    <cellStyle name="Check Cell 29" xfId="26042" xr:uid="{00000000-0005-0000-0000-00007C650000}"/>
    <cellStyle name="Check Cell 3" xfId="26043" xr:uid="{00000000-0005-0000-0000-00007D650000}"/>
    <cellStyle name="Check Cell 3 10" xfId="26044" xr:uid="{00000000-0005-0000-0000-00007E650000}"/>
    <cellStyle name="Check Cell 3 10 10" xfId="26045" xr:uid="{00000000-0005-0000-0000-00007F650000}"/>
    <cellStyle name="Check Cell 3 10 11" xfId="26046" xr:uid="{00000000-0005-0000-0000-000080650000}"/>
    <cellStyle name="Check Cell 3 10 12" xfId="26047" xr:uid="{00000000-0005-0000-0000-000081650000}"/>
    <cellStyle name="Check Cell 3 10 13" xfId="26048" xr:uid="{00000000-0005-0000-0000-000082650000}"/>
    <cellStyle name="Check Cell 3 10 14" xfId="26049" xr:uid="{00000000-0005-0000-0000-000083650000}"/>
    <cellStyle name="Check Cell 3 10 15" xfId="26050" xr:uid="{00000000-0005-0000-0000-000084650000}"/>
    <cellStyle name="Check Cell 3 10 2" xfId="26051" xr:uid="{00000000-0005-0000-0000-000085650000}"/>
    <cellStyle name="Check Cell 3 10 3" xfId="26052" xr:uid="{00000000-0005-0000-0000-000086650000}"/>
    <cellStyle name="Check Cell 3 10 4" xfId="26053" xr:uid="{00000000-0005-0000-0000-000087650000}"/>
    <cellStyle name="Check Cell 3 10 5" xfId="26054" xr:uid="{00000000-0005-0000-0000-000088650000}"/>
    <cellStyle name="Check Cell 3 10 6" xfId="26055" xr:uid="{00000000-0005-0000-0000-000089650000}"/>
    <cellStyle name="Check Cell 3 10 7" xfId="26056" xr:uid="{00000000-0005-0000-0000-00008A650000}"/>
    <cellStyle name="Check Cell 3 10 8" xfId="26057" xr:uid="{00000000-0005-0000-0000-00008B650000}"/>
    <cellStyle name="Check Cell 3 10 9" xfId="26058" xr:uid="{00000000-0005-0000-0000-00008C650000}"/>
    <cellStyle name="Check Cell 3 11" xfId="26059" xr:uid="{00000000-0005-0000-0000-00008D650000}"/>
    <cellStyle name="Check Cell 3 11 10" xfId="26060" xr:uid="{00000000-0005-0000-0000-00008E650000}"/>
    <cellStyle name="Check Cell 3 11 11" xfId="26061" xr:uid="{00000000-0005-0000-0000-00008F650000}"/>
    <cellStyle name="Check Cell 3 11 12" xfId="26062" xr:uid="{00000000-0005-0000-0000-000090650000}"/>
    <cellStyle name="Check Cell 3 11 13" xfId="26063" xr:uid="{00000000-0005-0000-0000-000091650000}"/>
    <cellStyle name="Check Cell 3 11 14" xfId="26064" xr:uid="{00000000-0005-0000-0000-000092650000}"/>
    <cellStyle name="Check Cell 3 11 15" xfId="26065" xr:uid="{00000000-0005-0000-0000-000093650000}"/>
    <cellStyle name="Check Cell 3 11 2" xfId="26066" xr:uid="{00000000-0005-0000-0000-000094650000}"/>
    <cellStyle name="Check Cell 3 11 3" xfId="26067" xr:uid="{00000000-0005-0000-0000-000095650000}"/>
    <cellStyle name="Check Cell 3 11 4" xfId="26068" xr:uid="{00000000-0005-0000-0000-000096650000}"/>
    <cellStyle name="Check Cell 3 11 5" xfId="26069" xr:uid="{00000000-0005-0000-0000-000097650000}"/>
    <cellStyle name="Check Cell 3 11 6" xfId="26070" xr:uid="{00000000-0005-0000-0000-000098650000}"/>
    <cellStyle name="Check Cell 3 11 7" xfId="26071" xr:uid="{00000000-0005-0000-0000-000099650000}"/>
    <cellStyle name="Check Cell 3 11 8" xfId="26072" xr:uid="{00000000-0005-0000-0000-00009A650000}"/>
    <cellStyle name="Check Cell 3 11 9" xfId="26073" xr:uid="{00000000-0005-0000-0000-00009B650000}"/>
    <cellStyle name="Check Cell 3 12" xfId="26074" xr:uid="{00000000-0005-0000-0000-00009C650000}"/>
    <cellStyle name="Check Cell 3 12 10" xfId="26075" xr:uid="{00000000-0005-0000-0000-00009D650000}"/>
    <cellStyle name="Check Cell 3 12 11" xfId="26076" xr:uid="{00000000-0005-0000-0000-00009E650000}"/>
    <cellStyle name="Check Cell 3 12 12" xfId="26077" xr:uid="{00000000-0005-0000-0000-00009F650000}"/>
    <cellStyle name="Check Cell 3 12 13" xfId="26078" xr:uid="{00000000-0005-0000-0000-0000A0650000}"/>
    <cellStyle name="Check Cell 3 12 14" xfId="26079" xr:uid="{00000000-0005-0000-0000-0000A1650000}"/>
    <cellStyle name="Check Cell 3 12 15" xfId="26080" xr:uid="{00000000-0005-0000-0000-0000A2650000}"/>
    <cellStyle name="Check Cell 3 12 2" xfId="26081" xr:uid="{00000000-0005-0000-0000-0000A3650000}"/>
    <cellStyle name="Check Cell 3 12 3" xfId="26082" xr:uid="{00000000-0005-0000-0000-0000A4650000}"/>
    <cellStyle name="Check Cell 3 12 4" xfId="26083" xr:uid="{00000000-0005-0000-0000-0000A5650000}"/>
    <cellStyle name="Check Cell 3 12 5" xfId="26084" xr:uid="{00000000-0005-0000-0000-0000A6650000}"/>
    <cellStyle name="Check Cell 3 12 6" xfId="26085" xr:uid="{00000000-0005-0000-0000-0000A7650000}"/>
    <cellStyle name="Check Cell 3 12 7" xfId="26086" xr:uid="{00000000-0005-0000-0000-0000A8650000}"/>
    <cellStyle name="Check Cell 3 12 8" xfId="26087" xr:uid="{00000000-0005-0000-0000-0000A9650000}"/>
    <cellStyle name="Check Cell 3 12 9" xfId="26088" xr:uid="{00000000-0005-0000-0000-0000AA650000}"/>
    <cellStyle name="Check Cell 3 13" xfId="26089" xr:uid="{00000000-0005-0000-0000-0000AB650000}"/>
    <cellStyle name="Check Cell 3 13 10" xfId="26090" xr:uid="{00000000-0005-0000-0000-0000AC650000}"/>
    <cellStyle name="Check Cell 3 13 11" xfId="26091" xr:uid="{00000000-0005-0000-0000-0000AD650000}"/>
    <cellStyle name="Check Cell 3 13 12" xfId="26092" xr:uid="{00000000-0005-0000-0000-0000AE650000}"/>
    <cellStyle name="Check Cell 3 13 13" xfId="26093" xr:uid="{00000000-0005-0000-0000-0000AF650000}"/>
    <cellStyle name="Check Cell 3 13 14" xfId="26094" xr:uid="{00000000-0005-0000-0000-0000B0650000}"/>
    <cellStyle name="Check Cell 3 13 15" xfId="26095" xr:uid="{00000000-0005-0000-0000-0000B1650000}"/>
    <cellStyle name="Check Cell 3 13 2" xfId="26096" xr:uid="{00000000-0005-0000-0000-0000B2650000}"/>
    <cellStyle name="Check Cell 3 13 3" xfId="26097" xr:uid="{00000000-0005-0000-0000-0000B3650000}"/>
    <cellStyle name="Check Cell 3 13 4" xfId="26098" xr:uid="{00000000-0005-0000-0000-0000B4650000}"/>
    <cellStyle name="Check Cell 3 13 5" xfId="26099" xr:uid="{00000000-0005-0000-0000-0000B5650000}"/>
    <cellStyle name="Check Cell 3 13 6" xfId="26100" xr:uid="{00000000-0005-0000-0000-0000B6650000}"/>
    <cellStyle name="Check Cell 3 13 7" xfId="26101" xr:uid="{00000000-0005-0000-0000-0000B7650000}"/>
    <cellStyle name="Check Cell 3 13 8" xfId="26102" xr:uid="{00000000-0005-0000-0000-0000B8650000}"/>
    <cellStyle name="Check Cell 3 13 9" xfId="26103" xr:uid="{00000000-0005-0000-0000-0000B9650000}"/>
    <cellStyle name="Check Cell 3 14" xfId="26104" xr:uid="{00000000-0005-0000-0000-0000BA650000}"/>
    <cellStyle name="Check Cell 3 14 10" xfId="26105" xr:uid="{00000000-0005-0000-0000-0000BB650000}"/>
    <cellStyle name="Check Cell 3 14 11" xfId="26106" xr:uid="{00000000-0005-0000-0000-0000BC650000}"/>
    <cellStyle name="Check Cell 3 14 12" xfId="26107" xr:uid="{00000000-0005-0000-0000-0000BD650000}"/>
    <cellStyle name="Check Cell 3 14 13" xfId="26108" xr:uid="{00000000-0005-0000-0000-0000BE650000}"/>
    <cellStyle name="Check Cell 3 14 14" xfId="26109" xr:uid="{00000000-0005-0000-0000-0000BF650000}"/>
    <cellStyle name="Check Cell 3 14 15" xfId="26110" xr:uid="{00000000-0005-0000-0000-0000C0650000}"/>
    <cellStyle name="Check Cell 3 14 2" xfId="26111" xr:uid="{00000000-0005-0000-0000-0000C1650000}"/>
    <cellStyle name="Check Cell 3 14 3" xfId="26112" xr:uid="{00000000-0005-0000-0000-0000C2650000}"/>
    <cellStyle name="Check Cell 3 14 4" xfId="26113" xr:uid="{00000000-0005-0000-0000-0000C3650000}"/>
    <cellStyle name="Check Cell 3 14 5" xfId="26114" xr:uid="{00000000-0005-0000-0000-0000C4650000}"/>
    <cellStyle name="Check Cell 3 14 6" xfId="26115" xr:uid="{00000000-0005-0000-0000-0000C5650000}"/>
    <cellStyle name="Check Cell 3 14 7" xfId="26116" xr:uid="{00000000-0005-0000-0000-0000C6650000}"/>
    <cellStyle name="Check Cell 3 14 8" xfId="26117" xr:uid="{00000000-0005-0000-0000-0000C7650000}"/>
    <cellStyle name="Check Cell 3 14 9" xfId="26118" xr:uid="{00000000-0005-0000-0000-0000C8650000}"/>
    <cellStyle name="Check Cell 3 15" xfId="26119" xr:uid="{00000000-0005-0000-0000-0000C9650000}"/>
    <cellStyle name="Check Cell 3 15 10" xfId="26120" xr:uid="{00000000-0005-0000-0000-0000CA650000}"/>
    <cellStyle name="Check Cell 3 15 11" xfId="26121" xr:uid="{00000000-0005-0000-0000-0000CB650000}"/>
    <cellStyle name="Check Cell 3 15 12" xfId="26122" xr:uid="{00000000-0005-0000-0000-0000CC650000}"/>
    <cellStyle name="Check Cell 3 15 13" xfId="26123" xr:uid="{00000000-0005-0000-0000-0000CD650000}"/>
    <cellStyle name="Check Cell 3 15 14" xfId="26124" xr:uid="{00000000-0005-0000-0000-0000CE650000}"/>
    <cellStyle name="Check Cell 3 15 15" xfId="26125" xr:uid="{00000000-0005-0000-0000-0000CF650000}"/>
    <cellStyle name="Check Cell 3 15 2" xfId="26126" xr:uid="{00000000-0005-0000-0000-0000D0650000}"/>
    <cellStyle name="Check Cell 3 15 3" xfId="26127" xr:uid="{00000000-0005-0000-0000-0000D1650000}"/>
    <cellStyle name="Check Cell 3 15 4" xfId="26128" xr:uid="{00000000-0005-0000-0000-0000D2650000}"/>
    <cellStyle name="Check Cell 3 15 5" xfId="26129" xr:uid="{00000000-0005-0000-0000-0000D3650000}"/>
    <cellStyle name="Check Cell 3 15 6" xfId="26130" xr:uid="{00000000-0005-0000-0000-0000D4650000}"/>
    <cellStyle name="Check Cell 3 15 7" xfId="26131" xr:uid="{00000000-0005-0000-0000-0000D5650000}"/>
    <cellStyle name="Check Cell 3 15 8" xfId="26132" xr:uid="{00000000-0005-0000-0000-0000D6650000}"/>
    <cellStyle name="Check Cell 3 15 9" xfId="26133" xr:uid="{00000000-0005-0000-0000-0000D7650000}"/>
    <cellStyle name="Check Cell 3 16" xfId="26134" xr:uid="{00000000-0005-0000-0000-0000D8650000}"/>
    <cellStyle name="Check Cell 3 16 10" xfId="26135" xr:uid="{00000000-0005-0000-0000-0000D9650000}"/>
    <cellStyle name="Check Cell 3 16 11" xfId="26136" xr:uid="{00000000-0005-0000-0000-0000DA650000}"/>
    <cellStyle name="Check Cell 3 16 12" xfId="26137" xr:uid="{00000000-0005-0000-0000-0000DB650000}"/>
    <cellStyle name="Check Cell 3 16 13" xfId="26138" xr:uid="{00000000-0005-0000-0000-0000DC650000}"/>
    <cellStyle name="Check Cell 3 16 14" xfId="26139" xr:uid="{00000000-0005-0000-0000-0000DD650000}"/>
    <cellStyle name="Check Cell 3 16 15" xfId="26140" xr:uid="{00000000-0005-0000-0000-0000DE650000}"/>
    <cellStyle name="Check Cell 3 16 2" xfId="26141" xr:uid="{00000000-0005-0000-0000-0000DF650000}"/>
    <cellStyle name="Check Cell 3 16 3" xfId="26142" xr:uid="{00000000-0005-0000-0000-0000E0650000}"/>
    <cellStyle name="Check Cell 3 16 4" xfId="26143" xr:uid="{00000000-0005-0000-0000-0000E1650000}"/>
    <cellStyle name="Check Cell 3 16 5" xfId="26144" xr:uid="{00000000-0005-0000-0000-0000E2650000}"/>
    <cellStyle name="Check Cell 3 16 6" xfId="26145" xr:uid="{00000000-0005-0000-0000-0000E3650000}"/>
    <cellStyle name="Check Cell 3 16 7" xfId="26146" xr:uid="{00000000-0005-0000-0000-0000E4650000}"/>
    <cellStyle name="Check Cell 3 16 8" xfId="26147" xr:uid="{00000000-0005-0000-0000-0000E5650000}"/>
    <cellStyle name="Check Cell 3 16 9" xfId="26148" xr:uid="{00000000-0005-0000-0000-0000E6650000}"/>
    <cellStyle name="Check Cell 3 17" xfId="26149" xr:uid="{00000000-0005-0000-0000-0000E7650000}"/>
    <cellStyle name="Check Cell 3 17 10" xfId="26150" xr:uid="{00000000-0005-0000-0000-0000E8650000}"/>
    <cellStyle name="Check Cell 3 17 11" xfId="26151" xr:uid="{00000000-0005-0000-0000-0000E9650000}"/>
    <cellStyle name="Check Cell 3 17 12" xfId="26152" xr:uid="{00000000-0005-0000-0000-0000EA650000}"/>
    <cellStyle name="Check Cell 3 17 13" xfId="26153" xr:uid="{00000000-0005-0000-0000-0000EB650000}"/>
    <cellStyle name="Check Cell 3 17 14" xfId="26154" xr:uid="{00000000-0005-0000-0000-0000EC650000}"/>
    <cellStyle name="Check Cell 3 17 15" xfId="26155" xr:uid="{00000000-0005-0000-0000-0000ED650000}"/>
    <cellStyle name="Check Cell 3 17 2" xfId="26156" xr:uid="{00000000-0005-0000-0000-0000EE650000}"/>
    <cellStyle name="Check Cell 3 17 3" xfId="26157" xr:uid="{00000000-0005-0000-0000-0000EF650000}"/>
    <cellStyle name="Check Cell 3 17 4" xfId="26158" xr:uid="{00000000-0005-0000-0000-0000F0650000}"/>
    <cellStyle name="Check Cell 3 17 5" xfId="26159" xr:uid="{00000000-0005-0000-0000-0000F1650000}"/>
    <cellStyle name="Check Cell 3 17 6" xfId="26160" xr:uid="{00000000-0005-0000-0000-0000F2650000}"/>
    <cellStyle name="Check Cell 3 17 7" xfId="26161" xr:uid="{00000000-0005-0000-0000-0000F3650000}"/>
    <cellStyle name="Check Cell 3 17 8" xfId="26162" xr:uid="{00000000-0005-0000-0000-0000F4650000}"/>
    <cellStyle name="Check Cell 3 17 9" xfId="26163" xr:uid="{00000000-0005-0000-0000-0000F5650000}"/>
    <cellStyle name="Check Cell 3 18" xfId="26164" xr:uid="{00000000-0005-0000-0000-0000F6650000}"/>
    <cellStyle name="Check Cell 3 18 10" xfId="26165" xr:uid="{00000000-0005-0000-0000-0000F7650000}"/>
    <cellStyle name="Check Cell 3 18 11" xfId="26166" xr:uid="{00000000-0005-0000-0000-0000F8650000}"/>
    <cellStyle name="Check Cell 3 18 12" xfId="26167" xr:uid="{00000000-0005-0000-0000-0000F9650000}"/>
    <cellStyle name="Check Cell 3 18 13" xfId="26168" xr:uid="{00000000-0005-0000-0000-0000FA650000}"/>
    <cellStyle name="Check Cell 3 18 14" xfId="26169" xr:uid="{00000000-0005-0000-0000-0000FB650000}"/>
    <cellStyle name="Check Cell 3 18 15" xfId="26170" xr:uid="{00000000-0005-0000-0000-0000FC650000}"/>
    <cellStyle name="Check Cell 3 18 2" xfId="26171" xr:uid="{00000000-0005-0000-0000-0000FD650000}"/>
    <cellStyle name="Check Cell 3 18 3" xfId="26172" xr:uid="{00000000-0005-0000-0000-0000FE650000}"/>
    <cellStyle name="Check Cell 3 18 4" xfId="26173" xr:uid="{00000000-0005-0000-0000-0000FF650000}"/>
    <cellStyle name="Check Cell 3 18 5" xfId="26174" xr:uid="{00000000-0005-0000-0000-000000660000}"/>
    <cellStyle name="Check Cell 3 18 6" xfId="26175" xr:uid="{00000000-0005-0000-0000-000001660000}"/>
    <cellStyle name="Check Cell 3 18 7" xfId="26176" xr:uid="{00000000-0005-0000-0000-000002660000}"/>
    <cellStyle name="Check Cell 3 18 8" xfId="26177" xr:uid="{00000000-0005-0000-0000-000003660000}"/>
    <cellStyle name="Check Cell 3 18 9" xfId="26178" xr:uid="{00000000-0005-0000-0000-000004660000}"/>
    <cellStyle name="Check Cell 3 19" xfId="26179" xr:uid="{00000000-0005-0000-0000-000005660000}"/>
    <cellStyle name="Check Cell 3 19 10" xfId="26180" xr:uid="{00000000-0005-0000-0000-000006660000}"/>
    <cellStyle name="Check Cell 3 19 11" xfId="26181" xr:uid="{00000000-0005-0000-0000-000007660000}"/>
    <cellStyle name="Check Cell 3 19 12" xfId="26182" xr:uid="{00000000-0005-0000-0000-000008660000}"/>
    <cellStyle name="Check Cell 3 19 13" xfId="26183" xr:uid="{00000000-0005-0000-0000-000009660000}"/>
    <cellStyle name="Check Cell 3 19 14" xfId="26184" xr:uid="{00000000-0005-0000-0000-00000A660000}"/>
    <cellStyle name="Check Cell 3 19 15" xfId="26185" xr:uid="{00000000-0005-0000-0000-00000B660000}"/>
    <cellStyle name="Check Cell 3 19 2" xfId="26186" xr:uid="{00000000-0005-0000-0000-00000C660000}"/>
    <cellStyle name="Check Cell 3 19 3" xfId="26187" xr:uid="{00000000-0005-0000-0000-00000D660000}"/>
    <cellStyle name="Check Cell 3 19 4" xfId="26188" xr:uid="{00000000-0005-0000-0000-00000E660000}"/>
    <cellStyle name="Check Cell 3 19 5" xfId="26189" xr:uid="{00000000-0005-0000-0000-00000F660000}"/>
    <cellStyle name="Check Cell 3 19 6" xfId="26190" xr:uid="{00000000-0005-0000-0000-000010660000}"/>
    <cellStyle name="Check Cell 3 19 7" xfId="26191" xr:uid="{00000000-0005-0000-0000-000011660000}"/>
    <cellStyle name="Check Cell 3 19 8" xfId="26192" xr:uid="{00000000-0005-0000-0000-000012660000}"/>
    <cellStyle name="Check Cell 3 19 9" xfId="26193" xr:uid="{00000000-0005-0000-0000-000013660000}"/>
    <cellStyle name="Check Cell 3 2" xfId="26194" xr:uid="{00000000-0005-0000-0000-000014660000}"/>
    <cellStyle name="Check Cell 3 2 10" xfId="26195" xr:uid="{00000000-0005-0000-0000-000015660000}"/>
    <cellStyle name="Check Cell 3 2 11" xfId="26196" xr:uid="{00000000-0005-0000-0000-000016660000}"/>
    <cellStyle name="Check Cell 3 2 12" xfId="26197" xr:uid="{00000000-0005-0000-0000-000017660000}"/>
    <cellStyle name="Check Cell 3 2 13" xfId="26198" xr:uid="{00000000-0005-0000-0000-000018660000}"/>
    <cellStyle name="Check Cell 3 2 14" xfId="26199" xr:uid="{00000000-0005-0000-0000-000019660000}"/>
    <cellStyle name="Check Cell 3 2 15" xfId="26200" xr:uid="{00000000-0005-0000-0000-00001A660000}"/>
    <cellStyle name="Check Cell 3 2 16" xfId="26201" xr:uid="{00000000-0005-0000-0000-00001B660000}"/>
    <cellStyle name="Check Cell 3 2 17" xfId="26202" xr:uid="{00000000-0005-0000-0000-00001C660000}"/>
    <cellStyle name="Check Cell 3 2 18" xfId="26203" xr:uid="{00000000-0005-0000-0000-00001D660000}"/>
    <cellStyle name="Check Cell 3 2 19" xfId="26204" xr:uid="{00000000-0005-0000-0000-00001E660000}"/>
    <cellStyle name="Check Cell 3 2 2" xfId="26205" xr:uid="{00000000-0005-0000-0000-00001F660000}"/>
    <cellStyle name="Check Cell 3 2 20" xfId="26206" xr:uid="{00000000-0005-0000-0000-000020660000}"/>
    <cellStyle name="Check Cell 3 2 21" xfId="26207" xr:uid="{00000000-0005-0000-0000-000021660000}"/>
    <cellStyle name="Check Cell 3 2 22" xfId="26208" xr:uid="{00000000-0005-0000-0000-000022660000}"/>
    <cellStyle name="Check Cell 3 2 23" xfId="26209" xr:uid="{00000000-0005-0000-0000-000023660000}"/>
    <cellStyle name="Check Cell 3 2 24" xfId="26210" xr:uid="{00000000-0005-0000-0000-000024660000}"/>
    <cellStyle name="Check Cell 3 2 25" xfId="26211" xr:uid="{00000000-0005-0000-0000-000025660000}"/>
    <cellStyle name="Check Cell 3 2 26" xfId="26212" xr:uid="{00000000-0005-0000-0000-000026660000}"/>
    <cellStyle name="Check Cell 3 2 27" xfId="26213" xr:uid="{00000000-0005-0000-0000-000027660000}"/>
    <cellStyle name="Check Cell 3 2 28" xfId="26214" xr:uid="{00000000-0005-0000-0000-000028660000}"/>
    <cellStyle name="Check Cell 3 2 29" xfId="26215" xr:uid="{00000000-0005-0000-0000-000029660000}"/>
    <cellStyle name="Check Cell 3 2 3" xfId="26216" xr:uid="{00000000-0005-0000-0000-00002A660000}"/>
    <cellStyle name="Check Cell 3 2 30" xfId="26217" xr:uid="{00000000-0005-0000-0000-00002B660000}"/>
    <cellStyle name="Check Cell 3 2 31" xfId="26218" xr:uid="{00000000-0005-0000-0000-00002C660000}"/>
    <cellStyle name="Check Cell 3 2 32" xfId="26219" xr:uid="{00000000-0005-0000-0000-00002D660000}"/>
    <cellStyle name="Check Cell 3 2 33" xfId="26220" xr:uid="{00000000-0005-0000-0000-00002E660000}"/>
    <cellStyle name="Check Cell 3 2 34" xfId="26221" xr:uid="{00000000-0005-0000-0000-00002F660000}"/>
    <cellStyle name="Check Cell 3 2 35" xfId="26222" xr:uid="{00000000-0005-0000-0000-000030660000}"/>
    <cellStyle name="Check Cell 3 2 36" xfId="26223" xr:uid="{00000000-0005-0000-0000-000031660000}"/>
    <cellStyle name="Check Cell 3 2 37" xfId="26224" xr:uid="{00000000-0005-0000-0000-000032660000}"/>
    <cellStyle name="Check Cell 3 2 38" xfId="26225" xr:uid="{00000000-0005-0000-0000-000033660000}"/>
    <cellStyle name="Check Cell 3 2 39" xfId="26226" xr:uid="{00000000-0005-0000-0000-000034660000}"/>
    <cellStyle name="Check Cell 3 2 4" xfId="26227" xr:uid="{00000000-0005-0000-0000-000035660000}"/>
    <cellStyle name="Check Cell 3 2 40" xfId="26228" xr:uid="{00000000-0005-0000-0000-000036660000}"/>
    <cellStyle name="Check Cell 3 2 41" xfId="26229" xr:uid="{00000000-0005-0000-0000-000037660000}"/>
    <cellStyle name="Check Cell 3 2 42" xfId="26230" xr:uid="{00000000-0005-0000-0000-000038660000}"/>
    <cellStyle name="Check Cell 3 2 43" xfId="26231" xr:uid="{00000000-0005-0000-0000-000039660000}"/>
    <cellStyle name="Check Cell 3 2 44" xfId="26232" xr:uid="{00000000-0005-0000-0000-00003A660000}"/>
    <cellStyle name="Check Cell 3 2 45" xfId="26233" xr:uid="{00000000-0005-0000-0000-00003B660000}"/>
    <cellStyle name="Check Cell 3 2 46" xfId="26234" xr:uid="{00000000-0005-0000-0000-00003C660000}"/>
    <cellStyle name="Check Cell 3 2 47" xfId="26235" xr:uid="{00000000-0005-0000-0000-00003D660000}"/>
    <cellStyle name="Check Cell 3 2 48" xfId="26236" xr:uid="{00000000-0005-0000-0000-00003E660000}"/>
    <cellStyle name="Check Cell 3 2 49" xfId="26237" xr:uid="{00000000-0005-0000-0000-00003F660000}"/>
    <cellStyle name="Check Cell 3 2 5" xfId="26238" xr:uid="{00000000-0005-0000-0000-000040660000}"/>
    <cellStyle name="Check Cell 3 2 50" xfId="26239" xr:uid="{00000000-0005-0000-0000-000041660000}"/>
    <cellStyle name="Check Cell 3 2 51" xfId="26240" xr:uid="{00000000-0005-0000-0000-000042660000}"/>
    <cellStyle name="Check Cell 3 2 52" xfId="26241" xr:uid="{00000000-0005-0000-0000-000043660000}"/>
    <cellStyle name="Check Cell 3 2 53" xfId="26242" xr:uid="{00000000-0005-0000-0000-000044660000}"/>
    <cellStyle name="Check Cell 3 2 6" xfId="26243" xr:uid="{00000000-0005-0000-0000-000045660000}"/>
    <cellStyle name="Check Cell 3 2 7" xfId="26244" xr:uid="{00000000-0005-0000-0000-000046660000}"/>
    <cellStyle name="Check Cell 3 2 8" xfId="26245" xr:uid="{00000000-0005-0000-0000-000047660000}"/>
    <cellStyle name="Check Cell 3 2 9" xfId="26246" xr:uid="{00000000-0005-0000-0000-000048660000}"/>
    <cellStyle name="Check Cell 3 20" xfId="26247" xr:uid="{00000000-0005-0000-0000-000049660000}"/>
    <cellStyle name="Check Cell 3 20 10" xfId="26248" xr:uid="{00000000-0005-0000-0000-00004A660000}"/>
    <cellStyle name="Check Cell 3 20 11" xfId="26249" xr:uid="{00000000-0005-0000-0000-00004B660000}"/>
    <cellStyle name="Check Cell 3 20 12" xfId="26250" xr:uid="{00000000-0005-0000-0000-00004C660000}"/>
    <cellStyle name="Check Cell 3 20 13" xfId="26251" xr:uid="{00000000-0005-0000-0000-00004D660000}"/>
    <cellStyle name="Check Cell 3 20 14" xfId="26252" xr:uid="{00000000-0005-0000-0000-00004E660000}"/>
    <cellStyle name="Check Cell 3 20 15" xfId="26253" xr:uid="{00000000-0005-0000-0000-00004F660000}"/>
    <cellStyle name="Check Cell 3 20 2" xfId="26254" xr:uid="{00000000-0005-0000-0000-000050660000}"/>
    <cellStyle name="Check Cell 3 20 3" xfId="26255" xr:uid="{00000000-0005-0000-0000-000051660000}"/>
    <cellStyle name="Check Cell 3 20 4" xfId="26256" xr:uid="{00000000-0005-0000-0000-000052660000}"/>
    <cellStyle name="Check Cell 3 20 5" xfId="26257" xr:uid="{00000000-0005-0000-0000-000053660000}"/>
    <cellStyle name="Check Cell 3 20 6" xfId="26258" xr:uid="{00000000-0005-0000-0000-000054660000}"/>
    <cellStyle name="Check Cell 3 20 7" xfId="26259" xr:uid="{00000000-0005-0000-0000-000055660000}"/>
    <cellStyle name="Check Cell 3 20 8" xfId="26260" xr:uid="{00000000-0005-0000-0000-000056660000}"/>
    <cellStyle name="Check Cell 3 20 9" xfId="26261" xr:uid="{00000000-0005-0000-0000-000057660000}"/>
    <cellStyle name="Check Cell 3 21" xfId="26262" xr:uid="{00000000-0005-0000-0000-000058660000}"/>
    <cellStyle name="Check Cell 3 21 10" xfId="26263" xr:uid="{00000000-0005-0000-0000-000059660000}"/>
    <cellStyle name="Check Cell 3 21 11" xfId="26264" xr:uid="{00000000-0005-0000-0000-00005A660000}"/>
    <cellStyle name="Check Cell 3 21 12" xfId="26265" xr:uid="{00000000-0005-0000-0000-00005B660000}"/>
    <cellStyle name="Check Cell 3 21 13" xfId="26266" xr:uid="{00000000-0005-0000-0000-00005C660000}"/>
    <cellStyle name="Check Cell 3 21 14" xfId="26267" xr:uid="{00000000-0005-0000-0000-00005D660000}"/>
    <cellStyle name="Check Cell 3 21 15" xfId="26268" xr:uid="{00000000-0005-0000-0000-00005E660000}"/>
    <cellStyle name="Check Cell 3 21 2" xfId="26269" xr:uid="{00000000-0005-0000-0000-00005F660000}"/>
    <cellStyle name="Check Cell 3 21 3" xfId="26270" xr:uid="{00000000-0005-0000-0000-000060660000}"/>
    <cellStyle name="Check Cell 3 21 4" xfId="26271" xr:uid="{00000000-0005-0000-0000-000061660000}"/>
    <cellStyle name="Check Cell 3 21 5" xfId="26272" xr:uid="{00000000-0005-0000-0000-000062660000}"/>
    <cellStyle name="Check Cell 3 21 6" xfId="26273" xr:uid="{00000000-0005-0000-0000-000063660000}"/>
    <cellStyle name="Check Cell 3 21 7" xfId="26274" xr:uid="{00000000-0005-0000-0000-000064660000}"/>
    <cellStyle name="Check Cell 3 21 8" xfId="26275" xr:uid="{00000000-0005-0000-0000-000065660000}"/>
    <cellStyle name="Check Cell 3 21 9" xfId="26276" xr:uid="{00000000-0005-0000-0000-000066660000}"/>
    <cellStyle name="Check Cell 3 22" xfId="26277" xr:uid="{00000000-0005-0000-0000-000067660000}"/>
    <cellStyle name="Check Cell 3 22 10" xfId="26278" xr:uid="{00000000-0005-0000-0000-000068660000}"/>
    <cellStyle name="Check Cell 3 22 11" xfId="26279" xr:uid="{00000000-0005-0000-0000-000069660000}"/>
    <cellStyle name="Check Cell 3 22 12" xfId="26280" xr:uid="{00000000-0005-0000-0000-00006A660000}"/>
    <cellStyle name="Check Cell 3 22 13" xfId="26281" xr:uid="{00000000-0005-0000-0000-00006B660000}"/>
    <cellStyle name="Check Cell 3 22 14" xfId="26282" xr:uid="{00000000-0005-0000-0000-00006C660000}"/>
    <cellStyle name="Check Cell 3 22 15" xfId="26283" xr:uid="{00000000-0005-0000-0000-00006D660000}"/>
    <cellStyle name="Check Cell 3 22 2" xfId="26284" xr:uid="{00000000-0005-0000-0000-00006E660000}"/>
    <cellStyle name="Check Cell 3 22 3" xfId="26285" xr:uid="{00000000-0005-0000-0000-00006F660000}"/>
    <cellStyle name="Check Cell 3 22 4" xfId="26286" xr:uid="{00000000-0005-0000-0000-000070660000}"/>
    <cellStyle name="Check Cell 3 22 5" xfId="26287" xr:uid="{00000000-0005-0000-0000-000071660000}"/>
    <cellStyle name="Check Cell 3 22 6" xfId="26288" xr:uid="{00000000-0005-0000-0000-000072660000}"/>
    <cellStyle name="Check Cell 3 22 7" xfId="26289" xr:uid="{00000000-0005-0000-0000-000073660000}"/>
    <cellStyle name="Check Cell 3 22 8" xfId="26290" xr:uid="{00000000-0005-0000-0000-000074660000}"/>
    <cellStyle name="Check Cell 3 22 9" xfId="26291" xr:uid="{00000000-0005-0000-0000-000075660000}"/>
    <cellStyle name="Check Cell 3 23" xfId="26292" xr:uid="{00000000-0005-0000-0000-000076660000}"/>
    <cellStyle name="Check Cell 3 23 10" xfId="26293" xr:uid="{00000000-0005-0000-0000-000077660000}"/>
    <cellStyle name="Check Cell 3 23 11" xfId="26294" xr:uid="{00000000-0005-0000-0000-000078660000}"/>
    <cellStyle name="Check Cell 3 23 12" xfId="26295" xr:uid="{00000000-0005-0000-0000-000079660000}"/>
    <cellStyle name="Check Cell 3 23 13" xfId="26296" xr:uid="{00000000-0005-0000-0000-00007A660000}"/>
    <cellStyle name="Check Cell 3 23 14" xfId="26297" xr:uid="{00000000-0005-0000-0000-00007B660000}"/>
    <cellStyle name="Check Cell 3 23 15" xfId="26298" xr:uid="{00000000-0005-0000-0000-00007C660000}"/>
    <cellStyle name="Check Cell 3 23 2" xfId="26299" xr:uid="{00000000-0005-0000-0000-00007D660000}"/>
    <cellStyle name="Check Cell 3 23 3" xfId="26300" xr:uid="{00000000-0005-0000-0000-00007E660000}"/>
    <cellStyle name="Check Cell 3 23 4" xfId="26301" xr:uid="{00000000-0005-0000-0000-00007F660000}"/>
    <cellStyle name="Check Cell 3 23 5" xfId="26302" xr:uid="{00000000-0005-0000-0000-000080660000}"/>
    <cellStyle name="Check Cell 3 23 6" xfId="26303" xr:uid="{00000000-0005-0000-0000-000081660000}"/>
    <cellStyle name="Check Cell 3 23 7" xfId="26304" xr:uid="{00000000-0005-0000-0000-000082660000}"/>
    <cellStyle name="Check Cell 3 23 8" xfId="26305" xr:uid="{00000000-0005-0000-0000-000083660000}"/>
    <cellStyle name="Check Cell 3 23 9" xfId="26306" xr:uid="{00000000-0005-0000-0000-000084660000}"/>
    <cellStyle name="Check Cell 3 24" xfId="26307" xr:uid="{00000000-0005-0000-0000-000085660000}"/>
    <cellStyle name="Check Cell 3 24 10" xfId="26308" xr:uid="{00000000-0005-0000-0000-000086660000}"/>
    <cellStyle name="Check Cell 3 24 11" xfId="26309" xr:uid="{00000000-0005-0000-0000-000087660000}"/>
    <cellStyle name="Check Cell 3 24 12" xfId="26310" xr:uid="{00000000-0005-0000-0000-000088660000}"/>
    <cellStyle name="Check Cell 3 24 13" xfId="26311" xr:uid="{00000000-0005-0000-0000-000089660000}"/>
    <cellStyle name="Check Cell 3 24 14" xfId="26312" xr:uid="{00000000-0005-0000-0000-00008A660000}"/>
    <cellStyle name="Check Cell 3 24 15" xfId="26313" xr:uid="{00000000-0005-0000-0000-00008B660000}"/>
    <cellStyle name="Check Cell 3 24 2" xfId="26314" xr:uid="{00000000-0005-0000-0000-00008C660000}"/>
    <cellStyle name="Check Cell 3 24 3" xfId="26315" xr:uid="{00000000-0005-0000-0000-00008D660000}"/>
    <cellStyle name="Check Cell 3 24 4" xfId="26316" xr:uid="{00000000-0005-0000-0000-00008E660000}"/>
    <cellStyle name="Check Cell 3 24 5" xfId="26317" xr:uid="{00000000-0005-0000-0000-00008F660000}"/>
    <cellStyle name="Check Cell 3 24 6" xfId="26318" xr:uid="{00000000-0005-0000-0000-000090660000}"/>
    <cellStyle name="Check Cell 3 24 7" xfId="26319" xr:uid="{00000000-0005-0000-0000-000091660000}"/>
    <cellStyle name="Check Cell 3 24 8" xfId="26320" xr:uid="{00000000-0005-0000-0000-000092660000}"/>
    <cellStyle name="Check Cell 3 24 9" xfId="26321" xr:uid="{00000000-0005-0000-0000-000093660000}"/>
    <cellStyle name="Check Cell 3 25" xfId="26322" xr:uid="{00000000-0005-0000-0000-000094660000}"/>
    <cellStyle name="Check Cell 3 25 10" xfId="26323" xr:uid="{00000000-0005-0000-0000-000095660000}"/>
    <cellStyle name="Check Cell 3 25 11" xfId="26324" xr:uid="{00000000-0005-0000-0000-000096660000}"/>
    <cellStyle name="Check Cell 3 25 12" xfId="26325" xr:uid="{00000000-0005-0000-0000-000097660000}"/>
    <cellStyle name="Check Cell 3 25 13" xfId="26326" xr:uid="{00000000-0005-0000-0000-000098660000}"/>
    <cellStyle name="Check Cell 3 25 14" xfId="26327" xr:uid="{00000000-0005-0000-0000-000099660000}"/>
    <cellStyle name="Check Cell 3 25 15" xfId="26328" xr:uid="{00000000-0005-0000-0000-00009A660000}"/>
    <cellStyle name="Check Cell 3 25 2" xfId="26329" xr:uid="{00000000-0005-0000-0000-00009B660000}"/>
    <cellStyle name="Check Cell 3 25 3" xfId="26330" xr:uid="{00000000-0005-0000-0000-00009C660000}"/>
    <cellStyle name="Check Cell 3 25 4" xfId="26331" xr:uid="{00000000-0005-0000-0000-00009D660000}"/>
    <cellStyle name="Check Cell 3 25 5" xfId="26332" xr:uid="{00000000-0005-0000-0000-00009E660000}"/>
    <cellStyle name="Check Cell 3 25 6" xfId="26333" xr:uid="{00000000-0005-0000-0000-00009F660000}"/>
    <cellStyle name="Check Cell 3 25 7" xfId="26334" xr:uid="{00000000-0005-0000-0000-0000A0660000}"/>
    <cellStyle name="Check Cell 3 25 8" xfId="26335" xr:uid="{00000000-0005-0000-0000-0000A1660000}"/>
    <cellStyle name="Check Cell 3 25 9" xfId="26336" xr:uid="{00000000-0005-0000-0000-0000A2660000}"/>
    <cellStyle name="Check Cell 3 26" xfId="26337" xr:uid="{00000000-0005-0000-0000-0000A3660000}"/>
    <cellStyle name="Check Cell 3 26 10" xfId="26338" xr:uid="{00000000-0005-0000-0000-0000A4660000}"/>
    <cellStyle name="Check Cell 3 26 11" xfId="26339" xr:uid="{00000000-0005-0000-0000-0000A5660000}"/>
    <cellStyle name="Check Cell 3 26 12" xfId="26340" xr:uid="{00000000-0005-0000-0000-0000A6660000}"/>
    <cellStyle name="Check Cell 3 26 13" xfId="26341" xr:uid="{00000000-0005-0000-0000-0000A7660000}"/>
    <cellStyle name="Check Cell 3 26 14" xfId="26342" xr:uid="{00000000-0005-0000-0000-0000A8660000}"/>
    <cellStyle name="Check Cell 3 26 15" xfId="26343" xr:uid="{00000000-0005-0000-0000-0000A9660000}"/>
    <cellStyle name="Check Cell 3 26 2" xfId="26344" xr:uid="{00000000-0005-0000-0000-0000AA660000}"/>
    <cellStyle name="Check Cell 3 26 3" xfId="26345" xr:uid="{00000000-0005-0000-0000-0000AB660000}"/>
    <cellStyle name="Check Cell 3 26 4" xfId="26346" xr:uid="{00000000-0005-0000-0000-0000AC660000}"/>
    <cellStyle name="Check Cell 3 26 5" xfId="26347" xr:uid="{00000000-0005-0000-0000-0000AD660000}"/>
    <cellStyle name="Check Cell 3 26 6" xfId="26348" xr:uid="{00000000-0005-0000-0000-0000AE660000}"/>
    <cellStyle name="Check Cell 3 26 7" xfId="26349" xr:uid="{00000000-0005-0000-0000-0000AF660000}"/>
    <cellStyle name="Check Cell 3 26 8" xfId="26350" xr:uid="{00000000-0005-0000-0000-0000B0660000}"/>
    <cellStyle name="Check Cell 3 26 9" xfId="26351" xr:uid="{00000000-0005-0000-0000-0000B1660000}"/>
    <cellStyle name="Check Cell 3 27" xfId="26352" xr:uid="{00000000-0005-0000-0000-0000B2660000}"/>
    <cellStyle name="Check Cell 3 27 10" xfId="26353" xr:uid="{00000000-0005-0000-0000-0000B3660000}"/>
    <cellStyle name="Check Cell 3 27 11" xfId="26354" xr:uid="{00000000-0005-0000-0000-0000B4660000}"/>
    <cellStyle name="Check Cell 3 27 12" xfId="26355" xr:uid="{00000000-0005-0000-0000-0000B5660000}"/>
    <cellStyle name="Check Cell 3 27 13" xfId="26356" xr:uid="{00000000-0005-0000-0000-0000B6660000}"/>
    <cellStyle name="Check Cell 3 27 14" xfId="26357" xr:uid="{00000000-0005-0000-0000-0000B7660000}"/>
    <cellStyle name="Check Cell 3 27 15" xfId="26358" xr:uid="{00000000-0005-0000-0000-0000B8660000}"/>
    <cellStyle name="Check Cell 3 27 2" xfId="26359" xr:uid="{00000000-0005-0000-0000-0000B9660000}"/>
    <cellStyle name="Check Cell 3 27 3" xfId="26360" xr:uid="{00000000-0005-0000-0000-0000BA660000}"/>
    <cellStyle name="Check Cell 3 27 4" xfId="26361" xr:uid="{00000000-0005-0000-0000-0000BB660000}"/>
    <cellStyle name="Check Cell 3 27 5" xfId="26362" xr:uid="{00000000-0005-0000-0000-0000BC660000}"/>
    <cellStyle name="Check Cell 3 27 6" xfId="26363" xr:uid="{00000000-0005-0000-0000-0000BD660000}"/>
    <cellStyle name="Check Cell 3 27 7" xfId="26364" xr:uid="{00000000-0005-0000-0000-0000BE660000}"/>
    <cellStyle name="Check Cell 3 27 8" xfId="26365" xr:uid="{00000000-0005-0000-0000-0000BF660000}"/>
    <cellStyle name="Check Cell 3 27 9" xfId="26366" xr:uid="{00000000-0005-0000-0000-0000C0660000}"/>
    <cellStyle name="Check Cell 3 28" xfId="26367" xr:uid="{00000000-0005-0000-0000-0000C1660000}"/>
    <cellStyle name="Check Cell 3 28 10" xfId="26368" xr:uid="{00000000-0005-0000-0000-0000C2660000}"/>
    <cellStyle name="Check Cell 3 28 11" xfId="26369" xr:uid="{00000000-0005-0000-0000-0000C3660000}"/>
    <cellStyle name="Check Cell 3 28 12" xfId="26370" xr:uid="{00000000-0005-0000-0000-0000C4660000}"/>
    <cellStyle name="Check Cell 3 28 13" xfId="26371" xr:uid="{00000000-0005-0000-0000-0000C5660000}"/>
    <cellStyle name="Check Cell 3 28 14" xfId="26372" xr:uid="{00000000-0005-0000-0000-0000C6660000}"/>
    <cellStyle name="Check Cell 3 28 15" xfId="26373" xr:uid="{00000000-0005-0000-0000-0000C7660000}"/>
    <cellStyle name="Check Cell 3 28 2" xfId="26374" xr:uid="{00000000-0005-0000-0000-0000C8660000}"/>
    <cellStyle name="Check Cell 3 28 3" xfId="26375" xr:uid="{00000000-0005-0000-0000-0000C9660000}"/>
    <cellStyle name="Check Cell 3 28 4" xfId="26376" xr:uid="{00000000-0005-0000-0000-0000CA660000}"/>
    <cellStyle name="Check Cell 3 28 5" xfId="26377" xr:uid="{00000000-0005-0000-0000-0000CB660000}"/>
    <cellStyle name="Check Cell 3 28 6" xfId="26378" xr:uid="{00000000-0005-0000-0000-0000CC660000}"/>
    <cellStyle name="Check Cell 3 28 7" xfId="26379" xr:uid="{00000000-0005-0000-0000-0000CD660000}"/>
    <cellStyle name="Check Cell 3 28 8" xfId="26380" xr:uid="{00000000-0005-0000-0000-0000CE660000}"/>
    <cellStyle name="Check Cell 3 28 9" xfId="26381" xr:uid="{00000000-0005-0000-0000-0000CF660000}"/>
    <cellStyle name="Check Cell 3 29" xfId="26382" xr:uid="{00000000-0005-0000-0000-0000D0660000}"/>
    <cellStyle name="Check Cell 3 29 10" xfId="26383" xr:uid="{00000000-0005-0000-0000-0000D1660000}"/>
    <cellStyle name="Check Cell 3 29 11" xfId="26384" xr:uid="{00000000-0005-0000-0000-0000D2660000}"/>
    <cellStyle name="Check Cell 3 29 12" xfId="26385" xr:uid="{00000000-0005-0000-0000-0000D3660000}"/>
    <cellStyle name="Check Cell 3 29 13" xfId="26386" xr:uid="{00000000-0005-0000-0000-0000D4660000}"/>
    <cellStyle name="Check Cell 3 29 14" xfId="26387" xr:uid="{00000000-0005-0000-0000-0000D5660000}"/>
    <cellStyle name="Check Cell 3 29 15" xfId="26388" xr:uid="{00000000-0005-0000-0000-0000D6660000}"/>
    <cellStyle name="Check Cell 3 29 2" xfId="26389" xr:uid="{00000000-0005-0000-0000-0000D7660000}"/>
    <cellStyle name="Check Cell 3 29 3" xfId="26390" xr:uid="{00000000-0005-0000-0000-0000D8660000}"/>
    <cellStyle name="Check Cell 3 29 4" xfId="26391" xr:uid="{00000000-0005-0000-0000-0000D9660000}"/>
    <cellStyle name="Check Cell 3 29 5" xfId="26392" xr:uid="{00000000-0005-0000-0000-0000DA660000}"/>
    <cellStyle name="Check Cell 3 29 6" xfId="26393" xr:uid="{00000000-0005-0000-0000-0000DB660000}"/>
    <cellStyle name="Check Cell 3 29 7" xfId="26394" xr:uid="{00000000-0005-0000-0000-0000DC660000}"/>
    <cellStyle name="Check Cell 3 29 8" xfId="26395" xr:uid="{00000000-0005-0000-0000-0000DD660000}"/>
    <cellStyle name="Check Cell 3 29 9" xfId="26396" xr:uid="{00000000-0005-0000-0000-0000DE660000}"/>
    <cellStyle name="Check Cell 3 3" xfId="26397" xr:uid="{00000000-0005-0000-0000-0000DF660000}"/>
    <cellStyle name="Check Cell 3 3 10" xfId="26398" xr:uid="{00000000-0005-0000-0000-0000E0660000}"/>
    <cellStyle name="Check Cell 3 3 11" xfId="26399" xr:uid="{00000000-0005-0000-0000-0000E1660000}"/>
    <cellStyle name="Check Cell 3 3 12" xfId="26400" xr:uid="{00000000-0005-0000-0000-0000E2660000}"/>
    <cellStyle name="Check Cell 3 3 13" xfId="26401" xr:uid="{00000000-0005-0000-0000-0000E3660000}"/>
    <cellStyle name="Check Cell 3 3 14" xfId="26402" xr:uid="{00000000-0005-0000-0000-0000E4660000}"/>
    <cellStyle name="Check Cell 3 3 15" xfId="26403" xr:uid="{00000000-0005-0000-0000-0000E5660000}"/>
    <cellStyle name="Check Cell 3 3 16" xfId="26404" xr:uid="{00000000-0005-0000-0000-0000E6660000}"/>
    <cellStyle name="Check Cell 3 3 2" xfId="26405" xr:uid="{00000000-0005-0000-0000-0000E7660000}"/>
    <cellStyle name="Check Cell 3 3 3" xfId="26406" xr:uid="{00000000-0005-0000-0000-0000E8660000}"/>
    <cellStyle name="Check Cell 3 3 4" xfId="26407" xr:uid="{00000000-0005-0000-0000-0000E9660000}"/>
    <cellStyle name="Check Cell 3 3 5" xfId="26408" xr:uid="{00000000-0005-0000-0000-0000EA660000}"/>
    <cellStyle name="Check Cell 3 3 6" xfId="26409" xr:uid="{00000000-0005-0000-0000-0000EB660000}"/>
    <cellStyle name="Check Cell 3 3 7" xfId="26410" xr:uid="{00000000-0005-0000-0000-0000EC660000}"/>
    <cellStyle name="Check Cell 3 3 8" xfId="26411" xr:uid="{00000000-0005-0000-0000-0000ED660000}"/>
    <cellStyle name="Check Cell 3 3 9" xfId="26412" xr:uid="{00000000-0005-0000-0000-0000EE660000}"/>
    <cellStyle name="Check Cell 3 30" xfId="26413" xr:uid="{00000000-0005-0000-0000-0000EF660000}"/>
    <cellStyle name="Check Cell 3 30 10" xfId="26414" xr:uid="{00000000-0005-0000-0000-0000F0660000}"/>
    <cellStyle name="Check Cell 3 30 11" xfId="26415" xr:uid="{00000000-0005-0000-0000-0000F1660000}"/>
    <cellStyle name="Check Cell 3 30 12" xfId="26416" xr:uid="{00000000-0005-0000-0000-0000F2660000}"/>
    <cellStyle name="Check Cell 3 30 13" xfId="26417" xr:uid="{00000000-0005-0000-0000-0000F3660000}"/>
    <cellStyle name="Check Cell 3 30 14" xfId="26418" xr:uid="{00000000-0005-0000-0000-0000F4660000}"/>
    <cellStyle name="Check Cell 3 30 15" xfId="26419" xr:uid="{00000000-0005-0000-0000-0000F5660000}"/>
    <cellStyle name="Check Cell 3 30 2" xfId="26420" xr:uid="{00000000-0005-0000-0000-0000F6660000}"/>
    <cellStyle name="Check Cell 3 30 3" xfId="26421" xr:uid="{00000000-0005-0000-0000-0000F7660000}"/>
    <cellStyle name="Check Cell 3 30 4" xfId="26422" xr:uid="{00000000-0005-0000-0000-0000F8660000}"/>
    <cellStyle name="Check Cell 3 30 5" xfId="26423" xr:uid="{00000000-0005-0000-0000-0000F9660000}"/>
    <cellStyle name="Check Cell 3 30 6" xfId="26424" xr:uid="{00000000-0005-0000-0000-0000FA660000}"/>
    <cellStyle name="Check Cell 3 30 7" xfId="26425" xr:uid="{00000000-0005-0000-0000-0000FB660000}"/>
    <cellStyle name="Check Cell 3 30 8" xfId="26426" xr:uid="{00000000-0005-0000-0000-0000FC660000}"/>
    <cellStyle name="Check Cell 3 30 9" xfId="26427" xr:uid="{00000000-0005-0000-0000-0000FD660000}"/>
    <cellStyle name="Check Cell 3 31" xfId="26428" xr:uid="{00000000-0005-0000-0000-0000FE660000}"/>
    <cellStyle name="Check Cell 3 31 10" xfId="26429" xr:uid="{00000000-0005-0000-0000-0000FF660000}"/>
    <cellStyle name="Check Cell 3 31 11" xfId="26430" xr:uid="{00000000-0005-0000-0000-000000670000}"/>
    <cellStyle name="Check Cell 3 31 12" xfId="26431" xr:uid="{00000000-0005-0000-0000-000001670000}"/>
    <cellStyle name="Check Cell 3 31 13" xfId="26432" xr:uid="{00000000-0005-0000-0000-000002670000}"/>
    <cellStyle name="Check Cell 3 31 14" xfId="26433" xr:uid="{00000000-0005-0000-0000-000003670000}"/>
    <cellStyle name="Check Cell 3 31 15" xfId="26434" xr:uid="{00000000-0005-0000-0000-000004670000}"/>
    <cellStyle name="Check Cell 3 31 2" xfId="26435" xr:uid="{00000000-0005-0000-0000-000005670000}"/>
    <cellStyle name="Check Cell 3 31 3" xfId="26436" xr:uid="{00000000-0005-0000-0000-000006670000}"/>
    <cellStyle name="Check Cell 3 31 4" xfId="26437" xr:uid="{00000000-0005-0000-0000-000007670000}"/>
    <cellStyle name="Check Cell 3 31 5" xfId="26438" xr:uid="{00000000-0005-0000-0000-000008670000}"/>
    <cellStyle name="Check Cell 3 31 6" xfId="26439" xr:uid="{00000000-0005-0000-0000-000009670000}"/>
    <cellStyle name="Check Cell 3 31 7" xfId="26440" xr:uid="{00000000-0005-0000-0000-00000A670000}"/>
    <cellStyle name="Check Cell 3 31 8" xfId="26441" xr:uid="{00000000-0005-0000-0000-00000B670000}"/>
    <cellStyle name="Check Cell 3 31 9" xfId="26442" xr:uid="{00000000-0005-0000-0000-00000C670000}"/>
    <cellStyle name="Check Cell 3 32" xfId="26443" xr:uid="{00000000-0005-0000-0000-00000D670000}"/>
    <cellStyle name="Check Cell 3 32 10" xfId="26444" xr:uid="{00000000-0005-0000-0000-00000E670000}"/>
    <cellStyle name="Check Cell 3 32 11" xfId="26445" xr:uid="{00000000-0005-0000-0000-00000F670000}"/>
    <cellStyle name="Check Cell 3 32 12" xfId="26446" xr:uid="{00000000-0005-0000-0000-000010670000}"/>
    <cellStyle name="Check Cell 3 32 13" xfId="26447" xr:uid="{00000000-0005-0000-0000-000011670000}"/>
    <cellStyle name="Check Cell 3 32 14" xfId="26448" xr:uid="{00000000-0005-0000-0000-000012670000}"/>
    <cellStyle name="Check Cell 3 32 15" xfId="26449" xr:uid="{00000000-0005-0000-0000-000013670000}"/>
    <cellStyle name="Check Cell 3 32 2" xfId="26450" xr:uid="{00000000-0005-0000-0000-000014670000}"/>
    <cellStyle name="Check Cell 3 32 3" xfId="26451" xr:uid="{00000000-0005-0000-0000-000015670000}"/>
    <cellStyle name="Check Cell 3 32 4" xfId="26452" xr:uid="{00000000-0005-0000-0000-000016670000}"/>
    <cellStyle name="Check Cell 3 32 5" xfId="26453" xr:uid="{00000000-0005-0000-0000-000017670000}"/>
    <cellStyle name="Check Cell 3 32 6" xfId="26454" xr:uid="{00000000-0005-0000-0000-000018670000}"/>
    <cellStyle name="Check Cell 3 32 7" xfId="26455" xr:uid="{00000000-0005-0000-0000-000019670000}"/>
    <cellStyle name="Check Cell 3 32 8" xfId="26456" xr:uid="{00000000-0005-0000-0000-00001A670000}"/>
    <cellStyle name="Check Cell 3 32 9" xfId="26457" xr:uid="{00000000-0005-0000-0000-00001B670000}"/>
    <cellStyle name="Check Cell 3 33" xfId="26458" xr:uid="{00000000-0005-0000-0000-00001C670000}"/>
    <cellStyle name="Check Cell 3 34" xfId="26459" xr:uid="{00000000-0005-0000-0000-00001D670000}"/>
    <cellStyle name="Check Cell 3 35" xfId="26460" xr:uid="{00000000-0005-0000-0000-00001E670000}"/>
    <cellStyle name="Check Cell 3 36" xfId="26461" xr:uid="{00000000-0005-0000-0000-00001F670000}"/>
    <cellStyle name="Check Cell 3 37" xfId="26462" xr:uid="{00000000-0005-0000-0000-000020670000}"/>
    <cellStyle name="Check Cell 3 38" xfId="26463" xr:uid="{00000000-0005-0000-0000-000021670000}"/>
    <cellStyle name="Check Cell 3 39" xfId="26464" xr:uid="{00000000-0005-0000-0000-000022670000}"/>
    <cellStyle name="Check Cell 3 4" xfId="26465" xr:uid="{00000000-0005-0000-0000-000023670000}"/>
    <cellStyle name="Check Cell 3 4 10" xfId="26466" xr:uid="{00000000-0005-0000-0000-000024670000}"/>
    <cellStyle name="Check Cell 3 4 11" xfId="26467" xr:uid="{00000000-0005-0000-0000-000025670000}"/>
    <cellStyle name="Check Cell 3 4 12" xfId="26468" xr:uid="{00000000-0005-0000-0000-000026670000}"/>
    <cellStyle name="Check Cell 3 4 13" xfId="26469" xr:uid="{00000000-0005-0000-0000-000027670000}"/>
    <cellStyle name="Check Cell 3 4 14" xfId="26470" xr:uid="{00000000-0005-0000-0000-000028670000}"/>
    <cellStyle name="Check Cell 3 4 15" xfId="26471" xr:uid="{00000000-0005-0000-0000-000029670000}"/>
    <cellStyle name="Check Cell 3 4 2" xfId="26472" xr:uid="{00000000-0005-0000-0000-00002A670000}"/>
    <cellStyle name="Check Cell 3 4 3" xfId="26473" xr:uid="{00000000-0005-0000-0000-00002B670000}"/>
    <cellStyle name="Check Cell 3 4 4" xfId="26474" xr:uid="{00000000-0005-0000-0000-00002C670000}"/>
    <cellStyle name="Check Cell 3 4 5" xfId="26475" xr:uid="{00000000-0005-0000-0000-00002D670000}"/>
    <cellStyle name="Check Cell 3 4 6" xfId="26476" xr:uid="{00000000-0005-0000-0000-00002E670000}"/>
    <cellStyle name="Check Cell 3 4 7" xfId="26477" xr:uid="{00000000-0005-0000-0000-00002F670000}"/>
    <cellStyle name="Check Cell 3 4 8" xfId="26478" xr:uid="{00000000-0005-0000-0000-000030670000}"/>
    <cellStyle name="Check Cell 3 4 9" xfId="26479" xr:uid="{00000000-0005-0000-0000-000031670000}"/>
    <cellStyle name="Check Cell 3 40" xfId="26480" xr:uid="{00000000-0005-0000-0000-000032670000}"/>
    <cellStyle name="Check Cell 3 41" xfId="26481" xr:uid="{00000000-0005-0000-0000-000033670000}"/>
    <cellStyle name="Check Cell 3 42" xfId="26482" xr:uid="{00000000-0005-0000-0000-000034670000}"/>
    <cellStyle name="Check Cell 3 43" xfId="26483" xr:uid="{00000000-0005-0000-0000-000035670000}"/>
    <cellStyle name="Check Cell 3 44" xfId="26484" xr:uid="{00000000-0005-0000-0000-000036670000}"/>
    <cellStyle name="Check Cell 3 45" xfId="26485" xr:uid="{00000000-0005-0000-0000-000037670000}"/>
    <cellStyle name="Check Cell 3 46" xfId="26486" xr:uid="{00000000-0005-0000-0000-000038670000}"/>
    <cellStyle name="Check Cell 3 47" xfId="26487" xr:uid="{00000000-0005-0000-0000-000039670000}"/>
    <cellStyle name="Check Cell 3 48" xfId="26488" xr:uid="{00000000-0005-0000-0000-00003A670000}"/>
    <cellStyle name="Check Cell 3 49" xfId="26489" xr:uid="{00000000-0005-0000-0000-00003B670000}"/>
    <cellStyle name="Check Cell 3 5" xfId="26490" xr:uid="{00000000-0005-0000-0000-00003C670000}"/>
    <cellStyle name="Check Cell 3 5 10" xfId="26491" xr:uid="{00000000-0005-0000-0000-00003D670000}"/>
    <cellStyle name="Check Cell 3 5 11" xfId="26492" xr:uid="{00000000-0005-0000-0000-00003E670000}"/>
    <cellStyle name="Check Cell 3 5 12" xfId="26493" xr:uid="{00000000-0005-0000-0000-00003F670000}"/>
    <cellStyle name="Check Cell 3 5 13" xfId="26494" xr:uid="{00000000-0005-0000-0000-000040670000}"/>
    <cellStyle name="Check Cell 3 5 14" xfId="26495" xr:uid="{00000000-0005-0000-0000-000041670000}"/>
    <cellStyle name="Check Cell 3 5 15" xfId="26496" xr:uid="{00000000-0005-0000-0000-000042670000}"/>
    <cellStyle name="Check Cell 3 5 2" xfId="26497" xr:uid="{00000000-0005-0000-0000-000043670000}"/>
    <cellStyle name="Check Cell 3 5 3" xfId="26498" xr:uid="{00000000-0005-0000-0000-000044670000}"/>
    <cellStyle name="Check Cell 3 5 4" xfId="26499" xr:uid="{00000000-0005-0000-0000-000045670000}"/>
    <cellStyle name="Check Cell 3 5 5" xfId="26500" xr:uid="{00000000-0005-0000-0000-000046670000}"/>
    <cellStyle name="Check Cell 3 5 6" xfId="26501" xr:uid="{00000000-0005-0000-0000-000047670000}"/>
    <cellStyle name="Check Cell 3 5 7" xfId="26502" xr:uid="{00000000-0005-0000-0000-000048670000}"/>
    <cellStyle name="Check Cell 3 5 8" xfId="26503" xr:uid="{00000000-0005-0000-0000-000049670000}"/>
    <cellStyle name="Check Cell 3 5 9" xfId="26504" xr:uid="{00000000-0005-0000-0000-00004A670000}"/>
    <cellStyle name="Check Cell 3 50" xfId="26505" xr:uid="{00000000-0005-0000-0000-00004B670000}"/>
    <cellStyle name="Check Cell 3 51" xfId="26506" xr:uid="{00000000-0005-0000-0000-00004C670000}"/>
    <cellStyle name="Check Cell 3 52" xfId="26507" xr:uid="{00000000-0005-0000-0000-00004D670000}"/>
    <cellStyle name="Check Cell 3 53" xfId="26508" xr:uid="{00000000-0005-0000-0000-00004E670000}"/>
    <cellStyle name="Check Cell 3 6" xfId="26509" xr:uid="{00000000-0005-0000-0000-00004F670000}"/>
    <cellStyle name="Check Cell 3 6 10" xfId="26510" xr:uid="{00000000-0005-0000-0000-000050670000}"/>
    <cellStyle name="Check Cell 3 6 11" xfId="26511" xr:uid="{00000000-0005-0000-0000-000051670000}"/>
    <cellStyle name="Check Cell 3 6 12" xfId="26512" xr:uid="{00000000-0005-0000-0000-000052670000}"/>
    <cellStyle name="Check Cell 3 6 13" xfId="26513" xr:uid="{00000000-0005-0000-0000-000053670000}"/>
    <cellStyle name="Check Cell 3 6 14" xfId="26514" xr:uid="{00000000-0005-0000-0000-000054670000}"/>
    <cellStyle name="Check Cell 3 6 15" xfId="26515" xr:uid="{00000000-0005-0000-0000-000055670000}"/>
    <cellStyle name="Check Cell 3 6 2" xfId="26516" xr:uid="{00000000-0005-0000-0000-000056670000}"/>
    <cellStyle name="Check Cell 3 6 3" xfId="26517" xr:uid="{00000000-0005-0000-0000-000057670000}"/>
    <cellStyle name="Check Cell 3 6 4" xfId="26518" xr:uid="{00000000-0005-0000-0000-000058670000}"/>
    <cellStyle name="Check Cell 3 6 5" xfId="26519" xr:uid="{00000000-0005-0000-0000-000059670000}"/>
    <cellStyle name="Check Cell 3 6 6" xfId="26520" xr:uid="{00000000-0005-0000-0000-00005A670000}"/>
    <cellStyle name="Check Cell 3 6 7" xfId="26521" xr:uid="{00000000-0005-0000-0000-00005B670000}"/>
    <cellStyle name="Check Cell 3 6 8" xfId="26522" xr:uid="{00000000-0005-0000-0000-00005C670000}"/>
    <cellStyle name="Check Cell 3 6 9" xfId="26523" xr:uid="{00000000-0005-0000-0000-00005D670000}"/>
    <cellStyle name="Check Cell 3 7" xfId="26524" xr:uid="{00000000-0005-0000-0000-00005E670000}"/>
    <cellStyle name="Check Cell 3 7 10" xfId="26525" xr:uid="{00000000-0005-0000-0000-00005F670000}"/>
    <cellStyle name="Check Cell 3 7 11" xfId="26526" xr:uid="{00000000-0005-0000-0000-000060670000}"/>
    <cellStyle name="Check Cell 3 7 12" xfId="26527" xr:uid="{00000000-0005-0000-0000-000061670000}"/>
    <cellStyle name="Check Cell 3 7 13" xfId="26528" xr:uid="{00000000-0005-0000-0000-000062670000}"/>
    <cellStyle name="Check Cell 3 7 14" xfId="26529" xr:uid="{00000000-0005-0000-0000-000063670000}"/>
    <cellStyle name="Check Cell 3 7 15" xfId="26530" xr:uid="{00000000-0005-0000-0000-000064670000}"/>
    <cellStyle name="Check Cell 3 7 2" xfId="26531" xr:uid="{00000000-0005-0000-0000-000065670000}"/>
    <cellStyle name="Check Cell 3 7 3" xfId="26532" xr:uid="{00000000-0005-0000-0000-000066670000}"/>
    <cellStyle name="Check Cell 3 7 4" xfId="26533" xr:uid="{00000000-0005-0000-0000-000067670000}"/>
    <cellStyle name="Check Cell 3 7 5" xfId="26534" xr:uid="{00000000-0005-0000-0000-000068670000}"/>
    <cellStyle name="Check Cell 3 7 6" xfId="26535" xr:uid="{00000000-0005-0000-0000-000069670000}"/>
    <cellStyle name="Check Cell 3 7 7" xfId="26536" xr:uid="{00000000-0005-0000-0000-00006A670000}"/>
    <cellStyle name="Check Cell 3 7 8" xfId="26537" xr:uid="{00000000-0005-0000-0000-00006B670000}"/>
    <cellStyle name="Check Cell 3 7 9" xfId="26538" xr:uid="{00000000-0005-0000-0000-00006C670000}"/>
    <cellStyle name="Check Cell 3 8" xfId="26539" xr:uid="{00000000-0005-0000-0000-00006D670000}"/>
    <cellStyle name="Check Cell 3 8 10" xfId="26540" xr:uid="{00000000-0005-0000-0000-00006E670000}"/>
    <cellStyle name="Check Cell 3 8 11" xfId="26541" xr:uid="{00000000-0005-0000-0000-00006F670000}"/>
    <cellStyle name="Check Cell 3 8 12" xfId="26542" xr:uid="{00000000-0005-0000-0000-000070670000}"/>
    <cellStyle name="Check Cell 3 8 13" xfId="26543" xr:uid="{00000000-0005-0000-0000-000071670000}"/>
    <cellStyle name="Check Cell 3 8 14" xfId="26544" xr:uid="{00000000-0005-0000-0000-000072670000}"/>
    <cellStyle name="Check Cell 3 8 15" xfId="26545" xr:uid="{00000000-0005-0000-0000-000073670000}"/>
    <cellStyle name="Check Cell 3 8 2" xfId="26546" xr:uid="{00000000-0005-0000-0000-000074670000}"/>
    <cellStyle name="Check Cell 3 8 3" xfId="26547" xr:uid="{00000000-0005-0000-0000-000075670000}"/>
    <cellStyle name="Check Cell 3 8 4" xfId="26548" xr:uid="{00000000-0005-0000-0000-000076670000}"/>
    <cellStyle name="Check Cell 3 8 5" xfId="26549" xr:uid="{00000000-0005-0000-0000-000077670000}"/>
    <cellStyle name="Check Cell 3 8 6" xfId="26550" xr:uid="{00000000-0005-0000-0000-000078670000}"/>
    <cellStyle name="Check Cell 3 8 7" xfId="26551" xr:uid="{00000000-0005-0000-0000-000079670000}"/>
    <cellStyle name="Check Cell 3 8 8" xfId="26552" xr:uid="{00000000-0005-0000-0000-00007A670000}"/>
    <cellStyle name="Check Cell 3 8 9" xfId="26553" xr:uid="{00000000-0005-0000-0000-00007B670000}"/>
    <cellStyle name="Check Cell 3 9" xfId="26554" xr:uid="{00000000-0005-0000-0000-00007C670000}"/>
    <cellStyle name="Check Cell 3 9 10" xfId="26555" xr:uid="{00000000-0005-0000-0000-00007D670000}"/>
    <cellStyle name="Check Cell 3 9 11" xfId="26556" xr:uid="{00000000-0005-0000-0000-00007E670000}"/>
    <cellStyle name="Check Cell 3 9 12" xfId="26557" xr:uid="{00000000-0005-0000-0000-00007F670000}"/>
    <cellStyle name="Check Cell 3 9 13" xfId="26558" xr:uid="{00000000-0005-0000-0000-000080670000}"/>
    <cellStyle name="Check Cell 3 9 14" xfId="26559" xr:uid="{00000000-0005-0000-0000-000081670000}"/>
    <cellStyle name="Check Cell 3 9 15" xfId="26560" xr:uid="{00000000-0005-0000-0000-000082670000}"/>
    <cellStyle name="Check Cell 3 9 2" xfId="26561" xr:uid="{00000000-0005-0000-0000-000083670000}"/>
    <cellStyle name="Check Cell 3 9 3" xfId="26562" xr:uid="{00000000-0005-0000-0000-000084670000}"/>
    <cellStyle name="Check Cell 3 9 4" xfId="26563" xr:uid="{00000000-0005-0000-0000-000085670000}"/>
    <cellStyle name="Check Cell 3 9 5" xfId="26564" xr:uid="{00000000-0005-0000-0000-000086670000}"/>
    <cellStyle name="Check Cell 3 9 6" xfId="26565" xr:uid="{00000000-0005-0000-0000-000087670000}"/>
    <cellStyle name="Check Cell 3 9 7" xfId="26566" xr:uid="{00000000-0005-0000-0000-000088670000}"/>
    <cellStyle name="Check Cell 3 9 8" xfId="26567" xr:uid="{00000000-0005-0000-0000-000089670000}"/>
    <cellStyle name="Check Cell 3 9 9" xfId="26568" xr:uid="{00000000-0005-0000-0000-00008A670000}"/>
    <cellStyle name="Check Cell 30" xfId="26569" xr:uid="{00000000-0005-0000-0000-00008B670000}"/>
    <cellStyle name="Check Cell 30 10" xfId="26570" xr:uid="{00000000-0005-0000-0000-00008C670000}"/>
    <cellStyle name="Check Cell 30 11" xfId="26571" xr:uid="{00000000-0005-0000-0000-00008D670000}"/>
    <cellStyle name="Check Cell 30 12" xfId="26572" xr:uid="{00000000-0005-0000-0000-00008E670000}"/>
    <cellStyle name="Check Cell 30 13" xfId="26573" xr:uid="{00000000-0005-0000-0000-00008F670000}"/>
    <cellStyle name="Check Cell 30 14" xfId="26574" xr:uid="{00000000-0005-0000-0000-000090670000}"/>
    <cellStyle name="Check Cell 30 15" xfId="26575" xr:uid="{00000000-0005-0000-0000-000091670000}"/>
    <cellStyle name="Check Cell 30 2" xfId="26576" xr:uid="{00000000-0005-0000-0000-000092670000}"/>
    <cellStyle name="Check Cell 30 3" xfId="26577" xr:uid="{00000000-0005-0000-0000-000093670000}"/>
    <cellStyle name="Check Cell 30 4" xfId="26578" xr:uid="{00000000-0005-0000-0000-000094670000}"/>
    <cellStyle name="Check Cell 30 5" xfId="26579" xr:uid="{00000000-0005-0000-0000-000095670000}"/>
    <cellStyle name="Check Cell 30 6" xfId="26580" xr:uid="{00000000-0005-0000-0000-000096670000}"/>
    <cellStyle name="Check Cell 30 7" xfId="26581" xr:uid="{00000000-0005-0000-0000-000097670000}"/>
    <cellStyle name="Check Cell 30 8" xfId="26582" xr:uid="{00000000-0005-0000-0000-000098670000}"/>
    <cellStyle name="Check Cell 30 9" xfId="26583" xr:uid="{00000000-0005-0000-0000-000099670000}"/>
    <cellStyle name="Check Cell 31" xfId="26584" xr:uid="{00000000-0005-0000-0000-00009A670000}"/>
    <cellStyle name="Check Cell 31 10" xfId="26585" xr:uid="{00000000-0005-0000-0000-00009B670000}"/>
    <cellStyle name="Check Cell 31 11" xfId="26586" xr:uid="{00000000-0005-0000-0000-00009C670000}"/>
    <cellStyle name="Check Cell 31 12" xfId="26587" xr:uid="{00000000-0005-0000-0000-00009D670000}"/>
    <cellStyle name="Check Cell 31 13" xfId="26588" xr:uid="{00000000-0005-0000-0000-00009E670000}"/>
    <cellStyle name="Check Cell 31 14" xfId="26589" xr:uid="{00000000-0005-0000-0000-00009F670000}"/>
    <cellStyle name="Check Cell 31 15" xfId="26590" xr:uid="{00000000-0005-0000-0000-0000A0670000}"/>
    <cellStyle name="Check Cell 31 2" xfId="26591" xr:uid="{00000000-0005-0000-0000-0000A1670000}"/>
    <cellStyle name="Check Cell 31 3" xfId="26592" xr:uid="{00000000-0005-0000-0000-0000A2670000}"/>
    <cellStyle name="Check Cell 31 4" xfId="26593" xr:uid="{00000000-0005-0000-0000-0000A3670000}"/>
    <cellStyle name="Check Cell 31 5" xfId="26594" xr:uid="{00000000-0005-0000-0000-0000A4670000}"/>
    <cellStyle name="Check Cell 31 6" xfId="26595" xr:uid="{00000000-0005-0000-0000-0000A5670000}"/>
    <cellStyle name="Check Cell 31 7" xfId="26596" xr:uid="{00000000-0005-0000-0000-0000A6670000}"/>
    <cellStyle name="Check Cell 31 8" xfId="26597" xr:uid="{00000000-0005-0000-0000-0000A7670000}"/>
    <cellStyle name="Check Cell 31 9" xfId="26598" xr:uid="{00000000-0005-0000-0000-0000A8670000}"/>
    <cellStyle name="Check Cell 32" xfId="26599" xr:uid="{00000000-0005-0000-0000-0000A9670000}"/>
    <cellStyle name="Check Cell 32 10" xfId="26600" xr:uid="{00000000-0005-0000-0000-0000AA670000}"/>
    <cellStyle name="Check Cell 32 11" xfId="26601" xr:uid="{00000000-0005-0000-0000-0000AB670000}"/>
    <cellStyle name="Check Cell 32 12" xfId="26602" xr:uid="{00000000-0005-0000-0000-0000AC670000}"/>
    <cellStyle name="Check Cell 32 13" xfId="26603" xr:uid="{00000000-0005-0000-0000-0000AD670000}"/>
    <cellStyle name="Check Cell 32 14" xfId="26604" xr:uid="{00000000-0005-0000-0000-0000AE670000}"/>
    <cellStyle name="Check Cell 32 15" xfId="26605" xr:uid="{00000000-0005-0000-0000-0000AF670000}"/>
    <cellStyle name="Check Cell 32 2" xfId="26606" xr:uid="{00000000-0005-0000-0000-0000B0670000}"/>
    <cellStyle name="Check Cell 32 3" xfId="26607" xr:uid="{00000000-0005-0000-0000-0000B1670000}"/>
    <cellStyle name="Check Cell 32 4" xfId="26608" xr:uid="{00000000-0005-0000-0000-0000B2670000}"/>
    <cellStyle name="Check Cell 32 5" xfId="26609" xr:uid="{00000000-0005-0000-0000-0000B3670000}"/>
    <cellStyle name="Check Cell 32 6" xfId="26610" xr:uid="{00000000-0005-0000-0000-0000B4670000}"/>
    <cellStyle name="Check Cell 32 7" xfId="26611" xr:uid="{00000000-0005-0000-0000-0000B5670000}"/>
    <cellStyle name="Check Cell 32 8" xfId="26612" xr:uid="{00000000-0005-0000-0000-0000B6670000}"/>
    <cellStyle name="Check Cell 32 9" xfId="26613" xr:uid="{00000000-0005-0000-0000-0000B7670000}"/>
    <cellStyle name="Check Cell 33" xfId="26614" xr:uid="{00000000-0005-0000-0000-0000B8670000}"/>
    <cellStyle name="Check Cell 33 10" xfId="26615" xr:uid="{00000000-0005-0000-0000-0000B9670000}"/>
    <cellStyle name="Check Cell 33 11" xfId="26616" xr:uid="{00000000-0005-0000-0000-0000BA670000}"/>
    <cellStyle name="Check Cell 33 12" xfId="26617" xr:uid="{00000000-0005-0000-0000-0000BB670000}"/>
    <cellStyle name="Check Cell 33 13" xfId="26618" xr:uid="{00000000-0005-0000-0000-0000BC670000}"/>
    <cellStyle name="Check Cell 33 14" xfId="26619" xr:uid="{00000000-0005-0000-0000-0000BD670000}"/>
    <cellStyle name="Check Cell 33 15" xfId="26620" xr:uid="{00000000-0005-0000-0000-0000BE670000}"/>
    <cellStyle name="Check Cell 33 2" xfId="26621" xr:uid="{00000000-0005-0000-0000-0000BF670000}"/>
    <cellStyle name="Check Cell 33 3" xfId="26622" xr:uid="{00000000-0005-0000-0000-0000C0670000}"/>
    <cellStyle name="Check Cell 33 4" xfId="26623" xr:uid="{00000000-0005-0000-0000-0000C1670000}"/>
    <cellStyle name="Check Cell 33 5" xfId="26624" xr:uid="{00000000-0005-0000-0000-0000C2670000}"/>
    <cellStyle name="Check Cell 33 6" xfId="26625" xr:uid="{00000000-0005-0000-0000-0000C3670000}"/>
    <cellStyle name="Check Cell 33 7" xfId="26626" xr:uid="{00000000-0005-0000-0000-0000C4670000}"/>
    <cellStyle name="Check Cell 33 8" xfId="26627" xr:uid="{00000000-0005-0000-0000-0000C5670000}"/>
    <cellStyle name="Check Cell 33 9" xfId="26628" xr:uid="{00000000-0005-0000-0000-0000C6670000}"/>
    <cellStyle name="Check Cell 34" xfId="26629" xr:uid="{00000000-0005-0000-0000-0000C7670000}"/>
    <cellStyle name="Check Cell 34 10" xfId="26630" xr:uid="{00000000-0005-0000-0000-0000C8670000}"/>
    <cellStyle name="Check Cell 34 11" xfId="26631" xr:uid="{00000000-0005-0000-0000-0000C9670000}"/>
    <cellStyle name="Check Cell 34 12" xfId="26632" xr:uid="{00000000-0005-0000-0000-0000CA670000}"/>
    <cellStyle name="Check Cell 34 13" xfId="26633" xr:uid="{00000000-0005-0000-0000-0000CB670000}"/>
    <cellStyle name="Check Cell 34 14" xfId="26634" xr:uid="{00000000-0005-0000-0000-0000CC670000}"/>
    <cellStyle name="Check Cell 34 15" xfId="26635" xr:uid="{00000000-0005-0000-0000-0000CD670000}"/>
    <cellStyle name="Check Cell 34 2" xfId="26636" xr:uid="{00000000-0005-0000-0000-0000CE670000}"/>
    <cellStyle name="Check Cell 34 3" xfId="26637" xr:uid="{00000000-0005-0000-0000-0000CF670000}"/>
    <cellStyle name="Check Cell 34 4" xfId="26638" xr:uid="{00000000-0005-0000-0000-0000D0670000}"/>
    <cellStyle name="Check Cell 34 5" xfId="26639" xr:uid="{00000000-0005-0000-0000-0000D1670000}"/>
    <cellStyle name="Check Cell 34 6" xfId="26640" xr:uid="{00000000-0005-0000-0000-0000D2670000}"/>
    <cellStyle name="Check Cell 34 7" xfId="26641" xr:uid="{00000000-0005-0000-0000-0000D3670000}"/>
    <cellStyle name="Check Cell 34 8" xfId="26642" xr:uid="{00000000-0005-0000-0000-0000D4670000}"/>
    <cellStyle name="Check Cell 34 9" xfId="26643" xr:uid="{00000000-0005-0000-0000-0000D5670000}"/>
    <cellStyle name="Check Cell 35" xfId="26644" xr:uid="{00000000-0005-0000-0000-0000D6670000}"/>
    <cellStyle name="Check Cell 35 10" xfId="26645" xr:uid="{00000000-0005-0000-0000-0000D7670000}"/>
    <cellStyle name="Check Cell 35 11" xfId="26646" xr:uid="{00000000-0005-0000-0000-0000D8670000}"/>
    <cellStyle name="Check Cell 35 12" xfId="26647" xr:uid="{00000000-0005-0000-0000-0000D9670000}"/>
    <cellStyle name="Check Cell 35 13" xfId="26648" xr:uid="{00000000-0005-0000-0000-0000DA670000}"/>
    <cellStyle name="Check Cell 35 14" xfId="26649" xr:uid="{00000000-0005-0000-0000-0000DB670000}"/>
    <cellStyle name="Check Cell 35 15" xfId="26650" xr:uid="{00000000-0005-0000-0000-0000DC670000}"/>
    <cellStyle name="Check Cell 35 2" xfId="26651" xr:uid="{00000000-0005-0000-0000-0000DD670000}"/>
    <cellStyle name="Check Cell 35 3" xfId="26652" xr:uid="{00000000-0005-0000-0000-0000DE670000}"/>
    <cellStyle name="Check Cell 35 4" xfId="26653" xr:uid="{00000000-0005-0000-0000-0000DF670000}"/>
    <cellStyle name="Check Cell 35 5" xfId="26654" xr:uid="{00000000-0005-0000-0000-0000E0670000}"/>
    <cellStyle name="Check Cell 35 6" xfId="26655" xr:uid="{00000000-0005-0000-0000-0000E1670000}"/>
    <cellStyle name="Check Cell 35 7" xfId="26656" xr:uid="{00000000-0005-0000-0000-0000E2670000}"/>
    <cellStyle name="Check Cell 35 8" xfId="26657" xr:uid="{00000000-0005-0000-0000-0000E3670000}"/>
    <cellStyle name="Check Cell 35 9" xfId="26658" xr:uid="{00000000-0005-0000-0000-0000E4670000}"/>
    <cellStyle name="Check Cell 36" xfId="26659" xr:uid="{00000000-0005-0000-0000-0000E5670000}"/>
    <cellStyle name="Check Cell 36 10" xfId="26660" xr:uid="{00000000-0005-0000-0000-0000E6670000}"/>
    <cellStyle name="Check Cell 36 11" xfId="26661" xr:uid="{00000000-0005-0000-0000-0000E7670000}"/>
    <cellStyle name="Check Cell 36 12" xfId="26662" xr:uid="{00000000-0005-0000-0000-0000E8670000}"/>
    <cellStyle name="Check Cell 36 13" xfId="26663" xr:uid="{00000000-0005-0000-0000-0000E9670000}"/>
    <cellStyle name="Check Cell 36 14" xfId="26664" xr:uid="{00000000-0005-0000-0000-0000EA670000}"/>
    <cellStyle name="Check Cell 36 15" xfId="26665" xr:uid="{00000000-0005-0000-0000-0000EB670000}"/>
    <cellStyle name="Check Cell 36 2" xfId="26666" xr:uid="{00000000-0005-0000-0000-0000EC670000}"/>
    <cellStyle name="Check Cell 36 3" xfId="26667" xr:uid="{00000000-0005-0000-0000-0000ED670000}"/>
    <cellStyle name="Check Cell 36 4" xfId="26668" xr:uid="{00000000-0005-0000-0000-0000EE670000}"/>
    <cellStyle name="Check Cell 36 5" xfId="26669" xr:uid="{00000000-0005-0000-0000-0000EF670000}"/>
    <cellStyle name="Check Cell 36 6" xfId="26670" xr:uid="{00000000-0005-0000-0000-0000F0670000}"/>
    <cellStyle name="Check Cell 36 7" xfId="26671" xr:uid="{00000000-0005-0000-0000-0000F1670000}"/>
    <cellStyle name="Check Cell 36 8" xfId="26672" xr:uid="{00000000-0005-0000-0000-0000F2670000}"/>
    <cellStyle name="Check Cell 36 9" xfId="26673" xr:uid="{00000000-0005-0000-0000-0000F3670000}"/>
    <cellStyle name="Check Cell 37" xfId="26674" xr:uid="{00000000-0005-0000-0000-0000F4670000}"/>
    <cellStyle name="Check Cell 37 10" xfId="26675" xr:uid="{00000000-0005-0000-0000-0000F5670000}"/>
    <cellStyle name="Check Cell 37 11" xfId="26676" xr:uid="{00000000-0005-0000-0000-0000F6670000}"/>
    <cellStyle name="Check Cell 37 12" xfId="26677" xr:uid="{00000000-0005-0000-0000-0000F7670000}"/>
    <cellStyle name="Check Cell 37 13" xfId="26678" xr:uid="{00000000-0005-0000-0000-0000F8670000}"/>
    <cellStyle name="Check Cell 37 14" xfId="26679" xr:uid="{00000000-0005-0000-0000-0000F9670000}"/>
    <cellStyle name="Check Cell 37 15" xfId="26680" xr:uid="{00000000-0005-0000-0000-0000FA670000}"/>
    <cellStyle name="Check Cell 37 2" xfId="26681" xr:uid="{00000000-0005-0000-0000-0000FB670000}"/>
    <cellStyle name="Check Cell 37 3" xfId="26682" xr:uid="{00000000-0005-0000-0000-0000FC670000}"/>
    <cellStyle name="Check Cell 37 4" xfId="26683" xr:uid="{00000000-0005-0000-0000-0000FD670000}"/>
    <cellStyle name="Check Cell 37 5" xfId="26684" xr:uid="{00000000-0005-0000-0000-0000FE670000}"/>
    <cellStyle name="Check Cell 37 6" xfId="26685" xr:uid="{00000000-0005-0000-0000-0000FF670000}"/>
    <cellStyle name="Check Cell 37 7" xfId="26686" xr:uid="{00000000-0005-0000-0000-000000680000}"/>
    <cellStyle name="Check Cell 37 8" xfId="26687" xr:uid="{00000000-0005-0000-0000-000001680000}"/>
    <cellStyle name="Check Cell 37 9" xfId="26688" xr:uid="{00000000-0005-0000-0000-000002680000}"/>
    <cellStyle name="Check Cell 38" xfId="26689" xr:uid="{00000000-0005-0000-0000-000003680000}"/>
    <cellStyle name="Check Cell 38 10" xfId="26690" xr:uid="{00000000-0005-0000-0000-000004680000}"/>
    <cellStyle name="Check Cell 38 11" xfId="26691" xr:uid="{00000000-0005-0000-0000-000005680000}"/>
    <cellStyle name="Check Cell 38 12" xfId="26692" xr:uid="{00000000-0005-0000-0000-000006680000}"/>
    <cellStyle name="Check Cell 38 13" xfId="26693" xr:uid="{00000000-0005-0000-0000-000007680000}"/>
    <cellStyle name="Check Cell 38 14" xfId="26694" xr:uid="{00000000-0005-0000-0000-000008680000}"/>
    <cellStyle name="Check Cell 38 15" xfId="26695" xr:uid="{00000000-0005-0000-0000-000009680000}"/>
    <cellStyle name="Check Cell 38 2" xfId="26696" xr:uid="{00000000-0005-0000-0000-00000A680000}"/>
    <cellStyle name="Check Cell 38 3" xfId="26697" xr:uid="{00000000-0005-0000-0000-00000B680000}"/>
    <cellStyle name="Check Cell 38 4" xfId="26698" xr:uid="{00000000-0005-0000-0000-00000C680000}"/>
    <cellStyle name="Check Cell 38 5" xfId="26699" xr:uid="{00000000-0005-0000-0000-00000D680000}"/>
    <cellStyle name="Check Cell 38 6" xfId="26700" xr:uid="{00000000-0005-0000-0000-00000E680000}"/>
    <cellStyle name="Check Cell 38 7" xfId="26701" xr:uid="{00000000-0005-0000-0000-00000F680000}"/>
    <cellStyle name="Check Cell 38 8" xfId="26702" xr:uid="{00000000-0005-0000-0000-000010680000}"/>
    <cellStyle name="Check Cell 38 9" xfId="26703" xr:uid="{00000000-0005-0000-0000-000011680000}"/>
    <cellStyle name="Check Cell 39" xfId="26704" xr:uid="{00000000-0005-0000-0000-000012680000}"/>
    <cellStyle name="Check Cell 39 10" xfId="26705" xr:uid="{00000000-0005-0000-0000-000013680000}"/>
    <cellStyle name="Check Cell 39 11" xfId="26706" xr:uid="{00000000-0005-0000-0000-000014680000}"/>
    <cellStyle name="Check Cell 39 12" xfId="26707" xr:uid="{00000000-0005-0000-0000-000015680000}"/>
    <cellStyle name="Check Cell 39 13" xfId="26708" xr:uid="{00000000-0005-0000-0000-000016680000}"/>
    <cellStyle name="Check Cell 39 14" xfId="26709" xr:uid="{00000000-0005-0000-0000-000017680000}"/>
    <cellStyle name="Check Cell 39 15" xfId="26710" xr:uid="{00000000-0005-0000-0000-000018680000}"/>
    <cellStyle name="Check Cell 39 2" xfId="26711" xr:uid="{00000000-0005-0000-0000-000019680000}"/>
    <cellStyle name="Check Cell 39 3" xfId="26712" xr:uid="{00000000-0005-0000-0000-00001A680000}"/>
    <cellStyle name="Check Cell 39 4" xfId="26713" xr:uid="{00000000-0005-0000-0000-00001B680000}"/>
    <cellStyle name="Check Cell 39 5" xfId="26714" xr:uid="{00000000-0005-0000-0000-00001C680000}"/>
    <cellStyle name="Check Cell 39 6" xfId="26715" xr:uid="{00000000-0005-0000-0000-00001D680000}"/>
    <cellStyle name="Check Cell 39 7" xfId="26716" xr:uid="{00000000-0005-0000-0000-00001E680000}"/>
    <cellStyle name="Check Cell 39 8" xfId="26717" xr:uid="{00000000-0005-0000-0000-00001F680000}"/>
    <cellStyle name="Check Cell 39 9" xfId="26718" xr:uid="{00000000-0005-0000-0000-000020680000}"/>
    <cellStyle name="Check Cell 4" xfId="26719" xr:uid="{00000000-0005-0000-0000-000021680000}"/>
    <cellStyle name="Check Cell 4 2" xfId="26720" xr:uid="{00000000-0005-0000-0000-000022680000}"/>
    <cellStyle name="Check Cell 4 2 2" xfId="26721" xr:uid="{00000000-0005-0000-0000-000023680000}"/>
    <cellStyle name="Check Cell 4 3" xfId="26722" xr:uid="{00000000-0005-0000-0000-000024680000}"/>
    <cellStyle name="Check Cell 4 3 2" xfId="26723" xr:uid="{00000000-0005-0000-0000-000025680000}"/>
    <cellStyle name="Check Cell 4 4" xfId="26724" xr:uid="{00000000-0005-0000-0000-000026680000}"/>
    <cellStyle name="Check Cell 4 4 2" xfId="26725" xr:uid="{00000000-0005-0000-0000-000027680000}"/>
    <cellStyle name="Check Cell 4 5" xfId="26726" xr:uid="{00000000-0005-0000-0000-000028680000}"/>
    <cellStyle name="Check Cell 4 5 2" xfId="26727" xr:uid="{00000000-0005-0000-0000-000029680000}"/>
    <cellStyle name="Check Cell 4 6" xfId="26728" xr:uid="{00000000-0005-0000-0000-00002A680000}"/>
    <cellStyle name="Check Cell 4 6 2" xfId="26729" xr:uid="{00000000-0005-0000-0000-00002B680000}"/>
    <cellStyle name="Check Cell 4 7" xfId="26730" xr:uid="{00000000-0005-0000-0000-00002C680000}"/>
    <cellStyle name="Check Cell 40" xfId="26731" xr:uid="{00000000-0005-0000-0000-00002D680000}"/>
    <cellStyle name="Check Cell 41" xfId="26732" xr:uid="{00000000-0005-0000-0000-00002E680000}"/>
    <cellStyle name="Check Cell 42" xfId="26733" xr:uid="{00000000-0005-0000-0000-00002F680000}"/>
    <cellStyle name="Check Cell 43" xfId="26734" xr:uid="{00000000-0005-0000-0000-000030680000}"/>
    <cellStyle name="Check Cell 44" xfId="26735" xr:uid="{00000000-0005-0000-0000-000031680000}"/>
    <cellStyle name="Check Cell 45" xfId="26736" xr:uid="{00000000-0005-0000-0000-000032680000}"/>
    <cellStyle name="Check Cell 46" xfId="26737" xr:uid="{00000000-0005-0000-0000-000033680000}"/>
    <cellStyle name="Check Cell 47" xfId="26738" xr:uid="{00000000-0005-0000-0000-000034680000}"/>
    <cellStyle name="Check Cell 48" xfId="26739" xr:uid="{00000000-0005-0000-0000-000035680000}"/>
    <cellStyle name="Check Cell 49" xfId="26740" xr:uid="{00000000-0005-0000-0000-000036680000}"/>
    <cellStyle name="Check Cell 5" xfId="26741" xr:uid="{00000000-0005-0000-0000-000037680000}"/>
    <cellStyle name="Check Cell 5 2" xfId="26742" xr:uid="{00000000-0005-0000-0000-000038680000}"/>
    <cellStyle name="Check Cell 5 2 2" xfId="26743" xr:uid="{00000000-0005-0000-0000-000039680000}"/>
    <cellStyle name="Check Cell 5 2 3" xfId="26744" xr:uid="{00000000-0005-0000-0000-00003A680000}"/>
    <cellStyle name="Check Cell 5 2 4" xfId="26745" xr:uid="{00000000-0005-0000-0000-00003B680000}"/>
    <cellStyle name="Check Cell 5 3" xfId="26746" xr:uid="{00000000-0005-0000-0000-00003C680000}"/>
    <cellStyle name="Check Cell 5 3 2" xfId="26747" xr:uid="{00000000-0005-0000-0000-00003D680000}"/>
    <cellStyle name="Check Cell 5 3 3" xfId="26748" xr:uid="{00000000-0005-0000-0000-00003E680000}"/>
    <cellStyle name="Check Cell 5 4" xfId="26749" xr:uid="{00000000-0005-0000-0000-00003F680000}"/>
    <cellStyle name="Check Cell 50" xfId="26750" xr:uid="{00000000-0005-0000-0000-000040680000}"/>
    <cellStyle name="Check Cell 51" xfId="26751" xr:uid="{00000000-0005-0000-0000-000041680000}"/>
    <cellStyle name="Check Cell 52" xfId="26752" xr:uid="{00000000-0005-0000-0000-000042680000}"/>
    <cellStyle name="Check Cell 53" xfId="26753" xr:uid="{00000000-0005-0000-0000-000043680000}"/>
    <cellStyle name="Check Cell 54" xfId="26754" xr:uid="{00000000-0005-0000-0000-000044680000}"/>
    <cellStyle name="Check Cell 55" xfId="26755" xr:uid="{00000000-0005-0000-0000-000045680000}"/>
    <cellStyle name="Check Cell 56" xfId="26756" xr:uid="{00000000-0005-0000-0000-000046680000}"/>
    <cellStyle name="Check Cell 57" xfId="26757" xr:uid="{00000000-0005-0000-0000-000047680000}"/>
    <cellStyle name="Check Cell 58" xfId="26758" xr:uid="{00000000-0005-0000-0000-000048680000}"/>
    <cellStyle name="Check Cell 59" xfId="26759" xr:uid="{00000000-0005-0000-0000-000049680000}"/>
    <cellStyle name="Check Cell 6" xfId="26760" xr:uid="{00000000-0005-0000-0000-00004A680000}"/>
    <cellStyle name="Check Cell 6 2" xfId="26761" xr:uid="{00000000-0005-0000-0000-00004B680000}"/>
    <cellStyle name="Check Cell 60" xfId="26762" xr:uid="{00000000-0005-0000-0000-00004C680000}"/>
    <cellStyle name="Check Cell 61" xfId="26763" xr:uid="{00000000-0005-0000-0000-00004D680000}"/>
    <cellStyle name="Check Cell 62" xfId="26764" xr:uid="{00000000-0005-0000-0000-00004E680000}"/>
    <cellStyle name="Check Cell 63" xfId="26765" xr:uid="{00000000-0005-0000-0000-00004F680000}"/>
    <cellStyle name="Check Cell 64" xfId="26766" xr:uid="{00000000-0005-0000-0000-000050680000}"/>
    <cellStyle name="Check Cell 65" xfId="26767" xr:uid="{00000000-0005-0000-0000-000051680000}"/>
    <cellStyle name="Check Cell 66" xfId="26768" xr:uid="{00000000-0005-0000-0000-000052680000}"/>
    <cellStyle name="Check Cell 67" xfId="26769" xr:uid="{00000000-0005-0000-0000-000053680000}"/>
    <cellStyle name="Check Cell 68" xfId="26770" xr:uid="{00000000-0005-0000-0000-000054680000}"/>
    <cellStyle name="Check Cell 69" xfId="26771" xr:uid="{00000000-0005-0000-0000-000055680000}"/>
    <cellStyle name="Check Cell 7" xfId="26772" xr:uid="{00000000-0005-0000-0000-000056680000}"/>
    <cellStyle name="Check Cell 7 2" xfId="26773" xr:uid="{00000000-0005-0000-0000-000057680000}"/>
    <cellStyle name="Check Cell 70" xfId="26774" xr:uid="{00000000-0005-0000-0000-000058680000}"/>
    <cellStyle name="Check Cell 71" xfId="26775" xr:uid="{00000000-0005-0000-0000-000059680000}"/>
    <cellStyle name="Check Cell 72" xfId="26776" xr:uid="{00000000-0005-0000-0000-00005A680000}"/>
    <cellStyle name="Check Cell 73" xfId="26777" xr:uid="{00000000-0005-0000-0000-00005B680000}"/>
    <cellStyle name="Check Cell 74" xfId="26778" xr:uid="{00000000-0005-0000-0000-00005C680000}"/>
    <cellStyle name="Check Cell 75" xfId="26779" xr:uid="{00000000-0005-0000-0000-00005D680000}"/>
    <cellStyle name="Check Cell 76" xfId="26780" xr:uid="{00000000-0005-0000-0000-00005E680000}"/>
    <cellStyle name="Check Cell 77" xfId="26781" xr:uid="{00000000-0005-0000-0000-00005F680000}"/>
    <cellStyle name="Check Cell 78" xfId="26782" xr:uid="{00000000-0005-0000-0000-000060680000}"/>
    <cellStyle name="Check Cell 79" xfId="26783" xr:uid="{00000000-0005-0000-0000-000061680000}"/>
    <cellStyle name="Check Cell 79 2" xfId="26784" xr:uid="{00000000-0005-0000-0000-000062680000}"/>
    <cellStyle name="Check Cell 8" xfId="26785" xr:uid="{00000000-0005-0000-0000-000063680000}"/>
    <cellStyle name="Check Cell 8 2" xfId="26786" xr:uid="{00000000-0005-0000-0000-000064680000}"/>
    <cellStyle name="Check Cell 80" xfId="26787" xr:uid="{00000000-0005-0000-0000-000065680000}"/>
    <cellStyle name="Check Cell 80 2" xfId="26788" xr:uid="{00000000-0005-0000-0000-000066680000}"/>
    <cellStyle name="Check Cell 81" xfId="26789" xr:uid="{00000000-0005-0000-0000-000067680000}"/>
    <cellStyle name="Check Cell 81 2" xfId="26790" xr:uid="{00000000-0005-0000-0000-000068680000}"/>
    <cellStyle name="Check Cell 82" xfId="26791" xr:uid="{00000000-0005-0000-0000-000069680000}"/>
    <cellStyle name="Check Cell 82 2" xfId="26792" xr:uid="{00000000-0005-0000-0000-00006A680000}"/>
    <cellStyle name="Check Cell 83" xfId="26793" xr:uid="{00000000-0005-0000-0000-00006B680000}"/>
    <cellStyle name="Check Cell 83 2" xfId="26794" xr:uid="{00000000-0005-0000-0000-00006C680000}"/>
    <cellStyle name="Check Cell 84" xfId="26795" xr:uid="{00000000-0005-0000-0000-00006D680000}"/>
    <cellStyle name="Check Cell 84 2" xfId="26796" xr:uid="{00000000-0005-0000-0000-00006E680000}"/>
    <cellStyle name="Check Cell 85" xfId="26797" xr:uid="{00000000-0005-0000-0000-00006F680000}"/>
    <cellStyle name="Check Cell 85 2" xfId="26798" xr:uid="{00000000-0005-0000-0000-000070680000}"/>
    <cellStyle name="Check Cell 86" xfId="26799" xr:uid="{00000000-0005-0000-0000-000071680000}"/>
    <cellStyle name="Check Cell 86 2" xfId="26800" xr:uid="{00000000-0005-0000-0000-000072680000}"/>
    <cellStyle name="Check Cell 87" xfId="26801" xr:uid="{00000000-0005-0000-0000-000073680000}"/>
    <cellStyle name="Check Cell 87 2" xfId="26802" xr:uid="{00000000-0005-0000-0000-000074680000}"/>
    <cellStyle name="Check Cell 88" xfId="26803" xr:uid="{00000000-0005-0000-0000-000075680000}"/>
    <cellStyle name="Check Cell 88 2" xfId="26804" xr:uid="{00000000-0005-0000-0000-000076680000}"/>
    <cellStyle name="Check Cell 89" xfId="26805" xr:uid="{00000000-0005-0000-0000-000077680000}"/>
    <cellStyle name="Check Cell 89 2" xfId="26806" xr:uid="{00000000-0005-0000-0000-000078680000}"/>
    <cellStyle name="Check Cell 9" xfId="26807" xr:uid="{00000000-0005-0000-0000-000079680000}"/>
    <cellStyle name="Check Cell 9 2" xfId="26808" xr:uid="{00000000-0005-0000-0000-00007A680000}"/>
    <cellStyle name="Check Cell 90" xfId="26809" xr:uid="{00000000-0005-0000-0000-00007B680000}"/>
    <cellStyle name="Check Cell 91" xfId="26810" xr:uid="{00000000-0005-0000-0000-00007C680000}"/>
    <cellStyle name="Check Cell 92" xfId="26811" xr:uid="{00000000-0005-0000-0000-00007D680000}"/>
    <cellStyle name="Check Cell 93" xfId="26812" xr:uid="{00000000-0005-0000-0000-00007E680000}"/>
    <cellStyle name="Check Cell 94" xfId="26813" xr:uid="{00000000-0005-0000-0000-00007F680000}"/>
    <cellStyle name="Check Cell 95" xfId="26814" xr:uid="{00000000-0005-0000-0000-000080680000}"/>
    <cellStyle name="Check Cell 96" xfId="26815" xr:uid="{00000000-0005-0000-0000-000081680000}"/>
    <cellStyle name="Check Cell 97" xfId="26816" xr:uid="{00000000-0005-0000-0000-000082680000}"/>
    <cellStyle name="Check Cell 98" xfId="26817" xr:uid="{00000000-0005-0000-0000-000083680000}"/>
    <cellStyle name="Check Cell 99" xfId="26818" xr:uid="{00000000-0005-0000-0000-000084680000}"/>
    <cellStyle name="Comma  - Style1" xfId="26819" xr:uid="{00000000-0005-0000-0000-000085680000}"/>
    <cellStyle name="Comma  - Style2" xfId="26820" xr:uid="{00000000-0005-0000-0000-000086680000}"/>
    <cellStyle name="Comma  - Style3" xfId="26821" xr:uid="{00000000-0005-0000-0000-000087680000}"/>
    <cellStyle name="Comma  - Style4" xfId="26822" xr:uid="{00000000-0005-0000-0000-000088680000}"/>
    <cellStyle name="Comma  - Style5" xfId="26823" xr:uid="{00000000-0005-0000-0000-000089680000}"/>
    <cellStyle name="Comma  - Style6" xfId="26824" xr:uid="{00000000-0005-0000-0000-00008A680000}"/>
    <cellStyle name="Comma  - Style7" xfId="26825" xr:uid="{00000000-0005-0000-0000-00008B680000}"/>
    <cellStyle name="Comma  - Style8" xfId="26826" xr:uid="{00000000-0005-0000-0000-00008C680000}"/>
    <cellStyle name="Comma 10" xfId="26827" xr:uid="{00000000-0005-0000-0000-00008D680000}"/>
    <cellStyle name="Comma 2" xfId="26828" xr:uid="{00000000-0005-0000-0000-00008E680000}"/>
    <cellStyle name="Comma 2 10" xfId="26829" xr:uid="{00000000-0005-0000-0000-00008F680000}"/>
    <cellStyle name="Comma 2 11" xfId="26830" xr:uid="{00000000-0005-0000-0000-000090680000}"/>
    <cellStyle name="Comma 2 12" xfId="26831" xr:uid="{00000000-0005-0000-0000-000091680000}"/>
    <cellStyle name="Comma 2 13" xfId="26832" xr:uid="{00000000-0005-0000-0000-000092680000}"/>
    <cellStyle name="Comma 2 14" xfId="26833" xr:uid="{00000000-0005-0000-0000-000093680000}"/>
    <cellStyle name="Comma 2 15" xfId="26834" xr:uid="{00000000-0005-0000-0000-000094680000}"/>
    <cellStyle name="Comma 2 16" xfId="26835" xr:uid="{00000000-0005-0000-0000-000095680000}"/>
    <cellStyle name="Comma 2 17" xfId="26836" xr:uid="{00000000-0005-0000-0000-000096680000}"/>
    <cellStyle name="Comma 2 2" xfId="26837" xr:uid="{00000000-0005-0000-0000-000097680000}"/>
    <cellStyle name="Comma 2 2 2" xfId="26838" xr:uid="{00000000-0005-0000-0000-000098680000}"/>
    <cellStyle name="Comma 2 2 2 2" xfId="26839" xr:uid="{00000000-0005-0000-0000-000099680000}"/>
    <cellStyle name="Comma 2 2 3" xfId="26840" xr:uid="{00000000-0005-0000-0000-00009A680000}"/>
    <cellStyle name="Comma 2 2 3 2" xfId="26841" xr:uid="{00000000-0005-0000-0000-00009B680000}"/>
    <cellStyle name="Comma 2 2 4" xfId="26842" xr:uid="{00000000-0005-0000-0000-00009C680000}"/>
    <cellStyle name="Comma 2 3" xfId="26843" xr:uid="{00000000-0005-0000-0000-00009D680000}"/>
    <cellStyle name="Comma 2 3 2" xfId="26844" xr:uid="{00000000-0005-0000-0000-00009E680000}"/>
    <cellStyle name="Comma 2 4" xfId="26845" xr:uid="{00000000-0005-0000-0000-00009F680000}"/>
    <cellStyle name="Comma 2 5" xfId="26846" xr:uid="{00000000-0005-0000-0000-0000A0680000}"/>
    <cellStyle name="Comma 2 6" xfId="26847" xr:uid="{00000000-0005-0000-0000-0000A1680000}"/>
    <cellStyle name="Comma 2 7" xfId="26848" xr:uid="{00000000-0005-0000-0000-0000A2680000}"/>
    <cellStyle name="Comma 2 8" xfId="26849" xr:uid="{00000000-0005-0000-0000-0000A3680000}"/>
    <cellStyle name="Comma 2 9" xfId="26850" xr:uid="{00000000-0005-0000-0000-0000A4680000}"/>
    <cellStyle name="Comma 3" xfId="26851" xr:uid="{00000000-0005-0000-0000-0000A5680000}"/>
    <cellStyle name="Comma 3 2" xfId="26852" xr:uid="{00000000-0005-0000-0000-0000A6680000}"/>
    <cellStyle name="Comma 3 3" xfId="26853" xr:uid="{00000000-0005-0000-0000-0000A7680000}"/>
    <cellStyle name="Comma 4" xfId="26854" xr:uid="{00000000-0005-0000-0000-0000A8680000}"/>
    <cellStyle name="Comma 4 2" xfId="26855" xr:uid="{00000000-0005-0000-0000-0000A9680000}"/>
    <cellStyle name="Comma 5" xfId="26856" xr:uid="{00000000-0005-0000-0000-0000AA680000}"/>
    <cellStyle name="Comma 6" xfId="26857" xr:uid="{00000000-0005-0000-0000-0000AB680000}"/>
    <cellStyle name="Comma 6 2" xfId="26858" xr:uid="{00000000-0005-0000-0000-0000AC680000}"/>
    <cellStyle name="Comma 7" xfId="26859" xr:uid="{00000000-0005-0000-0000-0000AD680000}"/>
    <cellStyle name="Comma 8" xfId="26860" xr:uid="{00000000-0005-0000-0000-0000AE680000}"/>
    <cellStyle name="Comma 8 2" xfId="26861" xr:uid="{00000000-0005-0000-0000-0000AF680000}"/>
    <cellStyle name="Comma 8 3" xfId="26862" xr:uid="{00000000-0005-0000-0000-0000B0680000}"/>
    <cellStyle name="Comma 9" xfId="26863" xr:uid="{00000000-0005-0000-0000-0000B1680000}"/>
    <cellStyle name="Comma 9 2" xfId="26864" xr:uid="{00000000-0005-0000-0000-0000B2680000}"/>
    <cellStyle name="Commentaire" xfId="26865" xr:uid="{00000000-0005-0000-0000-0000B3680000}"/>
    <cellStyle name="ct" xfId="26866" xr:uid="{00000000-0005-0000-0000-0000B4680000}"/>
    <cellStyle name="Curr-$" xfId="26867" xr:uid="{00000000-0005-0000-0000-0000B5680000}"/>
    <cellStyle name="Curr-£" xfId="26868" xr:uid="{00000000-0005-0000-0000-0000B6680000}"/>
    <cellStyle name="Curr-F" xfId="26878" xr:uid="{00000000-0005-0000-0000-0000C0680000}"/>
    <cellStyle name="Currency 2" xfId="26869" xr:uid="{00000000-0005-0000-0000-0000B7680000}"/>
    <cellStyle name="Currency 2 2" xfId="26870" xr:uid="{00000000-0005-0000-0000-0000B8680000}"/>
    <cellStyle name="Currency 3" xfId="26871" xr:uid="{00000000-0005-0000-0000-0000B9680000}"/>
    <cellStyle name="Currency 3 2" xfId="26872" xr:uid="{00000000-0005-0000-0000-0000BA680000}"/>
    <cellStyle name="Currency 4" xfId="26873" xr:uid="{00000000-0005-0000-0000-0000BB680000}"/>
    <cellStyle name="Currency 5" xfId="26874" xr:uid="{00000000-0005-0000-0000-0000BC680000}"/>
    <cellStyle name="Currency-$" xfId="26875" xr:uid="{00000000-0005-0000-0000-0000BD680000}"/>
    <cellStyle name="Currency-£" xfId="26876" xr:uid="{00000000-0005-0000-0000-0000BE680000}"/>
    <cellStyle name="Currency-F" xfId="26877" xr:uid="{00000000-0005-0000-0000-0000BF680000}"/>
    <cellStyle name="D216" xfId="26879" xr:uid="{00000000-0005-0000-0000-0000C1680000}"/>
    <cellStyle name="Dane wejściowe" xfId="26880" xr:uid="{00000000-0005-0000-0000-0000C2680000}"/>
    <cellStyle name="Dane wyjściowe" xfId="26881" xr:uid="{00000000-0005-0000-0000-0000C3680000}"/>
    <cellStyle name="Data Entry" xfId="26882" xr:uid="{00000000-0005-0000-0000-0000C4680000}"/>
    <cellStyle name="Data Entry 2" xfId="26883" xr:uid="{00000000-0005-0000-0000-0000C5680000}"/>
    <cellStyle name="Data Entry_Input" xfId="26884" xr:uid="{00000000-0005-0000-0000-0000C6680000}"/>
    <cellStyle name="Date" xfId="26885" xr:uid="{00000000-0005-0000-0000-0000C7680000}"/>
    <cellStyle name="Date 2" xfId="26886" xr:uid="{00000000-0005-0000-0000-0000C8680000}"/>
    <cellStyle name="Date-day" xfId="26887" xr:uid="{00000000-0005-0000-0000-0000C9680000}"/>
    <cellStyle name="Dobre" xfId="26888" xr:uid="{00000000-0005-0000-0000-0000CA680000}"/>
    <cellStyle name="Dziesiętny_Rewitalizacja_do 2030r_v2a " xfId="69" xr:uid="{00000000-0005-0000-0000-0000CB680000}"/>
    <cellStyle name="EM report" xfId="26889" xr:uid="{00000000-0005-0000-0000-0000CC680000}"/>
    <cellStyle name="EM saisie" xfId="26890" xr:uid="{00000000-0005-0000-0000-0000CD680000}"/>
    <cellStyle name="EM total" xfId="26891" xr:uid="{00000000-0005-0000-0000-0000CE680000}"/>
    <cellStyle name="Entrée" xfId="26892" xr:uid="{00000000-0005-0000-0000-0000CF680000}"/>
    <cellStyle name="esight data" xfId="96" xr:uid="{00000000-0005-0000-0000-0000D0680000}"/>
    <cellStyle name="Euro" xfId="26893" xr:uid="{00000000-0005-0000-0000-0000D1680000}"/>
    <cellStyle name="Euro 2" xfId="26894" xr:uid="{00000000-0005-0000-0000-0000D2680000}"/>
    <cellStyle name="Euro 2 2" xfId="26895" xr:uid="{00000000-0005-0000-0000-0000D3680000}"/>
    <cellStyle name="Euro 2 2 2" xfId="26896" xr:uid="{00000000-0005-0000-0000-0000D4680000}"/>
    <cellStyle name="Euro 2 3" xfId="26897" xr:uid="{00000000-0005-0000-0000-0000D5680000}"/>
    <cellStyle name="Euro 2 3 2" xfId="26898" xr:uid="{00000000-0005-0000-0000-0000D6680000}"/>
    <cellStyle name="Euro 2 4" xfId="26899" xr:uid="{00000000-0005-0000-0000-0000D7680000}"/>
    <cellStyle name="Euro 3" xfId="26900" xr:uid="{00000000-0005-0000-0000-0000D8680000}"/>
    <cellStyle name="Euro 3 2" xfId="26901" xr:uid="{00000000-0005-0000-0000-0000D9680000}"/>
    <cellStyle name="Explanatory Text" xfId="16" builtinId="53" hidden="1" customBuiltin="1"/>
    <cellStyle name="Explanatory Text" xfId="63" builtinId="53" hidden="1" customBuiltin="1"/>
    <cellStyle name="Explanatory Text" xfId="85" builtinId="53" hidden="1" customBuiltin="1"/>
    <cellStyle name="Explanatory Text 10" xfId="26902" xr:uid="{00000000-0005-0000-0000-0000DD680000}"/>
    <cellStyle name="Explanatory Text 10 2" xfId="26903" xr:uid="{00000000-0005-0000-0000-0000DE680000}"/>
    <cellStyle name="Explanatory Text 100" xfId="26904" xr:uid="{00000000-0005-0000-0000-0000DF680000}"/>
    <cellStyle name="Explanatory Text 101" xfId="26905" xr:uid="{00000000-0005-0000-0000-0000E0680000}"/>
    <cellStyle name="Explanatory Text 102" xfId="26906" xr:uid="{00000000-0005-0000-0000-0000E1680000}"/>
    <cellStyle name="Explanatory Text 103" xfId="26907" xr:uid="{00000000-0005-0000-0000-0000E2680000}"/>
    <cellStyle name="Explanatory Text 104" xfId="26908" xr:uid="{00000000-0005-0000-0000-0000E3680000}"/>
    <cellStyle name="Explanatory Text 105" xfId="26909" xr:uid="{00000000-0005-0000-0000-0000E4680000}"/>
    <cellStyle name="Explanatory Text 106" xfId="26910" xr:uid="{00000000-0005-0000-0000-0000E5680000}"/>
    <cellStyle name="Explanatory Text 107" xfId="26911" xr:uid="{00000000-0005-0000-0000-0000E6680000}"/>
    <cellStyle name="Explanatory Text 108" xfId="26912" xr:uid="{00000000-0005-0000-0000-0000E7680000}"/>
    <cellStyle name="Explanatory Text 109" xfId="26913" xr:uid="{00000000-0005-0000-0000-0000E8680000}"/>
    <cellStyle name="Explanatory Text 11" xfId="26914" xr:uid="{00000000-0005-0000-0000-0000E9680000}"/>
    <cellStyle name="Explanatory Text 11 2" xfId="26915" xr:uid="{00000000-0005-0000-0000-0000EA680000}"/>
    <cellStyle name="Explanatory Text 110" xfId="26916" xr:uid="{00000000-0005-0000-0000-0000EB680000}"/>
    <cellStyle name="Explanatory Text 111" xfId="26917" xr:uid="{00000000-0005-0000-0000-0000EC680000}"/>
    <cellStyle name="Explanatory Text 112" xfId="26918" xr:uid="{00000000-0005-0000-0000-0000ED680000}"/>
    <cellStyle name="Explanatory Text 113" xfId="26919" xr:uid="{00000000-0005-0000-0000-0000EE680000}"/>
    <cellStyle name="Explanatory Text 114" xfId="26920" xr:uid="{00000000-0005-0000-0000-0000EF680000}"/>
    <cellStyle name="Explanatory Text 115" xfId="26921" xr:uid="{00000000-0005-0000-0000-0000F0680000}"/>
    <cellStyle name="Explanatory Text 116" xfId="26922" xr:uid="{00000000-0005-0000-0000-0000F1680000}"/>
    <cellStyle name="Explanatory Text 117" xfId="26923" xr:uid="{00000000-0005-0000-0000-0000F2680000}"/>
    <cellStyle name="Explanatory Text 118" xfId="26924" xr:uid="{00000000-0005-0000-0000-0000F3680000}"/>
    <cellStyle name="Explanatory Text 119" xfId="26925" xr:uid="{00000000-0005-0000-0000-0000F4680000}"/>
    <cellStyle name="Explanatory Text 12" xfId="26926" xr:uid="{00000000-0005-0000-0000-0000F5680000}"/>
    <cellStyle name="Explanatory Text 12 2" xfId="26927" xr:uid="{00000000-0005-0000-0000-0000F6680000}"/>
    <cellStyle name="Explanatory Text 120" xfId="26928" xr:uid="{00000000-0005-0000-0000-0000F7680000}"/>
    <cellStyle name="Explanatory Text 121" xfId="26929" xr:uid="{00000000-0005-0000-0000-0000F8680000}"/>
    <cellStyle name="Explanatory Text 122" xfId="26930" xr:uid="{00000000-0005-0000-0000-0000F9680000}"/>
    <cellStyle name="Explanatory Text 123" xfId="26931" xr:uid="{00000000-0005-0000-0000-0000FA680000}"/>
    <cellStyle name="Explanatory Text 124" xfId="26932" xr:uid="{00000000-0005-0000-0000-0000FB680000}"/>
    <cellStyle name="Explanatory Text 125" xfId="26933" xr:uid="{00000000-0005-0000-0000-0000FC680000}"/>
    <cellStyle name="Explanatory Text 126" xfId="26934" xr:uid="{00000000-0005-0000-0000-0000FD680000}"/>
    <cellStyle name="Explanatory Text 127" xfId="26935" xr:uid="{00000000-0005-0000-0000-0000FE680000}"/>
    <cellStyle name="Explanatory Text 128" xfId="26936" xr:uid="{00000000-0005-0000-0000-0000FF680000}"/>
    <cellStyle name="Explanatory Text 129" xfId="26937" xr:uid="{00000000-0005-0000-0000-000000690000}"/>
    <cellStyle name="Explanatory Text 13" xfId="26938" xr:uid="{00000000-0005-0000-0000-000001690000}"/>
    <cellStyle name="Explanatory Text 13 2" xfId="26939" xr:uid="{00000000-0005-0000-0000-000002690000}"/>
    <cellStyle name="Explanatory Text 130" xfId="26940" xr:uid="{00000000-0005-0000-0000-000003690000}"/>
    <cellStyle name="Explanatory Text 131" xfId="26941" xr:uid="{00000000-0005-0000-0000-000004690000}"/>
    <cellStyle name="Explanatory Text 132" xfId="26942" xr:uid="{00000000-0005-0000-0000-000005690000}"/>
    <cellStyle name="Explanatory Text 133" xfId="26943" xr:uid="{00000000-0005-0000-0000-000006690000}"/>
    <cellStyle name="Explanatory Text 134" xfId="26944" xr:uid="{00000000-0005-0000-0000-000007690000}"/>
    <cellStyle name="Explanatory Text 135" xfId="26945" xr:uid="{00000000-0005-0000-0000-000008690000}"/>
    <cellStyle name="Explanatory Text 136" xfId="26946" xr:uid="{00000000-0005-0000-0000-000009690000}"/>
    <cellStyle name="Explanatory Text 137" xfId="26947" xr:uid="{00000000-0005-0000-0000-00000A690000}"/>
    <cellStyle name="Explanatory Text 138" xfId="26948" xr:uid="{00000000-0005-0000-0000-00000B690000}"/>
    <cellStyle name="Explanatory Text 139" xfId="26949" xr:uid="{00000000-0005-0000-0000-00000C690000}"/>
    <cellStyle name="Explanatory Text 14" xfId="26950" xr:uid="{00000000-0005-0000-0000-00000D690000}"/>
    <cellStyle name="Explanatory Text 14 2" xfId="26951" xr:uid="{00000000-0005-0000-0000-00000E690000}"/>
    <cellStyle name="Explanatory Text 140" xfId="26952" xr:uid="{00000000-0005-0000-0000-00000F690000}"/>
    <cellStyle name="Explanatory Text 141" xfId="26953" xr:uid="{00000000-0005-0000-0000-000010690000}"/>
    <cellStyle name="Explanatory Text 142" xfId="26954" xr:uid="{00000000-0005-0000-0000-000011690000}"/>
    <cellStyle name="Explanatory Text 143" xfId="26955" xr:uid="{00000000-0005-0000-0000-000012690000}"/>
    <cellStyle name="Explanatory Text 144" xfId="26956" xr:uid="{00000000-0005-0000-0000-000013690000}"/>
    <cellStyle name="Explanatory Text 145" xfId="26957" xr:uid="{00000000-0005-0000-0000-000014690000}"/>
    <cellStyle name="Explanatory Text 146" xfId="26958" xr:uid="{00000000-0005-0000-0000-000015690000}"/>
    <cellStyle name="Explanatory Text 147" xfId="26959" xr:uid="{00000000-0005-0000-0000-000016690000}"/>
    <cellStyle name="Explanatory Text 148" xfId="26960" xr:uid="{00000000-0005-0000-0000-000017690000}"/>
    <cellStyle name="Explanatory Text 149" xfId="26961" xr:uid="{00000000-0005-0000-0000-000018690000}"/>
    <cellStyle name="Explanatory Text 15" xfId="26962" xr:uid="{00000000-0005-0000-0000-000019690000}"/>
    <cellStyle name="Explanatory Text 15 2" xfId="26963" xr:uid="{00000000-0005-0000-0000-00001A690000}"/>
    <cellStyle name="Explanatory Text 150" xfId="26964" xr:uid="{00000000-0005-0000-0000-00001B690000}"/>
    <cellStyle name="Explanatory Text 151" xfId="26965" xr:uid="{00000000-0005-0000-0000-00001C690000}"/>
    <cellStyle name="Explanatory Text 152" xfId="26966" xr:uid="{00000000-0005-0000-0000-00001D690000}"/>
    <cellStyle name="Explanatory Text 153" xfId="26967" xr:uid="{00000000-0005-0000-0000-00001E690000}"/>
    <cellStyle name="Explanatory Text 154" xfId="26968" xr:uid="{00000000-0005-0000-0000-00001F690000}"/>
    <cellStyle name="Explanatory Text 155" xfId="26969" xr:uid="{00000000-0005-0000-0000-000020690000}"/>
    <cellStyle name="Explanatory Text 156" xfId="26970" xr:uid="{00000000-0005-0000-0000-000021690000}"/>
    <cellStyle name="Explanatory Text 157" xfId="26971" xr:uid="{00000000-0005-0000-0000-000022690000}"/>
    <cellStyle name="Explanatory Text 158" xfId="26972" xr:uid="{00000000-0005-0000-0000-000023690000}"/>
    <cellStyle name="Explanatory Text 159" xfId="26973" xr:uid="{00000000-0005-0000-0000-000024690000}"/>
    <cellStyle name="Explanatory Text 16" xfId="26974" xr:uid="{00000000-0005-0000-0000-000025690000}"/>
    <cellStyle name="Explanatory Text 160" xfId="26975" xr:uid="{00000000-0005-0000-0000-000026690000}"/>
    <cellStyle name="Explanatory Text 161" xfId="26976" xr:uid="{00000000-0005-0000-0000-000027690000}"/>
    <cellStyle name="Explanatory Text 162" xfId="26977" xr:uid="{00000000-0005-0000-0000-000028690000}"/>
    <cellStyle name="Explanatory Text 163" xfId="26978" xr:uid="{00000000-0005-0000-0000-000029690000}"/>
    <cellStyle name="Explanatory Text 164" xfId="26979" xr:uid="{00000000-0005-0000-0000-00002A690000}"/>
    <cellStyle name="Explanatory Text 165" xfId="26980" xr:uid="{00000000-0005-0000-0000-00002B690000}"/>
    <cellStyle name="Explanatory Text 166" xfId="26981" xr:uid="{00000000-0005-0000-0000-00002C690000}"/>
    <cellStyle name="Explanatory Text 167" xfId="26982" xr:uid="{00000000-0005-0000-0000-00002D690000}"/>
    <cellStyle name="Explanatory Text 17" xfId="26983" xr:uid="{00000000-0005-0000-0000-00002E690000}"/>
    <cellStyle name="Explanatory Text 18" xfId="26984" xr:uid="{00000000-0005-0000-0000-00002F690000}"/>
    <cellStyle name="Explanatory Text 19" xfId="26985" xr:uid="{00000000-0005-0000-0000-000030690000}"/>
    <cellStyle name="Explanatory Text 2" xfId="26986" xr:uid="{00000000-0005-0000-0000-000031690000}"/>
    <cellStyle name="Explanatory Text 2 10" xfId="26987" xr:uid="{00000000-0005-0000-0000-000032690000}"/>
    <cellStyle name="Explanatory Text 2 11" xfId="26988" xr:uid="{00000000-0005-0000-0000-000033690000}"/>
    <cellStyle name="Explanatory Text 2 12" xfId="26989" xr:uid="{00000000-0005-0000-0000-000034690000}"/>
    <cellStyle name="Explanatory Text 2 13" xfId="26990" xr:uid="{00000000-0005-0000-0000-000035690000}"/>
    <cellStyle name="Explanatory Text 2 14" xfId="26991" xr:uid="{00000000-0005-0000-0000-000036690000}"/>
    <cellStyle name="Explanatory Text 2 15" xfId="26992" xr:uid="{00000000-0005-0000-0000-000037690000}"/>
    <cellStyle name="Explanatory Text 2 16" xfId="26993" xr:uid="{00000000-0005-0000-0000-000038690000}"/>
    <cellStyle name="Explanatory Text 2 17" xfId="26994" xr:uid="{00000000-0005-0000-0000-000039690000}"/>
    <cellStyle name="Explanatory Text 2 18" xfId="26995" xr:uid="{00000000-0005-0000-0000-00003A690000}"/>
    <cellStyle name="Explanatory Text 2 19" xfId="26996" xr:uid="{00000000-0005-0000-0000-00003B690000}"/>
    <cellStyle name="Explanatory Text 2 2" xfId="26997" xr:uid="{00000000-0005-0000-0000-00003C690000}"/>
    <cellStyle name="Explanatory Text 2 20" xfId="26998" xr:uid="{00000000-0005-0000-0000-00003D690000}"/>
    <cellStyle name="Explanatory Text 2 21" xfId="26999" xr:uid="{00000000-0005-0000-0000-00003E690000}"/>
    <cellStyle name="Explanatory Text 2 22" xfId="27000" xr:uid="{00000000-0005-0000-0000-00003F690000}"/>
    <cellStyle name="Explanatory Text 2 23" xfId="27001" xr:uid="{00000000-0005-0000-0000-000040690000}"/>
    <cellStyle name="Explanatory Text 2 24" xfId="27002" xr:uid="{00000000-0005-0000-0000-000041690000}"/>
    <cellStyle name="Explanatory Text 2 25" xfId="27003" xr:uid="{00000000-0005-0000-0000-000042690000}"/>
    <cellStyle name="Explanatory Text 2 26" xfId="27004" xr:uid="{00000000-0005-0000-0000-000043690000}"/>
    <cellStyle name="Explanatory Text 2 27" xfId="27005" xr:uid="{00000000-0005-0000-0000-000044690000}"/>
    <cellStyle name="Explanatory Text 2 28" xfId="27006" xr:uid="{00000000-0005-0000-0000-000045690000}"/>
    <cellStyle name="Explanatory Text 2 29" xfId="27007" xr:uid="{00000000-0005-0000-0000-000046690000}"/>
    <cellStyle name="Explanatory Text 2 3" xfId="27008" xr:uid="{00000000-0005-0000-0000-000047690000}"/>
    <cellStyle name="Explanatory Text 2 30" xfId="27009" xr:uid="{00000000-0005-0000-0000-000048690000}"/>
    <cellStyle name="Explanatory Text 2 31" xfId="27010" xr:uid="{00000000-0005-0000-0000-000049690000}"/>
    <cellStyle name="Explanatory Text 2 32" xfId="27011" xr:uid="{00000000-0005-0000-0000-00004A690000}"/>
    <cellStyle name="Explanatory Text 2 33" xfId="27012" xr:uid="{00000000-0005-0000-0000-00004B690000}"/>
    <cellStyle name="Explanatory Text 2 34" xfId="27013" xr:uid="{00000000-0005-0000-0000-00004C690000}"/>
    <cellStyle name="Explanatory Text 2 35" xfId="27014" xr:uid="{00000000-0005-0000-0000-00004D690000}"/>
    <cellStyle name="Explanatory Text 2 4" xfId="27015" xr:uid="{00000000-0005-0000-0000-00004E690000}"/>
    <cellStyle name="Explanatory Text 2 5" xfId="27016" xr:uid="{00000000-0005-0000-0000-00004F690000}"/>
    <cellStyle name="Explanatory Text 2 6" xfId="27017" xr:uid="{00000000-0005-0000-0000-000050690000}"/>
    <cellStyle name="Explanatory Text 2 7" xfId="27018" xr:uid="{00000000-0005-0000-0000-000051690000}"/>
    <cellStyle name="Explanatory Text 2 8" xfId="27019" xr:uid="{00000000-0005-0000-0000-000052690000}"/>
    <cellStyle name="Explanatory Text 2 9" xfId="27020" xr:uid="{00000000-0005-0000-0000-000053690000}"/>
    <cellStyle name="Explanatory Text 20" xfId="27021" xr:uid="{00000000-0005-0000-0000-000054690000}"/>
    <cellStyle name="Explanatory Text 20 10" xfId="27022" xr:uid="{00000000-0005-0000-0000-000055690000}"/>
    <cellStyle name="Explanatory Text 20 11" xfId="27023" xr:uid="{00000000-0005-0000-0000-000056690000}"/>
    <cellStyle name="Explanatory Text 20 12" xfId="27024" xr:uid="{00000000-0005-0000-0000-000057690000}"/>
    <cellStyle name="Explanatory Text 20 13" xfId="27025" xr:uid="{00000000-0005-0000-0000-000058690000}"/>
    <cellStyle name="Explanatory Text 20 14" xfId="27026" xr:uid="{00000000-0005-0000-0000-000059690000}"/>
    <cellStyle name="Explanatory Text 20 15" xfId="27027" xr:uid="{00000000-0005-0000-0000-00005A690000}"/>
    <cellStyle name="Explanatory Text 20 16" xfId="27028" xr:uid="{00000000-0005-0000-0000-00005B690000}"/>
    <cellStyle name="Explanatory Text 20 2" xfId="27029" xr:uid="{00000000-0005-0000-0000-00005C690000}"/>
    <cellStyle name="Explanatory Text 20 3" xfId="27030" xr:uid="{00000000-0005-0000-0000-00005D690000}"/>
    <cellStyle name="Explanatory Text 20 4" xfId="27031" xr:uid="{00000000-0005-0000-0000-00005E690000}"/>
    <cellStyle name="Explanatory Text 20 5" xfId="27032" xr:uid="{00000000-0005-0000-0000-00005F690000}"/>
    <cellStyle name="Explanatory Text 20 6" xfId="27033" xr:uid="{00000000-0005-0000-0000-000060690000}"/>
    <cellStyle name="Explanatory Text 20 7" xfId="27034" xr:uid="{00000000-0005-0000-0000-000061690000}"/>
    <cellStyle name="Explanatory Text 20 8" xfId="27035" xr:uid="{00000000-0005-0000-0000-000062690000}"/>
    <cellStyle name="Explanatory Text 20 9" xfId="27036" xr:uid="{00000000-0005-0000-0000-000063690000}"/>
    <cellStyle name="Explanatory Text 21" xfId="27037" xr:uid="{00000000-0005-0000-0000-000064690000}"/>
    <cellStyle name="Explanatory Text 21 2" xfId="27038" xr:uid="{00000000-0005-0000-0000-000065690000}"/>
    <cellStyle name="Explanatory Text 21 3" xfId="27039" xr:uid="{00000000-0005-0000-0000-000066690000}"/>
    <cellStyle name="Explanatory Text 22" xfId="27040" xr:uid="{00000000-0005-0000-0000-000067690000}"/>
    <cellStyle name="Explanatory Text 23" xfId="27041" xr:uid="{00000000-0005-0000-0000-000068690000}"/>
    <cellStyle name="Explanatory Text 24" xfId="27042" xr:uid="{00000000-0005-0000-0000-000069690000}"/>
    <cellStyle name="Explanatory Text 25" xfId="27043" xr:uid="{00000000-0005-0000-0000-00006A690000}"/>
    <cellStyle name="Explanatory Text 26" xfId="27044" xr:uid="{00000000-0005-0000-0000-00006B690000}"/>
    <cellStyle name="Explanatory Text 27" xfId="27045" xr:uid="{00000000-0005-0000-0000-00006C690000}"/>
    <cellStyle name="Explanatory Text 28" xfId="27046" xr:uid="{00000000-0005-0000-0000-00006D690000}"/>
    <cellStyle name="Explanatory Text 29" xfId="27047" xr:uid="{00000000-0005-0000-0000-00006E690000}"/>
    <cellStyle name="Explanatory Text 3" xfId="27048" xr:uid="{00000000-0005-0000-0000-00006F690000}"/>
    <cellStyle name="Explanatory Text 3 10" xfId="27049" xr:uid="{00000000-0005-0000-0000-000070690000}"/>
    <cellStyle name="Explanatory Text 3 10 10" xfId="27050" xr:uid="{00000000-0005-0000-0000-000071690000}"/>
    <cellStyle name="Explanatory Text 3 10 11" xfId="27051" xr:uid="{00000000-0005-0000-0000-000072690000}"/>
    <cellStyle name="Explanatory Text 3 10 12" xfId="27052" xr:uid="{00000000-0005-0000-0000-000073690000}"/>
    <cellStyle name="Explanatory Text 3 10 13" xfId="27053" xr:uid="{00000000-0005-0000-0000-000074690000}"/>
    <cellStyle name="Explanatory Text 3 10 14" xfId="27054" xr:uid="{00000000-0005-0000-0000-000075690000}"/>
    <cellStyle name="Explanatory Text 3 10 15" xfId="27055" xr:uid="{00000000-0005-0000-0000-000076690000}"/>
    <cellStyle name="Explanatory Text 3 10 2" xfId="27056" xr:uid="{00000000-0005-0000-0000-000077690000}"/>
    <cellStyle name="Explanatory Text 3 10 3" xfId="27057" xr:uid="{00000000-0005-0000-0000-000078690000}"/>
    <cellStyle name="Explanatory Text 3 10 4" xfId="27058" xr:uid="{00000000-0005-0000-0000-000079690000}"/>
    <cellStyle name="Explanatory Text 3 10 5" xfId="27059" xr:uid="{00000000-0005-0000-0000-00007A690000}"/>
    <cellStyle name="Explanatory Text 3 10 6" xfId="27060" xr:uid="{00000000-0005-0000-0000-00007B690000}"/>
    <cellStyle name="Explanatory Text 3 10 7" xfId="27061" xr:uid="{00000000-0005-0000-0000-00007C690000}"/>
    <cellStyle name="Explanatory Text 3 10 8" xfId="27062" xr:uid="{00000000-0005-0000-0000-00007D690000}"/>
    <cellStyle name="Explanatory Text 3 10 9" xfId="27063" xr:uid="{00000000-0005-0000-0000-00007E690000}"/>
    <cellStyle name="Explanatory Text 3 11" xfId="27064" xr:uid="{00000000-0005-0000-0000-00007F690000}"/>
    <cellStyle name="Explanatory Text 3 11 10" xfId="27065" xr:uid="{00000000-0005-0000-0000-000080690000}"/>
    <cellStyle name="Explanatory Text 3 11 11" xfId="27066" xr:uid="{00000000-0005-0000-0000-000081690000}"/>
    <cellStyle name="Explanatory Text 3 11 12" xfId="27067" xr:uid="{00000000-0005-0000-0000-000082690000}"/>
    <cellStyle name="Explanatory Text 3 11 13" xfId="27068" xr:uid="{00000000-0005-0000-0000-000083690000}"/>
    <cellStyle name="Explanatory Text 3 11 14" xfId="27069" xr:uid="{00000000-0005-0000-0000-000084690000}"/>
    <cellStyle name="Explanatory Text 3 11 15" xfId="27070" xr:uid="{00000000-0005-0000-0000-000085690000}"/>
    <cellStyle name="Explanatory Text 3 11 2" xfId="27071" xr:uid="{00000000-0005-0000-0000-000086690000}"/>
    <cellStyle name="Explanatory Text 3 11 3" xfId="27072" xr:uid="{00000000-0005-0000-0000-000087690000}"/>
    <cellStyle name="Explanatory Text 3 11 4" xfId="27073" xr:uid="{00000000-0005-0000-0000-000088690000}"/>
    <cellStyle name="Explanatory Text 3 11 5" xfId="27074" xr:uid="{00000000-0005-0000-0000-000089690000}"/>
    <cellStyle name="Explanatory Text 3 11 6" xfId="27075" xr:uid="{00000000-0005-0000-0000-00008A690000}"/>
    <cellStyle name="Explanatory Text 3 11 7" xfId="27076" xr:uid="{00000000-0005-0000-0000-00008B690000}"/>
    <cellStyle name="Explanatory Text 3 11 8" xfId="27077" xr:uid="{00000000-0005-0000-0000-00008C690000}"/>
    <cellStyle name="Explanatory Text 3 11 9" xfId="27078" xr:uid="{00000000-0005-0000-0000-00008D690000}"/>
    <cellStyle name="Explanatory Text 3 12" xfId="27079" xr:uid="{00000000-0005-0000-0000-00008E690000}"/>
    <cellStyle name="Explanatory Text 3 12 10" xfId="27080" xr:uid="{00000000-0005-0000-0000-00008F690000}"/>
    <cellStyle name="Explanatory Text 3 12 11" xfId="27081" xr:uid="{00000000-0005-0000-0000-000090690000}"/>
    <cellStyle name="Explanatory Text 3 12 12" xfId="27082" xr:uid="{00000000-0005-0000-0000-000091690000}"/>
    <cellStyle name="Explanatory Text 3 12 13" xfId="27083" xr:uid="{00000000-0005-0000-0000-000092690000}"/>
    <cellStyle name="Explanatory Text 3 12 14" xfId="27084" xr:uid="{00000000-0005-0000-0000-000093690000}"/>
    <cellStyle name="Explanatory Text 3 12 15" xfId="27085" xr:uid="{00000000-0005-0000-0000-000094690000}"/>
    <cellStyle name="Explanatory Text 3 12 2" xfId="27086" xr:uid="{00000000-0005-0000-0000-000095690000}"/>
    <cellStyle name="Explanatory Text 3 12 3" xfId="27087" xr:uid="{00000000-0005-0000-0000-000096690000}"/>
    <cellStyle name="Explanatory Text 3 12 4" xfId="27088" xr:uid="{00000000-0005-0000-0000-000097690000}"/>
    <cellStyle name="Explanatory Text 3 12 5" xfId="27089" xr:uid="{00000000-0005-0000-0000-000098690000}"/>
    <cellStyle name="Explanatory Text 3 12 6" xfId="27090" xr:uid="{00000000-0005-0000-0000-000099690000}"/>
    <cellStyle name="Explanatory Text 3 12 7" xfId="27091" xr:uid="{00000000-0005-0000-0000-00009A690000}"/>
    <cellStyle name="Explanatory Text 3 12 8" xfId="27092" xr:uid="{00000000-0005-0000-0000-00009B690000}"/>
    <cellStyle name="Explanatory Text 3 12 9" xfId="27093" xr:uid="{00000000-0005-0000-0000-00009C690000}"/>
    <cellStyle name="Explanatory Text 3 13" xfId="27094" xr:uid="{00000000-0005-0000-0000-00009D690000}"/>
    <cellStyle name="Explanatory Text 3 13 10" xfId="27095" xr:uid="{00000000-0005-0000-0000-00009E690000}"/>
    <cellStyle name="Explanatory Text 3 13 11" xfId="27096" xr:uid="{00000000-0005-0000-0000-00009F690000}"/>
    <cellStyle name="Explanatory Text 3 13 12" xfId="27097" xr:uid="{00000000-0005-0000-0000-0000A0690000}"/>
    <cellStyle name="Explanatory Text 3 13 13" xfId="27098" xr:uid="{00000000-0005-0000-0000-0000A1690000}"/>
    <cellStyle name="Explanatory Text 3 13 14" xfId="27099" xr:uid="{00000000-0005-0000-0000-0000A2690000}"/>
    <cellStyle name="Explanatory Text 3 13 15" xfId="27100" xr:uid="{00000000-0005-0000-0000-0000A3690000}"/>
    <cellStyle name="Explanatory Text 3 13 2" xfId="27101" xr:uid="{00000000-0005-0000-0000-0000A4690000}"/>
    <cellStyle name="Explanatory Text 3 13 3" xfId="27102" xr:uid="{00000000-0005-0000-0000-0000A5690000}"/>
    <cellStyle name="Explanatory Text 3 13 4" xfId="27103" xr:uid="{00000000-0005-0000-0000-0000A6690000}"/>
    <cellStyle name="Explanatory Text 3 13 5" xfId="27104" xr:uid="{00000000-0005-0000-0000-0000A7690000}"/>
    <cellStyle name="Explanatory Text 3 13 6" xfId="27105" xr:uid="{00000000-0005-0000-0000-0000A8690000}"/>
    <cellStyle name="Explanatory Text 3 13 7" xfId="27106" xr:uid="{00000000-0005-0000-0000-0000A9690000}"/>
    <cellStyle name="Explanatory Text 3 13 8" xfId="27107" xr:uid="{00000000-0005-0000-0000-0000AA690000}"/>
    <cellStyle name="Explanatory Text 3 13 9" xfId="27108" xr:uid="{00000000-0005-0000-0000-0000AB690000}"/>
    <cellStyle name="Explanatory Text 3 14" xfId="27109" xr:uid="{00000000-0005-0000-0000-0000AC690000}"/>
    <cellStyle name="Explanatory Text 3 14 10" xfId="27110" xr:uid="{00000000-0005-0000-0000-0000AD690000}"/>
    <cellStyle name="Explanatory Text 3 14 11" xfId="27111" xr:uid="{00000000-0005-0000-0000-0000AE690000}"/>
    <cellStyle name="Explanatory Text 3 14 12" xfId="27112" xr:uid="{00000000-0005-0000-0000-0000AF690000}"/>
    <cellStyle name="Explanatory Text 3 14 13" xfId="27113" xr:uid="{00000000-0005-0000-0000-0000B0690000}"/>
    <cellStyle name="Explanatory Text 3 14 14" xfId="27114" xr:uid="{00000000-0005-0000-0000-0000B1690000}"/>
    <cellStyle name="Explanatory Text 3 14 15" xfId="27115" xr:uid="{00000000-0005-0000-0000-0000B2690000}"/>
    <cellStyle name="Explanatory Text 3 14 2" xfId="27116" xr:uid="{00000000-0005-0000-0000-0000B3690000}"/>
    <cellStyle name="Explanatory Text 3 14 3" xfId="27117" xr:uid="{00000000-0005-0000-0000-0000B4690000}"/>
    <cellStyle name="Explanatory Text 3 14 4" xfId="27118" xr:uid="{00000000-0005-0000-0000-0000B5690000}"/>
    <cellStyle name="Explanatory Text 3 14 5" xfId="27119" xr:uid="{00000000-0005-0000-0000-0000B6690000}"/>
    <cellStyle name="Explanatory Text 3 14 6" xfId="27120" xr:uid="{00000000-0005-0000-0000-0000B7690000}"/>
    <cellStyle name="Explanatory Text 3 14 7" xfId="27121" xr:uid="{00000000-0005-0000-0000-0000B8690000}"/>
    <cellStyle name="Explanatory Text 3 14 8" xfId="27122" xr:uid="{00000000-0005-0000-0000-0000B9690000}"/>
    <cellStyle name="Explanatory Text 3 14 9" xfId="27123" xr:uid="{00000000-0005-0000-0000-0000BA690000}"/>
    <cellStyle name="Explanatory Text 3 15" xfId="27124" xr:uid="{00000000-0005-0000-0000-0000BB690000}"/>
    <cellStyle name="Explanatory Text 3 15 10" xfId="27125" xr:uid="{00000000-0005-0000-0000-0000BC690000}"/>
    <cellStyle name="Explanatory Text 3 15 11" xfId="27126" xr:uid="{00000000-0005-0000-0000-0000BD690000}"/>
    <cellStyle name="Explanatory Text 3 15 12" xfId="27127" xr:uid="{00000000-0005-0000-0000-0000BE690000}"/>
    <cellStyle name="Explanatory Text 3 15 13" xfId="27128" xr:uid="{00000000-0005-0000-0000-0000BF690000}"/>
    <cellStyle name="Explanatory Text 3 15 14" xfId="27129" xr:uid="{00000000-0005-0000-0000-0000C0690000}"/>
    <cellStyle name="Explanatory Text 3 15 15" xfId="27130" xr:uid="{00000000-0005-0000-0000-0000C1690000}"/>
    <cellStyle name="Explanatory Text 3 15 2" xfId="27131" xr:uid="{00000000-0005-0000-0000-0000C2690000}"/>
    <cellStyle name="Explanatory Text 3 15 3" xfId="27132" xr:uid="{00000000-0005-0000-0000-0000C3690000}"/>
    <cellStyle name="Explanatory Text 3 15 4" xfId="27133" xr:uid="{00000000-0005-0000-0000-0000C4690000}"/>
    <cellStyle name="Explanatory Text 3 15 5" xfId="27134" xr:uid="{00000000-0005-0000-0000-0000C5690000}"/>
    <cellStyle name="Explanatory Text 3 15 6" xfId="27135" xr:uid="{00000000-0005-0000-0000-0000C6690000}"/>
    <cellStyle name="Explanatory Text 3 15 7" xfId="27136" xr:uid="{00000000-0005-0000-0000-0000C7690000}"/>
    <cellStyle name="Explanatory Text 3 15 8" xfId="27137" xr:uid="{00000000-0005-0000-0000-0000C8690000}"/>
    <cellStyle name="Explanatory Text 3 15 9" xfId="27138" xr:uid="{00000000-0005-0000-0000-0000C9690000}"/>
    <cellStyle name="Explanatory Text 3 16" xfId="27139" xr:uid="{00000000-0005-0000-0000-0000CA690000}"/>
    <cellStyle name="Explanatory Text 3 16 10" xfId="27140" xr:uid="{00000000-0005-0000-0000-0000CB690000}"/>
    <cellStyle name="Explanatory Text 3 16 11" xfId="27141" xr:uid="{00000000-0005-0000-0000-0000CC690000}"/>
    <cellStyle name="Explanatory Text 3 16 12" xfId="27142" xr:uid="{00000000-0005-0000-0000-0000CD690000}"/>
    <cellStyle name="Explanatory Text 3 16 13" xfId="27143" xr:uid="{00000000-0005-0000-0000-0000CE690000}"/>
    <cellStyle name="Explanatory Text 3 16 14" xfId="27144" xr:uid="{00000000-0005-0000-0000-0000CF690000}"/>
    <cellStyle name="Explanatory Text 3 16 15" xfId="27145" xr:uid="{00000000-0005-0000-0000-0000D0690000}"/>
    <cellStyle name="Explanatory Text 3 16 2" xfId="27146" xr:uid="{00000000-0005-0000-0000-0000D1690000}"/>
    <cellStyle name="Explanatory Text 3 16 3" xfId="27147" xr:uid="{00000000-0005-0000-0000-0000D2690000}"/>
    <cellStyle name="Explanatory Text 3 16 4" xfId="27148" xr:uid="{00000000-0005-0000-0000-0000D3690000}"/>
    <cellStyle name="Explanatory Text 3 16 5" xfId="27149" xr:uid="{00000000-0005-0000-0000-0000D4690000}"/>
    <cellStyle name="Explanatory Text 3 16 6" xfId="27150" xr:uid="{00000000-0005-0000-0000-0000D5690000}"/>
    <cellStyle name="Explanatory Text 3 16 7" xfId="27151" xr:uid="{00000000-0005-0000-0000-0000D6690000}"/>
    <cellStyle name="Explanatory Text 3 16 8" xfId="27152" xr:uid="{00000000-0005-0000-0000-0000D7690000}"/>
    <cellStyle name="Explanatory Text 3 16 9" xfId="27153" xr:uid="{00000000-0005-0000-0000-0000D8690000}"/>
    <cellStyle name="Explanatory Text 3 17" xfId="27154" xr:uid="{00000000-0005-0000-0000-0000D9690000}"/>
    <cellStyle name="Explanatory Text 3 17 10" xfId="27155" xr:uid="{00000000-0005-0000-0000-0000DA690000}"/>
    <cellStyle name="Explanatory Text 3 17 11" xfId="27156" xr:uid="{00000000-0005-0000-0000-0000DB690000}"/>
    <cellStyle name="Explanatory Text 3 17 12" xfId="27157" xr:uid="{00000000-0005-0000-0000-0000DC690000}"/>
    <cellStyle name="Explanatory Text 3 17 13" xfId="27158" xr:uid="{00000000-0005-0000-0000-0000DD690000}"/>
    <cellStyle name="Explanatory Text 3 17 14" xfId="27159" xr:uid="{00000000-0005-0000-0000-0000DE690000}"/>
    <cellStyle name="Explanatory Text 3 17 15" xfId="27160" xr:uid="{00000000-0005-0000-0000-0000DF690000}"/>
    <cellStyle name="Explanatory Text 3 17 2" xfId="27161" xr:uid="{00000000-0005-0000-0000-0000E0690000}"/>
    <cellStyle name="Explanatory Text 3 17 3" xfId="27162" xr:uid="{00000000-0005-0000-0000-0000E1690000}"/>
    <cellStyle name="Explanatory Text 3 17 4" xfId="27163" xr:uid="{00000000-0005-0000-0000-0000E2690000}"/>
    <cellStyle name="Explanatory Text 3 17 5" xfId="27164" xr:uid="{00000000-0005-0000-0000-0000E3690000}"/>
    <cellStyle name="Explanatory Text 3 17 6" xfId="27165" xr:uid="{00000000-0005-0000-0000-0000E4690000}"/>
    <cellStyle name="Explanatory Text 3 17 7" xfId="27166" xr:uid="{00000000-0005-0000-0000-0000E5690000}"/>
    <cellStyle name="Explanatory Text 3 17 8" xfId="27167" xr:uid="{00000000-0005-0000-0000-0000E6690000}"/>
    <cellStyle name="Explanatory Text 3 17 9" xfId="27168" xr:uid="{00000000-0005-0000-0000-0000E7690000}"/>
    <cellStyle name="Explanatory Text 3 18" xfId="27169" xr:uid="{00000000-0005-0000-0000-0000E8690000}"/>
    <cellStyle name="Explanatory Text 3 18 10" xfId="27170" xr:uid="{00000000-0005-0000-0000-0000E9690000}"/>
    <cellStyle name="Explanatory Text 3 18 11" xfId="27171" xr:uid="{00000000-0005-0000-0000-0000EA690000}"/>
    <cellStyle name="Explanatory Text 3 18 12" xfId="27172" xr:uid="{00000000-0005-0000-0000-0000EB690000}"/>
    <cellStyle name="Explanatory Text 3 18 13" xfId="27173" xr:uid="{00000000-0005-0000-0000-0000EC690000}"/>
    <cellStyle name="Explanatory Text 3 18 14" xfId="27174" xr:uid="{00000000-0005-0000-0000-0000ED690000}"/>
    <cellStyle name="Explanatory Text 3 18 15" xfId="27175" xr:uid="{00000000-0005-0000-0000-0000EE690000}"/>
    <cellStyle name="Explanatory Text 3 18 2" xfId="27176" xr:uid="{00000000-0005-0000-0000-0000EF690000}"/>
    <cellStyle name="Explanatory Text 3 18 3" xfId="27177" xr:uid="{00000000-0005-0000-0000-0000F0690000}"/>
    <cellStyle name="Explanatory Text 3 18 4" xfId="27178" xr:uid="{00000000-0005-0000-0000-0000F1690000}"/>
    <cellStyle name="Explanatory Text 3 18 5" xfId="27179" xr:uid="{00000000-0005-0000-0000-0000F2690000}"/>
    <cellStyle name="Explanatory Text 3 18 6" xfId="27180" xr:uid="{00000000-0005-0000-0000-0000F3690000}"/>
    <cellStyle name="Explanatory Text 3 18 7" xfId="27181" xr:uid="{00000000-0005-0000-0000-0000F4690000}"/>
    <cellStyle name="Explanatory Text 3 18 8" xfId="27182" xr:uid="{00000000-0005-0000-0000-0000F5690000}"/>
    <cellStyle name="Explanatory Text 3 18 9" xfId="27183" xr:uid="{00000000-0005-0000-0000-0000F6690000}"/>
    <cellStyle name="Explanatory Text 3 19" xfId="27184" xr:uid="{00000000-0005-0000-0000-0000F7690000}"/>
    <cellStyle name="Explanatory Text 3 19 10" xfId="27185" xr:uid="{00000000-0005-0000-0000-0000F8690000}"/>
    <cellStyle name="Explanatory Text 3 19 11" xfId="27186" xr:uid="{00000000-0005-0000-0000-0000F9690000}"/>
    <cellStyle name="Explanatory Text 3 19 12" xfId="27187" xr:uid="{00000000-0005-0000-0000-0000FA690000}"/>
    <cellStyle name="Explanatory Text 3 19 13" xfId="27188" xr:uid="{00000000-0005-0000-0000-0000FB690000}"/>
    <cellStyle name="Explanatory Text 3 19 14" xfId="27189" xr:uid="{00000000-0005-0000-0000-0000FC690000}"/>
    <cellStyle name="Explanatory Text 3 19 15" xfId="27190" xr:uid="{00000000-0005-0000-0000-0000FD690000}"/>
    <cellStyle name="Explanatory Text 3 19 2" xfId="27191" xr:uid="{00000000-0005-0000-0000-0000FE690000}"/>
    <cellStyle name="Explanatory Text 3 19 3" xfId="27192" xr:uid="{00000000-0005-0000-0000-0000FF690000}"/>
    <cellStyle name="Explanatory Text 3 19 4" xfId="27193" xr:uid="{00000000-0005-0000-0000-0000006A0000}"/>
    <cellStyle name="Explanatory Text 3 19 5" xfId="27194" xr:uid="{00000000-0005-0000-0000-0000016A0000}"/>
    <cellStyle name="Explanatory Text 3 19 6" xfId="27195" xr:uid="{00000000-0005-0000-0000-0000026A0000}"/>
    <cellStyle name="Explanatory Text 3 19 7" xfId="27196" xr:uid="{00000000-0005-0000-0000-0000036A0000}"/>
    <cellStyle name="Explanatory Text 3 19 8" xfId="27197" xr:uid="{00000000-0005-0000-0000-0000046A0000}"/>
    <cellStyle name="Explanatory Text 3 19 9" xfId="27198" xr:uid="{00000000-0005-0000-0000-0000056A0000}"/>
    <cellStyle name="Explanatory Text 3 2" xfId="27199" xr:uid="{00000000-0005-0000-0000-0000066A0000}"/>
    <cellStyle name="Explanatory Text 3 2 10" xfId="27200" xr:uid="{00000000-0005-0000-0000-0000076A0000}"/>
    <cellStyle name="Explanatory Text 3 2 11" xfId="27201" xr:uid="{00000000-0005-0000-0000-0000086A0000}"/>
    <cellStyle name="Explanatory Text 3 2 12" xfId="27202" xr:uid="{00000000-0005-0000-0000-0000096A0000}"/>
    <cellStyle name="Explanatory Text 3 2 13" xfId="27203" xr:uid="{00000000-0005-0000-0000-00000A6A0000}"/>
    <cellStyle name="Explanatory Text 3 2 14" xfId="27204" xr:uid="{00000000-0005-0000-0000-00000B6A0000}"/>
    <cellStyle name="Explanatory Text 3 2 15" xfId="27205" xr:uid="{00000000-0005-0000-0000-00000C6A0000}"/>
    <cellStyle name="Explanatory Text 3 2 16" xfId="27206" xr:uid="{00000000-0005-0000-0000-00000D6A0000}"/>
    <cellStyle name="Explanatory Text 3 2 17" xfId="27207" xr:uid="{00000000-0005-0000-0000-00000E6A0000}"/>
    <cellStyle name="Explanatory Text 3 2 18" xfId="27208" xr:uid="{00000000-0005-0000-0000-00000F6A0000}"/>
    <cellStyle name="Explanatory Text 3 2 19" xfId="27209" xr:uid="{00000000-0005-0000-0000-0000106A0000}"/>
    <cellStyle name="Explanatory Text 3 2 2" xfId="27210" xr:uid="{00000000-0005-0000-0000-0000116A0000}"/>
    <cellStyle name="Explanatory Text 3 2 20" xfId="27211" xr:uid="{00000000-0005-0000-0000-0000126A0000}"/>
    <cellStyle name="Explanatory Text 3 2 21" xfId="27212" xr:uid="{00000000-0005-0000-0000-0000136A0000}"/>
    <cellStyle name="Explanatory Text 3 2 22" xfId="27213" xr:uid="{00000000-0005-0000-0000-0000146A0000}"/>
    <cellStyle name="Explanatory Text 3 2 23" xfId="27214" xr:uid="{00000000-0005-0000-0000-0000156A0000}"/>
    <cellStyle name="Explanatory Text 3 2 24" xfId="27215" xr:uid="{00000000-0005-0000-0000-0000166A0000}"/>
    <cellStyle name="Explanatory Text 3 2 25" xfId="27216" xr:uid="{00000000-0005-0000-0000-0000176A0000}"/>
    <cellStyle name="Explanatory Text 3 2 26" xfId="27217" xr:uid="{00000000-0005-0000-0000-0000186A0000}"/>
    <cellStyle name="Explanatory Text 3 2 27" xfId="27218" xr:uid="{00000000-0005-0000-0000-0000196A0000}"/>
    <cellStyle name="Explanatory Text 3 2 28" xfId="27219" xr:uid="{00000000-0005-0000-0000-00001A6A0000}"/>
    <cellStyle name="Explanatory Text 3 2 29" xfId="27220" xr:uid="{00000000-0005-0000-0000-00001B6A0000}"/>
    <cellStyle name="Explanatory Text 3 2 3" xfId="27221" xr:uid="{00000000-0005-0000-0000-00001C6A0000}"/>
    <cellStyle name="Explanatory Text 3 2 30" xfId="27222" xr:uid="{00000000-0005-0000-0000-00001D6A0000}"/>
    <cellStyle name="Explanatory Text 3 2 31" xfId="27223" xr:uid="{00000000-0005-0000-0000-00001E6A0000}"/>
    <cellStyle name="Explanatory Text 3 2 32" xfId="27224" xr:uid="{00000000-0005-0000-0000-00001F6A0000}"/>
    <cellStyle name="Explanatory Text 3 2 33" xfId="27225" xr:uid="{00000000-0005-0000-0000-0000206A0000}"/>
    <cellStyle name="Explanatory Text 3 2 34" xfId="27226" xr:uid="{00000000-0005-0000-0000-0000216A0000}"/>
    <cellStyle name="Explanatory Text 3 2 35" xfId="27227" xr:uid="{00000000-0005-0000-0000-0000226A0000}"/>
    <cellStyle name="Explanatory Text 3 2 36" xfId="27228" xr:uid="{00000000-0005-0000-0000-0000236A0000}"/>
    <cellStyle name="Explanatory Text 3 2 37" xfId="27229" xr:uid="{00000000-0005-0000-0000-0000246A0000}"/>
    <cellStyle name="Explanatory Text 3 2 38" xfId="27230" xr:uid="{00000000-0005-0000-0000-0000256A0000}"/>
    <cellStyle name="Explanatory Text 3 2 39" xfId="27231" xr:uid="{00000000-0005-0000-0000-0000266A0000}"/>
    <cellStyle name="Explanatory Text 3 2 4" xfId="27232" xr:uid="{00000000-0005-0000-0000-0000276A0000}"/>
    <cellStyle name="Explanatory Text 3 2 40" xfId="27233" xr:uid="{00000000-0005-0000-0000-0000286A0000}"/>
    <cellStyle name="Explanatory Text 3 2 41" xfId="27234" xr:uid="{00000000-0005-0000-0000-0000296A0000}"/>
    <cellStyle name="Explanatory Text 3 2 42" xfId="27235" xr:uid="{00000000-0005-0000-0000-00002A6A0000}"/>
    <cellStyle name="Explanatory Text 3 2 43" xfId="27236" xr:uid="{00000000-0005-0000-0000-00002B6A0000}"/>
    <cellStyle name="Explanatory Text 3 2 44" xfId="27237" xr:uid="{00000000-0005-0000-0000-00002C6A0000}"/>
    <cellStyle name="Explanatory Text 3 2 45" xfId="27238" xr:uid="{00000000-0005-0000-0000-00002D6A0000}"/>
    <cellStyle name="Explanatory Text 3 2 46" xfId="27239" xr:uid="{00000000-0005-0000-0000-00002E6A0000}"/>
    <cellStyle name="Explanatory Text 3 2 47" xfId="27240" xr:uid="{00000000-0005-0000-0000-00002F6A0000}"/>
    <cellStyle name="Explanatory Text 3 2 48" xfId="27241" xr:uid="{00000000-0005-0000-0000-0000306A0000}"/>
    <cellStyle name="Explanatory Text 3 2 49" xfId="27242" xr:uid="{00000000-0005-0000-0000-0000316A0000}"/>
    <cellStyle name="Explanatory Text 3 2 5" xfId="27243" xr:uid="{00000000-0005-0000-0000-0000326A0000}"/>
    <cellStyle name="Explanatory Text 3 2 50" xfId="27244" xr:uid="{00000000-0005-0000-0000-0000336A0000}"/>
    <cellStyle name="Explanatory Text 3 2 51" xfId="27245" xr:uid="{00000000-0005-0000-0000-0000346A0000}"/>
    <cellStyle name="Explanatory Text 3 2 52" xfId="27246" xr:uid="{00000000-0005-0000-0000-0000356A0000}"/>
    <cellStyle name="Explanatory Text 3 2 53" xfId="27247" xr:uid="{00000000-0005-0000-0000-0000366A0000}"/>
    <cellStyle name="Explanatory Text 3 2 6" xfId="27248" xr:uid="{00000000-0005-0000-0000-0000376A0000}"/>
    <cellStyle name="Explanatory Text 3 2 7" xfId="27249" xr:uid="{00000000-0005-0000-0000-0000386A0000}"/>
    <cellStyle name="Explanatory Text 3 2 8" xfId="27250" xr:uid="{00000000-0005-0000-0000-0000396A0000}"/>
    <cellStyle name="Explanatory Text 3 2 9" xfId="27251" xr:uid="{00000000-0005-0000-0000-00003A6A0000}"/>
    <cellStyle name="Explanatory Text 3 20" xfId="27252" xr:uid="{00000000-0005-0000-0000-00003B6A0000}"/>
    <cellStyle name="Explanatory Text 3 20 10" xfId="27253" xr:uid="{00000000-0005-0000-0000-00003C6A0000}"/>
    <cellStyle name="Explanatory Text 3 20 11" xfId="27254" xr:uid="{00000000-0005-0000-0000-00003D6A0000}"/>
    <cellStyle name="Explanatory Text 3 20 12" xfId="27255" xr:uid="{00000000-0005-0000-0000-00003E6A0000}"/>
    <cellStyle name="Explanatory Text 3 20 13" xfId="27256" xr:uid="{00000000-0005-0000-0000-00003F6A0000}"/>
    <cellStyle name="Explanatory Text 3 20 14" xfId="27257" xr:uid="{00000000-0005-0000-0000-0000406A0000}"/>
    <cellStyle name="Explanatory Text 3 20 15" xfId="27258" xr:uid="{00000000-0005-0000-0000-0000416A0000}"/>
    <cellStyle name="Explanatory Text 3 20 2" xfId="27259" xr:uid="{00000000-0005-0000-0000-0000426A0000}"/>
    <cellStyle name="Explanatory Text 3 20 3" xfId="27260" xr:uid="{00000000-0005-0000-0000-0000436A0000}"/>
    <cellStyle name="Explanatory Text 3 20 4" xfId="27261" xr:uid="{00000000-0005-0000-0000-0000446A0000}"/>
    <cellStyle name="Explanatory Text 3 20 5" xfId="27262" xr:uid="{00000000-0005-0000-0000-0000456A0000}"/>
    <cellStyle name="Explanatory Text 3 20 6" xfId="27263" xr:uid="{00000000-0005-0000-0000-0000466A0000}"/>
    <cellStyle name="Explanatory Text 3 20 7" xfId="27264" xr:uid="{00000000-0005-0000-0000-0000476A0000}"/>
    <cellStyle name="Explanatory Text 3 20 8" xfId="27265" xr:uid="{00000000-0005-0000-0000-0000486A0000}"/>
    <cellStyle name="Explanatory Text 3 20 9" xfId="27266" xr:uid="{00000000-0005-0000-0000-0000496A0000}"/>
    <cellStyle name="Explanatory Text 3 21" xfId="27267" xr:uid="{00000000-0005-0000-0000-00004A6A0000}"/>
    <cellStyle name="Explanatory Text 3 21 10" xfId="27268" xr:uid="{00000000-0005-0000-0000-00004B6A0000}"/>
    <cellStyle name="Explanatory Text 3 21 11" xfId="27269" xr:uid="{00000000-0005-0000-0000-00004C6A0000}"/>
    <cellStyle name="Explanatory Text 3 21 12" xfId="27270" xr:uid="{00000000-0005-0000-0000-00004D6A0000}"/>
    <cellStyle name="Explanatory Text 3 21 13" xfId="27271" xr:uid="{00000000-0005-0000-0000-00004E6A0000}"/>
    <cellStyle name="Explanatory Text 3 21 14" xfId="27272" xr:uid="{00000000-0005-0000-0000-00004F6A0000}"/>
    <cellStyle name="Explanatory Text 3 21 15" xfId="27273" xr:uid="{00000000-0005-0000-0000-0000506A0000}"/>
    <cellStyle name="Explanatory Text 3 21 2" xfId="27274" xr:uid="{00000000-0005-0000-0000-0000516A0000}"/>
    <cellStyle name="Explanatory Text 3 21 3" xfId="27275" xr:uid="{00000000-0005-0000-0000-0000526A0000}"/>
    <cellStyle name="Explanatory Text 3 21 4" xfId="27276" xr:uid="{00000000-0005-0000-0000-0000536A0000}"/>
    <cellStyle name="Explanatory Text 3 21 5" xfId="27277" xr:uid="{00000000-0005-0000-0000-0000546A0000}"/>
    <cellStyle name="Explanatory Text 3 21 6" xfId="27278" xr:uid="{00000000-0005-0000-0000-0000556A0000}"/>
    <cellStyle name="Explanatory Text 3 21 7" xfId="27279" xr:uid="{00000000-0005-0000-0000-0000566A0000}"/>
    <cellStyle name="Explanatory Text 3 21 8" xfId="27280" xr:uid="{00000000-0005-0000-0000-0000576A0000}"/>
    <cellStyle name="Explanatory Text 3 21 9" xfId="27281" xr:uid="{00000000-0005-0000-0000-0000586A0000}"/>
    <cellStyle name="Explanatory Text 3 22" xfId="27282" xr:uid="{00000000-0005-0000-0000-0000596A0000}"/>
    <cellStyle name="Explanatory Text 3 22 10" xfId="27283" xr:uid="{00000000-0005-0000-0000-00005A6A0000}"/>
    <cellStyle name="Explanatory Text 3 22 11" xfId="27284" xr:uid="{00000000-0005-0000-0000-00005B6A0000}"/>
    <cellStyle name="Explanatory Text 3 22 12" xfId="27285" xr:uid="{00000000-0005-0000-0000-00005C6A0000}"/>
    <cellStyle name="Explanatory Text 3 22 13" xfId="27286" xr:uid="{00000000-0005-0000-0000-00005D6A0000}"/>
    <cellStyle name="Explanatory Text 3 22 14" xfId="27287" xr:uid="{00000000-0005-0000-0000-00005E6A0000}"/>
    <cellStyle name="Explanatory Text 3 22 15" xfId="27288" xr:uid="{00000000-0005-0000-0000-00005F6A0000}"/>
    <cellStyle name="Explanatory Text 3 22 2" xfId="27289" xr:uid="{00000000-0005-0000-0000-0000606A0000}"/>
    <cellStyle name="Explanatory Text 3 22 3" xfId="27290" xr:uid="{00000000-0005-0000-0000-0000616A0000}"/>
    <cellStyle name="Explanatory Text 3 22 4" xfId="27291" xr:uid="{00000000-0005-0000-0000-0000626A0000}"/>
    <cellStyle name="Explanatory Text 3 22 5" xfId="27292" xr:uid="{00000000-0005-0000-0000-0000636A0000}"/>
    <cellStyle name="Explanatory Text 3 22 6" xfId="27293" xr:uid="{00000000-0005-0000-0000-0000646A0000}"/>
    <cellStyle name="Explanatory Text 3 22 7" xfId="27294" xr:uid="{00000000-0005-0000-0000-0000656A0000}"/>
    <cellStyle name="Explanatory Text 3 22 8" xfId="27295" xr:uid="{00000000-0005-0000-0000-0000666A0000}"/>
    <cellStyle name="Explanatory Text 3 22 9" xfId="27296" xr:uid="{00000000-0005-0000-0000-0000676A0000}"/>
    <cellStyle name="Explanatory Text 3 23" xfId="27297" xr:uid="{00000000-0005-0000-0000-0000686A0000}"/>
    <cellStyle name="Explanatory Text 3 23 10" xfId="27298" xr:uid="{00000000-0005-0000-0000-0000696A0000}"/>
    <cellStyle name="Explanatory Text 3 23 11" xfId="27299" xr:uid="{00000000-0005-0000-0000-00006A6A0000}"/>
    <cellStyle name="Explanatory Text 3 23 12" xfId="27300" xr:uid="{00000000-0005-0000-0000-00006B6A0000}"/>
    <cellStyle name="Explanatory Text 3 23 13" xfId="27301" xr:uid="{00000000-0005-0000-0000-00006C6A0000}"/>
    <cellStyle name="Explanatory Text 3 23 14" xfId="27302" xr:uid="{00000000-0005-0000-0000-00006D6A0000}"/>
    <cellStyle name="Explanatory Text 3 23 15" xfId="27303" xr:uid="{00000000-0005-0000-0000-00006E6A0000}"/>
    <cellStyle name="Explanatory Text 3 23 2" xfId="27304" xr:uid="{00000000-0005-0000-0000-00006F6A0000}"/>
    <cellStyle name="Explanatory Text 3 23 3" xfId="27305" xr:uid="{00000000-0005-0000-0000-0000706A0000}"/>
    <cellStyle name="Explanatory Text 3 23 4" xfId="27306" xr:uid="{00000000-0005-0000-0000-0000716A0000}"/>
    <cellStyle name="Explanatory Text 3 23 5" xfId="27307" xr:uid="{00000000-0005-0000-0000-0000726A0000}"/>
    <cellStyle name="Explanatory Text 3 23 6" xfId="27308" xr:uid="{00000000-0005-0000-0000-0000736A0000}"/>
    <cellStyle name="Explanatory Text 3 23 7" xfId="27309" xr:uid="{00000000-0005-0000-0000-0000746A0000}"/>
    <cellStyle name="Explanatory Text 3 23 8" xfId="27310" xr:uid="{00000000-0005-0000-0000-0000756A0000}"/>
    <cellStyle name="Explanatory Text 3 23 9" xfId="27311" xr:uid="{00000000-0005-0000-0000-0000766A0000}"/>
    <cellStyle name="Explanatory Text 3 24" xfId="27312" xr:uid="{00000000-0005-0000-0000-0000776A0000}"/>
    <cellStyle name="Explanatory Text 3 24 10" xfId="27313" xr:uid="{00000000-0005-0000-0000-0000786A0000}"/>
    <cellStyle name="Explanatory Text 3 24 11" xfId="27314" xr:uid="{00000000-0005-0000-0000-0000796A0000}"/>
    <cellStyle name="Explanatory Text 3 24 12" xfId="27315" xr:uid="{00000000-0005-0000-0000-00007A6A0000}"/>
    <cellStyle name="Explanatory Text 3 24 13" xfId="27316" xr:uid="{00000000-0005-0000-0000-00007B6A0000}"/>
    <cellStyle name="Explanatory Text 3 24 14" xfId="27317" xr:uid="{00000000-0005-0000-0000-00007C6A0000}"/>
    <cellStyle name="Explanatory Text 3 24 15" xfId="27318" xr:uid="{00000000-0005-0000-0000-00007D6A0000}"/>
    <cellStyle name="Explanatory Text 3 24 2" xfId="27319" xr:uid="{00000000-0005-0000-0000-00007E6A0000}"/>
    <cellStyle name="Explanatory Text 3 24 3" xfId="27320" xr:uid="{00000000-0005-0000-0000-00007F6A0000}"/>
    <cellStyle name="Explanatory Text 3 24 4" xfId="27321" xr:uid="{00000000-0005-0000-0000-0000806A0000}"/>
    <cellStyle name="Explanatory Text 3 24 5" xfId="27322" xr:uid="{00000000-0005-0000-0000-0000816A0000}"/>
    <cellStyle name="Explanatory Text 3 24 6" xfId="27323" xr:uid="{00000000-0005-0000-0000-0000826A0000}"/>
    <cellStyle name="Explanatory Text 3 24 7" xfId="27324" xr:uid="{00000000-0005-0000-0000-0000836A0000}"/>
    <cellStyle name="Explanatory Text 3 24 8" xfId="27325" xr:uid="{00000000-0005-0000-0000-0000846A0000}"/>
    <cellStyle name="Explanatory Text 3 24 9" xfId="27326" xr:uid="{00000000-0005-0000-0000-0000856A0000}"/>
    <cellStyle name="Explanatory Text 3 25" xfId="27327" xr:uid="{00000000-0005-0000-0000-0000866A0000}"/>
    <cellStyle name="Explanatory Text 3 25 10" xfId="27328" xr:uid="{00000000-0005-0000-0000-0000876A0000}"/>
    <cellStyle name="Explanatory Text 3 25 11" xfId="27329" xr:uid="{00000000-0005-0000-0000-0000886A0000}"/>
    <cellStyle name="Explanatory Text 3 25 12" xfId="27330" xr:uid="{00000000-0005-0000-0000-0000896A0000}"/>
    <cellStyle name="Explanatory Text 3 25 13" xfId="27331" xr:uid="{00000000-0005-0000-0000-00008A6A0000}"/>
    <cellStyle name="Explanatory Text 3 25 14" xfId="27332" xr:uid="{00000000-0005-0000-0000-00008B6A0000}"/>
    <cellStyle name="Explanatory Text 3 25 15" xfId="27333" xr:uid="{00000000-0005-0000-0000-00008C6A0000}"/>
    <cellStyle name="Explanatory Text 3 25 2" xfId="27334" xr:uid="{00000000-0005-0000-0000-00008D6A0000}"/>
    <cellStyle name="Explanatory Text 3 25 3" xfId="27335" xr:uid="{00000000-0005-0000-0000-00008E6A0000}"/>
    <cellStyle name="Explanatory Text 3 25 4" xfId="27336" xr:uid="{00000000-0005-0000-0000-00008F6A0000}"/>
    <cellStyle name="Explanatory Text 3 25 5" xfId="27337" xr:uid="{00000000-0005-0000-0000-0000906A0000}"/>
    <cellStyle name="Explanatory Text 3 25 6" xfId="27338" xr:uid="{00000000-0005-0000-0000-0000916A0000}"/>
    <cellStyle name="Explanatory Text 3 25 7" xfId="27339" xr:uid="{00000000-0005-0000-0000-0000926A0000}"/>
    <cellStyle name="Explanatory Text 3 25 8" xfId="27340" xr:uid="{00000000-0005-0000-0000-0000936A0000}"/>
    <cellStyle name="Explanatory Text 3 25 9" xfId="27341" xr:uid="{00000000-0005-0000-0000-0000946A0000}"/>
    <cellStyle name="Explanatory Text 3 26" xfId="27342" xr:uid="{00000000-0005-0000-0000-0000956A0000}"/>
    <cellStyle name="Explanatory Text 3 26 10" xfId="27343" xr:uid="{00000000-0005-0000-0000-0000966A0000}"/>
    <cellStyle name="Explanatory Text 3 26 11" xfId="27344" xr:uid="{00000000-0005-0000-0000-0000976A0000}"/>
    <cellStyle name="Explanatory Text 3 26 12" xfId="27345" xr:uid="{00000000-0005-0000-0000-0000986A0000}"/>
    <cellStyle name="Explanatory Text 3 26 13" xfId="27346" xr:uid="{00000000-0005-0000-0000-0000996A0000}"/>
    <cellStyle name="Explanatory Text 3 26 14" xfId="27347" xr:uid="{00000000-0005-0000-0000-00009A6A0000}"/>
    <cellStyle name="Explanatory Text 3 26 15" xfId="27348" xr:uid="{00000000-0005-0000-0000-00009B6A0000}"/>
    <cellStyle name="Explanatory Text 3 26 2" xfId="27349" xr:uid="{00000000-0005-0000-0000-00009C6A0000}"/>
    <cellStyle name="Explanatory Text 3 26 3" xfId="27350" xr:uid="{00000000-0005-0000-0000-00009D6A0000}"/>
    <cellStyle name="Explanatory Text 3 26 4" xfId="27351" xr:uid="{00000000-0005-0000-0000-00009E6A0000}"/>
    <cellStyle name="Explanatory Text 3 26 5" xfId="27352" xr:uid="{00000000-0005-0000-0000-00009F6A0000}"/>
    <cellStyle name="Explanatory Text 3 26 6" xfId="27353" xr:uid="{00000000-0005-0000-0000-0000A06A0000}"/>
    <cellStyle name="Explanatory Text 3 26 7" xfId="27354" xr:uid="{00000000-0005-0000-0000-0000A16A0000}"/>
    <cellStyle name="Explanatory Text 3 26 8" xfId="27355" xr:uid="{00000000-0005-0000-0000-0000A26A0000}"/>
    <cellStyle name="Explanatory Text 3 26 9" xfId="27356" xr:uid="{00000000-0005-0000-0000-0000A36A0000}"/>
    <cellStyle name="Explanatory Text 3 27" xfId="27357" xr:uid="{00000000-0005-0000-0000-0000A46A0000}"/>
    <cellStyle name="Explanatory Text 3 27 10" xfId="27358" xr:uid="{00000000-0005-0000-0000-0000A56A0000}"/>
    <cellStyle name="Explanatory Text 3 27 11" xfId="27359" xr:uid="{00000000-0005-0000-0000-0000A66A0000}"/>
    <cellStyle name="Explanatory Text 3 27 12" xfId="27360" xr:uid="{00000000-0005-0000-0000-0000A76A0000}"/>
    <cellStyle name="Explanatory Text 3 27 13" xfId="27361" xr:uid="{00000000-0005-0000-0000-0000A86A0000}"/>
    <cellStyle name="Explanatory Text 3 27 14" xfId="27362" xr:uid="{00000000-0005-0000-0000-0000A96A0000}"/>
    <cellStyle name="Explanatory Text 3 27 15" xfId="27363" xr:uid="{00000000-0005-0000-0000-0000AA6A0000}"/>
    <cellStyle name="Explanatory Text 3 27 2" xfId="27364" xr:uid="{00000000-0005-0000-0000-0000AB6A0000}"/>
    <cellStyle name="Explanatory Text 3 27 3" xfId="27365" xr:uid="{00000000-0005-0000-0000-0000AC6A0000}"/>
    <cellStyle name="Explanatory Text 3 27 4" xfId="27366" xr:uid="{00000000-0005-0000-0000-0000AD6A0000}"/>
    <cellStyle name="Explanatory Text 3 27 5" xfId="27367" xr:uid="{00000000-0005-0000-0000-0000AE6A0000}"/>
    <cellStyle name="Explanatory Text 3 27 6" xfId="27368" xr:uid="{00000000-0005-0000-0000-0000AF6A0000}"/>
    <cellStyle name="Explanatory Text 3 27 7" xfId="27369" xr:uid="{00000000-0005-0000-0000-0000B06A0000}"/>
    <cellStyle name="Explanatory Text 3 27 8" xfId="27370" xr:uid="{00000000-0005-0000-0000-0000B16A0000}"/>
    <cellStyle name="Explanatory Text 3 27 9" xfId="27371" xr:uid="{00000000-0005-0000-0000-0000B26A0000}"/>
    <cellStyle name="Explanatory Text 3 28" xfId="27372" xr:uid="{00000000-0005-0000-0000-0000B36A0000}"/>
    <cellStyle name="Explanatory Text 3 28 10" xfId="27373" xr:uid="{00000000-0005-0000-0000-0000B46A0000}"/>
    <cellStyle name="Explanatory Text 3 28 11" xfId="27374" xr:uid="{00000000-0005-0000-0000-0000B56A0000}"/>
    <cellStyle name="Explanatory Text 3 28 12" xfId="27375" xr:uid="{00000000-0005-0000-0000-0000B66A0000}"/>
    <cellStyle name="Explanatory Text 3 28 13" xfId="27376" xr:uid="{00000000-0005-0000-0000-0000B76A0000}"/>
    <cellStyle name="Explanatory Text 3 28 14" xfId="27377" xr:uid="{00000000-0005-0000-0000-0000B86A0000}"/>
    <cellStyle name="Explanatory Text 3 28 15" xfId="27378" xr:uid="{00000000-0005-0000-0000-0000B96A0000}"/>
    <cellStyle name="Explanatory Text 3 28 2" xfId="27379" xr:uid="{00000000-0005-0000-0000-0000BA6A0000}"/>
    <cellStyle name="Explanatory Text 3 28 3" xfId="27380" xr:uid="{00000000-0005-0000-0000-0000BB6A0000}"/>
    <cellStyle name="Explanatory Text 3 28 4" xfId="27381" xr:uid="{00000000-0005-0000-0000-0000BC6A0000}"/>
    <cellStyle name="Explanatory Text 3 28 5" xfId="27382" xr:uid="{00000000-0005-0000-0000-0000BD6A0000}"/>
    <cellStyle name="Explanatory Text 3 28 6" xfId="27383" xr:uid="{00000000-0005-0000-0000-0000BE6A0000}"/>
    <cellStyle name="Explanatory Text 3 28 7" xfId="27384" xr:uid="{00000000-0005-0000-0000-0000BF6A0000}"/>
    <cellStyle name="Explanatory Text 3 28 8" xfId="27385" xr:uid="{00000000-0005-0000-0000-0000C06A0000}"/>
    <cellStyle name="Explanatory Text 3 28 9" xfId="27386" xr:uid="{00000000-0005-0000-0000-0000C16A0000}"/>
    <cellStyle name="Explanatory Text 3 29" xfId="27387" xr:uid="{00000000-0005-0000-0000-0000C26A0000}"/>
    <cellStyle name="Explanatory Text 3 29 10" xfId="27388" xr:uid="{00000000-0005-0000-0000-0000C36A0000}"/>
    <cellStyle name="Explanatory Text 3 29 11" xfId="27389" xr:uid="{00000000-0005-0000-0000-0000C46A0000}"/>
    <cellStyle name="Explanatory Text 3 29 12" xfId="27390" xr:uid="{00000000-0005-0000-0000-0000C56A0000}"/>
    <cellStyle name="Explanatory Text 3 29 13" xfId="27391" xr:uid="{00000000-0005-0000-0000-0000C66A0000}"/>
    <cellStyle name="Explanatory Text 3 29 14" xfId="27392" xr:uid="{00000000-0005-0000-0000-0000C76A0000}"/>
    <cellStyle name="Explanatory Text 3 29 15" xfId="27393" xr:uid="{00000000-0005-0000-0000-0000C86A0000}"/>
    <cellStyle name="Explanatory Text 3 29 2" xfId="27394" xr:uid="{00000000-0005-0000-0000-0000C96A0000}"/>
    <cellStyle name="Explanatory Text 3 29 3" xfId="27395" xr:uid="{00000000-0005-0000-0000-0000CA6A0000}"/>
    <cellStyle name="Explanatory Text 3 29 4" xfId="27396" xr:uid="{00000000-0005-0000-0000-0000CB6A0000}"/>
    <cellStyle name="Explanatory Text 3 29 5" xfId="27397" xr:uid="{00000000-0005-0000-0000-0000CC6A0000}"/>
    <cellStyle name="Explanatory Text 3 29 6" xfId="27398" xr:uid="{00000000-0005-0000-0000-0000CD6A0000}"/>
    <cellStyle name="Explanatory Text 3 29 7" xfId="27399" xr:uid="{00000000-0005-0000-0000-0000CE6A0000}"/>
    <cellStyle name="Explanatory Text 3 29 8" xfId="27400" xr:uid="{00000000-0005-0000-0000-0000CF6A0000}"/>
    <cellStyle name="Explanatory Text 3 29 9" xfId="27401" xr:uid="{00000000-0005-0000-0000-0000D06A0000}"/>
    <cellStyle name="Explanatory Text 3 3" xfId="27402" xr:uid="{00000000-0005-0000-0000-0000D16A0000}"/>
    <cellStyle name="Explanatory Text 3 3 10" xfId="27403" xr:uid="{00000000-0005-0000-0000-0000D26A0000}"/>
    <cellStyle name="Explanatory Text 3 3 11" xfId="27404" xr:uid="{00000000-0005-0000-0000-0000D36A0000}"/>
    <cellStyle name="Explanatory Text 3 3 12" xfId="27405" xr:uid="{00000000-0005-0000-0000-0000D46A0000}"/>
    <cellStyle name="Explanatory Text 3 3 13" xfId="27406" xr:uid="{00000000-0005-0000-0000-0000D56A0000}"/>
    <cellStyle name="Explanatory Text 3 3 14" xfId="27407" xr:uid="{00000000-0005-0000-0000-0000D66A0000}"/>
    <cellStyle name="Explanatory Text 3 3 15" xfId="27408" xr:uid="{00000000-0005-0000-0000-0000D76A0000}"/>
    <cellStyle name="Explanatory Text 3 3 16" xfId="27409" xr:uid="{00000000-0005-0000-0000-0000D86A0000}"/>
    <cellStyle name="Explanatory Text 3 3 2" xfId="27410" xr:uid="{00000000-0005-0000-0000-0000D96A0000}"/>
    <cellStyle name="Explanatory Text 3 3 3" xfId="27411" xr:uid="{00000000-0005-0000-0000-0000DA6A0000}"/>
    <cellStyle name="Explanatory Text 3 3 4" xfId="27412" xr:uid="{00000000-0005-0000-0000-0000DB6A0000}"/>
    <cellStyle name="Explanatory Text 3 3 5" xfId="27413" xr:uid="{00000000-0005-0000-0000-0000DC6A0000}"/>
    <cellStyle name="Explanatory Text 3 3 6" xfId="27414" xr:uid="{00000000-0005-0000-0000-0000DD6A0000}"/>
    <cellStyle name="Explanatory Text 3 3 7" xfId="27415" xr:uid="{00000000-0005-0000-0000-0000DE6A0000}"/>
    <cellStyle name="Explanatory Text 3 3 8" xfId="27416" xr:uid="{00000000-0005-0000-0000-0000DF6A0000}"/>
    <cellStyle name="Explanatory Text 3 3 9" xfId="27417" xr:uid="{00000000-0005-0000-0000-0000E06A0000}"/>
    <cellStyle name="Explanatory Text 3 30" xfId="27418" xr:uid="{00000000-0005-0000-0000-0000E16A0000}"/>
    <cellStyle name="Explanatory Text 3 30 10" xfId="27419" xr:uid="{00000000-0005-0000-0000-0000E26A0000}"/>
    <cellStyle name="Explanatory Text 3 30 11" xfId="27420" xr:uid="{00000000-0005-0000-0000-0000E36A0000}"/>
    <cellStyle name="Explanatory Text 3 30 12" xfId="27421" xr:uid="{00000000-0005-0000-0000-0000E46A0000}"/>
    <cellStyle name="Explanatory Text 3 30 13" xfId="27422" xr:uid="{00000000-0005-0000-0000-0000E56A0000}"/>
    <cellStyle name="Explanatory Text 3 30 14" xfId="27423" xr:uid="{00000000-0005-0000-0000-0000E66A0000}"/>
    <cellStyle name="Explanatory Text 3 30 15" xfId="27424" xr:uid="{00000000-0005-0000-0000-0000E76A0000}"/>
    <cellStyle name="Explanatory Text 3 30 2" xfId="27425" xr:uid="{00000000-0005-0000-0000-0000E86A0000}"/>
    <cellStyle name="Explanatory Text 3 30 3" xfId="27426" xr:uid="{00000000-0005-0000-0000-0000E96A0000}"/>
    <cellStyle name="Explanatory Text 3 30 4" xfId="27427" xr:uid="{00000000-0005-0000-0000-0000EA6A0000}"/>
    <cellStyle name="Explanatory Text 3 30 5" xfId="27428" xr:uid="{00000000-0005-0000-0000-0000EB6A0000}"/>
    <cellStyle name="Explanatory Text 3 30 6" xfId="27429" xr:uid="{00000000-0005-0000-0000-0000EC6A0000}"/>
    <cellStyle name="Explanatory Text 3 30 7" xfId="27430" xr:uid="{00000000-0005-0000-0000-0000ED6A0000}"/>
    <cellStyle name="Explanatory Text 3 30 8" xfId="27431" xr:uid="{00000000-0005-0000-0000-0000EE6A0000}"/>
    <cellStyle name="Explanatory Text 3 30 9" xfId="27432" xr:uid="{00000000-0005-0000-0000-0000EF6A0000}"/>
    <cellStyle name="Explanatory Text 3 31" xfId="27433" xr:uid="{00000000-0005-0000-0000-0000F06A0000}"/>
    <cellStyle name="Explanatory Text 3 31 10" xfId="27434" xr:uid="{00000000-0005-0000-0000-0000F16A0000}"/>
    <cellStyle name="Explanatory Text 3 31 11" xfId="27435" xr:uid="{00000000-0005-0000-0000-0000F26A0000}"/>
    <cellStyle name="Explanatory Text 3 31 12" xfId="27436" xr:uid="{00000000-0005-0000-0000-0000F36A0000}"/>
    <cellStyle name="Explanatory Text 3 31 13" xfId="27437" xr:uid="{00000000-0005-0000-0000-0000F46A0000}"/>
    <cellStyle name="Explanatory Text 3 31 14" xfId="27438" xr:uid="{00000000-0005-0000-0000-0000F56A0000}"/>
    <cellStyle name="Explanatory Text 3 31 15" xfId="27439" xr:uid="{00000000-0005-0000-0000-0000F66A0000}"/>
    <cellStyle name="Explanatory Text 3 31 2" xfId="27440" xr:uid="{00000000-0005-0000-0000-0000F76A0000}"/>
    <cellStyle name="Explanatory Text 3 31 3" xfId="27441" xr:uid="{00000000-0005-0000-0000-0000F86A0000}"/>
    <cellStyle name="Explanatory Text 3 31 4" xfId="27442" xr:uid="{00000000-0005-0000-0000-0000F96A0000}"/>
    <cellStyle name="Explanatory Text 3 31 5" xfId="27443" xr:uid="{00000000-0005-0000-0000-0000FA6A0000}"/>
    <cellStyle name="Explanatory Text 3 31 6" xfId="27444" xr:uid="{00000000-0005-0000-0000-0000FB6A0000}"/>
    <cellStyle name="Explanatory Text 3 31 7" xfId="27445" xr:uid="{00000000-0005-0000-0000-0000FC6A0000}"/>
    <cellStyle name="Explanatory Text 3 31 8" xfId="27446" xr:uid="{00000000-0005-0000-0000-0000FD6A0000}"/>
    <cellStyle name="Explanatory Text 3 31 9" xfId="27447" xr:uid="{00000000-0005-0000-0000-0000FE6A0000}"/>
    <cellStyle name="Explanatory Text 3 32" xfId="27448" xr:uid="{00000000-0005-0000-0000-0000FF6A0000}"/>
    <cellStyle name="Explanatory Text 3 32 10" xfId="27449" xr:uid="{00000000-0005-0000-0000-0000006B0000}"/>
    <cellStyle name="Explanatory Text 3 32 11" xfId="27450" xr:uid="{00000000-0005-0000-0000-0000016B0000}"/>
    <cellStyle name="Explanatory Text 3 32 12" xfId="27451" xr:uid="{00000000-0005-0000-0000-0000026B0000}"/>
    <cellStyle name="Explanatory Text 3 32 13" xfId="27452" xr:uid="{00000000-0005-0000-0000-0000036B0000}"/>
    <cellStyle name="Explanatory Text 3 32 14" xfId="27453" xr:uid="{00000000-0005-0000-0000-0000046B0000}"/>
    <cellStyle name="Explanatory Text 3 32 15" xfId="27454" xr:uid="{00000000-0005-0000-0000-0000056B0000}"/>
    <cellStyle name="Explanatory Text 3 32 2" xfId="27455" xr:uid="{00000000-0005-0000-0000-0000066B0000}"/>
    <cellStyle name="Explanatory Text 3 32 3" xfId="27456" xr:uid="{00000000-0005-0000-0000-0000076B0000}"/>
    <cellStyle name="Explanatory Text 3 32 4" xfId="27457" xr:uid="{00000000-0005-0000-0000-0000086B0000}"/>
    <cellStyle name="Explanatory Text 3 32 5" xfId="27458" xr:uid="{00000000-0005-0000-0000-0000096B0000}"/>
    <cellStyle name="Explanatory Text 3 32 6" xfId="27459" xr:uid="{00000000-0005-0000-0000-00000A6B0000}"/>
    <cellStyle name="Explanatory Text 3 32 7" xfId="27460" xr:uid="{00000000-0005-0000-0000-00000B6B0000}"/>
    <cellStyle name="Explanatory Text 3 32 8" xfId="27461" xr:uid="{00000000-0005-0000-0000-00000C6B0000}"/>
    <cellStyle name="Explanatory Text 3 32 9" xfId="27462" xr:uid="{00000000-0005-0000-0000-00000D6B0000}"/>
    <cellStyle name="Explanatory Text 3 33" xfId="27463" xr:uid="{00000000-0005-0000-0000-00000E6B0000}"/>
    <cellStyle name="Explanatory Text 3 34" xfId="27464" xr:uid="{00000000-0005-0000-0000-00000F6B0000}"/>
    <cellStyle name="Explanatory Text 3 35" xfId="27465" xr:uid="{00000000-0005-0000-0000-0000106B0000}"/>
    <cellStyle name="Explanatory Text 3 36" xfId="27466" xr:uid="{00000000-0005-0000-0000-0000116B0000}"/>
    <cellStyle name="Explanatory Text 3 37" xfId="27467" xr:uid="{00000000-0005-0000-0000-0000126B0000}"/>
    <cellStyle name="Explanatory Text 3 38" xfId="27468" xr:uid="{00000000-0005-0000-0000-0000136B0000}"/>
    <cellStyle name="Explanatory Text 3 39" xfId="27469" xr:uid="{00000000-0005-0000-0000-0000146B0000}"/>
    <cellStyle name="Explanatory Text 3 4" xfId="27470" xr:uid="{00000000-0005-0000-0000-0000156B0000}"/>
    <cellStyle name="Explanatory Text 3 4 10" xfId="27471" xr:uid="{00000000-0005-0000-0000-0000166B0000}"/>
    <cellStyle name="Explanatory Text 3 4 11" xfId="27472" xr:uid="{00000000-0005-0000-0000-0000176B0000}"/>
    <cellStyle name="Explanatory Text 3 4 12" xfId="27473" xr:uid="{00000000-0005-0000-0000-0000186B0000}"/>
    <cellStyle name="Explanatory Text 3 4 13" xfId="27474" xr:uid="{00000000-0005-0000-0000-0000196B0000}"/>
    <cellStyle name="Explanatory Text 3 4 14" xfId="27475" xr:uid="{00000000-0005-0000-0000-00001A6B0000}"/>
    <cellStyle name="Explanatory Text 3 4 15" xfId="27476" xr:uid="{00000000-0005-0000-0000-00001B6B0000}"/>
    <cellStyle name="Explanatory Text 3 4 2" xfId="27477" xr:uid="{00000000-0005-0000-0000-00001C6B0000}"/>
    <cellStyle name="Explanatory Text 3 4 3" xfId="27478" xr:uid="{00000000-0005-0000-0000-00001D6B0000}"/>
    <cellStyle name="Explanatory Text 3 4 4" xfId="27479" xr:uid="{00000000-0005-0000-0000-00001E6B0000}"/>
    <cellStyle name="Explanatory Text 3 4 5" xfId="27480" xr:uid="{00000000-0005-0000-0000-00001F6B0000}"/>
    <cellStyle name="Explanatory Text 3 4 6" xfId="27481" xr:uid="{00000000-0005-0000-0000-0000206B0000}"/>
    <cellStyle name="Explanatory Text 3 4 7" xfId="27482" xr:uid="{00000000-0005-0000-0000-0000216B0000}"/>
    <cellStyle name="Explanatory Text 3 4 8" xfId="27483" xr:uid="{00000000-0005-0000-0000-0000226B0000}"/>
    <cellStyle name="Explanatory Text 3 4 9" xfId="27484" xr:uid="{00000000-0005-0000-0000-0000236B0000}"/>
    <cellStyle name="Explanatory Text 3 40" xfId="27485" xr:uid="{00000000-0005-0000-0000-0000246B0000}"/>
    <cellStyle name="Explanatory Text 3 41" xfId="27486" xr:uid="{00000000-0005-0000-0000-0000256B0000}"/>
    <cellStyle name="Explanatory Text 3 42" xfId="27487" xr:uid="{00000000-0005-0000-0000-0000266B0000}"/>
    <cellStyle name="Explanatory Text 3 43" xfId="27488" xr:uid="{00000000-0005-0000-0000-0000276B0000}"/>
    <cellStyle name="Explanatory Text 3 44" xfId="27489" xr:uid="{00000000-0005-0000-0000-0000286B0000}"/>
    <cellStyle name="Explanatory Text 3 45" xfId="27490" xr:uid="{00000000-0005-0000-0000-0000296B0000}"/>
    <cellStyle name="Explanatory Text 3 46" xfId="27491" xr:uid="{00000000-0005-0000-0000-00002A6B0000}"/>
    <cellStyle name="Explanatory Text 3 47" xfId="27492" xr:uid="{00000000-0005-0000-0000-00002B6B0000}"/>
    <cellStyle name="Explanatory Text 3 48" xfId="27493" xr:uid="{00000000-0005-0000-0000-00002C6B0000}"/>
    <cellStyle name="Explanatory Text 3 49" xfId="27494" xr:uid="{00000000-0005-0000-0000-00002D6B0000}"/>
    <cellStyle name="Explanatory Text 3 5" xfId="27495" xr:uid="{00000000-0005-0000-0000-00002E6B0000}"/>
    <cellStyle name="Explanatory Text 3 5 10" xfId="27496" xr:uid="{00000000-0005-0000-0000-00002F6B0000}"/>
    <cellStyle name="Explanatory Text 3 5 11" xfId="27497" xr:uid="{00000000-0005-0000-0000-0000306B0000}"/>
    <cellStyle name="Explanatory Text 3 5 12" xfId="27498" xr:uid="{00000000-0005-0000-0000-0000316B0000}"/>
    <cellStyle name="Explanatory Text 3 5 13" xfId="27499" xr:uid="{00000000-0005-0000-0000-0000326B0000}"/>
    <cellStyle name="Explanatory Text 3 5 14" xfId="27500" xr:uid="{00000000-0005-0000-0000-0000336B0000}"/>
    <cellStyle name="Explanatory Text 3 5 15" xfId="27501" xr:uid="{00000000-0005-0000-0000-0000346B0000}"/>
    <cellStyle name="Explanatory Text 3 5 2" xfId="27502" xr:uid="{00000000-0005-0000-0000-0000356B0000}"/>
    <cellStyle name="Explanatory Text 3 5 3" xfId="27503" xr:uid="{00000000-0005-0000-0000-0000366B0000}"/>
    <cellStyle name="Explanatory Text 3 5 4" xfId="27504" xr:uid="{00000000-0005-0000-0000-0000376B0000}"/>
    <cellStyle name="Explanatory Text 3 5 5" xfId="27505" xr:uid="{00000000-0005-0000-0000-0000386B0000}"/>
    <cellStyle name="Explanatory Text 3 5 6" xfId="27506" xr:uid="{00000000-0005-0000-0000-0000396B0000}"/>
    <cellStyle name="Explanatory Text 3 5 7" xfId="27507" xr:uid="{00000000-0005-0000-0000-00003A6B0000}"/>
    <cellStyle name="Explanatory Text 3 5 8" xfId="27508" xr:uid="{00000000-0005-0000-0000-00003B6B0000}"/>
    <cellStyle name="Explanatory Text 3 5 9" xfId="27509" xr:uid="{00000000-0005-0000-0000-00003C6B0000}"/>
    <cellStyle name="Explanatory Text 3 50" xfId="27510" xr:uid="{00000000-0005-0000-0000-00003D6B0000}"/>
    <cellStyle name="Explanatory Text 3 51" xfId="27511" xr:uid="{00000000-0005-0000-0000-00003E6B0000}"/>
    <cellStyle name="Explanatory Text 3 52" xfId="27512" xr:uid="{00000000-0005-0000-0000-00003F6B0000}"/>
    <cellStyle name="Explanatory Text 3 53" xfId="27513" xr:uid="{00000000-0005-0000-0000-0000406B0000}"/>
    <cellStyle name="Explanatory Text 3 6" xfId="27514" xr:uid="{00000000-0005-0000-0000-0000416B0000}"/>
    <cellStyle name="Explanatory Text 3 6 10" xfId="27515" xr:uid="{00000000-0005-0000-0000-0000426B0000}"/>
    <cellStyle name="Explanatory Text 3 6 11" xfId="27516" xr:uid="{00000000-0005-0000-0000-0000436B0000}"/>
    <cellStyle name="Explanatory Text 3 6 12" xfId="27517" xr:uid="{00000000-0005-0000-0000-0000446B0000}"/>
    <cellStyle name="Explanatory Text 3 6 13" xfId="27518" xr:uid="{00000000-0005-0000-0000-0000456B0000}"/>
    <cellStyle name="Explanatory Text 3 6 14" xfId="27519" xr:uid="{00000000-0005-0000-0000-0000466B0000}"/>
    <cellStyle name="Explanatory Text 3 6 15" xfId="27520" xr:uid="{00000000-0005-0000-0000-0000476B0000}"/>
    <cellStyle name="Explanatory Text 3 6 2" xfId="27521" xr:uid="{00000000-0005-0000-0000-0000486B0000}"/>
    <cellStyle name="Explanatory Text 3 6 3" xfId="27522" xr:uid="{00000000-0005-0000-0000-0000496B0000}"/>
    <cellStyle name="Explanatory Text 3 6 4" xfId="27523" xr:uid="{00000000-0005-0000-0000-00004A6B0000}"/>
    <cellStyle name="Explanatory Text 3 6 5" xfId="27524" xr:uid="{00000000-0005-0000-0000-00004B6B0000}"/>
    <cellStyle name="Explanatory Text 3 6 6" xfId="27525" xr:uid="{00000000-0005-0000-0000-00004C6B0000}"/>
    <cellStyle name="Explanatory Text 3 6 7" xfId="27526" xr:uid="{00000000-0005-0000-0000-00004D6B0000}"/>
    <cellStyle name="Explanatory Text 3 6 8" xfId="27527" xr:uid="{00000000-0005-0000-0000-00004E6B0000}"/>
    <cellStyle name="Explanatory Text 3 6 9" xfId="27528" xr:uid="{00000000-0005-0000-0000-00004F6B0000}"/>
    <cellStyle name="Explanatory Text 3 7" xfId="27529" xr:uid="{00000000-0005-0000-0000-0000506B0000}"/>
    <cellStyle name="Explanatory Text 3 7 10" xfId="27530" xr:uid="{00000000-0005-0000-0000-0000516B0000}"/>
    <cellStyle name="Explanatory Text 3 7 11" xfId="27531" xr:uid="{00000000-0005-0000-0000-0000526B0000}"/>
    <cellStyle name="Explanatory Text 3 7 12" xfId="27532" xr:uid="{00000000-0005-0000-0000-0000536B0000}"/>
    <cellStyle name="Explanatory Text 3 7 13" xfId="27533" xr:uid="{00000000-0005-0000-0000-0000546B0000}"/>
    <cellStyle name="Explanatory Text 3 7 14" xfId="27534" xr:uid="{00000000-0005-0000-0000-0000556B0000}"/>
    <cellStyle name="Explanatory Text 3 7 15" xfId="27535" xr:uid="{00000000-0005-0000-0000-0000566B0000}"/>
    <cellStyle name="Explanatory Text 3 7 2" xfId="27536" xr:uid="{00000000-0005-0000-0000-0000576B0000}"/>
    <cellStyle name="Explanatory Text 3 7 3" xfId="27537" xr:uid="{00000000-0005-0000-0000-0000586B0000}"/>
    <cellStyle name="Explanatory Text 3 7 4" xfId="27538" xr:uid="{00000000-0005-0000-0000-0000596B0000}"/>
    <cellStyle name="Explanatory Text 3 7 5" xfId="27539" xr:uid="{00000000-0005-0000-0000-00005A6B0000}"/>
    <cellStyle name="Explanatory Text 3 7 6" xfId="27540" xr:uid="{00000000-0005-0000-0000-00005B6B0000}"/>
    <cellStyle name="Explanatory Text 3 7 7" xfId="27541" xr:uid="{00000000-0005-0000-0000-00005C6B0000}"/>
    <cellStyle name="Explanatory Text 3 7 8" xfId="27542" xr:uid="{00000000-0005-0000-0000-00005D6B0000}"/>
    <cellStyle name="Explanatory Text 3 7 9" xfId="27543" xr:uid="{00000000-0005-0000-0000-00005E6B0000}"/>
    <cellStyle name="Explanatory Text 3 8" xfId="27544" xr:uid="{00000000-0005-0000-0000-00005F6B0000}"/>
    <cellStyle name="Explanatory Text 3 8 10" xfId="27545" xr:uid="{00000000-0005-0000-0000-0000606B0000}"/>
    <cellStyle name="Explanatory Text 3 8 11" xfId="27546" xr:uid="{00000000-0005-0000-0000-0000616B0000}"/>
    <cellStyle name="Explanatory Text 3 8 12" xfId="27547" xr:uid="{00000000-0005-0000-0000-0000626B0000}"/>
    <cellStyle name="Explanatory Text 3 8 13" xfId="27548" xr:uid="{00000000-0005-0000-0000-0000636B0000}"/>
    <cellStyle name="Explanatory Text 3 8 14" xfId="27549" xr:uid="{00000000-0005-0000-0000-0000646B0000}"/>
    <cellStyle name="Explanatory Text 3 8 15" xfId="27550" xr:uid="{00000000-0005-0000-0000-0000656B0000}"/>
    <cellStyle name="Explanatory Text 3 8 2" xfId="27551" xr:uid="{00000000-0005-0000-0000-0000666B0000}"/>
    <cellStyle name="Explanatory Text 3 8 3" xfId="27552" xr:uid="{00000000-0005-0000-0000-0000676B0000}"/>
    <cellStyle name="Explanatory Text 3 8 4" xfId="27553" xr:uid="{00000000-0005-0000-0000-0000686B0000}"/>
    <cellStyle name="Explanatory Text 3 8 5" xfId="27554" xr:uid="{00000000-0005-0000-0000-0000696B0000}"/>
    <cellStyle name="Explanatory Text 3 8 6" xfId="27555" xr:uid="{00000000-0005-0000-0000-00006A6B0000}"/>
    <cellStyle name="Explanatory Text 3 8 7" xfId="27556" xr:uid="{00000000-0005-0000-0000-00006B6B0000}"/>
    <cellStyle name="Explanatory Text 3 8 8" xfId="27557" xr:uid="{00000000-0005-0000-0000-00006C6B0000}"/>
    <cellStyle name="Explanatory Text 3 8 9" xfId="27558" xr:uid="{00000000-0005-0000-0000-00006D6B0000}"/>
    <cellStyle name="Explanatory Text 3 9" xfId="27559" xr:uid="{00000000-0005-0000-0000-00006E6B0000}"/>
    <cellStyle name="Explanatory Text 3 9 10" xfId="27560" xr:uid="{00000000-0005-0000-0000-00006F6B0000}"/>
    <cellStyle name="Explanatory Text 3 9 11" xfId="27561" xr:uid="{00000000-0005-0000-0000-0000706B0000}"/>
    <cellStyle name="Explanatory Text 3 9 12" xfId="27562" xr:uid="{00000000-0005-0000-0000-0000716B0000}"/>
    <cellStyle name="Explanatory Text 3 9 13" xfId="27563" xr:uid="{00000000-0005-0000-0000-0000726B0000}"/>
    <cellStyle name="Explanatory Text 3 9 14" xfId="27564" xr:uid="{00000000-0005-0000-0000-0000736B0000}"/>
    <cellStyle name="Explanatory Text 3 9 15" xfId="27565" xr:uid="{00000000-0005-0000-0000-0000746B0000}"/>
    <cellStyle name="Explanatory Text 3 9 2" xfId="27566" xr:uid="{00000000-0005-0000-0000-0000756B0000}"/>
    <cellStyle name="Explanatory Text 3 9 3" xfId="27567" xr:uid="{00000000-0005-0000-0000-0000766B0000}"/>
    <cellStyle name="Explanatory Text 3 9 4" xfId="27568" xr:uid="{00000000-0005-0000-0000-0000776B0000}"/>
    <cellStyle name="Explanatory Text 3 9 5" xfId="27569" xr:uid="{00000000-0005-0000-0000-0000786B0000}"/>
    <cellStyle name="Explanatory Text 3 9 6" xfId="27570" xr:uid="{00000000-0005-0000-0000-0000796B0000}"/>
    <cellStyle name="Explanatory Text 3 9 7" xfId="27571" xr:uid="{00000000-0005-0000-0000-00007A6B0000}"/>
    <cellStyle name="Explanatory Text 3 9 8" xfId="27572" xr:uid="{00000000-0005-0000-0000-00007B6B0000}"/>
    <cellStyle name="Explanatory Text 3 9 9" xfId="27573" xr:uid="{00000000-0005-0000-0000-00007C6B0000}"/>
    <cellStyle name="Explanatory Text 30" xfId="27574" xr:uid="{00000000-0005-0000-0000-00007D6B0000}"/>
    <cellStyle name="Explanatory Text 30 10" xfId="27575" xr:uid="{00000000-0005-0000-0000-00007E6B0000}"/>
    <cellStyle name="Explanatory Text 30 11" xfId="27576" xr:uid="{00000000-0005-0000-0000-00007F6B0000}"/>
    <cellStyle name="Explanatory Text 30 12" xfId="27577" xr:uid="{00000000-0005-0000-0000-0000806B0000}"/>
    <cellStyle name="Explanatory Text 30 13" xfId="27578" xr:uid="{00000000-0005-0000-0000-0000816B0000}"/>
    <cellStyle name="Explanatory Text 30 14" xfId="27579" xr:uid="{00000000-0005-0000-0000-0000826B0000}"/>
    <cellStyle name="Explanatory Text 30 15" xfId="27580" xr:uid="{00000000-0005-0000-0000-0000836B0000}"/>
    <cellStyle name="Explanatory Text 30 2" xfId="27581" xr:uid="{00000000-0005-0000-0000-0000846B0000}"/>
    <cellStyle name="Explanatory Text 30 3" xfId="27582" xr:uid="{00000000-0005-0000-0000-0000856B0000}"/>
    <cellStyle name="Explanatory Text 30 4" xfId="27583" xr:uid="{00000000-0005-0000-0000-0000866B0000}"/>
    <cellStyle name="Explanatory Text 30 5" xfId="27584" xr:uid="{00000000-0005-0000-0000-0000876B0000}"/>
    <cellStyle name="Explanatory Text 30 6" xfId="27585" xr:uid="{00000000-0005-0000-0000-0000886B0000}"/>
    <cellStyle name="Explanatory Text 30 7" xfId="27586" xr:uid="{00000000-0005-0000-0000-0000896B0000}"/>
    <cellStyle name="Explanatory Text 30 8" xfId="27587" xr:uid="{00000000-0005-0000-0000-00008A6B0000}"/>
    <cellStyle name="Explanatory Text 30 9" xfId="27588" xr:uid="{00000000-0005-0000-0000-00008B6B0000}"/>
    <cellStyle name="Explanatory Text 31" xfId="27589" xr:uid="{00000000-0005-0000-0000-00008C6B0000}"/>
    <cellStyle name="Explanatory Text 31 10" xfId="27590" xr:uid="{00000000-0005-0000-0000-00008D6B0000}"/>
    <cellStyle name="Explanatory Text 31 11" xfId="27591" xr:uid="{00000000-0005-0000-0000-00008E6B0000}"/>
    <cellStyle name="Explanatory Text 31 12" xfId="27592" xr:uid="{00000000-0005-0000-0000-00008F6B0000}"/>
    <cellStyle name="Explanatory Text 31 13" xfId="27593" xr:uid="{00000000-0005-0000-0000-0000906B0000}"/>
    <cellStyle name="Explanatory Text 31 14" xfId="27594" xr:uid="{00000000-0005-0000-0000-0000916B0000}"/>
    <cellStyle name="Explanatory Text 31 15" xfId="27595" xr:uid="{00000000-0005-0000-0000-0000926B0000}"/>
    <cellStyle name="Explanatory Text 31 2" xfId="27596" xr:uid="{00000000-0005-0000-0000-0000936B0000}"/>
    <cellStyle name="Explanatory Text 31 3" xfId="27597" xr:uid="{00000000-0005-0000-0000-0000946B0000}"/>
    <cellStyle name="Explanatory Text 31 4" xfId="27598" xr:uid="{00000000-0005-0000-0000-0000956B0000}"/>
    <cellStyle name="Explanatory Text 31 5" xfId="27599" xr:uid="{00000000-0005-0000-0000-0000966B0000}"/>
    <cellStyle name="Explanatory Text 31 6" xfId="27600" xr:uid="{00000000-0005-0000-0000-0000976B0000}"/>
    <cellStyle name="Explanatory Text 31 7" xfId="27601" xr:uid="{00000000-0005-0000-0000-0000986B0000}"/>
    <cellStyle name="Explanatory Text 31 8" xfId="27602" xr:uid="{00000000-0005-0000-0000-0000996B0000}"/>
    <cellStyle name="Explanatory Text 31 9" xfId="27603" xr:uid="{00000000-0005-0000-0000-00009A6B0000}"/>
    <cellStyle name="Explanatory Text 32" xfId="27604" xr:uid="{00000000-0005-0000-0000-00009B6B0000}"/>
    <cellStyle name="Explanatory Text 32 10" xfId="27605" xr:uid="{00000000-0005-0000-0000-00009C6B0000}"/>
    <cellStyle name="Explanatory Text 32 11" xfId="27606" xr:uid="{00000000-0005-0000-0000-00009D6B0000}"/>
    <cellStyle name="Explanatory Text 32 12" xfId="27607" xr:uid="{00000000-0005-0000-0000-00009E6B0000}"/>
    <cellStyle name="Explanatory Text 32 13" xfId="27608" xr:uid="{00000000-0005-0000-0000-00009F6B0000}"/>
    <cellStyle name="Explanatory Text 32 14" xfId="27609" xr:uid="{00000000-0005-0000-0000-0000A06B0000}"/>
    <cellStyle name="Explanatory Text 32 15" xfId="27610" xr:uid="{00000000-0005-0000-0000-0000A16B0000}"/>
    <cellStyle name="Explanatory Text 32 2" xfId="27611" xr:uid="{00000000-0005-0000-0000-0000A26B0000}"/>
    <cellStyle name="Explanatory Text 32 3" xfId="27612" xr:uid="{00000000-0005-0000-0000-0000A36B0000}"/>
    <cellStyle name="Explanatory Text 32 4" xfId="27613" xr:uid="{00000000-0005-0000-0000-0000A46B0000}"/>
    <cellStyle name="Explanatory Text 32 5" xfId="27614" xr:uid="{00000000-0005-0000-0000-0000A56B0000}"/>
    <cellStyle name="Explanatory Text 32 6" xfId="27615" xr:uid="{00000000-0005-0000-0000-0000A66B0000}"/>
    <cellStyle name="Explanatory Text 32 7" xfId="27616" xr:uid="{00000000-0005-0000-0000-0000A76B0000}"/>
    <cellStyle name="Explanatory Text 32 8" xfId="27617" xr:uid="{00000000-0005-0000-0000-0000A86B0000}"/>
    <cellStyle name="Explanatory Text 32 9" xfId="27618" xr:uid="{00000000-0005-0000-0000-0000A96B0000}"/>
    <cellStyle name="Explanatory Text 33" xfId="27619" xr:uid="{00000000-0005-0000-0000-0000AA6B0000}"/>
    <cellStyle name="Explanatory Text 33 10" xfId="27620" xr:uid="{00000000-0005-0000-0000-0000AB6B0000}"/>
    <cellStyle name="Explanatory Text 33 11" xfId="27621" xr:uid="{00000000-0005-0000-0000-0000AC6B0000}"/>
    <cellStyle name="Explanatory Text 33 12" xfId="27622" xr:uid="{00000000-0005-0000-0000-0000AD6B0000}"/>
    <cellStyle name="Explanatory Text 33 13" xfId="27623" xr:uid="{00000000-0005-0000-0000-0000AE6B0000}"/>
    <cellStyle name="Explanatory Text 33 14" xfId="27624" xr:uid="{00000000-0005-0000-0000-0000AF6B0000}"/>
    <cellStyle name="Explanatory Text 33 15" xfId="27625" xr:uid="{00000000-0005-0000-0000-0000B06B0000}"/>
    <cellStyle name="Explanatory Text 33 2" xfId="27626" xr:uid="{00000000-0005-0000-0000-0000B16B0000}"/>
    <cellStyle name="Explanatory Text 33 3" xfId="27627" xr:uid="{00000000-0005-0000-0000-0000B26B0000}"/>
    <cellStyle name="Explanatory Text 33 4" xfId="27628" xr:uid="{00000000-0005-0000-0000-0000B36B0000}"/>
    <cellStyle name="Explanatory Text 33 5" xfId="27629" xr:uid="{00000000-0005-0000-0000-0000B46B0000}"/>
    <cellStyle name="Explanatory Text 33 6" xfId="27630" xr:uid="{00000000-0005-0000-0000-0000B56B0000}"/>
    <cellStyle name="Explanatory Text 33 7" xfId="27631" xr:uid="{00000000-0005-0000-0000-0000B66B0000}"/>
    <cellStyle name="Explanatory Text 33 8" xfId="27632" xr:uid="{00000000-0005-0000-0000-0000B76B0000}"/>
    <cellStyle name="Explanatory Text 33 9" xfId="27633" xr:uid="{00000000-0005-0000-0000-0000B86B0000}"/>
    <cellStyle name="Explanatory Text 34" xfId="27634" xr:uid="{00000000-0005-0000-0000-0000B96B0000}"/>
    <cellStyle name="Explanatory Text 34 10" xfId="27635" xr:uid="{00000000-0005-0000-0000-0000BA6B0000}"/>
    <cellStyle name="Explanatory Text 34 11" xfId="27636" xr:uid="{00000000-0005-0000-0000-0000BB6B0000}"/>
    <cellStyle name="Explanatory Text 34 12" xfId="27637" xr:uid="{00000000-0005-0000-0000-0000BC6B0000}"/>
    <cellStyle name="Explanatory Text 34 13" xfId="27638" xr:uid="{00000000-0005-0000-0000-0000BD6B0000}"/>
    <cellStyle name="Explanatory Text 34 14" xfId="27639" xr:uid="{00000000-0005-0000-0000-0000BE6B0000}"/>
    <cellStyle name="Explanatory Text 34 15" xfId="27640" xr:uid="{00000000-0005-0000-0000-0000BF6B0000}"/>
    <cellStyle name="Explanatory Text 34 2" xfId="27641" xr:uid="{00000000-0005-0000-0000-0000C06B0000}"/>
    <cellStyle name="Explanatory Text 34 3" xfId="27642" xr:uid="{00000000-0005-0000-0000-0000C16B0000}"/>
    <cellStyle name="Explanatory Text 34 4" xfId="27643" xr:uid="{00000000-0005-0000-0000-0000C26B0000}"/>
    <cellStyle name="Explanatory Text 34 5" xfId="27644" xr:uid="{00000000-0005-0000-0000-0000C36B0000}"/>
    <cellStyle name="Explanatory Text 34 6" xfId="27645" xr:uid="{00000000-0005-0000-0000-0000C46B0000}"/>
    <cellStyle name="Explanatory Text 34 7" xfId="27646" xr:uid="{00000000-0005-0000-0000-0000C56B0000}"/>
    <cellStyle name="Explanatory Text 34 8" xfId="27647" xr:uid="{00000000-0005-0000-0000-0000C66B0000}"/>
    <cellStyle name="Explanatory Text 34 9" xfId="27648" xr:uid="{00000000-0005-0000-0000-0000C76B0000}"/>
    <cellStyle name="Explanatory Text 35" xfId="27649" xr:uid="{00000000-0005-0000-0000-0000C86B0000}"/>
    <cellStyle name="Explanatory Text 35 10" xfId="27650" xr:uid="{00000000-0005-0000-0000-0000C96B0000}"/>
    <cellStyle name="Explanatory Text 35 11" xfId="27651" xr:uid="{00000000-0005-0000-0000-0000CA6B0000}"/>
    <cellStyle name="Explanatory Text 35 12" xfId="27652" xr:uid="{00000000-0005-0000-0000-0000CB6B0000}"/>
    <cellStyle name="Explanatory Text 35 13" xfId="27653" xr:uid="{00000000-0005-0000-0000-0000CC6B0000}"/>
    <cellStyle name="Explanatory Text 35 14" xfId="27654" xr:uid="{00000000-0005-0000-0000-0000CD6B0000}"/>
    <cellStyle name="Explanatory Text 35 15" xfId="27655" xr:uid="{00000000-0005-0000-0000-0000CE6B0000}"/>
    <cellStyle name="Explanatory Text 35 2" xfId="27656" xr:uid="{00000000-0005-0000-0000-0000CF6B0000}"/>
    <cellStyle name="Explanatory Text 35 3" xfId="27657" xr:uid="{00000000-0005-0000-0000-0000D06B0000}"/>
    <cellStyle name="Explanatory Text 35 4" xfId="27658" xr:uid="{00000000-0005-0000-0000-0000D16B0000}"/>
    <cellStyle name="Explanatory Text 35 5" xfId="27659" xr:uid="{00000000-0005-0000-0000-0000D26B0000}"/>
    <cellStyle name="Explanatory Text 35 6" xfId="27660" xr:uid="{00000000-0005-0000-0000-0000D36B0000}"/>
    <cellStyle name="Explanatory Text 35 7" xfId="27661" xr:uid="{00000000-0005-0000-0000-0000D46B0000}"/>
    <cellStyle name="Explanatory Text 35 8" xfId="27662" xr:uid="{00000000-0005-0000-0000-0000D56B0000}"/>
    <cellStyle name="Explanatory Text 35 9" xfId="27663" xr:uid="{00000000-0005-0000-0000-0000D66B0000}"/>
    <cellStyle name="Explanatory Text 36" xfId="27664" xr:uid="{00000000-0005-0000-0000-0000D76B0000}"/>
    <cellStyle name="Explanatory Text 36 10" xfId="27665" xr:uid="{00000000-0005-0000-0000-0000D86B0000}"/>
    <cellStyle name="Explanatory Text 36 11" xfId="27666" xr:uid="{00000000-0005-0000-0000-0000D96B0000}"/>
    <cellStyle name="Explanatory Text 36 12" xfId="27667" xr:uid="{00000000-0005-0000-0000-0000DA6B0000}"/>
    <cellStyle name="Explanatory Text 36 13" xfId="27668" xr:uid="{00000000-0005-0000-0000-0000DB6B0000}"/>
    <cellStyle name="Explanatory Text 36 14" xfId="27669" xr:uid="{00000000-0005-0000-0000-0000DC6B0000}"/>
    <cellStyle name="Explanatory Text 36 15" xfId="27670" xr:uid="{00000000-0005-0000-0000-0000DD6B0000}"/>
    <cellStyle name="Explanatory Text 36 2" xfId="27671" xr:uid="{00000000-0005-0000-0000-0000DE6B0000}"/>
    <cellStyle name="Explanatory Text 36 3" xfId="27672" xr:uid="{00000000-0005-0000-0000-0000DF6B0000}"/>
    <cellStyle name="Explanatory Text 36 4" xfId="27673" xr:uid="{00000000-0005-0000-0000-0000E06B0000}"/>
    <cellStyle name="Explanatory Text 36 5" xfId="27674" xr:uid="{00000000-0005-0000-0000-0000E16B0000}"/>
    <cellStyle name="Explanatory Text 36 6" xfId="27675" xr:uid="{00000000-0005-0000-0000-0000E26B0000}"/>
    <cellStyle name="Explanatory Text 36 7" xfId="27676" xr:uid="{00000000-0005-0000-0000-0000E36B0000}"/>
    <cellStyle name="Explanatory Text 36 8" xfId="27677" xr:uid="{00000000-0005-0000-0000-0000E46B0000}"/>
    <cellStyle name="Explanatory Text 36 9" xfId="27678" xr:uid="{00000000-0005-0000-0000-0000E56B0000}"/>
    <cellStyle name="Explanatory Text 37" xfId="27679" xr:uid="{00000000-0005-0000-0000-0000E66B0000}"/>
    <cellStyle name="Explanatory Text 37 10" xfId="27680" xr:uid="{00000000-0005-0000-0000-0000E76B0000}"/>
    <cellStyle name="Explanatory Text 37 11" xfId="27681" xr:uid="{00000000-0005-0000-0000-0000E86B0000}"/>
    <cellStyle name="Explanatory Text 37 12" xfId="27682" xr:uid="{00000000-0005-0000-0000-0000E96B0000}"/>
    <cellStyle name="Explanatory Text 37 13" xfId="27683" xr:uid="{00000000-0005-0000-0000-0000EA6B0000}"/>
    <cellStyle name="Explanatory Text 37 14" xfId="27684" xr:uid="{00000000-0005-0000-0000-0000EB6B0000}"/>
    <cellStyle name="Explanatory Text 37 15" xfId="27685" xr:uid="{00000000-0005-0000-0000-0000EC6B0000}"/>
    <cellStyle name="Explanatory Text 37 2" xfId="27686" xr:uid="{00000000-0005-0000-0000-0000ED6B0000}"/>
    <cellStyle name="Explanatory Text 37 3" xfId="27687" xr:uid="{00000000-0005-0000-0000-0000EE6B0000}"/>
    <cellStyle name="Explanatory Text 37 4" xfId="27688" xr:uid="{00000000-0005-0000-0000-0000EF6B0000}"/>
    <cellStyle name="Explanatory Text 37 5" xfId="27689" xr:uid="{00000000-0005-0000-0000-0000F06B0000}"/>
    <cellStyle name="Explanatory Text 37 6" xfId="27690" xr:uid="{00000000-0005-0000-0000-0000F16B0000}"/>
    <cellStyle name="Explanatory Text 37 7" xfId="27691" xr:uid="{00000000-0005-0000-0000-0000F26B0000}"/>
    <cellStyle name="Explanatory Text 37 8" xfId="27692" xr:uid="{00000000-0005-0000-0000-0000F36B0000}"/>
    <cellStyle name="Explanatory Text 37 9" xfId="27693" xr:uid="{00000000-0005-0000-0000-0000F46B0000}"/>
    <cellStyle name="Explanatory Text 38" xfId="27694" xr:uid="{00000000-0005-0000-0000-0000F56B0000}"/>
    <cellStyle name="Explanatory Text 38 10" xfId="27695" xr:uid="{00000000-0005-0000-0000-0000F66B0000}"/>
    <cellStyle name="Explanatory Text 38 11" xfId="27696" xr:uid="{00000000-0005-0000-0000-0000F76B0000}"/>
    <cellStyle name="Explanatory Text 38 12" xfId="27697" xr:uid="{00000000-0005-0000-0000-0000F86B0000}"/>
    <cellStyle name="Explanatory Text 38 13" xfId="27698" xr:uid="{00000000-0005-0000-0000-0000F96B0000}"/>
    <cellStyle name="Explanatory Text 38 14" xfId="27699" xr:uid="{00000000-0005-0000-0000-0000FA6B0000}"/>
    <cellStyle name="Explanatory Text 38 15" xfId="27700" xr:uid="{00000000-0005-0000-0000-0000FB6B0000}"/>
    <cellStyle name="Explanatory Text 38 2" xfId="27701" xr:uid="{00000000-0005-0000-0000-0000FC6B0000}"/>
    <cellStyle name="Explanatory Text 38 3" xfId="27702" xr:uid="{00000000-0005-0000-0000-0000FD6B0000}"/>
    <cellStyle name="Explanatory Text 38 4" xfId="27703" xr:uid="{00000000-0005-0000-0000-0000FE6B0000}"/>
    <cellStyle name="Explanatory Text 38 5" xfId="27704" xr:uid="{00000000-0005-0000-0000-0000FF6B0000}"/>
    <cellStyle name="Explanatory Text 38 6" xfId="27705" xr:uid="{00000000-0005-0000-0000-0000006C0000}"/>
    <cellStyle name="Explanatory Text 38 7" xfId="27706" xr:uid="{00000000-0005-0000-0000-0000016C0000}"/>
    <cellStyle name="Explanatory Text 38 8" xfId="27707" xr:uid="{00000000-0005-0000-0000-0000026C0000}"/>
    <cellStyle name="Explanatory Text 38 9" xfId="27708" xr:uid="{00000000-0005-0000-0000-0000036C0000}"/>
    <cellStyle name="Explanatory Text 39" xfId="27709" xr:uid="{00000000-0005-0000-0000-0000046C0000}"/>
    <cellStyle name="Explanatory Text 39 10" xfId="27710" xr:uid="{00000000-0005-0000-0000-0000056C0000}"/>
    <cellStyle name="Explanatory Text 39 11" xfId="27711" xr:uid="{00000000-0005-0000-0000-0000066C0000}"/>
    <cellStyle name="Explanatory Text 39 12" xfId="27712" xr:uid="{00000000-0005-0000-0000-0000076C0000}"/>
    <cellStyle name="Explanatory Text 39 13" xfId="27713" xr:uid="{00000000-0005-0000-0000-0000086C0000}"/>
    <cellStyle name="Explanatory Text 39 14" xfId="27714" xr:uid="{00000000-0005-0000-0000-0000096C0000}"/>
    <cellStyle name="Explanatory Text 39 15" xfId="27715" xr:uid="{00000000-0005-0000-0000-00000A6C0000}"/>
    <cellStyle name="Explanatory Text 39 2" xfId="27716" xr:uid="{00000000-0005-0000-0000-00000B6C0000}"/>
    <cellStyle name="Explanatory Text 39 3" xfId="27717" xr:uid="{00000000-0005-0000-0000-00000C6C0000}"/>
    <cellStyle name="Explanatory Text 39 4" xfId="27718" xr:uid="{00000000-0005-0000-0000-00000D6C0000}"/>
    <cellStyle name="Explanatory Text 39 5" xfId="27719" xr:uid="{00000000-0005-0000-0000-00000E6C0000}"/>
    <cellStyle name="Explanatory Text 39 6" xfId="27720" xr:uid="{00000000-0005-0000-0000-00000F6C0000}"/>
    <cellStyle name="Explanatory Text 39 7" xfId="27721" xr:uid="{00000000-0005-0000-0000-0000106C0000}"/>
    <cellStyle name="Explanatory Text 39 8" xfId="27722" xr:uid="{00000000-0005-0000-0000-0000116C0000}"/>
    <cellStyle name="Explanatory Text 39 9" xfId="27723" xr:uid="{00000000-0005-0000-0000-0000126C0000}"/>
    <cellStyle name="Explanatory Text 4" xfId="27724" xr:uid="{00000000-0005-0000-0000-0000136C0000}"/>
    <cellStyle name="Explanatory Text 4 2" xfId="27725" xr:uid="{00000000-0005-0000-0000-0000146C0000}"/>
    <cellStyle name="Explanatory Text 4 2 2" xfId="27726" xr:uid="{00000000-0005-0000-0000-0000156C0000}"/>
    <cellStyle name="Explanatory Text 4 3" xfId="27727" xr:uid="{00000000-0005-0000-0000-0000166C0000}"/>
    <cellStyle name="Explanatory Text 4 3 2" xfId="27728" xr:uid="{00000000-0005-0000-0000-0000176C0000}"/>
    <cellStyle name="Explanatory Text 4 4" xfId="27729" xr:uid="{00000000-0005-0000-0000-0000186C0000}"/>
    <cellStyle name="Explanatory Text 4 4 2" xfId="27730" xr:uid="{00000000-0005-0000-0000-0000196C0000}"/>
    <cellStyle name="Explanatory Text 4 5" xfId="27731" xr:uid="{00000000-0005-0000-0000-00001A6C0000}"/>
    <cellStyle name="Explanatory Text 4 5 2" xfId="27732" xr:uid="{00000000-0005-0000-0000-00001B6C0000}"/>
    <cellStyle name="Explanatory Text 4 6" xfId="27733" xr:uid="{00000000-0005-0000-0000-00001C6C0000}"/>
    <cellStyle name="Explanatory Text 4 6 2" xfId="27734" xr:uid="{00000000-0005-0000-0000-00001D6C0000}"/>
    <cellStyle name="Explanatory Text 4 7" xfId="27735" xr:uid="{00000000-0005-0000-0000-00001E6C0000}"/>
    <cellStyle name="Explanatory Text 40" xfId="27736" xr:uid="{00000000-0005-0000-0000-00001F6C0000}"/>
    <cellStyle name="Explanatory Text 41" xfId="27737" xr:uid="{00000000-0005-0000-0000-0000206C0000}"/>
    <cellStyle name="Explanatory Text 42" xfId="27738" xr:uid="{00000000-0005-0000-0000-0000216C0000}"/>
    <cellStyle name="Explanatory Text 43" xfId="27739" xr:uid="{00000000-0005-0000-0000-0000226C0000}"/>
    <cellStyle name="Explanatory Text 44" xfId="27740" xr:uid="{00000000-0005-0000-0000-0000236C0000}"/>
    <cellStyle name="Explanatory Text 45" xfId="27741" xr:uid="{00000000-0005-0000-0000-0000246C0000}"/>
    <cellStyle name="Explanatory Text 46" xfId="27742" xr:uid="{00000000-0005-0000-0000-0000256C0000}"/>
    <cellStyle name="Explanatory Text 47" xfId="27743" xr:uid="{00000000-0005-0000-0000-0000266C0000}"/>
    <cellStyle name="Explanatory Text 48" xfId="27744" xr:uid="{00000000-0005-0000-0000-0000276C0000}"/>
    <cellStyle name="Explanatory Text 49" xfId="27745" xr:uid="{00000000-0005-0000-0000-0000286C0000}"/>
    <cellStyle name="Explanatory Text 5" xfId="27746" xr:uid="{00000000-0005-0000-0000-0000296C0000}"/>
    <cellStyle name="Explanatory Text 5 2" xfId="27747" xr:uid="{00000000-0005-0000-0000-00002A6C0000}"/>
    <cellStyle name="Explanatory Text 5 2 2" xfId="27748" xr:uid="{00000000-0005-0000-0000-00002B6C0000}"/>
    <cellStyle name="Explanatory Text 5 2 3" xfId="27749" xr:uid="{00000000-0005-0000-0000-00002C6C0000}"/>
    <cellStyle name="Explanatory Text 5 2 4" xfId="27750" xr:uid="{00000000-0005-0000-0000-00002D6C0000}"/>
    <cellStyle name="Explanatory Text 5 3" xfId="27751" xr:uid="{00000000-0005-0000-0000-00002E6C0000}"/>
    <cellStyle name="Explanatory Text 5 3 2" xfId="27752" xr:uid="{00000000-0005-0000-0000-00002F6C0000}"/>
    <cellStyle name="Explanatory Text 5 3 3" xfId="27753" xr:uid="{00000000-0005-0000-0000-0000306C0000}"/>
    <cellStyle name="Explanatory Text 5 4" xfId="27754" xr:uid="{00000000-0005-0000-0000-0000316C0000}"/>
    <cellStyle name="Explanatory Text 50" xfId="27755" xr:uid="{00000000-0005-0000-0000-0000326C0000}"/>
    <cellStyle name="Explanatory Text 51" xfId="27756" xr:uid="{00000000-0005-0000-0000-0000336C0000}"/>
    <cellStyle name="Explanatory Text 52" xfId="27757" xr:uid="{00000000-0005-0000-0000-0000346C0000}"/>
    <cellStyle name="Explanatory Text 53" xfId="27758" xr:uid="{00000000-0005-0000-0000-0000356C0000}"/>
    <cellStyle name="Explanatory Text 54" xfId="27759" xr:uid="{00000000-0005-0000-0000-0000366C0000}"/>
    <cellStyle name="Explanatory Text 55" xfId="27760" xr:uid="{00000000-0005-0000-0000-0000376C0000}"/>
    <cellStyle name="Explanatory Text 56" xfId="27761" xr:uid="{00000000-0005-0000-0000-0000386C0000}"/>
    <cellStyle name="Explanatory Text 57" xfId="27762" xr:uid="{00000000-0005-0000-0000-0000396C0000}"/>
    <cellStyle name="Explanatory Text 58" xfId="27763" xr:uid="{00000000-0005-0000-0000-00003A6C0000}"/>
    <cellStyle name="Explanatory Text 59" xfId="27764" xr:uid="{00000000-0005-0000-0000-00003B6C0000}"/>
    <cellStyle name="Explanatory Text 6" xfId="27765" xr:uid="{00000000-0005-0000-0000-00003C6C0000}"/>
    <cellStyle name="Explanatory Text 6 2" xfId="27766" xr:uid="{00000000-0005-0000-0000-00003D6C0000}"/>
    <cellStyle name="Explanatory Text 60" xfId="27767" xr:uid="{00000000-0005-0000-0000-00003E6C0000}"/>
    <cellStyle name="Explanatory Text 61" xfId="27768" xr:uid="{00000000-0005-0000-0000-00003F6C0000}"/>
    <cellStyle name="Explanatory Text 62" xfId="27769" xr:uid="{00000000-0005-0000-0000-0000406C0000}"/>
    <cellStyle name="Explanatory Text 63" xfId="27770" xr:uid="{00000000-0005-0000-0000-0000416C0000}"/>
    <cellStyle name="Explanatory Text 64" xfId="27771" xr:uid="{00000000-0005-0000-0000-0000426C0000}"/>
    <cellStyle name="Explanatory Text 65" xfId="27772" xr:uid="{00000000-0005-0000-0000-0000436C0000}"/>
    <cellStyle name="Explanatory Text 66" xfId="27773" xr:uid="{00000000-0005-0000-0000-0000446C0000}"/>
    <cellStyle name="Explanatory Text 67" xfId="27774" xr:uid="{00000000-0005-0000-0000-0000456C0000}"/>
    <cellStyle name="Explanatory Text 68" xfId="27775" xr:uid="{00000000-0005-0000-0000-0000466C0000}"/>
    <cellStyle name="Explanatory Text 69" xfId="27776" xr:uid="{00000000-0005-0000-0000-0000476C0000}"/>
    <cellStyle name="Explanatory Text 7" xfId="27777" xr:uid="{00000000-0005-0000-0000-0000486C0000}"/>
    <cellStyle name="Explanatory Text 7 2" xfId="27778" xr:uid="{00000000-0005-0000-0000-0000496C0000}"/>
    <cellStyle name="Explanatory Text 70" xfId="27779" xr:uid="{00000000-0005-0000-0000-00004A6C0000}"/>
    <cellStyle name="Explanatory Text 71" xfId="27780" xr:uid="{00000000-0005-0000-0000-00004B6C0000}"/>
    <cellStyle name="Explanatory Text 72" xfId="27781" xr:uid="{00000000-0005-0000-0000-00004C6C0000}"/>
    <cellStyle name="Explanatory Text 73" xfId="27782" xr:uid="{00000000-0005-0000-0000-00004D6C0000}"/>
    <cellStyle name="Explanatory Text 74" xfId="27783" xr:uid="{00000000-0005-0000-0000-00004E6C0000}"/>
    <cellStyle name="Explanatory Text 75" xfId="27784" xr:uid="{00000000-0005-0000-0000-00004F6C0000}"/>
    <cellStyle name="Explanatory Text 76" xfId="27785" xr:uid="{00000000-0005-0000-0000-0000506C0000}"/>
    <cellStyle name="Explanatory Text 77" xfId="27786" xr:uid="{00000000-0005-0000-0000-0000516C0000}"/>
    <cellStyle name="Explanatory Text 78" xfId="27787" xr:uid="{00000000-0005-0000-0000-0000526C0000}"/>
    <cellStyle name="Explanatory Text 79" xfId="27788" xr:uid="{00000000-0005-0000-0000-0000536C0000}"/>
    <cellStyle name="Explanatory Text 79 2" xfId="27789" xr:uid="{00000000-0005-0000-0000-0000546C0000}"/>
    <cellStyle name="Explanatory Text 8" xfId="27790" xr:uid="{00000000-0005-0000-0000-0000556C0000}"/>
    <cellStyle name="Explanatory Text 8 2" xfId="27791" xr:uid="{00000000-0005-0000-0000-0000566C0000}"/>
    <cellStyle name="Explanatory Text 80" xfId="27792" xr:uid="{00000000-0005-0000-0000-0000576C0000}"/>
    <cellStyle name="Explanatory Text 80 2" xfId="27793" xr:uid="{00000000-0005-0000-0000-0000586C0000}"/>
    <cellStyle name="Explanatory Text 81" xfId="27794" xr:uid="{00000000-0005-0000-0000-0000596C0000}"/>
    <cellStyle name="Explanatory Text 81 2" xfId="27795" xr:uid="{00000000-0005-0000-0000-00005A6C0000}"/>
    <cellStyle name="Explanatory Text 82" xfId="27796" xr:uid="{00000000-0005-0000-0000-00005B6C0000}"/>
    <cellStyle name="Explanatory Text 82 2" xfId="27797" xr:uid="{00000000-0005-0000-0000-00005C6C0000}"/>
    <cellStyle name="Explanatory Text 83" xfId="27798" xr:uid="{00000000-0005-0000-0000-00005D6C0000}"/>
    <cellStyle name="Explanatory Text 83 2" xfId="27799" xr:uid="{00000000-0005-0000-0000-00005E6C0000}"/>
    <cellStyle name="Explanatory Text 84" xfId="27800" xr:uid="{00000000-0005-0000-0000-00005F6C0000}"/>
    <cellStyle name="Explanatory Text 84 2" xfId="27801" xr:uid="{00000000-0005-0000-0000-0000606C0000}"/>
    <cellStyle name="Explanatory Text 85" xfId="27802" xr:uid="{00000000-0005-0000-0000-0000616C0000}"/>
    <cellStyle name="Explanatory Text 85 2" xfId="27803" xr:uid="{00000000-0005-0000-0000-0000626C0000}"/>
    <cellStyle name="Explanatory Text 86" xfId="27804" xr:uid="{00000000-0005-0000-0000-0000636C0000}"/>
    <cellStyle name="Explanatory Text 86 2" xfId="27805" xr:uid="{00000000-0005-0000-0000-0000646C0000}"/>
    <cellStyle name="Explanatory Text 87" xfId="27806" xr:uid="{00000000-0005-0000-0000-0000656C0000}"/>
    <cellStyle name="Explanatory Text 87 2" xfId="27807" xr:uid="{00000000-0005-0000-0000-0000666C0000}"/>
    <cellStyle name="Explanatory Text 88" xfId="27808" xr:uid="{00000000-0005-0000-0000-0000676C0000}"/>
    <cellStyle name="Explanatory Text 88 2" xfId="27809" xr:uid="{00000000-0005-0000-0000-0000686C0000}"/>
    <cellStyle name="Explanatory Text 89" xfId="27810" xr:uid="{00000000-0005-0000-0000-0000696C0000}"/>
    <cellStyle name="Explanatory Text 89 2" xfId="27811" xr:uid="{00000000-0005-0000-0000-00006A6C0000}"/>
    <cellStyle name="Explanatory Text 9" xfId="27812" xr:uid="{00000000-0005-0000-0000-00006B6C0000}"/>
    <cellStyle name="Explanatory Text 9 2" xfId="27813" xr:uid="{00000000-0005-0000-0000-00006C6C0000}"/>
    <cellStyle name="Explanatory Text 90" xfId="27814" xr:uid="{00000000-0005-0000-0000-00006D6C0000}"/>
    <cellStyle name="Explanatory Text 91" xfId="27815" xr:uid="{00000000-0005-0000-0000-00006E6C0000}"/>
    <cellStyle name="Explanatory Text 92" xfId="27816" xr:uid="{00000000-0005-0000-0000-00006F6C0000}"/>
    <cellStyle name="Explanatory Text 93" xfId="27817" xr:uid="{00000000-0005-0000-0000-0000706C0000}"/>
    <cellStyle name="Explanatory Text 94" xfId="27818" xr:uid="{00000000-0005-0000-0000-0000716C0000}"/>
    <cellStyle name="Explanatory Text 95" xfId="27819" xr:uid="{00000000-0005-0000-0000-0000726C0000}"/>
    <cellStyle name="Explanatory Text 96" xfId="27820" xr:uid="{00000000-0005-0000-0000-0000736C0000}"/>
    <cellStyle name="Explanatory Text 97" xfId="27821" xr:uid="{00000000-0005-0000-0000-0000746C0000}"/>
    <cellStyle name="Explanatory Text 98" xfId="27822" xr:uid="{00000000-0005-0000-0000-0000756C0000}"/>
    <cellStyle name="Explanatory Text 99" xfId="27823" xr:uid="{00000000-0005-0000-0000-0000766C0000}"/>
    <cellStyle name="EY House" xfId="27824" xr:uid="{00000000-0005-0000-0000-0000776C0000}"/>
    <cellStyle name="EY Narrative text" xfId="27825" xr:uid="{00000000-0005-0000-0000-0000786C0000}"/>
    <cellStyle name="EY%colcalc" xfId="27826" xr:uid="{00000000-0005-0000-0000-0000796C0000}"/>
    <cellStyle name="EY%input" xfId="27827" xr:uid="{00000000-0005-0000-0000-00007A6C0000}"/>
    <cellStyle name="EY%rowcalc" xfId="27828" xr:uid="{00000000-0005-0000-0000-00007B6C0000}"/>
    <cellStyle name="EY0dp" xfId="27829" xr:uid="{00000000-0005-0000-0000-00007C6C0000}"/>
    <cellStyle name="EY1dp" xfId="27830" xr:uid="{00000000-0005-0000-0000-00007D6C0000}"/>
    <cellStyle name="EY2dp" xfId="27831" xr:uid="{00000000-0005-0000-0000-00007E6C0000}"/>
    <cellStyle name="EY3dp" xfId="27832" xr:uid="{00000000-0005-0000-0000-00007F6C0000}"/>
    <cellStyle name="EYChartTitle" xfId="27833" xr:uid="{00000000-0005-0000-0000-0000806C0000}"/>
    <cellStyle name="EYColumnHeading" xfId="27834" xr:uid="{00000000-0005-0000-0000-0000816C0000}"/>
    <cellStyle name="EYColumnHeading 2" xfId="27835" xr:uid="{00000000-0005-0000-0000-0000826C0000}"/>
    <cellStyle name="EYColumnHeading 3" xfId="27836" xr:uid="{00000000-0005-0000-0000-0000836C0000}"/>
    <cellStyle name="EYColumnHeading_Book1" xfId="27837" xr:uid="{00000000-0005-0000-0000-0000846C0000}"/>
    <cellStyle name="EYColumnHeadingItalic" xfId="27838" xr:uid="{00000000-0005-0000-0000-0000856C0000}"/>
    <cellStyle name="EYCoverDatabookName" xfId="27839" xr:uid="{00000000-0005-0000-0000-0000866C0000}"/>
    <cellStyle name="EYCoverDate" xfId="27840" xr:uid="{00000000-0005-0000-0000-0000876C0000}"/>
    <cellStyle name="EYCoverDraft" xfId="27841" xr:uid="{00000000-0005-0000-0000-0000886C0000}"/>
    <cellStyle name="EYCoverProjectName" xfId="27842" xr:uid="{00000000-0005-0000-0000-0000896C0000}"/>
    <cellStyle name="EYCurrency" xfId="27843" xr:uid="{00000000-0005-0000-0000-00008A6C0000}"/>
    <cellStyle name="EYCurrency 2" xfId="27844" xr:uid="{00000000-0005-0000-0000-00008B6C0000}"/>
    <cellStyle name="EYCurrency_Book1" xfId="27845" xr:uid="{00000000-0005-0000-0000-00008C6C0000}"/>
    <cellStyle name="EYHeading1" xfId="27846" xr:uid="{00000000-0005-0000-0000-00008D6C0000}"/>
    <cellStyle name="EYheading2" xfId="27847" xr:uid="{00000000-0005-0000-0000-00008E6C0000}"/>
    <cellStyle name="EYheading3" xfId="27848" xr:uid="{00000000-0005-0000-0000-00008F6C0000}"/>
    <cellStyle name="EYNotes" xfId="27849" xr:uid="{00000000-0005-0000-0000-0000906C0000}"/>
    <cellStyle name="EYNotesHeading" xfId="27850" xr:uid="{00000000-0005-0000-0000-0000916C0000}"/>
    <cellStyle name="EYNotesHeading 2" xfId="27851" xr:uid="{00000000-0005-0000-0000-0000926C0000}"/>
    <cellStyle name="EYNotesHeading_Book1" xfId="27852" xr:uid="{00000000-0005-0000-0000-0000936C0000}"/>
    <cellStyle name="EYnumber" xfId="27853" xr:uid="{00000000-0005-0000-0000-0000946C0000}"/>
    <cellStyle name="EYnumber 2" xfId="27854" xr:uid="{00000000-0005-0000-0000-0000956C0000}"/>
    <cellStyle name="EYnumber 3" xfId="27855" xr:uid="{00000000-0005-0000-0000-0000966C0000}"/>
    <cellStyle name="EYnumber 4" xfId="27856" xr:uid="{00000000-0005-0000-0000-0000976C0000}"/>
    <cellStyle name="EYnumber_EBITDA Bridge Template2" xfId="27857" xr:uid="{00000000-0005-0000-0000-0000986C0000}"/>
    <cellStyle name="EYRelianceRestricted" xfId="27858" xr:uid="{00000000-0005-0000-0000-0000996C0000}"/>
    <cellStyle name="EYSectionHeading" xfId="27859" xr:uid="{00000000-0005-0000-0000-00009A6C0000}"/>
    <cellStyle name="EYSheetHeader1" xfId="27860" xr:uid="{00000000-0005-0000-0000-00009B6C0000}"/>
    <cellStyle name="EYSheetHeading" xfId="27861" xr:uid="{00000000-0005-0000-0000-00009C6C0000}"/>
    <cellStyle name="EYSheetHeading 2" xfId="27862" xr:uid="{00000000-0005-0000-0000-00009D6C0000}"/>
    <cellStyle name="EYsmallheading" xfId="27863" xr:uid="{00000000-0005-0000-0000-00009E6C0000}"/>
    <cellStyle name="EYsmallheading 2" xfId="27864" xr:uid="{00000000-0005-0000-0000-00009F6C0000}"/>
    <cellStyle name="EYsmallheading 3" xfId="27865" xr:uid="{00000000-0005-0000-0000-0000A06C0000}"/>
    <cellStyle name="EYsmallheading_Book1" xfId="27866" xr:uid="{00000000-0005-0000-0000-0000A16C0000}"/>
    <cellStyle name="EYSource" xfId="27867" xr:uid="{00000000-0005-0000-0000-0000A26C0000}"/>
    <cellStyle name="EYSource 2" xfId="27868" xr:uid="{00000000-0005-0000-0000-0000A36C0000}"/>
    <cellStyle name="EYtext" xfId="27869" xr:uid="{00000000-0005-0000-0000-0000A46C0000}"/>
    <cellStyle name="EYtextbold" xfId="27870" xr:uid="{00000000-0005-0000-0000-0000A56C0000}"/>
    <cellStyle name="EYtextbolditalic" xfId="27871" xr:uid="{00000000-0005-0000-0000-0000A66C0000}"/>
    <cellStyle name="EYtextitalic" xfId="27872" xr:uid="{00000000-0005-0000-0000-0000A76C0000}"/>
    <cellStyle name="F Kw" xfId="27873" xr:uid="{00000000-0005-0000-0000-0000A86C0000}"/>
    <cellStyle name="Followed Hyperlink" xfId="88" builtinId="9" hidden="1"/>
    <cellStyle name="Followed Hyperlink" xfId="68" builtinId="9" hidden="1"/>
    <cellStyle name="Followed Hyperlink" xfId="89" builtinId="9" hidden="1"/>
    <cellStyle name="Followed Hyperlink" xfId="91" builtinId="9" hidden="1"/>
    <cellStyle name="Followed Hyperlink" xfId="93" builtinId="9" hidden="1"/>
    <cellStyle name="Followed Hyperlink" xfId="95" builtinId="9" hidden="1"/>
    <cellStyle name="Fr Kwh" xfId="27874" xr:uid="{00000000-0005-0000-0000-0000AF6C0000}"/>
    <cellStyle name="Gevolgde hyperlink" xfId="27875" xr:uid="{00000000-0005-0000-0000-0000B06C0000}"/>
    <cellStyle name="Gevolgde hyperlink 2" xfId="27876" xr:uid="{00000000-0005-0000-0000-0000B16C0000}"/>
    <cellStyle name="Gevolgde hyperlink 2 2" xfId="27877" xr:uid="{00000000-0005-0000-0000-0000B26C0000}"/>
    <cellStyle name="Gevolgde hyperlink 2 3" xfId="27878" xr:uid="{00000000-0005-0000-0000-0000B36C0000}"/>
    <cellStyle name="Gevolgde hyperlink 2_SEPS_Ext" xfId="27879" xr:uid="{00000000-0005-0000-0000-0000B46C0000}"/>
    <cellStyle name="Gevolgde hyperlink 3" xfId="27880" xr:uid="{00000000-0005-0000-0000-0000B56C0000}"/>
    <cellStyle name="Gevolgde hyperlink_Belker-InternalTrade" xfId="27881" xr:uid="{00000000-0005-0000-0000-0000B66C0000}"/>
    <cellStyle name="Good" xfId="6" builtinId="26" hidden="1" customBuiltin="1"/>
    <cellStyle name="Good" xfId="53" builtinId="26" hidden="1" customBuiltin="1"/>
    <cellStyle name="Good" xfId="75" builtinId="26" customBuiltin="1"/>
    <cellStyle name="Good 10" xfId="27882" xr:uid="{00000000-0005-0000-0000-0000BA6C0000}"/>
    <cellStyle name="Good 10 2" xfId="27883" xr:uid="{00000000-0005-0000-0000-0000BB6C0000}"/>
    <cellStyle name="Good 100" xfId="27884" xr:uid="{00000000-0005-0000-0000-0000BC6C0000}"/>
    <cellStyle name="Good 101" xfId="27885" xr:uid="{00000000-0005-0000-0000-0000BD6C0000}"/>
    <cellStyle name="Good 102" xfId="27886" xr:uid="{00000000-0005-0000-0000-0000BE6C0000}"/>
    <cellStyle name="Good 103" xfId="27887" xr:uid="{00000000-0005-0000-0000-0000BF6C0000}"/>
    <cellStyle name="Good 104" xfId="27888" xr:uid="{00000000-0005-0000-0000-0000C06C0000}"/>
    <cellStyle name="Good 105" xfId="27889" xr:uid="{00000000-0005-0000-0000-0000C16C0000}"/>
    <cellStyle name="Good 106" xfId="27890" xr:uid="{00000000-0005-0000-0000-0000C26C0000}"/>
    <cellStyle name="Good 107" xfId="27891" xr:uid="{00000000-0005-0000-0000-0000C36C0000}"/>
    <cellStyle name="Good 108" xfId="27892" xr:uid="{00000000-0005-0000-0000-0000C46C0000}"/>
    <cellStyle name="Good 109" xfId="27893" xr:uid="{00000000-0005-0000-0000-0000C56C0000}"/>
    <cellStyle name="Good 11" xfId="27894" xr:uid="{00000000-0005-0000-0000-0000C66C0000}"/>
    <cellStyle name="Good 11 2" xfId="27895" xr:uid="{00000000-0005-0000-0000-0000C76C0000}"/>
    <cellStyle name="Good 110" xfId="27896" xr:uid="{00000000-0005-0000-0000-0000C86C0000}"/>
    <cellStyle name="Good 111" xfId="27897" xr:uid="{00000000-0005-0000-0000-0000C96C0000}"/>
    <cellStyle name="Good 112" xfId="27898" xr:uid="{00000000-0005-0000-0000-0000CA6C0000}"/>
    <cellStyle name="Good 113" xfId="27899" xr:uid="{00000000-0005-0000-0000-0000CB6C0000}"/>
    <cellStyle name="Good 114" xfId="27900" xr:uid="{00000000-0005-0000-0000-0000CC6C0000}"/>
    <cellStyle name="Good 115" xfId="27901" xr:uid="{00000000-0005-0000-0000-0000CD6C0000}"/>
    <cellStyle name="Good 116" xfId="27902" xr:uid="{00000000-0005-0000-0000-0000CE6C0000}"/>
    <cellStyle name="Good 117" xfId="27903" xr:uid="{00000000-0005-0000-0000-0000CF6C0000}"/>
    <cellStyle name="Good 118" xfId="27904" xr:uid="{00000000-0005-0000-0000-0000D06C0000}"/>
    <cellStyle name="Good 119" xfId="27905" xr:uid="{00000000-0005-0000-0000-0000D16C0000}"/>
    <cellStyle name="Good 12" xfId="27906" xr:uid="{00000000-0005-0000-0000-0000D26C0000}"/>
    <cellStyle name="Good 12 2" xfId="27907" xr:uid="{00000000-0005-0000-0000-0000D36C0000}"/>
    <cellStyle name="Good 120" xfId="27908" xr:uid="{00000000-0005-0000-0000-0000D46C0000}"/>
    <cellStyle name="Good 121" xfId="27909" xr:uid="{00000000-0005-0000-0000-0000D56C0000}"/>
    <cellStyle name="Good 122" xfId="27910" xr:uid="{00000000-0005-0000-0000-0000D66C0000}"/>
    <cellStyle name="Good 123" xfId="27911" xr:uid="{00000000-0005-0000-0000-0000D76C0000}"/>
    <cellStyle name="Good 124" xfId="27912" xr:uid="{00000000-0005-0000-0000-0000D86C0000}"/>
    <cellStyle name="Good 125" xfId="27913" xr:uid="{00000000-0005-0000-0000-0000D96C0000}"/>
    <cellStyle name="Good 126" xfId="27914" xr:uid="{00000000-0005-0000-0000-0000DA6C0000}"/>
    <cellStyle name="Good 127" xfId="27915" xr:uid="{00000000-0005-0000-0000-0000DB6C0000}"/>
    <cellStyle name="Good 128" xfId="27916" xr:uid="{00000000-0005-0000-0000-0000DC6C0000}"/>
    <cellStyle name="Good 129" xfId="27917" xr:uid="{00000000-0005-0000-0000-0000DD6C0000}"/>
    <cellStyle name="Good 13" xfId="27918" xr:uid="{00000000-0005-0000-0000-0000DE6C0000}"/>
    <cellStyle name="Good 13 2" xfId="27919" xr:uid="{00000000-0005-0000-0000-0000DF6C0000}"/>
    <cellStyle name="Good 130" xfId="27920" xr:uid="{00000000-0005-0000-0000-0000E06C0000}"/>
    <cellStyle name="Good 131" xfId="27921" xr:uid="{00000000-0005-0000-0000-0000E16C0000}"/>
    <cellStyle name="Good 132" xfId="27922" xr:uid="{00000000-0005-0000-0000-0000E26C0000}"/>
    <cellStyle name="Good 133" xfId="27923" xr:uid="{00000000-0005-0000-0000-0000E36C0000}"/>
    <cellStyle name="Good 134" xfId="27924" xr:uid="{00000000-0005-0000-0000-0000E46C0000}"/>
    <cellStyle name="Good 135" xfId="27925" xr:uid="{00000000-0005-0000-0000-0000E56C0000}"/>
    <cellStyle name="Good 136" xfId="27926" xr:uid="{00000000-0005-0000-0000-0000E66C0000}"/>
    <cellStyle name="Good 137" xfId="27927" xr:uid="{00000000-0005-0000-0000-0000E76C0000}"/>
    <cellStyle name="Good 138" xfId="27928" xr:uid="{00000000-0005-0000-0000-0000E86C0000}"/>
    <cellStyle name="Good 139" xfId="27929" xr:uid="{00000000-0005-0000-0000-0000E96C0000}"/>
    <cellStyle name="Good 14" xfId="27930" xr:uid="{00000000-0005-0000-0000-0000EA6C0000}"/>
    <cellStyle name="Good 14 2" xfId="27931" xr:uid="{00000000-0005-0000-0000-0000EB6C0000}"/>
    <cellStyle name="Good 140" xfId="27932" xr:uid="{00000000-0005-0000-0000-0000EC6C0000}"/>
    <cellStyle name="Good 141" xfId="27933" xr:uid="{00000000-0005-0000-0000-0000ED6C0000}"/>
    <cellStyle name="Good 142" xfId="27934" xr:uid="{00000000-0005-0000-0000-0000EE6C0000}"/>
    <cellStyle name="Good 143" xfId="27935" xr:uid="{00000000-0005-0000-0000-0000EF6C0000}"/>
    <cellStyle name="Good 144" xfId="27936" xr:uid="{00000000-0005-0000-0000-0000F06C0000}"/>
    <cellStyle name="Good 145" xfId="27937" xr:uid="{00000000-0005-0000-0000-0000F16C0000}"/>
    <cellStyle name="Good 146" xfId="27938" xr:uid="{00000000-0005-0000-0000-0000F26C0000}"/>
    <cellStyle name="Good 147" xfId="27939" xr:uid="{00000000-0005-0000-0000-0000F36C0000}"/>
    <cellStyle name="Good 148" xfId="27940" xr:uid="{00000000-0005-0000-0000-0000F46C0000}"/>
    <cellStyle name="Good 149" xfId="27941" xr:uid="{00000000-0005-0000-0000-0000F56C0000}"/>
    <cellStyle name="Good 15" xfId="27942" xr:uid="{00000000-0005-0000-0000-0000F66C0000}"/>
    <cellStyle name="Good 15 2" xfId="27943" xr:uid="{00000000-0005-0000-0000-0000F76C0000}"/>
    <cellStyle name="Good 150" xfId="27944" xr:uid="{00000000-0005-0000-0000-0000F86C0000}"/>
    <cellStyle name="Good 151" xfId="27945" xr:uid="{00000000-0005-0000-0000-0000F96C0000}"/>
    <cellStyle name="Good 152" xfId="27946" xr:uid="{00000000-0005-0000-0000-0000FA6C0000}"/>
    <cellStyle name="Good 153" xfId="27947" xr:uid="{00000000-0005-0000-0000-0000FB6C0000}"/>
    <cellStyle name="Good 154" xfId="27948" xr:uid="{00000000-0005-0000-0000-0000FC6C0000}"/>
    <cellStyle name="Good 155" xfId="27949" xr:uid="{00000000-0005-0000-0000-0000FD6C0000}"/>
    <cellStyle name="Good 156" xfId="27950" xr:uid="{00000000-0005-0000-0000-0000FE6C0000}"/>
    <cellStyle name="Good 157" xfId="27951" xr:uid="{00000000-0005-0000-0000-0000FF6C0000}"/>
    <cellStyle name="Good 158" xfId="27952" xr:uid="{00000000-0005-0000-0000-0000006D0000}"/>
    <cellStyle name="Good 159" xfId="27953" xr:uid="{00000000-0005-0000-0000-0000016D0000}"/>
    <cellStyle name="Good 16" xfId="27954" xr:uid="{00000000-0005-0000-0000-0000026D0000}"/>
    <cellStyle name="Good 160" xfId="27955" xr:uid="{00000000-0005-0000-0000-0000036D0000}"/>
    <cellStyle name="Good 161" xfId="27956" xr:uid="{00000000-0005-0000-0000-0000046D0000}"/>
    <cellStyle name="Good 162" xfId="27957" xr:uid="{00000000-0005-0000-0000-0000056D0000}"/>
    <cellStyle name="Good 163" xfId="27958" xr:uid="{00000000-0005-0000-0000-0000066D0000}"/>
    <cellStyle name="Good 164" xfId="27959" xr:uid="{00000000-0005-0000-0000-0000076D0000}"/>
    <cellStyle name="Good 165" xfId="27960" xr:uid="{00000000-0005-0000-0000-0000086D0000}"/>
    <cellStyle name="Good 166" xfId="27961" xr:uid="{00000000-0005-0000-0000-0000096D0000}"/>
    <cellStyle name="Good 167" xfId="27962" xr:uid="{00000000-0005-0000-0000-00000A6D0000}"/>
    <cellStyle name="Good 17" xfId="27963" xr:uid="{00000000-0005-0000-0000-00000B6D0000}"/>
    <cellStyle name="Good 18" xfId="27964" xr:uid="{00000000-0005-0000-0000-00000C6D0000}"/>
    <cellStyle name="Good 19" xfId="27965" xr:uid="{00000000-0005-0000-0000-00000D6D0000}"/>
    <cellStyle name="Good 2" xfId="27966" xr:uid="{00000000-0005-0000-0000-00000E6D0000}"/>
    <cellStyle name="Good 2 10" xfId="27967" xr:uid="{00000000-0005-0000-0000-00000F6D0000}"/>
    <cellStyle name="Good 2 11" xfId="27968" xr:uid="{00000000-0005-0000-0000-0000106D0000}"/>
    <cellStyle name="Good 2 12" xfId="27969" xr:uid="{00000000-0005-0000-0000-0000116D0000}"/>
    <cellStyle name="Good 2 13" xfId="27970" xr:uid="{00000000-0005-0000-0000-0000126D0000}"/>
    <cellStyle name="Good 2 14" xfId="27971" xr:uid="{00000000-0005-0000-0000-0000136D0000}"/>
    <cellStyle name="Good 2 15" xfId="27972" xr:uid="{00000000-0005-0000-0000-0000146D0000}"/>
    <cellStyle name="Good 2 16" xfId="27973" xr:uid="{00000000-0005-0000-0000-0000156D0000}"/>
    <cellStyle name="Good 2 17" xfId="27974" xr:uid="{00000000-0005-0000-0000-0000166D0000}"/>
    <cellStyle name="Good 2 18" xfId="27975" xr:uid="{00000000-0005-0000-0000-0000176D0000}"/>
    <cellStyle name="Good 2 19" xfId="27976" xr:uid="{00000000-0005-0000-0000-0000186D0000}"/>
    <cellStyle name="Good 2 2" xfId="27977" xr:uid="{00000000-0005-0000-0000-0000196D0000}"/>
    <cellStyle name="Good 2 20" xfId="27978" xr:uid="{00000000-0005-0000-0000-00001A6D0000}"/>
    <cellStyle name="Good 2 21" xfId="27979" xr:uid="{00000000-0005-0000-0000-00001B6D0000}"/>
    <cellStyle name="Good 2 22" xfId="27980" xr:uid="{00000000-0005-0000-0000-00001C6D0000}"/>
    <cellStyle name="Good 2 23" xfId="27981" xr:uid="{00000000-0005-0000-0000-00001D6D0000}"/>
    <cellStyle name="Good 2 24" xfId="27982" xr:uid="{00000000-0005-0000-0000-00001E6D0000}"/>
    <cellStyle name="Good 2 25" xfId="27983" xr:uid="{00000000-0005-0000-0000-00001F6D0000}"/>
    <cellStyle name="Good 2 26" xfId="27984" xr:uid="{00000000-0005-0000-0000-0000206D0000}"/>
    <cellStyle name="Good 2 27" xfId="27985" xr:uid="{00000000-0005-0000-0000-0000216D0000}"/>
    <cellStyle name="Good 2 28" xfId="27986" xr:uid="{00000000-0005-0000-0000-0000226D0000}"/>
    <cellStyle name="Good 2 29" xfId="27987" xr:uid="{00000000-0005-0000-0000-0000236D0000}"/>
    <cellStyle name="Good 2 3" xfId="27988" xr:uid="{00000000-0005-0000-0000-0000246D0000}"/>
    <cellStyle name="Good 2 30" xfId="27989" xr:uid="{00000000-0005-0000-0000-0000256D0000}"/>
    <cellStyle name="Good 2 31" xfId="27990" xr:uid="{00000000-0005-0000-0000-0000266D0000}"/>
    <cellStyle name="Good 2 32" xfId="27991" xr:uid="{00000000-0005-0000-0000-0000276D0000}"/>
    <cellStyle name="Good 2 33" xfId="27992" xr:uid="{00000000-0005-0000-0000-0000286D0000}"/>
    <cellStyle name="Good 2 34" xfId="27993" xr:uid="{00000000-0005-0000-0000-0000296D0000}"/>
    <cellStyle name="Good 2 35" xfId="27994" xr:uid="{00000000-0005-0000-0000-00002A6D0000}"/>
    <cellStyle name="Good 2 4" xfId="27995" xr:uid="{00000000-0005-0000-0000-00002B6D0000}"/>
    <cellStyle name="Good 2 5" xfId="27996" xr:uid="{00000000-0005-0000-0000-00002C6D0000}"/>
    <cellStyle name="Good 2 6" xfId="27997" xr:uid="{00000000-0005-0000-0000-00002D6D0000}"/>
    <cellStyle name="Good 2 7" xfId="27998" xr:uid="{00000000-0005-0000-0000-00002E6D0000}"/>
    <cellStyle name="Good 2 8" xfId="27999" xr:uid="{00000000-0005-0000-0000-00002F6D0000}"/>
    <cellStyle name="Good 2 9" xfId="28000" xr:uid="{00000000-0005-0000-0000-0000306D0000}"/>
    <cellStyle name="Good 20" xfId="28001" xr:uid="{00000000-0005-0000-0000-0000316D0000}"/>
    <cellStyle name="Good 20 10" xfId="28002" xr:uid="{00000000-0005-0000-0000-0000326D0000}"/>
    <cellStyle name="Good 20 11" xfId="28003" xr:uid="{00000000-0005-0000-0000-0000336D0000}"/>
    <cellStyle name="Good 20 12" xfId="28004" xr:uid="{00000000-0005-0000-0000-0000346D0000}"/>
    <cellStyle name="Good 20 13" xfId="28005" xr:uid="{00000000-0005-0000-0000-0000356D0000}"/>
    <cellStyle name="Good 20 14" xfId="28006" xr:uid="{00000000-0005-0000-0000-0000366D0000}"/>
    <cellStyle name="Good 20 15" xfId="28007" xr:uid="{00000000-0005-0000-0000-0000376D0000}"/>
    <cellStyle name="Good 20 16" xfId="28008" xr:uid="{00000000-0005-0000-0000-0000386D0000}"/>
    <cellStyle name="Good 20 2" xfId="28009" xr:uid="{00000000-0005-0000-0000-0000396D0000}"/>
    <cellStyle name="Good 20 3" xfId="28010" xr:uid="{00000000-0005-0000-0000-00003A6D0000}"/>
    <cellStyle name="Good 20 4" xfId="28011" xr:uid="{00000000-0005-0000-0000-00003B6D0000}"/>
    <cellStyle name="Good 20 5" xfId="28012" xr:uid="{00000000-0005-0000-0000-00003C6D0000}"/>
    <cellStyle name="Good 20 6" xfId="28013" xr:uid="{00000000-0005-0000-0000-00003D6D0000}"/>
    <cellStyle name="Good 20 7" xfId="28014" xr:uid="{00000000-0005-0000-0000-00003E6D0000}"/>
    <cellStyle name="Good 20 8" xfId="28015" xr:uid="{00000000-0005-0000-0000-00003F6D0000}"/>
    <cellStyle name="Good 20 9" xfId="28016" xr:uid="{00000000-0005-0000-0000-0000406D0000}"/>
    <cellStyle name="Good 21" xfId="28017" xr:uid="{00000000-0005-0000-0000-0000416D0000}"/>
    <cellStyle name="Good 21 2" xfId="28018" xr:uid="{00000000-0005-0000-0000-0000426D0000}"/>
    <cellStyle name="Good 21 3" xfId="28019" xr:uid="{00000000-0005-0000-0000-0000436D0000}"/>
    <cellStyle name="Good 22" xfId="28020" xr:uid="{00000000-0005-0000-0000-0000446D0000}"/>
    <cellStyle name="Good 23" xfId="28021" xr:uid="{00000000-0005-0000-0000-0000456D0000}"/>
    <cellStyle name="Good 24" xfId="28022" xr:uid="{00000000-0005-0000-0000-0000466D0000}"/>
    <cellStyle name="Good 25" xfId="28023" xr:uid="{00000000-0005-0000-0000-0000476D0000}"/>
    <cellStyle name="Good 26" xfId="28024" xr:uid="{00000000-0005-0000-0000-0000486D0000}"/>
    <cellStyle name="Good 27" xfId="28025" xr:uid="{00000000-0005-0000-0000-0000496D0000}"/>
    <cellStyle name="Good 28" xfId="28026" xr:uid="{00000000-0005-0000-0000-00004A6D0000}"/>
    <cellStyle name="Good 29" xfId="28027" xr:uid="{00000000-0005-0000-0000-00004B6D0000}"/>
    <cellStyle name="Good 3" xfId="28028" xr:uid="{00000000-0005-0000-0000-00004C6D0000}"/>
    <cellStyle name="Good 3 10" xfId="28029" xr:uid="{00000000-0005-0000-0000-00004D6D0000}"/>
    <cellStyle name="Good 3 10 10" xfId="28030" xr:uid="{00000000-0005-0000-0000-00004E6D0000}"/>
    <cellStyle name="Good 3 10 11" xfId="28031" xr:uid="{00000000-0005-0000-0000-00004F6D0000}"/>
    <cellStyle name="Good 3 10 12" xfId="28032" xr:uid="{00000000-0005-0000-0000-0000506D0000}"/>
    <cellStyle name="Good 3 10 13" xfId="28033" xr:uid="{00000000-0005-0000-0000-0000516D0000}"/>
    <cellStyle name="Good 3 10 14" xfId="28034" xr:uid="{00000000-0005-0000-0000-0000526D0000}"/>
    <cellStyle name="Good 3 10 15" xfId="28035" xr:uid="{00000000-0005-0000-0000-0000536D0000}"/>
    <cellStyle name="Good 3 10 2" xfId="28036" xr:uid="{00000000-0005-0000-0000-0000546D0000}"/>
    <cellStyle name="Good 3 10 3" xfId="28037" xr:uid="{00000000-0005-0000-0000-0000556D0000}"/>
    <cellStyle name="Good 3 10 4" xfId="28038" xr:uid="{00000000-0005-0000-0000-0000566D0000}"/>
    <cellStyle name="Good 3 10 5" xfId="28039" xr:uid="{00000000-0005-0000-0000-0000576D0000}"/>
    <cellStyle name="Good 3 10 6" xfId="28040" xr:uid="{00000000-0005-0000-0000-0000586D0000}"/>
    <cellStyle name="Good 3 10 7" xfId="28041" xr:uid="{00000000-0005-0000-0000-0000596D0000}"/>
    <cellStyle name="Good 3 10 8" xfId="28042" xr:uid="{00000000-0005-0000-0000-00005A6D0000}"/>
    <cellStyle name="Good 3 10 9" xfId="28043" xr:uid="{00000000-0005-0000-0000-00005B6D0000}"/>
    <cellStyle name="Good 3 11" xfId="28044" xr:uid="{00000000-0005-0000-0000-00005C6D0000}"/>
    <cellStyle name="Good 3 11 10" xfId="28045" xr:uid="{00000000-0005-0000-0000-00005D6D0000}"/>
    <cellStyle name="Good 3 11 11" xfId="28046" xr:uid="{00000000-0005-0000-0000-00005E6D0000}"/>
    <cellStyle name="Good 3 11 12" xfId="28047" xr:uid="{00000000-0005-0000-0000-00005F6D0000}"/>
    <cellStyle name="Good 3 11 13" xfId="28048" xr:uid="{00000000-0005-0000-0000-0000606D0000}"/>
    <cellStyle name="Good 3 11 14" xfId="28049" xr:uid="{00000000-0005-0000-0000-0000616D0000}"/>
    <cellStyle name="Good 3 11 15" xfId="28050" xr:uid="{00000000-0005-0000-0000-0000626D0000}"/>
    <cellStyle name="Good 3 11 2" xfId="28051" xr:uid="{00000000-0005-0000-0000-0000636D0000}"/>
    <cellStyle name="Good 3 11 3" xfId="28052" xr:uid="{00000000-0005-0000-0000-0000646D0000}"/>
    <cellStyle name="Good 3 11 4" xfId="28053" xr:uid="{00000000-0005-0000-0000-0000656D0000}"/>
    <cellStyle name="Good 3 11 5" xfId="28054" xr:uid="{00000000-0005-0000-0000-0000666D0000}"/>
    <cellStyle name="Good 3 11 6" xfId="28055" xr:uid="{00000000-0005-0000-0000-0000676D0000}"/>
    <cellStyle name="Good 3 11 7" xfId="28056" xr:uid="{00000000-0005-0000-0000-0000686D0000}"/>
    <cellStyle name="Good 3 11 8" xfId="28057" xr:uid="{00000000-0005-0000-0000-0000696D0000}"/>
    <cellStyle name="Good 3 11 9" xfId="28058" xr:uid="{00000000-0005-0000-0000-00006A6D0000}"/>
    <cellStyle name="Good 3 12" xfId="28059" xr:uid="{00000000-0005-0000-0000-00006B6D0000}"/>
    <cellStyle name="Good 3 12 10" xfId="28060" xr:uid="{00000000-0005-0000-0000-00006C6D0000}"/>
    <cellStyle name="Good 3 12 11" xfId="28061" xr:uid="{00000000-0005-0000-0000-00006D6D0000}"/>
    <cellStyle name="Good 3 12 12" xfId="28062" xr:uid="{00000000-0005-0000-0000-00006E6D0000}"/>
    <cellStyle name="Good 3 12 13" xfId="28063" xr:uid="{00000000-0005-0000-0000-00006F6D0000}"/>
    <cellStyle name="Good 3 12 14" xfId="28064" xr:uid="{00000000-0005-0000-0000-0000706D0000}"/>
    <cellStyle name="Good 3 12 15" xfId="28065" xr:uid="{00000000-0005-0000-0000-0000716D0000}"/>
    <cellStyle name="Good 3 12 2" xfId="28066" xr:uid="{00000000-0005-0000-0000-0000726D0000}"/>
    <cellStyle name="Good 3 12 3" xfId="28067" xr:uid="{00000000-0005-0000-0000-0000736D0000}"/>
    <cellStyle name="Good 3 12 4" xfId="28068" xr:uid="{00000000-0005-0000-0000-0000746D0000}"/>
    <cellStyle name="Good 3 12 5" xfId="28069" xr:uid="{00000000-0005-0000-0000-0000756D0000}"/>
    <cellStyle name="Good 3 12 6" xfId="28070" xr:uid="{00000000-0005-0000-0000-0000766D0000}"/>
    <cellStyle name="Good 3 12 7" xfId="28071" xr:uid="{00000000-0005-0000-0000-0000776D0000}"/>
    <cellStyle name="Good 3 12 8" xfId="28072" xr:uid="{00000000-0005-0000-0000-0000786D0000}"/>
    <cellStyle name="Good 3 12 9" xfId="28073" xr:uid="{00000000-0005-0000-0000-0000796D0000}"/>
    <cellStyle name="Good 3 13" xfId="28074" xr:uid="{00000000-0005-0000-0000-00007A6D0000}"/>
    <cellStyle name="Good 3 13 10" xfId="28075" xr:uid="{00000000-0005-0000-0000-00007B6D0000}"/>
    <cellStyle name="Good 3 13 11" xfId="28076" xr:uid="{00000000-0005-0000-0000-00007C6D0000}"/>
    <cellStyle name="Good 3 13 12" xfId="28077" xr:uid="{00000000-0005-0000-0000-00007D6D0000}"/>
    <cellStyle name="Good 3 13 13" xfId="28078" xr:uid="{00000000-0005-0000-0000-00007E6D0000}"/>
    <cellStyle name="Good 3 13 14" xfId="28079" xr:uid="{00000000-0005-0000-0000-00007F6D0000}"/>
    <cellStyle name="Good 3 13 15" xfId="28080" xr:uid="{00000000-0005-0000-0000-0000806D0000}"/>
    <cellStyle name="Good 3 13 2" xfId="28081" xr:uid="{00000000-0005-0000-0000-0000816D0000}"/>
    <cellStyle name="Good 3 13 3" xfId="28082" xr:uid="{00000000-0005-0000-0000-0000826D0000}"/>
    <cellStyle name="Good 3 13 4" xfId="28083" xr:uid="{00000000-0005-0000-0000-0000836D0000}"/>
    <cellStyle name="Good 3 13 5" xfId="28084" xr:uid="{00000000-0005-0000-0000-0000846D0000}"/>
    <cellStyle name="Good 3 13 6" xfId="28085" xr:uid="{00000000-0005-0000-0000-0000856D0000}"/>
    <cellStyle name="Good 3 13 7" xfId="28086" xr:uid="{00000000-0005-0000-0000-0000866D0000}"/>
    <cellStyle name="Good 3 13 8" xfId="28087" xr:uid="{00000000-0005-0000-0000-0000876D0000}"/>
    <cellStyle name="Good 3 13 9" xfId="28088" xr:uid="{00000000-0005-0000-0000-0000886D0000}"/>
    <cellStyle name="Good 3 14" xfId="28089" xr:uid="{00000000-0005-0000-0000-0000896D0000}"/>
    <cellStyle name="Good 3 14 10" xfId="28090" xr:uid="{00000000-0005-0000-0000-00008A6D0000}"/>
    <cellStyle name="Good 3 14 11" xfId="28091" xr:uid="{00000000-0005-0000-0000-00008B6D0000}"/>
    <cellStyle name="Good 3 14 12" xfId="28092" xr:uid="{00000000-0005-0000-0000-00008C6D0000}"/>
    <cellStyle name="Good 3 14 13" xfId="28093" xr:uid="{00000000-0005-0000-0000-00008D6D0000}"/>
    <cellStyle name="Good 3 14 14" xfId="28094" xr:uid="{00000000-0005-0000-0000-00008E6D0000}"/>
    <cellStyle name="Good 3 14 15" xfId="28095" xr:uid="{00000000-0005-0000-0000-00008F6D0000}"/>
    <cellStyle name="Good 3 14 2" xfId="28096" xr:uid="{00000000-0005-0000-0000-0000906D0000}"/>
    <cellStyle name="Good 3 14 3" xfId="28097" xr:uid="{00000000-0005-0000-0000-0000916D0000}"/>
    <cellStyle name="Good 3 14 4" xfId="28098" xr:uid="{00000000-0005-0000-0000-0000926D0000}"/>
    <cellStyle name="Good 3 14 5" xfId="28099" xr:uid="{00000000-0005-0000-0000-0000936D0000}"/>
    <cellStyle name="Good 3 14 6" xfId="28100" xr:uid="{00000000-0005-0000-0000-0000946D0000}"/>
    <cellStyle name="Good 3 14 7" xfId="28101" xr:uid="{00000000-0005-0000-0000-0000956D0000}"/>
    <cellStyle name="Good 3 14 8" xfId="28102" xr:uid="{00000000-0005-0000-0000-0000966D0000}"/>
    <cellStyle name="Good 3 14 9" xfId="28103" xr:uid="{00000000-0005-0000-0000-0000976D0000}"/>
    <cellStyle name="Good 3 15" xfId="28104" xr:uid="{00000000-0005-0000-0000-0000986D0000}"/>
    <cellStyle name="Good 3 15 10" xfId="28105" xr:uid="{00000000-0005-0000-0000-0000996D0000}"/>
    <cellStyle name="Good 3 15 11" xfId="28106" xr:uid="{00000000-0005-0000-0000-00009A6D0000}"/>
    <cellStyle name="Good 3 15 12" xfId="28107" xr:uid="{00000000-0005-0000-0000-00009B6D0000}"/>
    <cellStyle name="Good 3 15 13" xfId="28108" xr:uid="{00000000-0005-0000-0000-00009C6D0000}"/>
    <cellStyle name="Good 3 15 14" xfId="28109" xr:uid="{00000000-0005-0000-0000-00009D6D0000}"/>
    <cellStyle name="Good 3 15 15" xfId="28110" xr:uid="{00000000-0005-0000-0000-00009E6D0000}"/>
    <cellStyle name="Good 3 15 2" xfId="28111" xr:uid="{00000000-0005-0000-0000-00009F6D0000}"/>
    <cellStyle name="Good 3 15 3" xfId="28112" xr:uid="{00000000-0005-0000-0000-0000A06D0000}"/>
    <cellStyle name="Good 3 15 4" xfId="28113" xr:uid="{00000000-0005-0000-0000-0000A16D0000}"/>
    <cellStyle name="Good 3 15 5" xfId="28114" xr:uid="{00000000-0005-0000-0000-0000A26D0000}"/>
    <cellStyle name="Good 3 15 6" xfId="28115" xr:uid="{00000000-0005-0000-0000-0000A36D0000}"/>
    <cellStyle name="Good 3 15 7" xfId="28116" xr:uid="{00000000-0005-0000-0000-0000A46D0000}"/>
    <cellStyle name="Good 3 15 8" xfId="28117" xr:uid="{00000000-0005-0000-0000-0000A56D0000}"/>
    <cellStyle name="Good 3 15 9" xfId="28118" xr:uid="{00000000-0005-0000-0000-0000A66D0000}"/>
    <cellStyle name="Good 3 16" xfId="28119" xr:uid="{00000000-0005-0000-0000-0000A76D0000}"/>
    <cellStyle name="Good 3 16 10" xfId="28120" xr:uid="{00000000-0005-0000-0000-0000A86D0000}"/>
    <cellStyle name="Good 3 16 11" xfId="28121" xr:uid="{00000000-0005-0000-0000-0000A96D0000}"/>
    <cellStyle name="Good 3 16 12" xfId="28122" xr:uid="{00000000-0005-0000-0000-0000AA6D0000}"/>
    <cellStyle name="Good 3 16 13" xfId="28123" xr:uid="{00000000-0005-0000-0000-0000AB6D0000}"/>
    <cellStyle name="Good 3 16 14" xfId="28124" xr:uid="{00000000-0005-0000-0000-0000AC6D0000}"/>
    <cellStyle name="Good 3 16 15" xfId="28125" xr:uid="{00000000-0005-0000-0000-0000AD6D0000}"/>
    <cellStyle name="Good 3 16 2" xfId="28126" xr:uid="{00000000-0005-0000-0000-0000AE6D0000}"/>
    <cellStyle name="Good 3 16 3" xfId="28127" xr:uid="{00000000-0005-0000-0000-0000AF6D0000}"/>
    <cellStyle name="Good 3 16 4" xfId="28128" xr:uid="{00000000-0005-0000-0000-0000B06D0000}"/>
    <cellStyle name="Good 3 16 5" xfId="28129" xr:uid="{00000000-0005-0000-0000-0000B16D0000}"/>
    <cellStyle name="Good 3 16 6" xfId="28130" xr:uid="{00000000-0005-0000-0000-0000B26D0000}"/>
    <cellStyle name="Good 3 16 7" xfId="28131" xr:uid="{00000000-0005-0000-0000-0000B36D0000}"/>
    <cellStyle name="Good 3 16 8" xfId="28132" xr:uid="{00000000-0005-0000-0000-0000B46D0000}"/>
    <cellStyle name="Good 3 16 9" xfId="28133" xr:uid="{00000000-0005-0000-0000-0000B56D0000}"/>
    <cellStyle name="Good 3 17" xfId="28134" xr:uid="{00000000-0005-0000-0000-0000B66D0000}"/>
    <cellStyle name="Good 3 17 10" xfId="28135" xr:uid="{00000000-0005-0000-0000-0000B76D0000}"/>
    <cellStyle name="Good 3 17 11" xfId="28136" xr:uid="{00000000-0005-0000-0000-0000B86D0000}"/>
    <cellStyle name="Good 3 17 12" xfId="28137" xr:uid="{00000000-0005-0000-0000-0000B96D0000}"/>
    <cellStyle name="Good 3 17 13" xfId="28138" xr:uid="{00000000-0005-0000-0000-0000BA6D0000}"/>
    <cellStyle name="Good 3 17 14" xfId="28139" xr:uid="{00000000-0005-0000-0000-0000BB6D0000}"/>
    <cellStyle name="Good 3 17 15" xfId="28140" xr:uid="{00000000-0005-0000-0000-0000BC6D0000}"/>
    <cellStyle name="Good 3 17 2" xfId="28141" xr:uid="{00000000-0005-0000-0000-0000BD6D0000}"/>
    <cellStyle name="Good 3 17 3" xfId="28142" xr:uid="{00000000-0005-0000-0000-0000BE6D0000}"/>
    <cellStyle name="Good 3 17 4" xfId="28143" xr:uid="{00000000-0005-0000-0000-0000BF6D0000}"/>
    <cellStyle name="Good 3 17 5" xfId="28144" xr:uid="{00000000-0005-0000-0000-0000C06D0000}"/>
    <cellStyle name="Good 3 17 6" xfId="28145" xr:uid="{00000000-0005-0000-0000-0000C16D0000}"/>
    <cellStyle name="Good 3 17 7" xfId="28146" xr:uid="{00000000-0005-0000-0000-0000C26D0000}"/>
    <cellStyle name="Good 3 17 8" xfId="28147" xr:uid="{00000000-0005-0000-0000-0000C36D0000}"/>
    <cellStyle name="Good 3 17 9" xfId="28148" xr:uid="{00000000-0005-0000-0000-0000C46D0000}"/>
    <cellStyle name="Good 3 18" xfId="28149" xr:uid="{00000000-0005-0000-0000-0000C56D0000}"/>
    <cellStyle name="Good 3 18 10" xfId="28150" xr:uid="{00000000-0005-0000-0000-0000C66D0000}"/>
    <cellStyle name="Good 3 18 11" xfId="28151" xr:uid="{00000000-0005-0000-0000-0000C76D0000}"/>
    <cellStyle name="Good 3 18 12" xfId="28152" xr:uid="{00000000-0005-0000-0000-0000C86D0000}"/>
    <cellStyle name="Good 3 18 13" xfId="28153" xr:uid="{00000000-0005-0000-0000-0000C96D0000}"/>
    <cellStyle name="Good 3 18 14" xfId="28154" xr:uid="{00000000-0005-0000-0000-0000CA6D0000}"/>
    <cellStyle name="Good 3 18 15" xfId="28155" xr:uid="{00000000-0005-0000-0000-0000CB6D0000}"/>
    <cellStyle name="Good 3 18 2" xfId="28156" xr:uid="{00000000-0005-0000-0000-0000CC6D0000}"/>
    <cellStyle name="Good 3 18 3" xfId="28157" xr:uid="{00000000-0005-0000-0000-0000CD6D0000}"/>
    <cellStyle name="Good 3 18 4" xfId="28158" xr:uid="{00000000-0005-0000-0000-0000CE6D0000}"/>
    <cellStyle name="Good 3 18 5" xfId="28159" xr:uid="{00000000-0005-0000-0000-0000CF6D0000}"/>
    <cellStyle name="Good 3 18 6" xfId="28160" xr:uid="{00000000-0005-0000-0000-0000D06D0000}"/>
    <cellStyle name="Good 3 18 7" xfId="28161" xr:uid="{00000000-0005-0000-0000-0000D16D0000}"/>
    <cellStyle name="Good 3 18 8" xfId="28162" xr:uid="{00000000-0005-0000-0000-0000D26D0000}"/>
    <cellStyle name="Good 3 18 9" xfId="28163" xr:uid="{00000000-0005-0000-0000-0000D36D0000}"/>
    <cellStyle name="Good 3 19" xfId="28164" xr:uid="{00000000-0005-0000-0000-0000D46D0000}"/>
    <cellStyle name="Good 3 19 10" xfId="28165" xr:uid="{00000000-0005-0000-0000-0000D56D0000}"/>
    <cellStyle name="Good 3 19 11" xfId="28166" xr:uid="{00000000-0005-0000-0000-0000D66D0000}"/>
    <cellStyle name="Good 3 19 12" xfId="28167" xr:uid="{00000000-0005-0000-0000-0000D76D0000}"/>
    <cellStyle name="Good 3 19 13" xfId="28168" xr:uid="{00000000-0005-0000-0000-0000D86D0000}"/>
    <cellStyle name="Good 3 19 14" xfId="28169" xr:uid="{00000000-0005-0000-0000-0000D96D0000}"/>
    <cellStyle name="Good 3 19 15" xfId="28170" xr:uid="{00000000-0005-0000-0000-0000DA6D0000}"/>
    <cellStyle name="Good 3 19 2" xfId="28171" xr:uid="{00000000-0005-0000-0000-0000DB6D0000}"/>
    <cellStyle name="Good 3 19 3" xfId="28172" xr:uid="{00000000-0005-0000-0000-0000DC6D0000}"/>
    <cellStyle name="Good 3 19 4" xfId="28173" xr:uid="{00000000-0005-0000-0000-0000DD6D0000}"/>
    <cellStyle name="Good 3 19 5" xfId="28174" xr:uid="{00000000-0005-0000-0000-0000DE6D0000}"/>
    <cellStyle name="Good 3 19 6" xfId="28175" xr:uid="{00000000-0005-0000-0000-0000DF6D0000}"/>
    <cellStyle name="Good 3 19 7" xfId="28176" xr:uid="{00000000-0005-0000-0000-0000E06D0000}"/>
    <cellStyle name="Good 3 19 8" xfId="28177" xr:uid="{00000000-0005-0000-0000-0000E16D0000}"/>
    <cellStyle name="Good 3 19 9" xfId="28178" xr:uid="{00000000-0005-0000-0000-0000E26D0000}"/>
    <cellStyle name="Good 3 2" xfId="28179" xr:uid="{00000000-0005-0000-0000-0000E36D0000}"/>
    <cellStyle name="Good 3 2 10" xfId="28180" xr:uid="{00000000-0005-0000-0000-0000E46D0000}"/>
    <cellStyle name="Good 3 2 11" xfId="28181" xr:uid="{00000000-0005-0000-0000-0000E56D0000}"/>
    <cellStyle name="Good 3 2 12" xfId="28182" xr:uid="{00000000-0005-0000-0000-0000E66D0000}"/>
    <cellStyle name="Good 3 2 13" xfId="28183" xr:uid="{00000000-0005-0000-0000-0000E76D0000}"/>
    <cellStyle name="Good 3 2 14" xfId="28184" xr:uid="{00000000-0005-0000-0000-0000E86D0000}"/>
    <cellStyle name="Good 3 2 15" xfId="28185" xr:uid="{00000000-0005-0000-0000-0000E96D0000}"/>
    <cellStyle name="Good 3 2 16" xfId="28186" xr:uid="{00000000-0005-0000-0000-0000EA6D0000}"/>
    <cellStyle name="Good 3 2 17" xfId="28187" xr:uid="{00000000-0005-0000-0000-0000EB6D0000}"/>
    <cellStyle name="Good 3 2 18" xfId="28188" xr:uid="{00000000-0005-0000-0000-0000EC6D0000}"/>
    <cellStyle name="Good 3 2 19" xfId="28189" xr:uid="{00000000-0005-0000-0000-0000ED6D0000}"/>
    <cellStyle name="Good 3 2 2" xfId="28190" xr:uid="{00000000-0005-0000-0000-0000EE6D0000}"/>
    <cellStyle name="Good 3 2 20" xfId="28191" xr:uid="{00000000-0005-0000-0000-0000EF6D0000}"/>
    <cellStyle name="Good 3 2 21" xfId="28192" xr:uid="{00000000-0005-0000-0000-0000F06D0000}"/>
    <cellStyle name="Good 3 2 22" xfId="28193" xr:uid="{00000000-0005-0000-0000-0000F16D0000}"/>
    <cellStyle name="Good 3 2 23" xfId="28194" xr:uid="{00000000-0005-0000-0000-0000F26D0000}"/>
    <cellStyle name="Good 3 2 24" xfId="28195" xr:uid="{00000000-0005-0000-0000-0000F36D0000}"/>
    <cellStyle name="Good 3 2 25" xfId="28196" xr:uid="{00000000-0005-0000-0000-0000F46D0000}"/>
    <cellStyle name="Good 3 2 26" xfId="28197" xr:uid="{00000000-0005-0000-0000-0000F56D0000}"/>
    <cellStyle name="Good 3 2 27" xfId="28198" xr:uid="{00000000-0005-0000-0000-0000F66D0000}"/>
    <cellStyle name="Good 3 2 28" xfId="28199" xr:uid="{00000000-0005-0000-0000-0000F76D0000}"/>
    <cellStyle name="Good 3 2 29" xfId="28200" xr:uid="{00000000-0005-0000-0000-0000F86D0000}"/>
    <cellStyle name="Good 3 2 3" xfId="28201" xr:uid="{00000000-0005-0000-0000-0000F96D0000}"/>
    <cellStyle name="Good 3 2 30" xfId="28202" xr:uid="{00000000-0005-0000-0000-0000FA6D0000}"/>
    <cellStyle name="Good 3 2 31" xfId="28203" xr:uid="{00000000-0005-0000-0000-0000FB6D0000}"/>
    <cellStyle name="Good 3 2 32" xfId="28204" xr:uid="{00000000-0005-0000-0000-0000FC6D0000}"/>
    <cellStyle name="Good 3 2 33" xfId="28205" xr:uid="{00000000-0005-0000-0000-0000FD6D0000}"/>
    <cellStyle name="Good 3 2 34" xfId="28206" xr:uid="{00000000-0005-0000-0000-0000FE6D0000}"/>
    <cellStyle name="Good 3 2 35" xfId="28207" xr:uid="{00000000-0005-0000-0000-0000FF6D0000}"/>
    <cellStyle name="Good 3 2 36" xfId="28208" xr:uid="{00000000-0005-0000-0000-0000006E0000}"/>
    <cellStyle name="Good 3 2 37" xfId="28209" xr:uid="{00000000-0005-0000-0000-0000016E0000}"/>
    <cellStyle name="Good 3 2 38" xfId="28210" xr:uid="{00000000-0005-0000-0000-0000026E0000}"/>
    <cellStyle name="Good 3 2 39" xfId="28211" xr:uid="{00000000-0005-0000-0000-0000036E0000}"/>
    <cellStyle name="Good 3 2 4" xfId="28212" xr:uid="{00000000-0005-0000-0000-0000046E0000}"/>
    <cellStyle name="Good 3 2 40" xfId="28213" xr:uid="{00000000-0005-0000-0000-0000056E0000}"/>
    <cellStyle name="Good 3 2 41" xfId="28214" xr:uid="{00000000-0005-0000-0000-0000066E0000}"/>
    <cellStyle name="Good 3 2 42" xfId="28215" xr:uid="{00000000-0005-0000-0000-0000076E0000}"/>
    <cellStyle name="Good 3 2 43" xfId="28216" xr:uid="{00000000-0005-0000-0000-0000086E0000}"/>
    <cellStyle name="Good 3 2 44" xfId="28217" xr:uid="{00000000-0005-0000-0000-0000096E0000}"/>
    <cellStyle name="Good 3 2 45" xfId="28218" xr:uid="{00000000-0005-0000-0000-00000A6E0000}"/>
    <cellStyle name="Good 3 2 46" xfId="28219" xr:uid="{00000000-0005-0000-0000-00000B6E0000}"/>
    <cellStyle name="Good 3 2 47" xfId="28220" xr:uid="{00000000-0005-0000-0000-00000C6E0000}"/>
    <cellStyle name="Good 3 2 48" xfId="28221" xr:uid="{00000000-0005-0000-0000-00000D6E0000}"/>
    <cellStyle name="Good 3 2 49" xfId="28222" xr:uid="{00000000-0005-0000-0000-00000E6E0000}"/>
    <cellStyle name="Good 3 2 5" xfId="28223" xr:uid="{00000000-0005-0000-0000-00000F6E0000}"/>
    <cellStyle name="Good 3 2 50" xfId="28224" xr:uid="{00000000-0005-0000-0000-0000106E0000}"/>
    <cellStyle name="Good 3 2 51" xfId="28225" xr:uid="{00000000-0005-0000-0000-0000116E0000}"/>
    <cellStyle name="Good 3 2 52" xfId="28226" xr:uid="{00000000-0005-0000-0000-0000126E0000}"/>
    <cellStyle name="Good 3 2 53" xfId="28227" xr:uid="{00000000-0005-0000-0000-0000136E0000}"/>
    <cellStyle name="Good 3 2 6" xfId="28228" xr:uid="{00000000-0005-0000-0000-0000146E0000}"/>
    <cellStyle name="Good 3 2 7" xfId="28229" xr:uid="{00000000-0005-0000-0000-0000156E0000}"/>
    <cellStyle name="Good 3 2 8" xfId="28230" xr:uid="{00000000-0005-0000-0000-0000166E0000}"/>
    <cellStyle name="Good 3 2 9" xfId="28231" xr:uid="{00000000-0005-0000-0000-0000176E0000}"/>
    <cellStyle name="Good 3 20" xfId="28232" xr:uid="{00000000-0005-0000-0000-0000186E0000}"/>
    <cellStyle name="Good 3 20 10" xfId="28233" xr:uid="{00000000-0005-0000-0000-0000196E0000}"/>
    <cellStyle name="Good 3 20 11" xfId="28234" xr:uid="{00000000-0005-0000-0000-00001A6E0000}"/>
    <cellStyle name="Good 3 20 12" xfId="28235" xr:uid="{00000000-0005-0000-0000-00001B6E0000}"/>
    <cellStyle name="Good 3 20 13" xfId="28236" xr:uid="{00000000-0005-0000-0000-00001C6E0000}"/>
    <cellStyle name="Good 3 20 14" xfId="28237" xr:uid="{00000000-0005-0000-0000-00001D6E0000}"/>
    <cellStyle name="Good 3 20 15" xfId="28238" xr:uid="{00000000-0005-0000-0000-00001E6E0000}"/>
    <cellStyle name="Good 3 20 2" xfId="28239" xr:uid="{00000000-0005-0000-0000-00001F6E0000}"/>
    <cellStyle name="Good 3 20 3" xfId="28240" xr:uid="{00000000-0005-0000-0000-0000206E0000}"/>
    <cellStyle name="Good 3 20 4" xfId="28241" xr:uid="{00000000-0005-0000-0000-0000216E0000}"/>
    <cellStyle name="Good 3 20 5" xfId="28242" xr:uid="{00000000-0005-0000-0000-0000226E0000}"/>
    <cellStyle name="Good 3 20 6" xfId="28243" xr:uid="{00000000-0005-0000-0000-0000236E0000}"/>
    <cellStyle name="Good 3 20 7" xfId="28244" xr:uid="{00000000-0005-0000-0000-0000246E0000}"/>
    <cellStyle name="Good 3 20 8" xfId="28245" xr:uid="{00000000-0005-0000-0000-0000256E0000}"/>
    <cellStyle name="Good 3 20 9" xfId="28246" xr:uid="{00000000-0005-0000-0000-0000266E0000}"/>
    <cellStyle name="Good 3 21" xfId="28247" xr:uid="{00000000-0005-0000-0000-0000276E0000}"/>
    <cellStyle name="Good 3 21 10" xfId="28248" xr:uid="{00000000-0005-0000-0000-0000286E0000}"/>
    <cellStyle name="Good 3 21 11" xfId="28249" xr:uid="{00000000-0005-0000-0000-0000296E0000}"/>
    <cellStyle name="Good 3 21 12" xfId="28250" xr:uid="{00000000-0005-0000-0000-00002A6E0000}"/>
    <cellStyle name="Good 3 21 13" xfId="28251" xr:uid="{00000000-0005-0000-0000-00002B6E0000}"/>
    <cellStyle name="Good 3 21 14" xfId="28252" xr:uid="{00000000-0005-0000-0000-00002C6E0000}"/>
    <cellStyle name="Good 3 21 15" xfId="28253" xr:uid="{00000000-0005-0000-0000-00002D6E0000}"/>
    <cellStyle name="Good 3 21 2" xfId="28254" xr:uid="{00000000-0005-0000-0000-00002E6E0000}"/>
    <cellStyle name="Good 3 21 3" xfId="28255" xr:uid="{00000000-0005-0000-0000-00002F6E0000}"/>
    <cellStyle name="Good 3 21 4" xfId="28256" xr:uid="{00000000-0005-0000-0000-0000306E0000}"/>
    <cellStyle name="Good 3 21 5" xfId="28257" xr:uid="{00000000-0005-0000-0000-0000316E0000}"/>
    <cellStyle name="Good 3 21 6" xfId="28258" xr:uid="{00000000-0005-0000-0000-0000326E0000}"/>
    <cellStyle name="Good 3 21 7" xfId="28259" xr:uid="{00000000-0005-0000-0000-0000336E0000}"/>
    <cellStyle name="Good 3 21 8" xfId="28260" xr:uid="{00000000-0005-0000-0000-0000346E0000}"/>
    <cellStyle name="Good 3 21 9" xfId="28261" xr:uid="{00000000-0005-0000-0000-0000356E0000}"/>
    <cellStyle name="Good 3 22" xfId="28262" xr:uid="{00000000-0005-0000-0000-0000366E0000}"/>
    <cellStyle name="Good 3 22 10" xfId="28263" xr:uid="{00000000-0005-0000-0000-0000376E0000}"/>
    <cellStyle name="Good 3 22 11" xfId="28264" xr:uid="{00000000-0005-0000-0000-0000386E0000}"/>
    <cellStyle name="Good 3 22 12" xfId="28265" xr:uid="{00000000-0005-0000-0000-0000396E0000}"/>
    <cellStyle name="Good 3 22 13" xfId="28266" xr:uid="{00000000-0005-0000-0000-00003A6E0000}"/>
    <cellStyle name="Good 3 22 14" xfId="28267" xr:uid="{00000000-0005-0000-0000-00003B6E0000}"/>
    <cellStyle name="Good 3 22 15" xfId="28268" xr:uid="{00000000-0005-0000-0000-00003C6E0000}"/>
    <cellStyle name="Good 3 22 2" xfId="28269" xr:uid="{00000000-0005-0000-0000-00003D6E0000}"/>
    <cellStyle name="Good 3 22 3" xfId="28270" xr:uid="{00000000-0005-0000-0000-00003E6E0000}"/>
    <cellStyle name="Good 3 22 4" xfId="28271" xr:uid="{00000000-0005-0000-0000-00003F6E0000}"/>
    <cellStyle name="Good 3 22 5" xfId="28272" xr:uid="{00000000-0005-0000-0000-0000406E0000}"/>
    <cellStyle name="Good 3 22 6" xfId="28273" xr:uid="{00000000-0005-0000-0000-0000416E0000}"/>
    <cellStyle name="Good 3 22 7" xfId="28274" xr:uid="{00000000-0005-0000-0000-0000426E0000}"/>
    <cellStyle name="Good 3 22 8" xfId="28275" xr:uid="{00000000-0005-0000-0000-0000436E0000}"/>
    <cellStyle name="Good 3 22 9" xfId="28276" xr:uid="{00000000-0005-0000-0000-0000446E0000}"/>
    <cellStyle name="Good 3 23" xfId="28277" xr:uid="{00000000-0005-0000-0000-0000456E0000}"/>
    <cellStyle name="Good 3 23 10" xfId="28278" xr:uid="{00000000-0005-0000-0000-0000466E0000}"/>
    <cellStyle name="Good 3 23 11" xfId="28279" xr:uid="{00000000-0005-0000-0000-0000476E0000}"/>
    <cellStyle name="Good 3 23 12" xfId="28280" xr:uid="{00000000-0005-0000-0000-0000486E0000}"/>
    <cellStyle name="Good 3 23 13" xfId="28281" xr:uid="{00000000-0005-0000-0000-0000496E0000}"/>
    <cellStyle name="Good 3 23 14" xfId="28282" xr:uid="{00000000-0005-0000-0000-00004A6E0000}"/>
    <cellStyle name="Good 3 23 15" xfId="28283" xr:uid="{00000000-0005-0000-0000-00004B6E0000}"/>
    <cellStyle name="Good 3 23 2" xfId="28284" xr:uid="{00000000-0005-0000-0000-00004C6E0000}"/>
    <cellStyle name="Good 3 23 3" xfId="28285" xr:uid="{00000000-0005-0000-0000-00004D6E0000}"/>
    <cellStyle name="Good 3 23 4" xfId="28286" xr:uid="{00000000-0005-0000-0000-00004E6E0000}"/>
    <cellStyle name="Good 3 23 5" xfId="28287" xr:uid="{00000000-0005-0000-0000-00004F6E0000}"/>
    <cellStyle name="Good 3 23 6" xfId="28288" xr:uid="{00000000-0005-0000-0000-0000506E0000}"/>
    <cellStyle name="Good 3 23 7" xfId="28289" xr:uid="{00000000-0005-0000-0000-0000516E0000}"/>
    <cellStyle name="Good 3 23 8" xfId="28290" xr:uid="{00000000-0005-0000-0000-0000526E0000}"/>
    <cellStyle name="Good 3 23 9" xfId="28291" xr:uid="{00000000-0005-0000-0000-0000536E0000}"/>
    <cellStyle name="Good 3 24" xfId="28292" xr:uid="{00000000-0005-0000-0000-0000546E0000}"/>
    <cellStyle name="Good 3 24 10" xfId="28293" xr:uid="{00000000-0005-0000-0000-0000556E0000}"/>
    <cellStyle name="Good 3 24 11" xfId="28294" xr:uid="{00000000-0005-0000-0000-0000566E0000}"/>
    <cellStyle name="Good 3 24 12" xfId="28295" xr:uid="{00000000-0005-0000-0000-0000576E0000}"/>
    <cellStyle name="Good 3 24 13" xfId="28296" xr:uid="{00000000-0005-0000-0000-0000586E0000}"/>
    <cellStyle name="Good 3 24 14" xfId="28297" xr:uid="{00000000-0005-0000-0000-0000596E0000}"/>
    <cellStyle name="Good 3 24 15" xfId="28298" xr:uid="{00000000-0005-0000-0000-00005A6E0000}"/>
    <cellStyle name="Good 3 24 2" xfId="28299" xr:uid="{00000000-0005-0000-0000-00005B6E0000}"/>
    <cellStyle name="Good 3 24 3" xfId="28300" xr:uid="{00000000-0005-0000-0000-00005C6E0000}"/>
    <cellStyle name="Good 3 24 4" xfId="28301" xr:uid="{00000000-0005-0000-0000-00005D6E0000}"/>
    <cellStyle name="Good 3 24 5" xfId="28302" xr:uid="{00000000-0005-0000-0000-00005E6E0000}"/>
    <cellStyle name="Good 3 24 6" xfId="28303" xr:uid="{00000000-0005-0000-0000-00005F6E0000}"/>
    <cellStyle name="Good 3 24 7" xfId="28304" xr:uid="{00000000-0005-0000-0000-0000606E0000}"/>
    <cellStyle name="Good 3 24 8" xfId="28305" xr:uid="{00000000-0005-0000-0000-0000616E0000}"/>
    <cellStyle name="Good 3 24 9" xfId="28306" xr:uid="{00000000-0005-0000-0000-0000626E0000}"/>
    <cellStyle name="Good 3 25" xfId="28307" xr:uid="{00000000-0005-0000-0000-0000636E0000}"/>
    <cellStyle name="Good 3 25 10" xfId="28308" xr:uid="{00000000-0005-0000-0000-0000646E0000}"/>
    <cellStyle name="Good 3 25 11" xfId="28309" xr:uid="{00000000-0005-0000-0000-0000656E0000}"/>
    <cellStyle name="Good 3 25 12" xfId="28310" xr:uid="{00000000-0005-0000-0000-0000666E0000}"/>
    <cellStyle name="Good 3 25 13" xfId="28311" xr:uid="{00000000-0005-0000-0000-0000676E0000}"/>
    <cellStyle name="Good 3 25 14" xfId="28312" xr:uid="{00000000-0005-0000-0000-0000686E0000}"/>
    <cellStyle name="Good 3 25 15" xfId="28313" xr:uid="{00000000-0005-0000-0000-0000696E0000}"/>
    <cellStyle name="Good 3 25 2" xfId="28314" xr:uid="{00000000-0005-0000-0000-00006A6E0000}"/>
    <cellStyle name="Good 3 25 3" xfId="28315" xr:uid="{00000000-0005-0000-0000-00006B6E0000}"/>
    <cellStyle name="Good 3 25 4" xfId="28316" xr:uid="{00000000-0005-0000-0000-00006C6E0000}"/>
    <cellStyle name="Good 3 25 5" xfId="28317" xr:uid="{00000000-0005-0000-0000-00006D6E0000}"/>
    <cellStyle name="Good 3 25 6" xfId="28318" xr:uid="{00000000-0005-0000-0000-00006E6E0000}"/>
    <cellStyle name="Good 3 25 7" xfId="28319" xr:uid="{00000000-0005-0000-0000-00006F6E0000}"/>
    <cellStyle name="Good 3 25 8" xfId="28320" xr:uid="{00000000-0005-0000-0000-0000706E0000}"/>
    <cellStyle name="Good 3 25 9" xfId="28321" xr:uid="{00000000-0005-0000-0000-0000716E0000}"/>
    <cellStyle name="Good 3 26" xfId="28322" xr:uid="{00000000-0005-0000-0000-0000726E0000}"/>
    <cellStyle name="Good 3 26 10" xfId="28323" xr:uid="{00000000-0005-0000-0000-0000736E0000}"/>
    <cellStyle name="Good 3 26 11" xfId="28324" xr:uid="{00000000-0005-0000-0000-0000746E0000}"/>
    <cellStyle name="Good 3 26 12" xfId="28325" xr:uid="{00000000-0005-0000-0000-0000756E0000}"/>
    <cellStyle name="Good 3 26 13" xfId="28326" xr:uid="{00000000-0005-0000-0000-0000766E0000}"/>
    <cellStyle name="Good 3 26 14" xfId="28327" xr:uid="{00000000-0005-0000-0000-0000776E0000}"/>
    <cellStyle name="Good 3 26 15" xfId="28328" xr:uid="{00000000-0005-0000-0000-0000786E0000}"/>
    <cellStyle name="Good 3 26 2" xfId="28329" xr:uid="{00000000-0005-0000-0000-0000796E0000}"/>
    <cellStyle name="Good 3 26 3" xfId="28330" xr:uid="{00000000-0005-0000-0000-00007A6E0000}"/>
    <cellStyle name="Good 3 26 4" xfId="28331" xr:uid="{00000000-0005-0000-0000-00007B6E0000}"/>
    <cellStyle name="Good 3 26 5" xfId="28332" xr:uid="{00000000-0005-0000-0000-00007C6E0000}"/>
    <cellStyle name="Good 3 26 6" xfId="28333" xr:uid="{00000000-0005-0000-0000-00007D6E0000}"/>
    <cellStyle name="Good 3 26 7" xfId="28334" xr:uid="{00000000-0005-0000-0000-00007E6E0000}"/>
    <cellStyle name="Good 3 26 8" xfId="28335" xr:uid="{00000000-0005-0000-0000-00007F6E0000}"/>
    <cellStyle name="Good 3 26 9" xfId="28336" xr:uid="{00000000-0005-0000-0000-0000806E0000}"/>
    <cellStyle name="Good 3 27" xfId="28337" xr:uid="{00000000-0005-0000-0000-0000816E0000}"/>
    <cellStyle name="Good 3 27 10" xfId="28338" xr:uid="{00000000-0005-0000-0000-0000826E0000}"/>
    <cellStyle name="Good 3 27 11" xfId="28339" xr:uid="{00000000-0005-0000-0000-0000836E0000}"/>
    <cellStyle name="Good 3 27 12" xfId="28340" xr:uid="{00000000-0005-0000-0000-0000846E0000}"/>
    <cellStyle name="Good 3 27 13" xfId="28341" xr:uid="{00000000-0005-0000-0000-0000856E0000}"/>
    <cellStyle name="Good 3 27 14" xfId="28342" xr:uid="{00000000-0005-0000-0000-0000866E0000}"/>
    <cellStyle name="Good 3 27 15" xfId="28343" xr:uid="{00000000-0005-0000-0000-0000876E0000}"/>
    <cellStyle name="Good 3 27 2" xfId="28344" xr:uid="{00000000-0005-0000-0000-0000886E0000}"/>
    <cellStyle name="Good 3 27 3" xfId="28345" xr:uid="{00000000-0005-0000-0000-0000896E0000}"/>
    <cellStyle name="Good 3 27 4" xfId="28346" xr:uid="{00000000-0005-0000-0000-00008A6E0000}"/>
    <cellStyle name="Good 3 27 5" xfId="28347" xr:uid="{00000000-0005-0000-0000-00008B6E0000}"/>
    <cellStyle name="Good 3 27 6" xfId="28348" xr:uid="{00000000-0005-0000-0000-00008C6E0000}"/>
    <cellStyle name="Good 3 27 7" xfId="28349" xr:uid="{00000000-0005-0000-0000-00008D6E0000}"/>
    <cellStyle name="Good 3 27 8" xfId="28350" xr:uid="{00000000-0005-0000-0000-00008E6E0000}"/>
    <cellStyle name="Good 3 27 9" xfId="28351" xr:uid="{00000000-0005-0000-0000-00008F6E0000}"/>
    <cellStyle name="Good 3 28" xfId="28352" xr:uid="{00000000-0005-0000-0000-0000906E0000}"/>
    <cellStyle name="Good 3 28 10" xfId="28353" xr:uid="{00000000-0005-0000-0000-0000916E0000}"/>
    <cellStyle name="Good 3 28 11" xfId="28354" xr:uid="{00000000-0005-0000-0000-0000926E0000}"/>
    <cellStyle name="Good 3 28 12" xfId="28355" xr:uid="{00000000-0005-0000-0000-0000936E0000}"/>
    <cellStyle name="Good 3 28 13" xfId="28356" xr:uid="{00000000-0005-0000-0000-0000946E0000}"/>
    <cellStyle name="Good 3 28 14" xfId="28357" xr:uid="{00000000-0005-0000-0000-0000956E0000}"/>
    <cellStyle name="Good 3 28 15" xfId="28358" xr:uid="{00000000-0005-0000-0000-0000966E0000}"/>
    <cellStyle name="Good 3 28 2" xfId="28359" xr:uid="{00000000-0005-0000-0000-0000976E0000}"/>
    <cellStyle name="Good 3 28 3" xfId="28360" xr:uid="{00000000-0005-0000-0000-0000986E0000}"/>
    <cellStyle name="Good 3 28 4" xfId="28361" xr:uid="{00000000-0005-0000-0000-0000996E0000}"/>
    <cellStyle name="Good 3 28 5" xfId="28362" xr:uid="{00000000-0005-0000-0000-00009A6E0000}"/>
    <cellStyle name="Good 3 28 6" xfId="28363" xr:uid="{00000000-0005-0000-0000-00009B6E0000}"/>
    <cellStyle name="Good 3 28 7" xfId="28364" xr:uid="{00000000-0005-0000-0000-00009C6E0000}"/>
    <cellStyle name="Good 3 28 8" xfId="28365" xr:uid="{00000000-0005-0000-0000-00009D6E0000}"/>
    <cellStyle name="Good 3 28 9" xfId="28366" xr:uid="{00000000-0005-0000-0000-00009E6E0000}"/>
    <cellStyle name="Good 3 29" xfId="28367" xr:uid="{00000000-0005-0000-0000-00009F6E0000}"/>
    <cellStyle name="Good 3 29 10" xfId="28368" xr:uid="{00000000-0005-0000-0000-0000A06E0000}"/>
    <cellStyle name="Good 3 29 11" xfId="28369" xr:uid="{00000000-0005-0000-0000-0000A16E0000}"/>
    <cellStyle name="Good 3 29 12" xfId="28370" xr:uid="{00000000-0005-0000-0000-0000A26E0000}"/>
    <cellStyle name="Good 3 29 13" xfId="28371" xr:uid="{00000000-0005-0000-0000-0000A36E0000}"/>
    <cellStyle name="Good 3 29 14" xfId="28372" xr:uid="{00000000-0005-0000-0000-0000A46E0000}"/>
    <cellStyle name="Good 3 29 15" xfId="28373" xr:uid="{00000000-0005-0000-0000-0000A56E0000}"/>
    <cellStyle name="Good 3 29 2" xfId="28374" xr:uid="{00000000-0005-0000-0000-0000A66E0000}"/>
    <cellStyle name="Good 3 29 3" xfId="28375" xr:uid="{00000000-0005-0000-0000-0000A76E0000}"/>
    <cellStyle name="Good 3 29 4" xfId="28376" xr:uid="{00000000-0005-0000-0000-0000A86E0000}"/>
    <cellStyle name="Good 3 29 5" xfId="28377" xr:uid="{00000000-0005-0000-0000-0000A96E0000}"/>
    <cellStyle name="Good 3 29 6" xfId="28378" xr:uid="{00000000-0005-0000-0000-0000AA6E0000}"/>
    <cellStyle name="Good 3 29 7" xfId="28379" xr:uid="{00000000-0005-0000-0000-0000AB6E0000}"/>
    <cellStyle name="Good 3 29 8" xfId="28380" xr:uid="{00000000-0005-0000-0000-0000AC6E0000}"/>
    <cellStyle name="Good 3 29 9" xfId="28381" xr:uid="{00000000-0005-0000-0000-0000AD6E0000}"/>
    <cellStyle name="Good 3 3" xfId="28382" xr:uid="{00000000-0005-0000-0000-0000AE6E0000}"/>
    <cellStyle name="Good 3 3 10" xfId="28383" xr:uid="{00000000-0005-0000-0000-0000AF6E0000}"/>
    <cellStyle name="Good 3 3 11" xfId="28384" xr:uid="{00000000-0005-0000-0000-0000B06E0000}"/>
    <cellStyle name="Good 3 3 12" xfId="28385" xr:uid="{00000000-0005-0000-0000-0000B16E0000}"/>
    <cellStyle name="Good 3 3 13" xfId="28386" xr:uid="{00000000-0005-0000-0000-0000B26E0000}"/>
    <cellStyle name="Good 3 3 14" xfId="28387" xr:uid="{00000000-0005-0000-0000-0000B36E0000}"/>
    <cellStyle name="Good 3 3 15" xfId="28388" xr:uid="{00000000-0005-0000-0000-0000B46E0000}"/>
    <cellStyle name="Good 3 3 16" xfId="28389" xr:uid="{00000000-0005-0000-0000-0000B56E0000}"/>
    <cellStyle name="Good 3 3 2" xfId="28390" xr:uid="{00000000-0005-0000-0000-0000B66E0000}"/>
    <cellStyle name="Good 3 3 3" xfId="28391" xr:uid="{00000000-0005-0000-0000-0000B76E0000}"/>
    <cellStyle name="Good 3 3 4" xfId="28392" xr:uid="{00000000-0005-0000-0000-0000B86E0000}"/>
    <cellStyle name="Good 3 3 5" xfId="28393" xr:uid="{00000000-0005-0000-0000-0000B96E0000}"/>
    <cellStyle name="Good 3 3 6" xfId="28394" xr:uid="{00000000-0005-0000-0000-0000BA6E0000}"/>
    <cellStyle name="Good 3 3 7" xfId="28395" xr:uid="{00000000-0005-0000-0000-0000BB6E0000}"/>
    <cellStyle name="Good 3 3 8" xfId="28396" xr:uid="{00000000-0005-0000-0000-0000BC6E0000}"/>
    <cellStyle name="Good 3 3 9" xfId="28397" xr:uid="{00000000-0005-0000-0000-0000BD6E0000}"/>
    <cellStyle name="Good 3 30" xfId="28398" xr:uid="{00000000-0005-0000-0000-0000BE6E0000}"/>
    <cellStyle name="Good 3 30 10" xfId="28399" xr:uid="{00000000-0005-0000-0000-0000BF6E0000}"/>
    <cellStyle name="Good 3 30 11" xfId="28400" xr:uid="{00000000-0005-0000-0000-0000C06E0000}"/>
    <cellStyle name="Good 3 30 12" xfId="28401" xr:uid="{00000000-0005-0000-0000-0000C16E0000}"/>
    <cellStyle name="Good 3 30 13" xfId="28402" xr:uid="{00000000-0005-0000-0000-0000C26E0000}"/>
    <cellStyle name="Good 3 30 14" xfId="28403" xr:uid="{00000000-0005-0000-0000-0000C36E0000}"/>
    <cellStyle name="Good 3 30 15" xfId="28404" xr:uid="{00000000-0005-0000-0000-0000C46E0000}"/>
    <cellStyle name="Good 3 30 2" xfId="28405" xr:uid="{00000000-0005-0000-0000-0000C56E0000}"/>
    <cellStyle name="Good 3 30 3" xfId="28406" xr:uid="{00000000-0005-0000-0000-0000C66E0000}"/>
    <cellStyle name="Good 3 30 4" xfId="28407" xr:uid="{00000000-0005-0000-0000-0000C76E0000}"/>
    <cellStyle name="Good 3 30 5" xfId="28408" xr:uid="{00000000-0005-0000-0000-0000C86E0000}"/>
    <cellStyle name="Good 3 30 6" xfId="28409" xr:uid="{00000000-0005-0000-0000-0000C96E0000}"/>
    <cellStyle name="Good 3 30 7" xfId="28410" xr:uid="{00000000-0005-0000-0000-0000CA6E0000}"/>
    <cellStyle name="Good 3 30 8" xfId="28411" xr:uid="{00000000-0005-0000-0000-0000CB6E0000}"/>
    <cellStyle name="Good 3 30 9" xfId="28412" xr:uid="{00000000-0005-0000-0000-0000CC6E0000}"/>
    <cellStyle name="Good 3 31" xfId="28413" xr:uid="{00000000-0005-0000-0000-0000CD6E0000}"/>
    <cellStyle name="Good 3 31 10" xfId="28414" xr:uid="{00000000-0005-0000-0000-0000CE6E0000}"/>
    <cellStyle name="Good 3 31 11" xfId="28415" xr:uid="{00000000-0005-0000-0000-0000CF6E0000}"/>
    <cellStyle name="Good 3 31 12" xfId="28416" xr:uid="{00000000-0005-0000-0000-0000D06E0000}"/>
    <cellStyle name="Good 3 31 13" xfId="28417" xr:uid="{00000000-0005-0000-0000-0000D16E0000}"/>
    <cellStyle name="Good 3 31 14" xfId="28418" xr:uid="{00000000-0005-0000-0000-0000D26E0000}"/>
    <cellStyle name="Good 3 31 15" xfId="28419" xr:uid="{00000000-0005-0000-0000-0000D36E0000}"/>
    <cellStyle name="Good 3 31 2" xfId="28420" xr:uid="{00000000-0005-0000-0000-0000D46E0000}"/>
    <cellStyle name="Good 3 31 3" xfId="28421" xr:uid="{00000000-0005-0000-0000-0000D56E0000}"/>
    <cellStyle name="Good 3 31 4" xfId="28422" xr:uid="{00000000-0005-0000-0000-0000D66E0000}"/>
    <cellStyle name="Good 3 31 5" xfId="28423" xr:uid="{00000000-0005-0000-0000-0000D76E0000}"/>
    <cellStyle name="Good 3 31 6" xfId="28424" xr:uid="{00000000-0005-0000-0000-0000D86E0000}"/>
    <cellStyle name="Good 3 31 7" xfId="28425" xr:uid="{00000000-0005-0000-0000-0000D96E0000}"/>
    <cellStyle name="Good 3 31 8" xfId="28426" xr:uid="{00000000-0005-0000-0000-0000DA6E0000}"/>
    <cellStyle name="Good 3 31 9" xfId="28427" xr:uid="{00000000-0005-0000-0000-0000DB6E0000}"/>
    <cellStyle name="Good 3 32" xfId="28428" xr:uid="{00000000-0005-0000-0000-0000DC6E0000}"/>
    <cellStyle name="Good 3 32 10" xfId="28429" xr:uid="{00000000-0005-0000-0000-0000DD6E0000}"/>
    <cellStyle name="Good 3 32 11" xfId="28430" xr:uid="{00000000-0005-0000-0000-0000DE6E0000}"/>
    <cellStyle name="Good 3 32 12" xfId="28431" xr:uid="{00000000-0005-0000-0000-0000DF6E0000}"/>
    <cellStyle name="Good 3 32 13" xfId="28432" xr:uid="{00000000-0005-0000-0000-0000E06E0000}"/>
    <cellStyle name="Good 3 32 14" xfId="28433" xr:uid="{00000000-0005-0000-0000-0000E16E0000}"/>
    <cellStyle name="Good 3 32 15" xfId="28434" xr:uid="{00000000-0005-0000-0000-0000E26E0000}"/>
    <cellStyle name="Good 3 32 2" xfId="28435" xr:uid="{00000000-0005-0000-0000-0000E36E0000}"/>
    <cellStyle name="Good 3 32 3" xfId="28436" xr:uid="{00000000-0005-0000-0000-0000E46E0000}"/>
    <cellStyle name="Good 3 32 4" xfId="28437" xr:uid="{00000000-0005-0000-0000-0000E56E0000}"/>
    <cellStyle name="Good 3 32 5" xfId="28438" xr:uid="{00000000-0005-0000-0000-0000E66E0000}"/>
    <cellStyle name="Good 3 32 6" xfId="28439" xr:uid="{00000000-0005-0000-0000-0000E76E0000}"/>
    <cellStyle name="Good 3 32 7" xfId="28440" xr:uid="{00000000-0005-0000-0000-0000E86E0000}"/>
    <cellStyle name="Good 3 32 8" xfId="28441" xr:uid="{00000000-0005-0000-0000-0000E96E0000}"/>
    <cellStyle name="Good 3 32 9" xfId="28442" xr:uid="{00000000-0005-0000-0000-0000EA6E0000}"/>
    <cellStyle name="Good 3 33" xfId="28443" xr:uid="{00000000-0005-0000-0000-0000EB6E0000}"/>
    <cellStyle name="Good 3 34" xfId="28444" xr:uid="{00000000-0005-0000-0000-0000EC6E0000}"/>
    <cellStyle name="Good 3 35" xfId="28445" xr:uid="{00000000-0005-0000-0000-0000ED6E0000}"/>
    <cellStyle name="Good 3 36" xfId="28446" xr:uid="{00000000-0005-0000-0000-0000EE6E0000}"/>
    <cellStyle name="Good 3 37" xfId="28447" xr:uid="{00000000-0005-0000-0000-0000EF6E0000}"/>
    <cellStyle name="Good 3 38" xfId="28448" xr:uid="{00000000-0005-0000-0000-0000F06E0000}"/>
    <cellStyle name="Good 3 39" xfId="28449" xr:uid="{00000000-0005-0000-0000-0000F16E0000}"/>
    <cellStyle name="Good 3 4" xfId="28450" xr:uid="{00000000-0005-0000-0000-0000F26E0000}"/>
    <cellStyle name="Good 3 4 10" xfId="28451" xr:uid="{00000000-0005-0000-0000-0000F36E0000}"/>
    <cellStyle name="Good 3 4 11" xfId="28452" xr:uid="{00000000-0005-0000-0000-0000F46E0000}"/>
    <cellStyle name="Good 3 4 12" xfId="28453" xr:uid="{00000000-0005-0000-0000-0000F56E0000}"/>
    <cellStyle name="Good 3 4 13" xfId="28454" xr:uid="{00000000-0005-0000-0000-0000F66E0000}"/>
    <cellStyle name="Good 3 4 14" xfId="28455" xr:uid="{00000000-0005-0000-0000-0000F76E0000}"/>
    <cellStyle name="Good 3 4 15" xfId="28456" xr:uid="{00000000-0005-0000-0000-0000F86E0000}"/>
    <cellStyle name="Good 3 4 2" xfId="28457" xr:uid="{00000000-0005-0000-0000-0000F96E0000}"/>
    <cellStyle name="Good 3 4 3" xfId="28458" xr:uid="{00000000-0005-0000-0000-0000FA6E0000}"/>
    <cellStyle name="Good 3 4 4" xfId="28459" xr:uid="{00000000-0005-0000-0000-0000FB6E0000}"/>
    <cellStyle name="Good 3 4 5" xfId="28460" xr:uid="{00000000-0005-0000-0000-0000FC6E0000}"/>
    <cellStyle name="Good 3 4 6" xfId="28461" xr:uid="{00000000-0005-0000-0000-0000FD6E0000}"/>
    <cellStyle name="Good 3 4 7" xfId="28462" xr:uid="{00000000-0005-0000-0000-0000FE6E0000}"/>
    <cellStyle name="Good 3 4 8" xfId="28463" xr:uid="{00000000-0005-0000-0000-0000FF6E0000}"/>
    <cellStyle name="Good 3 4 9" xfId="28464" xr:uid="{00000000-0005-0000-0000-0000006F0000}"/>
    <cellStyle name="Good 3 40" xfId="28465" xr:uid="{00000000-0005-0000-0000-0000016F0000}"/>
    <cellStyle name="Good 3 41" xfId="28466" xr:uid="{00000000-0005-0000-0000-0000026F0000}"/>
    <cellStyle name="Good 3 42" xfId="28467" xr:uid="{00000000-0005-0000-0000-0000036F0000}"/>
    <cellStyle name="Good 3 43" xfId="28468" xr:uid="{00000000-0005-0000-0000-0000046F0000}"/>
    <cellStyle name="Good 3 44" xfId="28469" xr:uid="{00000000-0005-0000-0000-0000056F0000}"/>
    <cellStyle name="Good 3 45" xfId="28470" xr:uid="{00000000-0005-0000-0000-0000066F0000}"/>
    <cellStyle name="Good 3 46" xfId="28471" xr:uid="{00000000-0005-0000-0000-0000076F0000}"/>
    <cellStyle name="Good 3 47" xfId="28472" xr:uid="{00000000-0005-0000-0000-0000086F0000}"/>
    <cellStyle name="Good 3 48" xfId="28473" xr:uid="{00000000-0005-0000-0000-0000096F0000}"/>
    <cellStyle name="Good 3 49" xfId="28474" xr:uid="{00000000-0005-0000-0000-00000A6F0000}"/>
    <cellStyle name="Good 3 5" xfId="28475" xr:uid="{00000000-0005-0000-0000-00000B6F0000}"/>
    <cellStyle name="Good 3 5 10" xfId="28476" xr:uid="{00000000-0005-0000-0000-00000C6F0000}"/>
    <cellStyle name="Good 3 5 11" xfId="28477" xr:uid="{00000000-0005-0000-0000-00000D6F0000}"/>
    <cellStyle name="Good 3 5 12" xfId="28478" xr:uid="{00000000-0005-0000-0000-00000E6F0000}"/>
    <cellStyle name="Good 3 5 13" xfId="28479" xr:uid="{00000000-0005-0000-0000-00000F6F0000}"/>
    <cellStyle name="Good 3 5 14" xfId="28480" xr:uid="{00000000-0005-0000-0000-0000106F0000}"/>
    <cellStyle name="Good 3 5 15" xfId="28481" xr:uid="{00000000-0005-0000-0000-0000116F0000}"/>
    <cellStyle name="Good 3 5 2" xfId="28482" xr:uid="{00000000-0005-0000-0000-0000126F0000}"/>
    <cellStyle name="Good 3 5 3" xfId="28483" xr:uid="{00000000-0005-0000-0000-0000136F0000}"/>
    <cellStyle name="Good 3 5 4" xfId="28484" xr:uid="{00000000-0005-0000-0000-0000146F0000}"/>
    <cellStyle name="Good 3 5 5" xfId="28485" xr:uid="{00000000-0005-0000-0000-0000156F0000}"/>
    <cellStyle name="Good 3 5 6" xfId="28486" xr:uid="{00000000-0005-0000-0000-0000166F0000}"/>
    <cellStyle name="Good 3 5 7" xfId="28487" xr:uid="{00000000-0005-0000-0000-0000176F0000}"/>
    <cellStyle name="Good 3 5 8" xfId="28488" xr:uid="{00000000-0005-0000-0000-0000186F0000}"/>
    <cellStyle name="Good 3 5 9" xfId="28489" xr:uid="{00000000-0005-0000-0000-0000196F0000}"/>
    <cellStyle name="Good 3 50" xfId="28490" xr:uid="{00000000-0005-0000-0000-00001A6F0000}"/>
    <cellStyle name="Good 3 51" xfId="28491" xr:uid="{00000000-0005-0000-0000-00001B6F0000}"/>
    <cellStyle name="Good 3 52" xfId="28492" xr:uid="{00000000-0005-0000-0000-00001C6F0000}"/>
    <cellStyle name="Good 3 53" xfId="28493" xr:uid="{00000000-0005-0000-0000-00001D6F0000}"/>
    <cellStyle name="Good 3 6" xfId="28494" xr:uid="{00000000-0005-0000-0000-00001E6F0000}"/>
    <cellStyle name="Good 3 6 10" xfId="28495" xr:uid="{00000000-0005-0000-0000-00001F6F0000}"/>
    <cellStyle name="Good 3 6 11" xfId="28496" xr:uid="{00000000-0005-0000-0000-0000206F0000}"/>
    <cellStyle name="Good 3 6 12" xfId="28497" xr:uid="{00000000-0005-0000-0000-0000216F0000}"/>
    <cellStyle name="Good 3 6 13" xfId="28498" xr:uid="{00000000-0005-0000-0000-0000226F0000}"/>
    <cellStyle name="Good 3 6 14" xfId="28499" xr:uid="{00000000-0005-0000-0000-0000236F0000}"/>
    <cellStyle name="Good 3 6 15" xfId="28500" xr:uid="{00000000-0005-0000-0000-0000246F0000}"/>
    <cellStyle name="Good 3 6 2" xfId="28501" xr:uid="{00000000-0005-0000-0000-0000256F0000}"/>
    <cellStyle name="Good 3 6 3" xfId="28502" xr:uid="{00000000-0005-0000-0000-0000266F0000}"/>
    <cellStyle name="Good 3 6 4" xfId="28503" xr:uid="{00000000-0005-0000-0000-0000276F0000}"/>
    <cellStyle name="Good 3 6 5" xfId="28504" xr:uid="{00000000-0005-0000-0000-0000286F0000}"/>
    <cellStyle name="Good 3 6 6" xfId="28505" xr:uid="{00000000-0005-0000-0000-0000296F0000}"/>
    <cellStyle name="Good 3 6 7" xfId="28506" xr:uid="{00000000-0005-0000-0000-00002A6F0000}"/>
    <cellStyle name="Good 3 6 8" xfId="28507" xr:uid="{00000000-0005-0000-0000-00002B6F0000}"/>
    <cellStyle name="Good 3 6 9" xfId="28508" xr:uid="{00000000-0005-0000-0000-00002C6F0000}"/>
    <cellStyle name="Good 3 7" xfId="28509" xr:uid="{00000000-0005-0000-0000-00002D6F0000}"/>
    <cellStyle name="Good 3 7 10" xfId="28510" xr:uid="{00000000-0005-0000-0000-00002E6F0000}"/>
    <cellStyle name="Good 3 7 11" xfId="28511" xr:uid="{00000000-0005-0000-0000-00002F6F0000}"/>
    <cellStyle name="Good 3 7 12" xfId="28512" xr:uid="{00000000-0005-0000-0000-0000306F0000}"/>
    <cellStyle name="Good 3 7 13" xfId="28513" xr:uid="{00000000-0005-0000-0000-0000316F0000}"/>
    <cellStyle name="Good 3 7 14" xfId="28514" xr:uid="{00000000-0005-0000-0000-0000326F0000}"/>
    <cellStyle name="Good 3 7 15" xfId="28515" xr:uid="{00000000-0005-0000-0000-0000336F0000}"/>
    <cellStyle name="Good 3 7 2" xfId="28516" xr:uid="{00000000-0005-0000-0000-0000346F0000}"/>
    <cellStyle name="Good 3 7 3" xfId="28517" xr:uid="{00000000-0005-0000-0000-0000356F0000}"/>
    <cellStyle name="Good 3 7 4" xfId="28518" xr:uid="{00000000-0005-0000-0000-0000366F0000}"/>
    <cellStyle name="Good 3 7 5" xfId="28519" xr:uid="{00000000-0005-0000-0000-0000376F0000}"/>
    <cellStyle name="Good 3 7 6" xfId="28520" xr:uid="{00000000-0005-0000-0000-0000386F0000}"/>
    <cellStyle name="Good 3 7 7" xfId="28521" xr:uid="{00000000-0005-0000-0000-0000396F0000}"/>
    <cellStyle name="Good 3 7 8" xfId="28522" xr:uid="{00000000-0005-0000-0000-00003A6F0000}"/>
    <cellStyle name="Good 3 7 9" xfId="28523" xr:uid="{00000000-0005-0000-0000-00003B6F0000}"/>
    <cellStyle name="Good 3 8" xfId="28524" xr:uid="{00000000-0005-0000-0000-00003C6F0000}"/>
    <cellStyle name="Good 3 8 10" xfId="28525" xr:uid="{00000000-0005-0000-0000-00003D6F0000}"/>
    <cellStyle name="Good 3 8 11" xfId="28526" xr:uid="{00000000-0005-0000-0000-00003E6F0000}"/>
    <cellStyle name="Good 3 8 12" xfId="28527" xr:uid="{00000000-0005-0000-0000-00003F6F0000}"/>
    <cellStyle name="Good 3 8 13" xfId="28528" xr:uid="{00000000-0005-0000-0000-0000406F0000}"/>
    <cellStyle name="Good 3 8 14" xfId="28529" xr:uid="{00000000-0005-0000-0000-0000416F0000}"/>
    <cellStyle name="Good 3 8 15" xfId="28530" xr:uid="{00000000-0005-0000-0000-0000426F0000}"/>
    <cellStyle name="Good 3 8 2" xfId="28531" xr:uid="{00000000-0005-0000-0000-0000436F0000}"/>
    <cellStyle name="Good 3 8 3" xfId="28532" xr:uid="{00000000-0005-0000-0000-0000446F0000}"/>
    <cellStyle name="Good 3 8 4" xfId="28533" xr:uid="{00000000-0005-0000-0000-0000456F0000}"/>
    <cellStyle name="Good 3 8 5" xfId="28534" xr:uid="{00000000-0005-0000-0000-0000466F0000}"/>
    <cellStyle name="Good 3 8 6" xfId="28535" xr:uid="{00000000-0005-0000-0000-0000476F0000}"/>
    <cellStyle name="Good 3 8 7" xfId="28536" xr:uid="{00000000-0005-0000-0000-0000486F0000}"/>
    <cellStyle name="Good 3 8 8" xfId="28537" xr:uid="{00000000-0005-0000-0000-0000496F0000}"/>
    <cellStyle name="Good 3 8 9" xfId="28538" xr:uid="{00000000-0005-0000-0000-00004A6F0000}"/>
    <cellStyle name="Good 3 9" xfId="28539" xr:uid="{00000000-0005-0000-0000-00004B6F0000}"/>
    <cellStyle name="Good 3 9 10" xfId="28540" xr:uid="{00000000-0005-0000-0000-00004C6F0000}"/>
    <cellStyle name="Good 3 9 11" xfId="28541" xr:uid="{00000000-0005-0000-0000-00004D6F0000}"/>
    <cellStyle name="Good 3 9 12" xfId="28542" xr:uid="{00000000-0005-0000-0000-00004E6F0000}"/>
    <cellStyle name="Good 3 9 13" xfId="28543" xr:uid="{00000000-0005-0000-0000-00004F6F0000}"/>
    <cellStyle name="Good 3 9 14" xfId="28544" xr:uid="{00000000-0005-0000-0000-0000506F0000}"/>
    <cellStyle name="Good 3 9 15" xfId="28545" xr:uid="{00000000-0005-0000-0000-0000516F0000}"/>
    <cellStyle name="Good 3 9 2" xfId="28546" xr:uid="{00000000-0005-0000-0000-0000526F0000}"/>
    <cellStyle name="Good 3 9 3" xfId="28547" xr:uid="{00000000-0005-0000-0000-0000536F0000}"/>
    <cellStyle name="Good 3 9 4" xfId="28548" xr:uid="{00000000-0005-0000-0000-0000546F0000}"/>
    <cellStyle name="Good 3 9 5" xfId="28549" xr:uid="{00000000-0005-0000-0000-0000556F0000}"/>
    <cellStyle name="Good 3 9 6" xfId="28550" xr:uid="{00000000-0005-0000-0000-0000566F0000}"/>
    <cellStyle name="Good 3 9 7" xfId="28551" xr:uid="{00000000-0005-0000-0000-0000576F0000}"/>
    <cellStyle name="Good 3 9 8" xfId="28552" xr:uid="{00000000-0005-0000-0000-0000586F0000}"/>
    <cellStyle name="Good 3 9 9" xfId="28553" xr:uid="{00000000-0005-0000-0000-0000596F0000}"/>
    <cellStyle name="Good 30" xfId="28554" xr:uid="{00000000-0005-0000-0000-00005A6F0000}"/>
    <cellStyle name="Good 30 10" xfId="28555" xr:uid="{00000000-0005-0000-0000-00005B6F0000}"/>
    <cellStyle name="Good 30 11" xfId="28556" xr:uid="{00000000-0005-0000-0000-00005C6F0000}"/>
    <cellStyle name="Good 30 12" xfId="28557" xr:uid="{00000000-0005-0000-0000-00005D6F0000}"/>
    <cellStyle name="Good 30 13" xfId="28558" xr:uid="{00000000-0005-0000-0000-00005E6F0000}"/>
    <cellStyle name="Good 30 14" xfId="28559" xr:uid="{00000000-0005-0000-0000-00005F6F0000}"/>
    <cellStyle name="Good 30 15" xfId="28560" xr:uid="{00000000-0005-0000-0000-0000606F0000}"/>
    <cellStyle name="Good 30 2" xfId="28561" xr:uid="{00000000-0005-0000-0000-0000616F0000}"/>
    <cellStyle name="Good 30 3" xfId="28562" xr:uid="{00000000-0005-0000-0000-0000626F0000}"/>
    <cellStyle name="Good 30 4" xfId="28563" xr:uid="{00000000-0005-0000-0000-0000636F0000}"/>
    <cellStyle name="Good 30 5" xfId="28564" xr:uid="{00000000-0005-0000-0000-0000646F0000}"/>
    <cellStyle name="Good 30 6" xfId="28565" xr:uid="{00000000-0005-0000-0000-0000656F0000}"/>
    <cellStyle name="Good 30 7" xfId="28566" xr:uid="{00000000-0005-0000-0000-0000666F0000}"/>
    <cellStyle name="Good 30 8" xfId="28567" xr:uid="{00000000-0005-0000-0000-0000676F0000}"/>
    <cellStyle name="Good 30 9" xfId="28568" xr:uid="{00000000-0005-0000-0000-0000686F0000}"/>
    <cellStyle name="Good 31" xfId="28569" xr:uid="{00000000-0005-0000-0000-0000696F0000}"/>
    <cellStyle name="Good 31 10" xfId="28570" xr:uid="{00000000-0005-0000-0000-00006A6F0000}"/>
    <cellStyle name="Good 31 11" xfId="28571" xr:uid="{00000000-0005-0000-0000-00006B6F0000}"/>
    <cellStyle name="Good 31 12" xfId="28572" xr:uid="{00000000-0005-0000-0000-00006C6F0000}"/>
    <cellStyle name="Good 31 13" xfId="28573" xr:uid="{00000000-0005-0000-0000-00006D6F0000}"/>
    <cellStyle name="Good 31 14" xfId="28574" xr:uid="{00000000-0005-0000-0000-00006E6F0000}"/>
    <cellStyle name="Good 31 15" xfId="28575" xr:uid="{00000000-0005-0000-0000-00006F6F0000}"/>
    <cellStyle name="Good 31 2" xfId="28576" xr:uid="{00000000-0005-0000-0000-0000706F0000}"/>
    <cellStyle name="Good 31 3" xfId="28577" xr:uid="{00000000-0005-0000-0000-0000716F0000}"/>
    <cellStyle name="Good 31 4" xfId="28578" xr:uid="{00000000-0005-0000-0000-0000726F0000}"/>
    <cellStyle name="Good 31 5" xfId="28579" xr:uid="{00000000-0005-0000-0000-0000736F0000}"/>
    <cellStyle name="Good 31 6" xfId="28580" xr:uid="{00000000-0005-0000-0000-0000746F0000}"/>
    <cellStyle name="Good 31 7" xfId="28581" xr:uid="{00000000-0005-0000-0000-0000756F0000}"/>
    <cellStyle name="Good 31 8" xfId="28582" xr:uid="{00000000-0005-0000-0000-0000766F0000}"/>
    <cellStyle name="Good 31 9" xfId="28583" xr:uid="{00000000-0005-0000-0000-0000776F0000}"/>
    <cellStyle name="Good 32" xfId="28584" xr:uid="{00000000-0005-0000-0000-0000786F0000}"/>
    <cellStyle name="Good 32 10" xfId="28585" xr:uid="{00000000-0005-0000-0000-0000796F0000}"/>
    <cellStyle name="Good 32 11" xfId="28586" xr:uid="{00000000-0005-0000-0000-00007A6F0000}"/>
    <cellStyle name="Good 32 12" xfId="28587" xr:uid="{00000000-0005-0000-0000-00007B6F0000}"/>
    <cellStyle name="Good 32 13" xfId="28588" xr:uid="{00000000-0005-0000-0000-00007C6F0000}"/>
    <cellStyle name="Good 32 14" xfId="28589" xr:uid="{00000000-0005-0000-0000-00007D6F0000}"/>
    <cellStyle name="Good 32 15" xfId="28590" xr:uid="{00000000-0005-0000-0000-00007E6F0000}"/>
    <cellStyle name="Good 32 2" xfId="28591" xr:uid="{00000000-0005-0000-0000-00007F6F0000}"/>
    <cellStyle name="Good 32 3" xfId="28592" xr:uid="{00000000-0005-0000-0000-0000806F0000}"/>
    <cellStyle name="Good 32 4" xfId="28593" xr:uid="{00000000-0005-0000-0000-0000816F0000}"/>
    <cellStyle name="Good 32 5" xfId="28594" xr:uid="{00000000-0005-0000-0000-0000826F0000}"/>
    <cellStyle name="Good 32 6" xfId="28595" xr:uid="{00000000-0005-0000-0000-0000836F0000}"/>
    <cellStyle name="Good 32 7" xfId="28596" xr:uid="{00000000-0005-0000-0000-0000846F0000}"/>
    <cellStyle name="Good 32 8" xfId="28597" xr:uid="{00000000-0005-0000-0000-0000856F0000}"/>
    <cellStyle name="Good 32 9" xfId="28598" xr:uid="{00000000-0005-0000-0000-0000866F0000}"/>
    <cellStyle name="Good 33" xfId="28599" xr:uid="{00000000-0005-0000-0000-0000876F0000}"/>
    <cellStyle name="Good 33 10" xfId="28600" xr:uid="{00000000-0005-0000-0000-0000886F0000}"/>
    <cellStyle name="Good 33 11" xfId="28601" xr:uid="{00000000-0005-0000-0000-0000896F0000}"/>
    <cellStyle name="Good 33 12" xfId="28602" xr:uid="{00000000-0005-0000-0000-00008A6F0000}"/>
    <cellStyle name="Good 33 13" xfId="28603" xr:uid="{00000000-0005-0000-0000-00008B6F0000}"/>
    <cellStyle name="Good 33 14" xfId="28604" xr:uid="{00000000-0005-0000-0000-00008C6F0000}"/>
    <cellStyle name="Good 33 15" xfId="28605" xr:uid="{00000000-0005-0000-0000-00008D6F0000}"/>
    <cellStyle name="Good 33 2" xfId="28606" xr:uid="{00000000-0005-0000-0000-00008E6F0000}"/>
    <cellStyle name="Good 33 3" xfId="28607" xr:uid="{00000000-0005-0000-0000-00008F6F0000}"/>
    <cellStyle name="Good 33 4" xfId="28608" xr:uid="{00000000-0005-0000-0000-0000906F0000}"/>
    <cellStyle name="Good 33 5" xfId="28609" xr:uid="{00000000-0005-0000-0000-0000916F0000}"/>
    <cellStyle name="Good 33 6" xfId="28610" xr:uid="{00000000-0005-0000-0000-0000926F0000}"/>
    <cellStyle name="Good 33 7" xfId="28611" xr:uid="{00000000-0005-0000-0000-0000936F0000}"/>
    <cellStyle name="Good 33 8" xfId="28612" xr:uid="{00000000-0005-0000-0000-0000946F0000}"/>
    <cellStyle name="Good 33 9" xfId="28613" xr:uid="{00000000-0005-0000-0000-0000956F0000}"/>
    <cellStyle name="Good 34" xfId="28614" xr:uid="{00000000-0005-0000-0000-0000966F0000}"/>
    <cellStyle name="Good 34 10" xfId="28615" xr:uid="{00000000-0005-0000-0000-0000976F0000}"/>
    <cellStyle name="Good 34 11" xfId="28616" xr:uid="{00000000-0005-0000-0000-0000986F0000}"/>
    <cellStyle name="Good 34 12" xfId="28617" xr:uid="{00000000-0005-0000-0000-0000996F0000}"/>
    <cellStyle name="Good 34 13" xfId="28618" xr:uid="{00000000-0005-0000-0000-00009A6F0000}"/>
    <cellStyle name="Good 34 14" xfId="28619" xr:uid="{00000000-0005-0000-0000-00009B6F0000}"/>
    <cellStyle name="Good 34 15" xfId="28620" xr:uid="{00000000-0005-0000-0000-00009C6F0000}"/>
    <cellStyle name="Good 34 2" xfId="28621" xr:uid="{00000000-0005-0000-0000-00009D6F0000}"/>
    <cellStyle name="Good 34 3" xfId="28622" xr:uid="{00000000-0005-0000-0000-00009E6F0000}"/>
    <cellStyle name="Good 34 4" xfId="28623" xr:uid="{00000000-0005-0000-0000-00009F6F0000}"/>
    <cellStyle name="Good 34 5" xfId="28624" xr:uid="{00000000-0005-0000-0000-0000A06F0000}"/>
    <cellStyle name="Good 34 6" xfId="28625" xr:uid="{00000000-0005-0000-0000-0000A16F0000}"/>
    <cellStyle name="Good 34 7" xfId="28626" xr:uid="{00000000-0005-0000-0000-0000A26F0000}"/>
    <cellStyle name="Good 34 8" xfId="28627" xr:uid="{00000000-0005-0000-0000-0000A36F0000}"/>
    <cellStyle name="Good 34 9" xfId="28628" xr:uid="{00000000-0005-0000-0000-0000A46F0000}"/>
    <cellStyle name="Good 35" xfId="28629" xr:uid="{00000000-0005-0000-0000-0000A56F0000}"/>
    <cellStyle name="Good 35 10" xfId="28630" xr:uid="{00000000-0005-0000-0000-0000A66F0000}"/>
    <cellStyle name="Good 35 11" xfId="28631" xr:uid="{00000000-0005-0000-0000-0000A76F0000}"/>
    <cellStyle name="Good 35 12" xfId="28632" xr:uid="{00000000-0005-0000-0000-0000A86F0000}"/>
    <cellStyle name="Good 35 13" xfId="28633" xr:uid="{00000000-0005-0000-0000-0000A96F0000}"/>
    <cellStyle name="Good 35 14" xfId="28634" xr:uid="{00000000-0005-0000-0000-0000AA6F0000}"/>
    <cellStyle name="Good 35 15" xfId="28635" xr:uid="{00000000-0005-0000-0000-0000AB6F0000}"/>
    <cellStyle name="Good 35 2" xfId="28636" xr:uid="{00000000-0005-0000-0000-0000AC6F0000}"/>
    <cellStyle name="Good 35 3" xfId="28637" xr:uid="{00000000-0005-0000-0000-0000AD6F0000}"/>
    <cellStyle name="Good 35 4" xfId="28638" xr:uid="{00000000-0005-0000-0000-0000AE6F0000}"/>
    <cellStyle name="Good 35 5" xfId="28639" xr:uid="{00000000-0005-0000-0000-0000AF6F0000}"/>
    <cellStyle name="Good 35 6" xfId="28640" xr:uid="{00000000-0005-0000-0000-0000B06F0000}"/>
    <cellStyle name="Good 35 7" xfId="28641" xr:uid="{00000000-0005-0000-0000-0000B16F0000}"/>
    <cellStyle name="Good 35 8" xfId="28642" xr:uid="{00000000-0005-0000-0000-0000B26F0000}"/>
    <cellStyle name="Good 35 9" xfId="28643" xr:uid="{00000000-0005-0000-0000-0000B36F0000}"/>
    <cellStyle name="Good 36" xfId="28644" xr:uid="{00000000-0005-0000-0000-0000B46F0000}"/>
    <cellStyle name="Good 36 10" xfId="28645" xr:uid="{00000000-0005-0000-0000-0000B56F0000}"/>
    <cellStyle name="Good 36 11" xfId="28646" xr:uid="{00000000-0005-0000-0000-0000B66F0000}"/>
    <cellStyle name="Good 36 12" xfId="28647" xr:uid="{00000000-0005-0000-0000-0000B76F0000}"/>
    <cellStyle name="Good 36 13" xfId="28648" xr:uid="{00000000-0005-0000-0000-0000B86F0000}"/>
    <cellStyle name="Good 36 14" xfId="28649" xr:uid="{00000000-0005-0000-0000-0000B96F0000}"/>
    <cellStyle name="Good 36 15" xfId="28650" xr:uid="{00000000-0005-0000-0000-0000BA6F0000}"/>
    <cellStyle name="Good 36 2" xfId="28651" xr:uid="{00000000-0005-0000-0000-0000BB6F0000}"/>
    <cellStyle name="Good 36 3" xfId="28652" xr:uid="{00000000-0005-0000-0000-0000BC6F0000}"/>
    <cellStyle name="Good 36 4" xfId="28653" xr:uid="{00000000-0005-0000-0000-0000BD6F0000}"/>
    <cellStyle name="Good 36 5" xfId="28654" xr:uid="{00000000-0005-0000-0000-0000BE6F0000}"/>
    <cellStyle name="Good 36 6" xfId="28655" xr:uid="{00000000-0005-0000-0000-0000BF6F0000}"/>
    <cellStyle name="Good 36 7" xfId="28656" xr:uid="{00000000-0005-0000-0000-0000C06F0000}"/>
    <cellStyle name="Good 36 8" xfId="28657" xr:uid="{00000000-0005-0000-0000-0000C16F0000}"/>
    <cellStyle name="Good 36 9" xfId="28658" xr:uid="{00000000-0005-0000-0000-0000C26F0000}"/>
    <cellStyle name="Good 37" xfId="28659" xr:uid="{00000000-0005-0000-0000-0000C36F0000}"/>
    <cellStyle name="Good 37 10" xfId="28660" xr:uid="{00000000-0005-0000-0000-0000C46F0000}"/>
    <cellStyle name="Good 37 11" xfId="28661" xr:uid="{00000000-0005-0000-0000-0000C56F0000}"/>
    <cellStyle name="Good 37 12" xfId="28662" xr:uid="{00000000-0005-0000-0000-0000C66F0000}"/>
    <cellStyle name="Good 37 13" xfId="28663" xr:uid="{00000000-0005-0000-0000-0000C76F0000}"/>
    <cellStyle name="Good 37 14" xfId="28664" xr:uid="{00000000-0005-0000-0000-0000C86F0000}"/>
    <cellStyle name="Good 37 15" xfId="28665" xr:uid="{00000000-0005-0000-0000-0000C96F0000}"/>
    <cellStyle name="Good 37 2" xfId="28666" xr:uid="{00000000-0005-0000-0000-0000CA6F0000}"/>
    <cellStyle name="Good 37 3" xfId="28667" xr:uid="{00000000-0005-0000-0000-0000CB6F0000}"/>
    <cellStyle name="Good 37 4" xfId="28668" xr:uid="{00000000-0005-0000-0000-0000CC6F0000}"/>
    <cellStyle name="Good 37 5" xfId="28669" xr:uid="{00000000-0005-0000-0000-0000CD6F0000}"/>
    <cellStyle name="Good 37 6" xfId="28670" xr:uid="{00000000-0005-0000-0000-0000CE6F0000}"/>
    <cellStyle name="Good 37 7" xfId="28671" xr:uid="{00000000-0005-0000-0000-0000CF6F0000}"/>
    <cellStyle name="Good 37 8" xfId="28672" xr:uid="{00000000-0005-0000-0000-0000D06F0000}"/>
    <cellStyle name="Good 37 9" xfId="28673" xr:uid="{00000000-0005-0000-0000-0000D16F0000}"/>
    <cellStyle name="Good 38" xfId="28674" xr:uid="{00000000-0005-0000-0000-0000D26F0000}"/>
    <cellStyle name="Good 38 10" xfId="28675" xr:uid="{00000000-0005-0000-0000-0000D36F0000}"/>
    <cellStyle name="Good 38 11" xfId="28676" xr:uid="{00000000-0005-0000-0000-0000D46F0000}"/>
    <cellStyle name="Good 38 12" xfId="28677" xr:uid="{00000000-0005-0000-0000-0000D56F0000}"/>
    <cellStyle name="Good 38 13" xfId="28678" xr:uid="{00000000-0005-0000-0000-0000D66F0000}"/>
    <cellStyle name="Good 38 14" xfId="28679" xr:uid="{00000000-0005-0000-0000-0000D76F0000}"/>
    <cellStyle name="Good 38 15" xfId="28680" xr:uid="{00000000-0005-0000-0000-0000D86F0000}"/>
    <cellStyle name="Good 38 2" xfId="28681" xr:uid="{00000000-0005-0000-0000-0000D96F0000}"/>
    <cellStyle name="Good 38 3" xfId="28682" xr:uid="{00000000-0005-0000-0000-0000DA6F0000}"/>
    <cellStyle name="Good 38 4" xfId="28683" xr:uid="{00000000-0005-0000-0000-0000DB6F0000}"/>
    <cellStyle name="Good 38 5" xfId="28684" xr:uid="{00000000-0005-0000-0000-0000DC6F0000}"/>
    <cellStyle name="Good 38 6" xfId="28685" xr:uid="{00000000-0005-0000-0000-0000DD6F0000}"/>
    <cellStyle name="Good 38 7" xfId="28686" xr:uid="{00000000-0005-0000-0000-0000DE6F0000}"/>
    <cellStyle name="Good 38 8" xfId="28687" xr:uid="{00000000-0005-0000-0000-0000DF6F0000}"/>
    <cellStyle name="Good 38 9" xfId="28688" xr:uid="{00000000-0005-0000-0000-0000E06F0000}"/>
    <cellStyle name="Good 39" xfId="28689" xr:uid="{00000000-0005-0000-0000-0000E16F0000}"/>
    <cellStyle name="Good 39 10" xfId="28690" xr:uid="{00000000-0005-0000-0000-0000E26F0000}"/>
    <cellStyle name="Good 39 11" xfId="28691" xr:uid="{00000000-0005-0000-0000-0000E36F0000}"/>
    <cellStyle name="Good 39 12" xfId="28692" xr:uid="{00000000-0005-0000-0000-0000E46F0000}"/>
    <cellStyle name="Good 39 13" xfId="28693" xr:uid="{00000000-0005-0000-0000-0000E56F0000}"/>
    <cellStyle name="Good 39 14" xfId="28694" xr:uid="{00000000-0005-0000-0000-0000E66F0000}"/>
    <cellStyle name="Good 39 15" xfId="28695" xr:uid="{00000000-0005-0000-0000-0000E76F0000}"/>
    <cellStyle name="Good 39 2" xfId="28696" xr:uid="{00000000-0005-0000-0000-0000E86F0000}"/>
    <cellStyle name="Good 39 3" xfId="28697" xr:uid="{00000000-0005-0000-0000-0000E96F0000}"/>
    <cellStyle name="Good 39 4" xfId="28698" xr:uid="{00000000-0005-0000-0000-0000EA6F0000}"/>
    <cellStyle name="Good 39 5" xfId="28699" xr:uid="{00000000-0005-0000-0000-0000EB6F0000}"/>
    <cellStyle name="Good 39 6" xfId="28700" xr:uid="{00000000-0005-0000-0000-0000EC6F0000}"/>
    <cellStyle name="Good 39 7" xfId="28701" xr:uid="{00000000-0005-0000-0000-0000ED6F0000}"/>
    <cellStyle name="Good 39 8" xfId="28702" xr:uid="{00000000-0005-0000-0000-0000EE6F0000}"/>
    <cellStyle name="Good 39 9" xfId="28703" xr:uid="{00000000-0005-0000-0000-0000EF6F0000}"/>
    <cellStyle name="Good 4" xfId="28704" xr:uid="{00000000-0005-0000-0000-0000F06F0000}"/>
    <cellStyle name="Good 4 2" xfId="28705" xr:uid="{00000000-0005-0000-0000-0000F16F0000}"/>
    <cellStyle name="Good 4 2 2" xfId="28706" xr:uid="{00000000-0005-0000-0000-0000F26F0000}"/>
    <cellStyle name="Good 4 3" xfId="28707" xr:uid="{00000000-0005-0000-0000-0000F36F0000}"/>
    <cellStyle name="Good 4 3 2" xfId="28708" xr:uid="{00000000-0005-0000-0000-0000F46F0000}"/>
    <cellStyle name="Good 4 4" xfId="28709" xr:uid="{00000000-0005-0000-0000-0000F56F0000}"/>
    <cellStyle name="Good 4 4 2" xfId="28710" xr:uid="{00000000-0005-0000-0000-0000F66F0000}"/>
    <cellStyle name="Good 4 5" xfId="28711" xr:uid="{00000000-0005-0000-0000-0000F76F0000}"/>
    <cellStyle name="Good 4 5 2" xfId="28712" xr:uid="{00000000-0005-0000-0000-0000F86F0000}"/>
    <cellStyle name="Good 4 6" xfId="28713" xr:uid="{00000000-0005-0000-0000-0000F96F0000}"/>
    <cellStyle name="Good 4 6 2" xfId="28714" xr:uid="{00000000-0005-0000-0000-0000FA6F0000}"/>
    <cellStyle name="Good 4 7" xfId="28715" xr:uid="{00000000-0005-0000-0000-0000FB6F0000}"/>
    <cellStyle name="Good 40" xfId="28716" xr:uid="{00000000-0005-0000-0000-0000FC6F0000}"/>
    <cellStyle name="Good 41" xfId="28717" xr:uid="{00000000-0005-0000-0000-0000FD6F0000}"/>
    <cellStyle name="Good 42" xfId="28718" xr:uid="{00000000-0005-0000-0000-0000FE6F0000}"/>
    <cellStyle name="Good 43" xfId="28719" xr:uid="{00000000-0005-0000-0000-0000FF6F0000}"/>
    <cellStyle name="Good 44" xfId="28720" xr:uid="{00000000-0005-0000-0000-000000700000}"/>
    <cellStyle name="Good 45" xfId="28721" xr:uid="{00000000-0005-0000-0000-000001700000}"/>
    <cellStyle name="Good 46" xfId="28722" xr:uid="{00000000-0005-0000-0000-000002700000}"/>
    <cellStyle name="Good 47" xfId="28723" xr:uid="{00000000-0005-0000-0000-000003700000}"/>
    <cellStyle name="Good 48" xfId="28724" xr:uid="{00000000-0005-0000-0000-000004700000}"/>
    <cellStyle name="Good 49" xfId="28725" xr:uid="{00000000-0005-0000-0000-000005700000}"/>
    <cellStyle name="Good 5" xfId="28726" xr:uid="{00000000-0005-0000-0000-000006700000}"/>
    <cellStyle name="Good 5 2" xfId="28727" xr:uid="{00000000-0005-0000-0000-000007700000}"/>
    <cellStyle name="Good 5 2 2" xfId="28728" xr:uid="{00000000-0005-0000-0000-000008700000}"/>
    <cellStyle name="Good 5 2 3" xfId="28729" xr:uid="{00000000-0005-0000-0000-000009700000}"/>
    <cellStyle name="Good 5 2 4" xfId="28730" xr:uid="{00000000-0005-0000-0000-00000A700000}"/>
    <cellStyle name="Good 5 3" xfId="28731" xr:uid="{00000000-0005-0000-0000-00000B700000}"/>
    <cellStyle name="Good 5 3 2" xfId="28732" xr:uid="{00000000-0005-0000-0000-00000C700000}"/>
    <cellStyle name="Good 5 3 3" xfId="28733" xr:uid="{00000000-0005-0000-0000-00000D700000}"/>
    <cellStyle name="Good 5 4" xfId="28734" xr:uid="{00000000-0005-0000-0000-00000E700000}"/>
    <cellStyle name="Good 50" xfId="28735" xr:uid="{00000000-0005-0000-0000-00000F700000}"/>
    <cellStyle name="Good 51" xfId="28736" xr:uid="{00000000-0005-0000-0000-000010700000}"/>
    <cellStyle name="Good 52" xfId="28737" xr:uid="{00000000-0005-0000-0000-000011700000}"/>
    <cellStyle name="Good 53" xfId="28738" xr:uid="{00000000-0005-0000-0000-000012700000}"/>
    <cellStyle name="Good 54" xfId="28739" xr:uid="{00000000-0005-0000-0000-000013700000}"/>
    <cellStyle name="Good 55" xfId="28740" xr:uid="{00000000-0005-0000-0000-000014700000}"/>
    <cellStyle name="Good 56" xfId="28741" xr:uid="{00000000-0005-0000-0000-000015700000}"/>
    <cellStyle name="Good 57" xfId="28742" xr:uid="{00000000-0005-0000-0000-000016700000}"/>
    <cellStyle name="Good 58" xfId="28743" xr:uid="{00000000-0005-0000-0000-000017700000}"/>
    <cellStyle name="Good 59" xfId="28744" xr:uid="{00000000-0005-0000-0000-000018700000}"/>
    <cellStyle name="Good 6" xfId="28745" xr:uid="{00000000-0005-0000-0000-000019700000}"/>
    <cellStyle name="Good 6 2" xfId="28746" xr:uid="{00000000-0005-0000-0000-00001A700000}"/>
    <cellStyle name="Good 60" xfId="28747" xr:uid="{00000000-0005-0000-0000-00001B700000}"/>
    <cellStyle name="Good 61" xfId="28748" xr:uid="{00000000-0005-0000-0000-00001C700000}"/>
    <cellStyle name="Good 62" xfId="28749" xr:uid="{00000000-0005-0000-0000-00001D700000}"/>
    <cellStyle name="Good 63" xfId="28750" xr:uid="{00000000-0005-0000-0000-00001E700000}"/>
    <cellStyle name="Good 64" xfId="28751" xr:uid="{00000000-0005-0000-0000-00001F700000}"/>
    <cellStyle name="Good 65" xfId="28752" xr:uid="{00000000-0005-0000-0000-000020700000}"/>
    <cellStyle name="Good 66" xfId="28753" xr:uid="{00000000-0005-0000-0000-000021700000}"/>
    <cellStyle name="Good 67" xfId="28754" xr:uid="{00000000-0005-0000-0000-000022700000}"/>
    <cellStyle name="Good 68" xfId="28755" xr:uid="{00000000-0005-0000-0000-000023700000}"/>
    <cellStyle name="Good 69" xfId="28756" xr:uid="{00000000-0005-0000-0000-000024700000}"/>
    <cellStyle name="Good 7" xfId="28757" xr:uid="{00000000-0005-0000-0000-000025700000}"/>
    <cellStyle name="Good 7 2" xfId="28758" xr:uid="{00000000-0005-0000-0000-000026700000}"/>
    <cellStyle name="Good 70" xfId="28759" xr:uid="{00000000-0005-0000-0000-000027700000}"/>
    <cellStyle name="Good 71" xfId="28760" xr:uid="{00000000-0005-0000-0000-000028700000}"/>
    <cellStyle name="Good 72" xfId="28761" xr:uid="{00000000-0005-0000-0000-000029700000}"/>
    <cellStyle name="Good 73" xfId="28762" xr:uid="{00000000-0005-0000-0000-00002A700000}"/>
    <cellStyle name="Good 74" xfId="28763" xr:uid="{00000000-0005-0000-0000-00002B700000}"/>
    <cellStyle name="Good 75" xfId="28764" xr:uid="{00000000-0005-0000-0000-00002C700000}"/>
    <cellStyle name="Good 76" xfId="28765" xr:uid="{00000000-0005-0000-0000-00002D700000}"/>
    <cellStyle name="Good 77" xfId="28766" xr:uid="{00000000-0005-0000-0000-00002E700000}"/>
    <cellStyle name="Good 78" xfId="28767" xr:uid="{00000000-0005-0000-0000-00002F700000}"/>
    <cellStyle name="Good 79" xfId="28768" xr:uid="{00000000-0005-0000-0000-000030700000}"/>
    <cellStyle name="Good 79 2" xfId="28769" xr:uid="{00000000-0005-0000-0000-000031700000}"/>
    <cellStyle name="Good 8" xfId="28770" xr:uid="{00000000-0005-0000-0000-000032700000}"/>
    <cellStyle name="Good 8 2" xfId="28771" xr:uid="{00000000-0005-0000-0000-000033700000}"/>
    <cellStyle name="Good 80" xfId="28772" xr:uid="{00000000-0005-0000-0000-000034700000}"/>
    <cellStyle name="Good 80 2" xfId="28773" xr:uid="{00000000-0005-0000-0000-000035700000}"/>
    <cellStyle name="Good 81" xfId="28774" xr:uid="{00000000-0005-0000-0000-000036700000}"/>
    <cellStyle name="Good 81 2" xfId="28775" xr:uid="{00000000-0005-0000-0000-000037700000}"/>
    <cellStyle name="Good 82" xfId="28776" xr:uid="{00000000-0005-0000-0000-000038700000}"/>
    <cellStyle name="Good 82 2" xfId="28777" xr:uid="{00000000-0005-0000-0000-000039700000}"/>
    <cellStyle name="Good 83" xfId="28778" xr:uid="{00000000-0005-0000-0000-00003A700000}"/>
    <cellStyle name="Good 83 2" xfId="28779" xr:uid="{00000000-0005-0000-0000-00003B700000}"/>
    <cellStyle name="Good 84" xfId="28780" xr:uid="{00000000-0005-0000-0000-00003C700000}"/>
    <cellStyle name="Good 84 2" xfId="28781" xr:uid="{00000000-0005-0000-0000-00003D700000}"/>
    <cellStyle name="Good 85" xfId="28782" xr:uid="{00000000-0005-0000-0000-00003E700000}"/>
    <cellStyle name="Good 85 2" xfId="28783" xr:uid="{00000000-0005-0000-0000-00003F700000}"/>
    <cellStyle name="Good 86" xfId="28784" xr:uid="{00000000-0005-0000-0000-000040700000}"/>
    <cellStyle name="Good 86 2" xfId="28785" xr:uid="{00000000-0005-0000-0000-000041700000}"/>
    <cellStyle name="Good 87" xfId="28786" xr:uid="{00000000-0005-0000-0000-000042700000}"/>
    <cellStyle name="Good 87 2" xfId="28787" xr:uid="{00000000-0005-0000-0000-000043700000}"/>
    <cellStyle name="Good 88" xfId="28788" xr:uid="{00000000-0005-0000-0000-000044700000}"/>
    <cellStyle name="Good 88 2" xfId="28789" xr:uid="{00000000-0005-0000-0000-000045700000}"/>
    <cellStyle name="Good 89" xfId="28790" xr:uid="{00000000-0005-0000-0000-000046700000}"/>
    <cellStyle name="Good 89 2" xfId="28791" xr:uid="{00000000-0005-0000-0000-000047700000}"/>
    <cellStyle name="Good 9" xfId="28792" xr:uid="{00000000-0005-0000-0000-000048700000}"/>
    <cellStyle name="Good 9 2" xfId="28793" xr:uid="{00000000-0005-0000-0000-000049700000}"/>
    <cellStyle name="Good 90" xfId="28794" xr:uid="{00000000-0005-0000-0000-00004A700000}"/>
    <cellStyle name="Good 91" xfId="28795" xr:uid="{00000000-0005-0000-0000-00004B700000}"/>
    <cellStyle name="Good 92" xfId="28796" xr:uid="{00000000-0005-0000-0000-00004C700000}"/>
    <cellStyle name="Good 93" xfId="28797" xr:uid="{00000000-0005-0000-0000-00004D700000}"/>
    <cellStyle name="Good 94" xfId="28798" xr:uid="{00000000-0005-0000-0000-00004E700000}"/>
    <cellStyle name="Good 95" xfId="28799" xr:uid="{00000000-0005-0000-0000-00004F700000}"/>
    <cellStyle name="Good 96" xfId="28800" xr:uid="{00000000-0005-0000-0000-000050700000}"/>
    <cellStyle name="Good 97" xfId="28801" xr:uid="{00000000-0005-0000-0000-000051700000}"/>
    <cellStyle name="Good 98" xfId="28802" xr:uid="{00000000-0005-0000-0000-000052700000}"/>
    <cellStyle name="Good 99" xfId="28803" xr:uid="{00000000-0005-0000-0000-000053700000}"/>
    <cellStyle name="Grey" xfId="28804" xr:uid="{00000000-0005-0000-0000-000054700000}"/>
    <cellStyle name="Heading" xfId="28805" xr:uid="{00000000-0005-0000-0000-000055700000}"/>
    <cellStyle name="Heading 1" xfId="2" builtinId="16" hidden="1" customBuiltin="1"/>
    <cellStyle name="Heading 1" xfId="49" builtinId="16" hidden="1" customBuiltin="1"/>
    <cellStyle name="Heading 1" xfId="71" builtinId="16" customBuiltin="1"/>
    <cellStyle name="Heading 1 10" xfId="28806" xr:uid="{00000000-0005-0000-0000-000059700000}"/>
    <cellStyle name="Heading 1 10 2" xfId="28807" xr:uid="{00000000-0005-0000-0000-00005A700000}"/>
    <cellStyle name="Heading 1 100" xfId="28808" xr:uid="{00000000-0005-0000-0000-00005B700000}"/>
    <cellStyle name="Heading 1 101" xfId="28809" xr:uid="{00000000-0005-0000-0000-00005C700000}"/>
    <cellStyle name="Heading 1 102" xfId="28810" xr:uid="{00000000-0005-0000-0000-00005D700000}"/>
    <cellStyle name="Heading 1 103" xfId="28811" xr:uid="{00000000-0005-0000-0000-00005E700000}"/>
    <cellStyle name="Heading 1 104" xfId="28812" xr:uid="{00000000-0005-0000-0000-00005F700000}"/>
    <cellStyle name="Heading 1 105" xfId="28813" xr:uid="{00000000-0005-0000-0000-000060700000}"/>
    <cellStyle name="Heading 1 106" xfId="28814" xr:uid="{00000000-0005-0000-0000-000061700000}"/>
    <cellStyle name="Heading 1 107" xfId="28815" xr:uid="{00000000-0005-0000-0000-000062700000}"/>
    <cellStyle name="Heading 1 108" xfId="28816" xr:uid="{00000000-0005-0000-0000-000063700000}"/>
    <cellStyle name="Heading 1 109" xfId="28817" xr:uid="{00000000-0005-0000-0000-000064700000}"/>
    <cellStyle name="Heading 1 11" xfId="28818" xr:uid="{00000000-0005-0000-0000-000065700000}"/>
    <cellStyle name="Heading 1 11 2" xfId="28819" xr:uid="{00000000-0005-0000-0000-000066700000}"/>
    <cellStyle name="Heading 1 110" xfId="28820" xr:uid="{00000000-0005-0000-0000-000067700000}"/>
    <cellStyle name="Heading 1 111" xfId="28821" xr:uid="{00000000-0005-0000-0000-000068700000}"/>
    <cellStyle name="Heading 1 112" xfId="28822" xr:uid="{00000000-0005-0000-0000-000069700000}"/>
    <cellStyle name="Heading 1 113" xfId="28823" xr:uid="{00000000-0005-0000-0000-00006A700000}"/>
    <cellStyle name="Heading 1 114" xfId="28824" xr:uid="{00000000-0005-0000-0000-00006B700000}"/>
    <cellStyle name="Heading 1 115" xfId="28825" xr:uid="{00000000-0005-0000-0000-00006C700000}"/>
    <cellStyle name="Heading 1 116" xfId="28826" xr:uid="{00000000-0005-0000-0000-00006D700000}"/>
    <cellStyle name="Heading 1 117" xfId="28827" xr:uid="{00000000-0005-0000-0000-00006E700000}"/>
    <cellStyle name="Heading 1 118" xfId="28828" xr:uid="{00000000-0005-0000-0000-00006F700000}"/>
    <cellStyle name="Heading 1 119" xfId="28829" xr:uid="{00000000-0005-0000-0000-000070700000}"/>
    <cellStyle name="Heading 1 12" xfId="28830" xr:uid="{00000000-0005-0000-0000-000071700000}"/>
    <cellStyle name="Heading 1 12 2" xfId="28831" xr:uid="{00000000-0005-0000-0000-000072700000}"/>
    <cellStyle name="Heading 1 120" xfId="28832" xr:uid="{00000000-0005-0000-0000-000073700000}"/>
    <cellStyle name="Heading 1 121" xfId="28833" xr:uid="{00000000-0005-0000-0000-000074700000}"/>
    <cellStyle name="Heading 1 122" xfId="28834" xr:uid="{00000000-0005-0000-0000-000075700000}"/>
    <cellStyle name="Heading 1 123" xfId="28835" xr:uid="{00000000-0005-0000-0000-000076700000}"/>
    <cellStyle name="Heading 1 124" xfId="28836" xr:uid="{00000000-0005-0000-0000-000077700000}"/>
    <cellStyle name="Heading 1 125" xfId="28837" xr:uid="{00000000-0005-0000-0000-000078700000}"/>
    <cellStyle name="Heading 1 126" xfId="28838" xr:uid="{00000000-0005-0000-0000-000079700000}"/>
    <cellStyle name="Heading 1 127" xfId="28839" xr:uid="{00000000-0005-0000-0000-00007A700000}"/>
    <cellStyle name="Heading 1 128" xfId="28840" xr:uid="{00000000-0005-0000-0000-00007B700000}"/>
    <cellStyle name="Heading 1 129" xfId="28841" xr:uid="{00000000-0005-0000-0000-00007C700000}"/>
    <cellStyle name="Heading 1 13" xfId="28842" xr:uid="{00000000-0005-0000-0000-00007D700000}"/>
    <cellStyle name="Heading 1 13 2" xfId="28843" xr:uid="{00000000-0005-0000-0000-00007E700000}"/>
    <cellStyle name="Heading 1 130" xfId="28844" xr:uid="{00000000-0005-0000-0000-00007F700000}"/>
    <cellStyle name="Heading 1 131" xfId="28845" xr:uid="{00000000-0005-0000-0000-000080700000}"/>
    <cellStyle name="Heading 1 132" xfId="28846" xr:uid="{00000000-0005-0000-0000-000081700000}"/>
    <cellStyle name="Heading 1 133" xfId="28847" xr:uid="{00000000-0005-0000-0000-000082700000}"/>
    <cellStyle name="Heading 1 134" xfId="28848" xr:uid="{00000000-0005-0000-0000-000083700000}"/>
    <cellStyle name="Heading 1 135" xfId="28849" xr:uid="{00000000-0005-0000-0000-000084700000}"/>
    <cellStyle name="Heading 1 136" xfId="28850" xr:uid="{00000000-0005-0000-0000-000085700000}"/>
    <cellStyle name="Heading 1 137" xfId="28851" xr:uid="{00000000-0005-0000-0000-000086700000}"/>
    <cellStyle name="Heading 1 138" xfId="28852" xr:uid="{00000000-0005-0000-0000-000087700000}"/>
    <cellStyle name="Heading 1 139" xfId="28853" xr:uid="{00000000-0005-0000-0000-000088700000}"/>
    <cellStyle name="Heading 1 14" xfId="28854" xr:uid="{00000000-0005-0000-0000-000089700000}"/>
    <cellStyle name="Heading 1 14 2" xfId="28855" xr:uid="{00000000-0005-0000-0000-00008A700000}"/>
    <cellStyle name="Heading 1 140" xfId="28856" xr:uid="{00000000-0005-0000-0000-00008B700000}"/>
    <cellStyle name="Heading 1 141" xfId="28857" xr:uid="{00000000-0005-0000-0000-00008C700000}"/>
    <cellStyle name="Heading 1 142" xfId="28858" xr:uid="{00000000-0005-0000-0000-00008D700000}"/>
    <cellStyle name="Heading 1 143" xfId="28859" xr:uid="{00000000-0005-0000-0000-00008E700000}"/>
    <cellStyle name="Heading 1 144" xfId="28860" xr:uid="{00000000-0005-0000-0000-00008F700000}"/>
    <cellStyle name="Heading 1 145" xfId="28861" xr:uid="{00000000-0005-0000-0000-000090700000}"/>
    <cellStyle name="Heading 1 146" xfId="28862" xr:uid="{00000000-0005-0000-0000-000091700000}"/>
    <cellStyle name="Heading 1 147" xfId="28863" xr:uid="{00000000-0005-0000-0000-000092700000}"/>
    <cellStyle name="Heading 1 148" xfId="28864" xr:uid="{00000000-0005-0000-0000-000093700000}"/>
    <cellStyle name="Heading 1 149" xfId="28865" xr:uid="{00000000-0005-0000-0000-000094700000}"/>
    <cellStyle name="Heading 1 15" xfId="28866" xr:uid="{00000000-0005-0000-0000-000095700000}"/>
    <cellStyle name="Heading 1 15 2" xfId="28867" xr:uid="{00000000-0005-0000-0000-000096700000}"/>
    <cellStyle name="Heading 1 150" xfId="28868" xr:uid="{00000000-0005-0000-0000-000097700000}"/>
    <cellStyle name="Heading 1 151" xfId="28869" xr:uid="{00000000-0005-0000-0000-000098700000}"/>
    <cellStyle name="Heading 1 152" xfId="28870" xr:uid="{00000000-0005-0000-0000-000099700000}"/>
    <cellStyle name="Heading 1 153" xfId="28871" xr:uid="{00000000-0005-0000-0000-00009A700000}"/>
    <cellStyle name="Heading 1 154" xfId="28872" xr:uid="{00000000-0005-0000-0000-00009B700000}"/>
    <cellStyle name="Heading 1 155" xfId="28873" xr:uid="{00000000-0005-0000-0000-00009C700000}"/>
    <cellStyle name="Heading 1 156" xfId="28874" xr:uid="{00000000-0005-0000-0000-00009D700000}"/>
    <cellStyle name="Heading 1 157" xfId="28875" xr:uid="{00000000-0005-0000-0000-00009E700000}"/>
    <cellStyle name="Heading 1 158" xfId="28876" xr:uid="{00000000-0005-0000-0000-00009F700000}"/>
    <cellStyle name="Heading 1 159" xfId="28877" xr:uid="{00000000-0005-0000-0000-0000A0700000}"/>
    <cellStyle name="Heading 1 16" xfId="28878" xr:uid="{00000000-0005-0000-0000-0000A1700000}"/>
    <cellStyle name="Heading 1 160" xfId="28879" xr:uid="{00000000-0005-0000-0000-0000A2700000}"/>
    <cellStyle name="Heading 1 161" xfId="28880" xr:uid="{00000000-0005-0000-0000-0000A3700000}"/>
    <cellStyle name="Heading 1 162" xfId="28881" xr:uid="{00000000-0005-0000-0000-0000A4700000}"/>
    <cellStyle name="Heading 1 163" xfId="28882" xr:uid="{00000000-0005-0000-0000-0000A5700000}"/>
    <cellStyle name="Heading 1 164" xfId="28883" xr:uid="{00000000-0005-0000-0000-0000A6700000}"/>
    <cellStyle name="Heading 1 165" xfId="28884" xr:uid="{00000000-0005-0000-0000-0000A7700000}"/>
    <cellStyle name="Heading 1 166" xfId="28885" xr:uid="{00000000-0005-0000-0000-0000A8700000}"/>
    <cellStyle name="Heading 1 167" xfId="28886" xr:uid="{00000000-0005-0000-0000-0000A9700000}"/>
    <cellStyle name="Heading 1 17" xfId="28887" xr:uid="{00000000-0005-0000-0000-0000AA700000}"/>
    <cellStyle name="Heading 1 18" xfId="28888" xr:uid="{00000000-0005-0000-0000-0000AB700000}"/>
    <cellStyle name="Heading 1 19" xfId="28889" xr:uid="{00000000-0005-0000-0000-0000AC700000}"/>
    <cellStyle name="Heading 1 2" xfId="28890" xr:uid="{00000000-0005-0000-0000-0000AD700000}"/>
    <cellStyle name="Heading 1 2 10" xfId="28891" xr:uid="{00000000-0005-0000-0000-0000AE700000}"/>
    <cellStyle name="Heading 1 2 11" xfId="28892" xr:uid="{00000000-0005-0000-0000-0000AF700000}"/>
    <cellStyle name="Heading 1 2 12" xfId="28893" xr:uid="{00000000-0005-0000-0000-0000B0700000}"/>
    <cellStyle name="Heading 1 2 13" xfId="28894" xr:uid="{00000000-0005-0000-0000-0000B1700000}"/>
    <cellStyle name="Heading 1 2 14" xfId="28895" xr:uid="{00000000-0005-0000-0000-0000B2700000}"/>
    <cellStyle name="Heading 1 2 15" xfId="28896" xr:uid="{00000000-0005-0000-0000-0000B3700000}"/>
    <cellStyle name="Heading 1 2 16" xfId="28897" xr:uid="{00000000-0005-0000-0000-0000B4700000}"/>
    <cellStyle name="Heading 1 2 17" xfId="28898" xr:uid="{00000000-0005-0000-0000-0000B5700000}"/>
    <cellStyle name="Heading 1 2 18" xfId="28899" xr:uid="{00000000-0005-0000-0000-0000B6700000}"/>
    <cellStyle name="Heading 1 2 19" xfId="28900" xr:uid="{00000000-0005-0000-0000-0000B7700000}"/>
    <cellStyle name="Heading 1 2 2" xfId="28901" xr:uid="{00000000-0005-0000-0000-0000B8700000}"/>
    <cellStyle name="Heading 1 2 2 2" xfId="28902" xr:uid="{00000000-0005-0000-0000-0000B9700000}"/>
    <cellStyle name="Heading 1 2 2 3" xfId="28903" xr:uid="{00000000-0005-0000-0000-0000BA700000}"/>
    <cellStyle name="Heading 1 2 2 3 2" xfId="28904" xr:uid="{00000000-0005-0000-0000-0000BB700000}"/>
    <cellStyle name="Heading 1 2 2 3 3" xfId="28905" xr:uid="{00000000-0005-0000-0000-0000BC700000}"/>
    <cellStyle name="Heading 1 2 2 3 4" xfId="28906" xr:uid="{00000000-0005-0000-0000-0000BD700000}"/>
    <cellStyle name="Heading 1 2 2 3 5" xfId="28907" xr:uid="{00000000-0005-0000-0000-0000BE700000}"/>
    <cellStyle name="Heading 1 2 2 4" xfId="28908" xr:uid="{00000000-0005-0000-0000-0000BF700000}"/>
    <cellStyle name="Heading 1 2 2 5" xfId="28909" xr:uid="{00000000-0005-0000-0000-0000C0700000}"/>
    <cellStyle name="Heading 1 2 20" xfId="28910" xr:uid="{00000000-0005-0000-0000-0000C1700000}"/>
    <cellStyle name="Heading 1 2 21" xfId="28911" xr:uid="{00000000-0005-0000-0000-0000C2700000}"/>
    <cellStyle name="Heading 1 2 22" xfId="28912" xr:uid="{00000000-0005-0000-0000-0000C3700000}"/>
    <cellStyle name="Heading 1 2 23" xfId="28913" xr:uid="{00000000-0005-0000-0000-0000C4700000}"/>
    <cellStyle name="Heading 1 2 24" xfId="28914" xr:uid="{00000000-0005-0000-0000-0000C5700000}"/>
    <cellStyle name="Heading 1 2 25" xfId="28915" xr:uid="{00000000-0005-0000-0000-0000C6700000}"/>
    <cellStyle name="Heading 1 2 26" xfId="28916" xr:uid="{00000000-0005-0000-0000-0000C7700000}"/>
    <cellStyle name="Heading 1 2 27" xfId="28917" xr:uid="{00000000-0005-0000-0000-0000C8700000}"/>
    <cellStyle name="Heading 1 2 28" xfId="28918" xr:uid="{00000000-0005-0000-0000-0000C9700000}"/>
    <cellStyle name="Heading 1 2 29" xfId="28919" xr:uid="{00000000-0005-0000-0000-0000CA700000}"/>
    <cellStyle name="Heading 1 2 3" xfId="28920" xr:uid="{00000000-0005-0000-0000-0000CB700000}"/>
    <cellStyle name="Heading 1 2 30" xfId="28921" xr:uid="{00000000-0005-0000-0000-0000CC700000}"/>
    <cellStyle name="Heading 1 2 31" xfId="28922" xr:uid="{00000000-0005-0000-0000-0000CD700000}"/>
    <cellStyle name="Heading 1 2 32" xfId="28923" xr:uid="{00000000-0005-0000-0000-0000CE700000}"/>
    <cellStyle name="Heading 1 2 33" xfId="28924" xr:uid="{00000000-0005-0000-0000-0000CF700000}"/>
    <cellStyle name="Heading 1 2 34" xfId="28925" xr:uid="{00000000-0005-0000-0000-0000D0700000}"/>
    <cellStyle name="Heading 1 2 35" xfId="28926" xr:uid="{00000000-0005-0000-0000-0000D1700000}"/>
    <cellStyle name="Heading 1 2 4" xfId="28927" xr:uid="{00000000-0005-0000-0000-0000D2700000}"/>
    <cellStyle name="Heading 1 2 5" xfId="28928" xr:uid="{00000000-0005-0000-0000-0000D3700000}"/>
    <cellStyle name="Heading 1 2 6" xfId="28929" xr:uid="{00000000-0005-0000-0000-0000D4700000}"/>
    <cellStyle name="Heading 1 2 7" xfId="28930" xr:uid="{00000000-0005-0000-0000-0000D5700000}"/>
    <cellStyle name="Heading 1 2 8" xfId="28931" xr:uid="{00000000-0005-0000-0000-0000D6700000}"/>
    <cellStyle name="Heading 1 2 9" xfId="28932" xr:uid="{00000000-0005-0000-0000-0000D7700000}"/>
    <cellStyle name="Heading 1 2_Belker-InternalTrade" xfId="28933" xr:uid="{00000000-0005-0000-0000-0000D8700000}"/>
    <cellStyle name="Heading 1 20" xfId="28934" xr:uid="{00000000-0005-0000-0000-0000D9700000}"/>
    <cellStyle name="Heading 1 20 10" xfId="28935" xr:uid="{00000000-0005-0000-0000-0000DA700000}"/>
    <cellStyle name="Heading 1 20 11" xfId="28936" xr:uid="{00000000-0005-0000-0000-0000DB700000}"/>
    <cellStyle name="Heading 1 20 12" xfId="28937" xr:uid="{00000000-0005-0000-0000-0000DC700000}"/>
    <cellStyle name="Heading 1 20 13" xfId="28938" xr:uid="{00000000-0005-0000-0000-0000DD700000}"/>
    <cellStyle name="Heading 1 20 14" xfId="28939" xr:uid="{00000000-0005-0000-0000-0000DE700000}"/>
    <cellStyle name="Heading 1 20 15" xfId="28940" xr:uid="{00000000-0005-0000-0000-0000DF700000}"/>
    <cellStyle name="Heading 1 20 16" xfId="28941" xr:uid="{00000000-0005-0000-0000-0000E0700000}"/>
    <cellStyle name="Heading 1 20 2" xfId="28942" xr:uid="{00000000-0005-0000-0000-0000E1700000}"/>
    <cellStyle name="Heading 1 20 3" xfId="28943" xr:uid="{00000000-0005-0000-0000-0000E2700000}"/>
    <cellStyle name="Heading 1 20 4" xfId="28944" xr:uid="{00000000-0005-0000-0000-0000E3700000}"/>
    <cellStyle name="Heading 1 20 5" xfId="28945" xr:uid="{00000000-0005-0000-0000-0000E4700000}"/>
    <cellStyle name="Heading 1 20 6" xfId="28946" xr:uid="{00000000-0005-0000-0000-0000E5700000}"/>
    <cellStyle name="Heading 1 20 7" xfId="28947" xr:uid="{00000000-0005-0000-0000-0000E6700000}"/>
    <cellStyle name="Heading 1 20 8" xfId="28948" xr:uid="{00000000-0005-0000-0000-0000E7700000}"/>
    <cellStyle name="Heading 1 20 9" xfId="28949" xr:uid="{00000000-0005-0000-0000-0000E8700000}"/>
    <cellStyle name="Heading 1 21" xfId="28950" xr:uid="{00000000-0005-0000-0000-0000E9700000}"/>
    <cellStyle name="Heading 1 21 2" xfId="28951" xr:uid="{00000000-0005-0000-0000-0000EA700000}"/>
    <cellStyle name="Heading 1 21 3" xfId="28952" xr:uid="{00000000-0005-0000-0000-0000EB700000}"/>
    <cellStyle name="Heading 1 22" xfId="28953" xr:uid="{00000000-0005-0000-0000-0000EC700000}"/>
    <cellStyle name="Heading 1 23" xfId="28954" xr:uid="{00000000-0005-0000-0000-0000ED700000}"/>
    <cellStyle name="Heading 1 24" xfId="28955" xr:uid="{00000000-0005-0000-0000-0000EE700000}"/>
    <cellStyle name="Heading 1 25" xfId="28956" xr:uid="{00000000-0005-0000-0000-0000EF700000}"/>
    <cellStyle name="Heading 1 26" xfId="28957" xr:uid="{00000000-0005-0000-0000-0000F0700000}"/>
    <cellStyle name="Heading 1 27" xfId="28958" xr:uid="{00000000-0005-0000-0000-0000F1700000}"/>
    <cellStyle name="Heading 1 28" xfId="28959" xr:uid="{00000000-0005-0000-0000-0000F2700000}"/>
    <cellStyle name="Heading 1 29" xfId="28960" xr:uid="{00000000-0005-0000-0000-0000F3700000}"/>
    <cellStyle name="Heading 1 3" xfId="28961" xr:uid="{00000000-0005-0000-0000-0000F4700000}"/>
    <cellStyle name="Heading 1 3 10" xfId="28962" xr:uid="{00000000-0005-0000-0000-0000F5700000}"/>
    <cellStyle name="Heading 1 3 10 10" xfId="28963" xr:uid="{00000000-0005-0000-0000-0000F6700000}"/>
    <cellStyle name="Heading 1 3 10 11" xfId="28964" xr:uid="{00000000-0005-0000-0000-0000F7700000}"/>
    <cellStyle name="Heading 1 3 10 12" xfId="28965" xr:uid="{00000000-0005-0000-0000-0000F8700000}"/>
    <cellStyle name="Heading 1 3 10 13" xfId="28966" xr:uid="{00000000-0005-0000-0000-0000F9700000}"/>
    <cellStyle name="Heading 1 3 10 14" xfId="28967" xr:uid="{00000000-0005-0000-0000-0000FA700000}"/>
    <cellStyle name="Heading 1 3 10 15" xfId="28968" xr:uid="{00000000-0005-0000-0000-0000FB700000}"/>
    <cellStyle name="Heading 1 3 10 2" xfId="28969" xr:uid="{00000000-0005-0000-0000-0000FC700000}"/>
    <cellStyle name="Heading 1 3 10 3" xfId="28970" xr:uid="{00000000-0005-0000-0000-0000FD700000}"/>
    <cellStyle name="Heading 1 3 10 4" xfId="28971" xr:uid="{00000000-0005-0000-0000-0000FE700000}"/>
    <cellStyle name="Heading 1 3 10 5" xfId="28972" xr:uid="{00000000-0005-0000-0000-0000FF700000}"/>
    <cellStyle name="Heading 1 3 10 6" xfId="28973" xr:uid="{00000000-0005-0000-0000-000000710000}"/>
    <cellStyle name="Heading 1 3 10 7" xfId="28974" xr:uid="{00000000-0005-0000-0000-000001710000}"/>
    <cellStyle name="Heading 1 3 10 8" xfId="28975" xr:uid="{00000000-0005-0000-0000-000002710000}"/>
    <cellStyle name="Heading 1 3 10 9" xfId="28976" xr:uid="{00000000-0005-0000-0000-000003710000}"/>
    <cellStyle name="Heading 1 3 11" xfId="28977" xr:uid="{00000000-0005-0000-0000-000004710000}"/>
    <cellStyle name="Heading 1 3 11 10" xfId="28978" xr:uid="{00000000-0005-0000-0000-000005710000}"/>
    <cellStyle name="Heading 1 3 11 11" xfId="28979" xr:uid="{00000000-0005-0000-0000-000006710000}"/>
    <cellStyle name="Heading 1 3 11 12" xfId="28980" xr:uid="{00000000-0005-0000-0000-000007710000}"/>
    <cellStyle name="Heading 1 3 11 13" xfId="28981" xr:uid="{00000000-0005-0000-0000-000008710000}"/>
    <cellStyle name="Heading 1 3 11 14" xfId="28982" xr:uid="{00000000-0005-0000-0000-000009710000}"/>
    <cellStyle name="Heading 1 3 11 15" xfId="28983" xr:uid="{00000000-0005-0000-0000-00000A710000}"/>
    <cellStyle name="Heading 1 3 11 2" xfId="28984" xr:uid="{00000000-0005-0000-0000-00000B710000}"/>
    <cellStyle name="Heading 1 3 11 3" xfId="28985" xr:uid="{00000000-0005-0000-0000-00000C710000}"/>
    <cellStyle name="Heading 1 3 11 4" xfId="28986" xr:uid="{00000000-0005-0000-0000-00000D710000}"/>
    <cellStyle name="Heading 1 3 11 5" xfId="28987" xr:uid="{00000000-0005-0000-0000-00000E710000}"/>
    <cellStyle name="Heading 1 3 11 6" xfId="28988" xr:uid="{00000000-0005-0000-0000-00000F710000}"/>
    <cellStyle name="Heading 1 3 11 7" xfId="28989" xr:uid="{00000000-0005-0000-0000-000010710000}"/>
    <cellStyle name="Heading 1 3 11 8" xfId="28990" xr:uid="{00000000-0005-0000-0000-000011710000}"/>
    <cellStyle name="Heading 1 3 11 9" xfId="28991" xr:uid="{00000000-0005-0000-0000-000012710000}"/>
    <cellStyle name="Heading 1 3 12" xfId="28992" xr:uid="{00000000-0005-0000-0000-000013710000}"/>
    <cellStyle name="Heading 1 3 12 10" xfId="28993" xr:uid="{00000000-0005-0000-0000-000014710000}"/>
    <cellStyle name="Heading 1 3 12 11" xfId="28994" xr:uid="{00000000-0005-0000-0000-000015710000}"/>
    <cellStyle name="Heading 1 3 12 12" xfId="28995" xr:uid="{00000000-0005-0000-0000-000016710000}"/>
    <cellStyle name="Heading 1 3 12 13" xfId="28996" xr:uid="{00000000-0005-0000-0000-000017710000}"/>
    <cellStyle name="Heading 1 3 12 14" xfId="28997" xr:uid="{00000000-0005-0000-0000-000018710000}"/>
    <cellStyle name="Heading 1 3 12 15" xfId="28998" xr:uid="{00000000-0005-0000-0000-000019710000}"/>
    <cellStyle name="Heading 1 3 12 2" xfId="28999" xr:uid="{00000000-0005-0000-0000-00001A710000}"/>
    <cellStyle name="Heading 1 3 12 3" xfId="29000" xr:uid="{00000000-0005-0000-0000-00001B710000}"/>
    <cellStyle name="Heading 1 3 12 4" xfId="29001" xr:uid="{00000000-0005-0000-0000-00001C710000}"/>
    <cellStyle name="Heading 1 3 12 5" xfId="29002" xr:uid="{00000000-0005-0000-0000-00001D710000}"/>
    <cellStyle name="Heading 1 3 12 6" xfId="29003" xr:uid="{00000000-0005-0000-0000-00001E710000}"/>
    <cellStyle name="Heading 1 3 12 7" xfId="29004" xr:uid="{00000000-0005-0000-0000-00001F710000}"/>
    <cellStyle name="Heading 1 3 12 8" xfId="29005" xr:uid="{00000000-0005-0000-0000-000020710000}"/>
    <cellStyle name="Heading 1 3 12 9" xfId="29006" xr:uid="{00000000-0005-0000-0000-000021710000}"/>
    <cellStyle name="Heading 1 3 13" xfId="29007" xr:uid="{00000000-0005-0000-0000-000022710000}"/>
    <cellStyle name="Heading 1 3 13 10" xfId="29008" xr:uid="{00000000-0005-0000-0000-000023710000}"/>
    <cellStyle name="Heading 1 3 13 11" xfId="29009" xr:uid="{00000000-0005-0000-0000-000024710000}"/>
    <cellStyle name="Heading 1 3 13 12" xfId="29010" xr:uid="{00000000-0005-0000-0000-000025710000}"/>
    <cellStyle name="Heading 1 3 13 13" xfId="29011" xr:uid="{00000000-0005-0000-0000-000026710000}"/>
    <cellStyle name="Heading 1 3 13 14" xfId="29012" xr:uid="{00000000-0005-0000-0000-000027710000}"/>
    <cellStyle name="Heading 1 3 13 15" xfId="29013" xr:uid="{00000000-0005-0000-0000-000028710000}"/>
    <cellStyle name="Heading 1 3 13 2" xfId="29014" xr:uid="{00000000-0005-0000-0000-000029710000}"/>
    <cellStyle name="Heading 1 3 13 3" xfId="29015" xr:uid="{00000000-0005-0000-0000-00002A710000}"/>
    <cellStyle name="Heading 1 3 13 4" xfId="29016" xr:uid="{00000000-0005-0000-0000-00002B710000}"/>
    <cellStyle name="Heading 1 3 13 5" xfId="29017" xr:uid="{00000000-0005-0000-0000-00002C710000}"/>
    <cellStyle name="Heading 1 3 13 6" xfId="29018" xr:uid="{00000000-0005-0000-0000-00002D710000}"/>
    <cellStyle name="Heading 1 3 13 7" xfId="29019" xr:uid="{00000000-0005-0000-0000-00002E710000}"/>
    <cellStyle name="Heading 1 3 13 8" xfId="29020" xr:uid="{00000000-0005-0000-0000-00002F710000}"/>
    <cellStyle name="Heading 1 3 13 9" xfId="29021" xr:uid="{00000000-0005-0000-0000-000030710000}"/>
    <cellStyle name="Heading 1 3 14" xfId="29022" xr:uid="{00000000-0005-0000-0000-000031710000}"/>
    <cellStyle name="Heading 1 3 14 10" xfId="29023" xr:uid="{00000000-0005-0000-0000-000032710000}"/>
    <cellStyle name="Heading 1 3 14 11" xfId="29024" xr:uid="{00000000-0005-0000-0000-000033710000}"/>
    <cellStyle name="Heading 1 3 14 12" xfId="29025" xr:uid="{00000000-0005-0000-0000-000034710000}"/>
    <cellStyle name="Heading 1 3 14 13" xfId="29026" xr:uid="{00000000-0005-0000-0000-000035710000}"/>
    <cellStyle name="Heading 1 3 14 14" xfId="29027" xr:uid="{00000000-0005-0000-0000-000036710000}"/>
    <cellStyle name="Heading 1 3 14 15" xfId="29028" xr:uid="{00000000-0005-0000-0000-000037710000}"/>
    <cellStyle name="Heading 1 3 14 2" xfId="29029" xr:uid="{00000000-0005-0000-0000-000038710000}"/>
    <cellStyle name="Heading 1 3 14 3" xfId="29030" xr:uid="{00000000-0005-0000-0000-000039710000}"/>
    <cellStyle name="Heading 1 3 14 4" xfId="29031" xr:uid="{00000000-0005-0000-0000-00003A710000}"/>
    <cellStyle name="Heading 1 3 14 5" xfId="29032" xr:uid="{00000000-0005-0000-0000-00003B710000}"/>
    <cellStyle name="Heading 1 3 14 6" xfId="29033" xr:uid="{00000000-0005-0000-0000-00003C710000}"/>
    <cellStyle name="Heading 1 3 14 7" xfId="29034" xr:uid="{00000000-0005-0000-0000-00003D710000}"/>
    <cellStyle name="Heading 1 3 14 8" xfId="29035" xr:uid="{00000000-0005-0000-0000-00003E710000}"/>
    <cellStyle name="Heading 1 3 14 9" xfId="29036" xr:uid="{00000000-0005-0000-0000-00003F710000}"/>
    <cellStyle name="Heading 1 3 15" xfId="29037" xr:uid="{00000000-0005-0000-0000-000040710000}"/>
    <cellStyle name="Heading 1 3 15 10" xfId="29038" xr:uid="{00000000-0005-0000-0000-000041710000}"/>
    <cellStyle name="Heading 1 3 15 11" xfId="29039" xr:uid="{00000000-0005-0000-0000-000042710000}"/>
    <cellStyle name="Heading 1 3 15 12" xfId="29040" xr:uid="{00000000-0005-0000-0000-000043710000}"/>
    <cellStyle name="Heading 1 3 15 13" xfId="29041" xr:uid="{00000000-0005-0000-0000-000044710000}"/>
    <cellStyle name="Heading 1 3 15 14" xfId="29042" xr:uid="{00000000-0005-0000-0000-000045710000}"/>
    <cellStyle name="Heading 1 3 15 15" xfId="29043" xr:uid="{00000000-0005-0000-0000-000046710000}"/>
    <cellStyle name="Heading 1 3 15 2" xfId="29044" xr:uid="{00000000-0005-0000-0000-000047710000}"/>
    <cellStyle name="Heading 1 3 15 3" xfId="29045" xr:uid="{00000000-0005-0000-0000-000048710000}"/>
    <cellStyle name="Heading 1 3 15 4" xfId="29046" xr:uid="{00000000-0005-0000-0000-000049710000}"/>
    <cellStyle name="Heading 1 3 15 5" xfId="29047" xr:uid="{00000000-0005-0000-0000-00004A710000}"/>
    <cellStyle name="Heading 1 3 15 6" xfId="29048" xr:uid="{00000000-0005-0000-0000-00004B710000}"/>
    <cellStyle name="Heading 1 3 15 7" xfId="29049" xr:uid="{00000000-0005-0000-0000-00004C710000}"/>
    <cellStyle name="Heading 1 3 15 8" xfId="29050" xr:uid="{00000000-0005-0000-0000-00004D710000}"/>
    <cellStyle name="Heading 1 3 15 9" xfId="29051" xr:uid="{00000000-0005-0000-0000-00004E710000}"/>
    <cellStyle name="Heading 1 3 16" xfId="29052" xr:uid="{00000000-0005-0000-0000-00004F710000}"/>
    <cellStyle name="Heading 1 3 16 10" xfId="29053" xr:uid="{00000000-0005-0000-0000-000050710000}"/>
    <cellStyle name="Heading 1 3 16 11" xfId="29054" xr:uid="{00000000-0005-0000-0000-000051710000}"/>
    <cellStyle name="Heading 1 3 16 12" xfId="29055" xr:uid="{00000000-0005-0000-0000-000052710000}"/>
    <cellStyle name="Heading 1 3 16 13" xfId="29056" xr:uid="{00000000-0005-0000-0000-000053710000}"/>
    <cellStyle name="Heading 1 3 16 14" xfId="29057" xr:uid="{00000000-0005-0000-0000-000054710000}"/>
    <cellStyle name="Heading 1 3 16 15" xfId="29058" xr:uid="{00000000-0005-0000-0000-000055710000}"/>
    <cellStyle name="Heading 1 3 16 2" xfId="29059" xr:uid="{00000000-0005-0000-0000-000056710000}"/>
    <cellStyle name="Heading 1 3 16 3" xfId="29060" xr:uid="{00000000-0005-0000-0000-000057710000}"/>
    <cellStyle name="Heading 1 3 16 4" xfId="29061" xr:uid="{00000000-0005-0000-0000-000058710000}"/>
    <cellStyle name="Heading 1 3 16 5" xfId="29062" xr:uid="{00000000-0005-0000-0000-000059710000}"/>
    <cellStyle name="Heading 1 3 16 6" xfId="29063" xr:uid="{00000000-0005-0000-0000-00005A710000}"/>
    <cellStyle name="Heading 1 3 16 7" xfId="29064" xr:uid="{00000000-0005-0000-0000-00005B710000}"/>
    <cellStyle name="Heading 1 3 16 8" xfId="29065" xr:uid="{00000000-0005-0000-0000-00005C710000}"/>
    <cellStyle name="Heading 1 3 16 9" xfId="29066" xr:uid="{00000000-0005-0000-0000-00005D710000}"/>
    <cellStyle name="Heading 1 3 17" xfId="29067" xr:uid="{00000000-0005-0000-0000-00005E710000}"/>
    <cellStyle name="Heading 1 3 17 10" xfId="29068" xr:uid="{00000000-0005-0000-0000-00005F710000}"/>
    <cellStyle name="Heading 1 3 17 11" xfId="29069" xr:uid="{00000000-0005-0000-0000-000060710000}"/>
    <cellStyle name="Heading 1 3 17 12" xfId="29070" xr:uid="{00000000-0005-0000-0000-000061710000}"/>
    <cellStyle name="Heading 1 3 17 13" xfId="29071" xr:uid="{00000000-0005-0000-0000-000062710000}"/>
    <cellStyle name="Heading 1 3 17 14" xfId="29072" xr:uid="{00000000-0005-0000-0000-000063710000}"/>
    <cellStyle name="Heading 1 3 17 15" xfId="29073" xr:uid="{00000000-0005-0000-0000-000064710000}"/>
    <cellStyle name="Heading 1 3 17 2" xfId="29074" xr:uid="{00000000-0005-0000-0000-000065710000}"/>
    <cellStyle name="Heading 1 3 17 3" xfId="29075" xr:uid="{00000000-0005-0000-0000-000066710000}"/>
    <cellStyle name="Heading 1 3 17 4" xfId="29076" xr:uid="{00000000-0005-0000-0000-000067710000}"/>
    <cellStyle name="Heading 1 3 17 5" xfId="29077" xr:uid="{00000000-0005-0000-0000-000068710000}"/>
    <cellStyle name="Heading 1 3 17 6" xfId="29078" xr:uid="{00000000-0005-0000-0000-000069710000}"/>
    <cellStyle name="Heading 1 3 17 7" xfId="29079" xr:uid="{00000000-0005-0000-0000-00006A710000}"/>
    <cellStyle name="Heading 1 3 17 8" xfId="29080" xr:uid="{00000000-0005-0000-0000-00006B710000}"/>
    <cellStyle name="Heading 1 3 17 9" xfId="29081" xr:uid="{00000000-0005-0000-0000-00006C710000}"/>
    <cellStyle name="Heading 1 3 18" xfId="29082" xr:uid="{00000000-0005-0000-0000-00006D710000}"/>
    <cellStyle name="Heading 1 3 18 10" xfId="29083" xr:uid="{00000000-0005-0000-0000-00006E710000}"/>
    <cellStyle name="Heading 1 3 18 11" xfId="29084" xr:uid="{00000000-0005-0000-0000-00006F710000}"/>
    <cellStyle name="Heading 1 3 18 12" xfId="29085" xr:uid="{00000000-0005-0000-0000-000070710000}"/>
    <cellStyle name="Heading 1 3 18 13" xfId="29086" xr:uid="{00000000-0005-0000-0000-000071710000}"/>
    <cellStyle name="Heading 1 3 18 14" xfId="29087" xr:uid="{00000000-0005-0000-0000-000072710000}"/>
    <cellStyle name="Heading 1 3 18 15" xfId="29088" xr:uid="{00000000-0005-0000-0000-000073710000}"/>
    <cellStyle name="Heading 1 3 18 2" xfId="29089" xr:uid="{00000000-0005-0000-0000-000074710000}"/>
    <cellStyle name="Heading 1 3 18 3" xfId="29090" xr:uid="{00000000-0005-0000-0000-000075710000}"/>
    <cellStyle name="Heading 1 3 18 4" xfId="29091" xr:uid="{00000000-0005-0000-0000-000076710000}"/>
    <cellStyle name="Heading 1 3 18 5" xfId="29092" xr:uid="{00000000-0005-0000-0000-000077710000}"/>
    <cellStyle name="Heading 1 3 18 6" xfId="29093" xr:uid="{00000000-0005-0000-0000-000078710000}"/>
    <cellStyle name="Heading 1 3 18 7" xfId="29094" xr:uid="{00000000-0005-0000-0000-000079710000}"/>
    <cellStyle name="Heading 1 3 18 8" xfId="29095" xr:uid="{00000000-0005-0000-0000-00007A710000}"/>
    <cellStyle name="Heading 1 3 18 9" xfId="29096" xr:uid="{00000000-0005-0000-0000-00007B710000}"/>
    <cellStyle name="Heading 1 3 19" xfId="29097" xr:uid="{00000000-0005-0000-0000-00007C710000}"/>
    <cellStyle name="Heading 1 3 19 10" xfId="29098" xr:uid="{00000000-0005-0000-0000-00007D710000}"/>
    <cellStyle name="Heading 1 3 19 11" xfId="29099" xr:uid="{00000000-0005-0000-0000-00007E710000}"/>
    <cellStyle name="Heading 1 3 19 12" xfId="29100" xr:uid="{00000000-0005-0000-0000-00007F710000}"/>
    <cellStyle name="Heading 1 3 19 13" xfId="29101" xr:uid="{00000000-0005-0000-0000-000080710000}"/>
    <cellStyle name="Heading 1 3 19 14" xfId="29102" xr:uid="{00000000-0005-0000-0000-000081710000}"/>
    <cellStyle name="Heading 1 3 19 15" xfId="29103" xr:uid="{00000000-0005-0000-0000-000082710000}"/>
    <cellStyle name="Heading 1 3 19 2" xfId="29104" xr:uid="{00000000-0005-0000-0000-000083710000}"/>
    <cellStyle name="Heading 1 3 19 3" xfId="29105" xr:uid="{00000000-0005-0000-0000-000084710000}"/>
    <cellStyle name="Heading 1 3 19 4" xfId="29106" xr:uid="{00000000-0005-0000-0000-000085710000}"/>
    <cellStyle name="Heading 1 3 19 5" xfId="29107" xr:uid="{00000000-0005-0000-0000-000086710000}"/>
    <cellStyle name="Heading 1 3 19 6" xfId="29108" xr:uid="{00000000-0005-0000-0000-000087710000}"/>
    <cellStyle name="Heading 1 3 19 7" xfId="29109" xr:uid="{00000000-0005-0000-0000-000088710000}"/>
    <cellStyle name="Heading 1 3 19 8" xfId="29110" xr:uid="{00000000-0005-0000-0000-000089710000}"/>
    <cellStyle name="Heading 1 3 19 9" xfId="29111" xr:uid="{00000000-0005-0000-0000-00008A710000}"/>
    <cellStyle name="Heading 1 3 2" xfId="29112" xr:uid="{00000000-0005-0000-0000-00008B710000}"/>
    <cellStyle name="Heading 1 3 2 10" xfId="29113" xr:uid="{00000000-0005-0000-0000-00008C710000}"/>
    <cellStyle name="Heading 1 3 2 11" xfId="29114" xr:uid="{00000000-0005-0000-0000-00008D710000}"/>
    <cellStyle name="Heading 1 3 2 12" xfId="29115" xr:uid="{00000000-0005-0000-0000-00008E710000}"/>
    <cellStyle name="Heading 1 3 2 13" xfId="29116" xr:uid="{00000000-0005-0000-0000-00008F710000}"/>
    <cellStyle name="Heading 1 3 2 14" xfId="29117" xr:uid="{00000000-0005-0000-0000-000090710000}"/>
    <cellStyle name="Heading 1 3 2 15" xfId="29118" xr:uid="{00000000-0005-0000-0000-000091710000}"/>
    <cellStyle name="Heading 1 3 2 16" xfId="29119" xr:uid="{00000000-0005-0000-0000-000092710000}"/>
    <cellStyle name="Heading 1 3 2 17" xfId="29120" xr:uid="{00000000-0005-0000-0000-000093710000}"/>
    <cellStyle name="Heading 1 3 2 18" xfId="29121" xr:uid="{00000000-0005-0000-0000-000094710000}"/>
    <cellStyle name="Heading 1 3 2 19" xfId="29122" xr:uid="{00000000-0005-0000-0000-000095710000}"/>
    <cellStyle name="Heading 1 3 2 2" xfId="29123" xr:uid="{00000000-0005-0000-0000-000096710000}"/>
    <cellStyle name="Heading 1 3 2 20" xfId="29124" xr:uid="{00000000-0005-0000-0000-000097710000}"/>
    <cellStyle name="Heading 1 3 2 21" xfId="29125" xr:uid="{00000000-0005-0000-0000-000098710000}"/>
    <cellStyle name="Heading 1 3 2 22" xfId="29126" xr:uid="{00000000-0005-0000-0000-000099710000}"/>
    <cellStyle name="Heading 1 3 2 23" xfId="29127" xr:uid="{00000000-0005-0000-0000-00009A710000}"/>
    <cellStyle name="Heading 1 3 2 24" xfId="29128" xr:uid="{00000000-0005-0000-0000-00009B710000}"/>
    <cellStyle name="Heading 1 3 2 25" xfId="29129" xr:uid="{00000000-0005-0000-0000-00009C710000}"/>
    <cellStyle name="Heading 1 3 2 26" xfId="29130" xr:uid="{00000000-0005-0000-0000-00009D710000}"/>
    <cellStyle name="Heading 1 3 2 27" xfId="29131" xr:uid="{00000000-0005-0000-0000-00009E710000}"/>
    <cellStyle name="Heading 1 3 2 28" xfId="29132" xr:uid="{00000000-0005-0000-0000-00009F710000}"/>
    <cellStyle name="Heading 1 3 2 29" xfId="29133" xr:uid="{00000000-0005-0000-0000-0000A0710000}"/>
    <cellStyle name="Heading 1 3 2 3" xfId="29134" xr:uid="{00000000-0005-0000-0000-0000A1710000}"/>
    <cellStyle name="Heading 1 3 2 30" xfId="29135" xr:uid="{00000000-0005-0000-0000-0000A2710000}"/>
    <cellStyle name="Heading 1 3 2 31" xfId="29136" xr:uid="{00000000-0005-0000-0000-0000A3710000}"/>
    <cellStyle name="Heading 1 3 2 32" xfId="29137" xr:uid="{00000000-0005-0000-0000-0000A4710000}"/>
    <cellStyle name="Heading 1 3 2 33" xfId="29138" xr:uid="{00000000-0005-0000-0000-0000A5710000}"/>
    <cellStyle name="Heading 1 3 2 34" xfId="29139" xr:uid="{00000000-0005-0000-0000-0000A6710000}"/>
    <cellStyle name="Heading 1 3 2 35" xfId="29140" xr:uid="{00000000-0005-0000-0000-0000A7710000}"/>
    <cellStyle name="Heading 1 3 2 36" xfId="29141" xr:uid="{00000000-0005-0000-0000-0000A8710000}"/>
    <cellStyle name="Heading 1 3 2 37" xfId="29142" xr:uid="{00000000-0005-0000-0000-0000A9710000}"/>
    <cellStyle name="Heading 1 3 2 38" xfId="29143" xr:uid="{00000000-0005-0000-0000-0000AA710000}"/>
    <cellStyle name="Heading 1 3 2 39" xfId="29144" xr:uid="{00000000-0005-0000-0000-0000AB710000}"/>
    <cellStyle name="Heading 1 3 2 4" xfId="29145" xr:uid="{00000000-0005-0000-0000-0000AC710000}"/>
    <cellStyle name="Heading 1 3 2 40" xfId="29146" xr:uid="{00000000-0005-0000-0000-0000AD710000}"/>
    <cellStyle name="Heading 1 3 2 41" xfId="29147" xr:uid="{00000000-0005-0000-0000-0000AE710000}"/>
    <cellStyle name="Heading 1 3 2 42" xfId="29148" xr:uid="{00000000-0005-0000-0000-0000AF710000}"/>
    <cellStyle name="Heading 1 3 2 43" xfId="29149" xr:uid="{00000000-0005-0000-0000-0000B0710000}"/>
    <cellStyle name="Heading 1 3 2 44" xfId="29150" xr:uid="{00000000-0005-0000-0000-0000B1710000}"/>
    <cellStyle name="Heading 1 3 2 45" xfId="29151" xr:uid="{00000000-0005-0000-0000-0000B2710000}"/>
    <cellStyle name="Heading 1 3 2 46" xfId="29152" xr:uid="{00000000-0005-0000-0000-0000B3710000}"/>
    <cellStyle name="Heading 1 3 2 47" xfId="29153" xr:uid="{00000000-0005-0000-0000-0000B4710000}"/>
    <cellStyle name="Heading 1 3 2 48" xfId="29154" xr:uid="{00000000-0005-0000-0000-0000B5710000}"/>
    <cellStyle name="Heading 1 3 2 49" xfId="29155" xr:uid="{00000000-0005-0000-0000-0000B6710000}"/>
    <cellStyle name="Heading 1 3 2 5" xfId="29156" xr:uid="{00000000-0005-0000-0000-0000B7710000}"/>
    <cellStyle name="Heading 1 3 2 50" xfId="29157" xr:uid="{00000000-0005-0000-0000-0000B8710000}"/>
    <cellStyle name="Heading 1 3 2 51" xfId="29158" xr:uid="{00000000-0005-0000-0000-0000B9710000}"/>
    <cellStyle name="Heading 1 3 2 52" xfId="29159" xr:uid="{00000000-0005-0000-0000-0000BA710000}"/>
    <cellStyle name="Heading 1 3 2 53" xfId="29160" xr:uid="{00000000-0005-0000-0000-0000BB710000}"/>
    <cellStyle name="Heading 1 3 2 6" xfId="29161" xr:uid="{00000000-0005-0000-0000-0000BC710000}"/>
    <cellStyle name="Heading 1 3 2 7" xfId="29162" xr:uid="{00000000-0005-0000-0000-0000BD710000}"/>
    <cellStyle name="Heading 1 3 2 8" xfId="29163" xr:uid="{00000000-0005-0000-0000-0000BE710000}"/>
    <cellStyle name="Heading 1 3 2 9" xfId="29164" xr:uid="{00000000-0005-0000-0000-0000BF710000}"/>
    <cellStyle name="Heading 1 3 20" xfId="29165" xr:uid="{00000000-0005-0000-0000-0000C0710000}"/>
    <cellStyle name="Heading 1 3 20 10" xfId="29166" xr:uid="{00000000-0005-0000-0000-0000C1710000}"/>
    <cellStyle name="Heading 1 3 20 11" xfId="29167" xr:uid="{00000000-0005-0000-0000-0000C2710000}"/>
    <cellStyle name="Heading 1 3 20 12" xfId="29168" xr:uid="{00000000-0005-0000-0000-0000C3710000}"/>
    <cellStyle name="Heading 1 3 20 13" xfId="29169" xr:uid="{00000000-0005-0000-0000-0000C4710000}"/>
    <cellStyle name="Heading 1 3 20 14" xfId="29170" xr:uid="{00000000-0005-0000-0000-0000C5710000}"/>
    <cellStyle name="Heading 1 3 20 15" xfId="29171" xr:uid="{00000000-0005-0000-0000-0000C6710000}"/>
    <cellStyle name="Heading 1 3 20 2" xfId="29172" xr:uid="{00000000-0005-0000-0000-0000C7710000}"/>
    <cellStyle name="Heading 1 3 20 3" xfId="29173" xr:uid="{00000000-0005-0000-0000-0000C8710000}"/>
    <cellStyle name="Heading 1 3 20 4" xfId="29174" xr:uid="{00000000-0005-0000-0000-0000C9710000}"/>
    <cellStyle name="Heading 1 3 20 5" xfId="29175" xr:uid="{00000000-0005-0000-0000-0000CA710000}"/>
    <cellStyle name="Heading 1 3 20 6" xfId="29176" xr:uid="{00000000-0005-0000-0000-0000CB710000}"/>
    <cellStyle name="Heading 1 3 20 7" xfId="29177" xr:uid="{00000000-0005-0000-0000-0000CC710000}"/>
    <cellStyle name="Heading 1 3 20 8" xfId="29178" xr:uid="{00000000-0005-0000-0000-0000CD710000}"/>
    <cellStyle name="Heading 1 3 20 9" xfId="29179" xr:uid="{00000000-0005-0000-0000-0000CE710000}"/>
    <cellStyle name="Heading 1 3 21" xfId="29180" xr:uid="{00000000-0005-0000-0000-0000CF710000}"/>
    <cellStyle name="Heading 1 3 21 10" xfId="29181" xr:uid="{00000000-0005-0000-0000-0000D0710000}"/>
    <cellStyle name="Heading 1 3 21 11" xfId="29182" xr:uid="{00000000-0005-0000-0000-0000D1710000}"/>
    <cellStyle name="Heading 1 3 21 12" xfId="29183" xr:uid="{00000000-0005-0000-0000-0000D2710000}"/>
    <cellStyle name="Heading 1 3 21 13" xfId="29184" xr:uid="{00000000-0005-0000-0000-0000D3710000}"/>
    <cellStyle name="Heading 1 3 21 14" xfId="29185" xr:uid="{00000000-0005-0000-0000-0000D4710000}"/>
    <cellStyle name="Heading 1 3 21 15" xfId="29186" xr:uid="{00000000-0005-0000-0000-0000D5710000}"/>
    <cellStyle name="Heading 1 3 21 2" xfId="29187" xr:uid="{00000000-0005-0000-0000-0000D6710000}"/>
    <cellStyle name="Heading 1 3 21 3" xfId="29188" xr:uid="{00000000-0005-0000-0000-0000D7710000}"/>
    <cellStyle name="Heading 1 3 21 4" xfId="29189" xr:uid="{00000000-0005-0000-0000-0000D8710000}"/>
    <cellStyle name="Heading 1 3 21 5" xfId="29190" xr:uid="{00000000-0005-0000-0000-0000D9710000}"/>
    <cellStyle name="Heading 1 3 21 6" xfId="29191" xr:uid="{00000000-0005-0000-0000-0000DA710000}"/>
    <cellStyle name="Heading 1 3 21 7" xfId="29192" xr:uid="{00000000-0005-0000-0000-0000DB710000}"/>
    <cellStyle name="Heading 1 3 21 8" xfId="29193" xr:uid="{00000000-0005-0000-0000-0000DC710000}"/>
    <cellStyle name="Heading 1 3 21 9" xfId="29194" xr:uid="{00000000-0005-0000-0000-0000DD710000}"/>
    <cellStyle name="Heading 1 3 22" xfId="29195" xr:uid="{00000000-0005-0000-0000-0000DE710000}"/>
    <cellStyle name="Heading 1 3 22 10" xfId="29196" xr:uid="{00000000-0005-0000-0000-0000DF710000}"/>
    <cellStyle name="Heading 1 3 22 11" xfId="29197" xr:uid="{00000000-0005-0000-0000-0000E0710000}"/>
    <cellStyle name="Heading 1 3 22 12" xfId="29198" xr:uid="{00000000-0005-0000-0000-0000E1710000}"/>
    <cellStyle name="Heading 1 3 22 13" xfId="29199" xr:uid="{00000000-0005-0000-0000-0000E2710000}"/>
    <cellStyle name="Heading 1 3 22 14" xfId="29200" xr:uid="{00000000-0005-0000-0000-0000E3710000}"/>
    <cellStyle name="Heading 1 3 22 15" xfId="29201" xr:uid="{00000000-0005-0000-0000-0000E4710000}"/>
    <cellStyle name="Heading 1 3 22 2" xfId="29202" xr:uid="{00000000-0005-0000-0000-0000E5710000}"/>
    <cellStyle name="Heading 1 3 22 3" xfId="29203" xr:uid="{00000000-0005-0000-0000-0000E6710000}"/>
    <cellStyle name="Heading 1 3 22 4" xfId="29204" xr:uid="{00000000-0005-0000-0000-0000E7710000}"/>
    <cellStyle name="Heading 1 3 22 5" xfId="29205" xr:uid="{00000000-0005-0000-0000-0000E8710000}"/>
    <cellStyle name="Heading 1 3 22 6" xfId="29206" xr:uid="{00000000-0005-0000-0000-0000E9710000}"/>
    <cellStyle name="Heading 1 3 22 7" xfId="29207" xr:uid="{00000000-0005-0000-0000-0000EA710000}"/>
    <cellStyle name="Heading 1 3 22 8" xfId="29208" xr:uid="{00000000-0005-0000-0000-0000EB710000}"/>
    <cellStyle name="Heading 1 3 22 9" xfId="29209" xr:uid="{00000000-0005-0000-0000-0000EC710000}"/>
    <cellStyle name="Heading 1 3 23" xfId="29210" xr:uid="{00000000-0005-0000-0000-0000ED710000}"/>
    <cellStyle name="Heading 1 3 23 10" xfId="29211" xr:uid="{00000000-0005-0000-0000-0000EE710000}"/>
    <cellStyle name="Heading 1 3 23 11" xfId="29212" xr:uid="{00000000-0005-0000-0000-0000EF710000}"/>
    <cellStyle name="Heading 1 3 23 12" xfId="29213" xr:uid="{00000000-0005-0000-0000-0000F0710000}"/>
    <cellStyle name="Heading 1 3 23 13" xfId="29214" xr:uid="{00000000-0005-0000-0000-0000F1710000}"/>
    <cellStyle name="Heading 1 3 23 14" xfId="29215" xr:uid="{00000000-0005-0000-0000-0000F2710000}"/>
    <cellStyle name="Heading 1 3 23 15" xfId="29216" xr:uid="{00000000-0005-0000-0000-0000F3710000}"/>
    <cellStyle name="Heading 1 3 23 2" xfId="29217" xr:uid="{00000000-0005-0000-0000-0000F4710000}"/>
    <cellStyle name="Heading 1 3 23 3" xfId="29218" xr:uid="{00000000-0005-0000-0000-0000F5710000}"/>
    <cellStyle name="Heading 1 3 23 4" xfId="29219" xr:uid="{00000000-0005-0000-0000-0000F6710000}"/>
    <cellStyle name="Heading 1 3 23 5" xfId="29220" xr:uid="{00000000-0005-0000-0000-0000F7710000}"/>
    <cellStyle name="Heading 1 3 23 6" xfId="29221" xr:uid="{00000000-0005-0000-0000-0000F8710000}"/>
    <cellStyle name="Heading 1 3 23 7" xfId="29222" xr:uid="{00000000-0005-0000-0000-0000F9710000}"/>
    <cellStyle name="Heading 1 3 23 8" xfId="29223" xr:uid="{00000000-0005-0000-0000-0000FA710000}"/>
    <cellStyle name="Heading 1 3 23 9" xfId="29224" xr:uid="{00000000-0005-0000-0000-0000FB710000}"/>
    <cellStyle name="Heading 1 3 24" xfId="29225" xr:uid="{00000000-0005-0000-0000-0000FC710000}"/>
    <cellStyle name="Heading 1 3 24 10" xfId="29226" xr:uid="{00000000-0005-0000-0000-0000FD710000}"/>
    <cellStyle name="Heading 1 3 24 11" xfId="29227" xr:uid="{00000000-0005-0000-0000-0000FE710000}"/>
    <cellStyle name="Heading 1 3 24 12" xfId="29228" xr:uid="{00000000-0005-0000-0000-0000FF710000}"/>
    <cellStyle name="Heading 1 3 24 13" xfId="29229" xr:uid="{00000000-0005-0000-0000-000000720000}"/>
    <cellStyle name="Heading 1 3 24 14" xfId="29230" xr:uid="{00000000-0005-0000-0000-000001720000}"/>
    <cellStyle name="Heading 1 3 24 15" xfId="29231" xr:uid="{00000000-0005-0000-0000-000002720000}"/>
    <cellStyle name="Heading 1 3 24 2" xfId="29232" xr:uid="{00000000-0005-0000-0000-000003720000}"/>
    <cellStyle name="Heading 1 3 24 3" xfId="29233" xr:uid="{00000000-0005-0000-0000-000004720000}"/>
    <cellStyle name="Heading 1 3 24 4" xfId="29234" xr:uid="{00000000-0005-0000-0000-000005720000}"/>
    <cellStyle name="Heading 1 3 24 5" xfId="29235" xr:uid="{00000000-0005-0000-0000-000006720000}"/>
    <cellStyle name="Heading 1 3 24 6" xfId="29236" xr:uid="{00000000-0005-0000-0000-000007720000}"/>
    <cellStyle name="Heading 1 3 24 7" xfId="29237" xr:uid="{00000000-0005-0000-0000-000008720000}"/>
    <cellStyle name="Heading 1 3 24 8" xfId="29238" xr:uid="{00000000-0005-0000-0000-000009720000}"/>
    <cellStyle name="Heading 1 3 24 9" xfId="29239" xr:uid="{00000000-0005-0000-0000-00000A720000}"/>
    <cellStyle name="Heading 1 3 25" xfId="29240" xr:uid="{00000000-0005-0000-0000-00000B720000}"/>
    <cellStyle name="Heading 1 3 25 10" xfId="29241" xr:uid="{00000000-0005-0000-0000-00000C720000}"/>
    <cellStyle name="Heading 1 3 25 11" xfId="29242" xr:uid="{00000000-0005-0000-0000-00000D720000}"/>
    <cellStyle name="Heading 1 3 25 12" xfId="29243" xr:uid="{00000000-0005-0000-0000-00000E720000}"/>
    <cellStyle name="Heading 1 3 25 13" xfId="29244" xr:uid="{00000000-0005-0000-0000-00000F720000}"/>
    <cellStyle name="Heading 1 3 25 14" xfId="29245" xr:uid="{00000000-0005-0000-0000-000010720000}"/>
    <cellStyle name="Heading 1 3 25 15" xfId="29246" xr:uid="{00000000-0005-0000-0000-000011720000}"/>
    <cellStyle name="Heading 1 3 25 2" xfId="29247" xr:uid="{00000000-0005-0000-0000-000012720000}"/>
    <cellStyle name="Heading 1 3 25 3" xfId="29248" xr:uid="{00000000-0005-0000-0000-000013720000}"/>
    <cellStyle name="Heading 1 3 25 4" xfId="29249" xr:uid="{00000000-0005-0000-0000-000014720000}"/>
    <cellStyle name="Heading 1 3 25 5" xfId="29250" xr:uid="{00000000-0005-0000-0000-000015720000}"/>
    <cellStyle name="Heading 1 3 25 6" xfId="29251" xr:uid="{00000000-0005-0000-0000-000016720000}"/>
    <cellStyle name="Heading 1 3 25 7" xfId="29252" xr:uid="{00000000-0005-0000-0000-000017720000}"/>
    <cellStyle name="Heading 1 3 25 8" xfId="29253" xr:uid="{00000000-0005-0000-0000-000018720000}"/>
    <cellStyle name="Heading 1 3 25 9" xfId="29254" xr:uid="{00000000-0005-0000-0000-000019720000}"/>
    <cellStyle name="Heading 1 3 26" xfId="29255" xr:uid="{00000000-0005-0000-0000-00001A720000}"/>
    <cellStyle name="Heading 1 3 26 10" xfId="29256" xr:uid="{00000000-0005-0000-0000-00001B720000}"/>
    <cellStyle name="Heading 1 3 26 11" xfId="29257" xr:uid="{00000000-0005-0000-0000-00001C720000}"/>
    <cellStyle name="Heading 1 3 26 12" xfId="29258" xr:uid="{00000000-0005-0000-0000-00001D720000}"/>
    <cellStyle name="Heading 1 3 26 13" xfId="29259" xr:uid="{00000000-0005-0000-0000-00001E720000}"/>
    <cellStyle name="Heading 1 3 26 14" xfId="29260" xr:uid="{00000000-0005-0000-0000-00001F720000}"/>
    <cellStyle name="Heading 1 3 26 15" xfId="29261" xr:uid="{00000000-0005-0000-0000-000020720000}"/>
    <cellStyle name="Heading 1 3 26 2" xfId="29262" xr:uid="{00000000-0005-0000-0000-000021720000}"/>
    <cellStyle name="Heading 1 3 26 3" xfId="29263" xr:uid="{00000000-0005-0000-0000-000022720000}"/>
    <cellStyle name="Heading 1 3 26 4" xfId="29264" xr:uid="{00000000-0005-0000-0000-000023720000}"/>
    <cellStyle name="Heading 1 3 26 5" xfId="29265" xr:uid="{00000000-0005-0000-0000-000024720000}"/>
    <cellStyle name="Heading 1 3 26 6" xfId="29266" xr:uid="{00000000-0005-0000-0000-000025720000}"/>
    <cellStyle name="Heading 1 3 26 7" xfId="29267" xr:uid="{00000000-0005-0000-0000-000026720000}"/>
    <cellStyle name="Heading 1 3 26 8" xfId="29268" xr:uid="{00000000-0005-0000-0000-000027720000}"/>
    <cellStyle name="Heading 1 3 26 9" xfId="29269" xr:uid="{00000000-0005-0000-0000-000028720000}"/>
    <cellStyle name="Heading 1 3 27" xfId="29270" xr:uid="{00000000-0005-0000-0000-000029720000}"/>
    <cellStyle name="Heading 1 3 27 10" xfId="29271" xr:uid="{00000000-0005-0000-0000-00002A720000}"/>
    <cellStyle name="Heading 1 3 27 11" xfId="29272" xr:uid="{00000000-0005-0000-0000-00002B720000}"/>
    <cellStyle name="Heading 1 3 27 12" xfId="29273" xr:uid="{00000000-0005-0000-0000-00002C720000}"/>
    <cellStyle name="Heading 1 3 27 13" xfId="29274" xr:uid="{00000000-0005-0000-0000-00002D720000}"/>
    <cellStyle name="Heading 1 3 27 14" xfId="29275" xr:uid="{00000000-0005-0000-0000-00002E720000}"/>
    <cellStyle name="Heading 1 3 27 15" xfId="29276" xr:uid="{00000000-0005-0000-0000-00002F720000}"/>
    <cellStyle name="Heading 1 3 27 2" xfId="29277" xr:uid="{00000000-0005-0000-0000-000030720000}"/>
    <cellStyle name="Heading 1 3 27 3" xfId="29278" xr:uid="{00000000-0005-0000-0000-000031720000}"/>
    <cellStyle name="Heading 1 3 27 4" xfId="29279" xr:uid="{00000000-0005-0000-0000-000032720000}"/>
    <cellStyle name="Heading 1 3 27 5" xfId="29280" xr:uid="{00000000-0005-0000-0000-000033720000}"/>
    <cellStyle name="Heading 1 3 27 6" xfId="29281" xr:uid="{00000000-0005-0000-0000-000034720000}"/>
    <cellStyle name="Heading 1 3 27 7" xfId="29282" xr:uid="{00000000-0005-0000-0000-000035720000}"/>
    <cellStyle name="Heading 1 3 27 8" xfId="29283" xr:uid="{00000000-0005-0000-0000-000036720000}"/>
    <cellStyle name="Heading 1 3 27 9" xfId="29284" xr:uid="{00000000-0005-0000-0000-000037720000}"/>
    <cellStyle name="Heading 1 3 28" xfId="29285" xr:uid="{00000000-0005-0000-0000-000038720000}"/>
    <cellStyle name="Heading 1 3 28 10" xfId="29286" xr:uid="{00000000-0005-0000-0000-000039720000}"/>
    <cellStyle name="Heading 1 3 28 11" xfId="29287" xr:uid="{00000000-0005-0000-0000-00003A720000}"/>
    <cellStyle name="Heading 1 3 28 12" xfId="29288" xr:uid="{00000000-0005-0000-0000-00003B720000}"/>
    <cellStyle name="Heading 1 3 28 13" xfId="29289" xr:uid="{00000000-0005-0000-0000-00003C720000}"/>
    <cellStyle name="Heading 1 3 28 14" xfId="29290" xr:uid="{00000000-0005-0000-0000-00003D720000}"/>
    <cellStyle name="Heading 1 3 28 15" xfId="29291" xr:uid="{00000000-0005-0000-0000-00003E720000}"/>
    <cellStyle name="Heading 1 3 28 2" xfId="29292" xr:uid="{00000000-0005-0000-0000-00003F720000}"/>
    <cellStyle name="Heading 1 3 28 3" xfId="29293" xr:uid="{00000000-0005-0000-0000-000040720000}"/>
    <cellStyle name="Heading 1 3 28 4" xfId="29294" xr:uid="{00000000-0005-0000-0000-000041720000}"/>
    <cellStyle name="Heading 1 3 28 5" xfId="29295" xr:uid="{00000000-0005-0000-0000-000042720000}"/>
    <cellStyle name="Heading 1 3 28 6" xfId="29296" xr:uid="{00000000-0005-0000-0000-000043720000}"/>
    <cellStyle name="Heading 1 3 28 7" xfId="29297" xr:uid="{00000000-0005-0000-0000-000044720000}"/>
    <cellStyle name="Heading 1 3 28 8" xfId="29298" xr:uid="{00000000-0005-0000-0000-000045720000}"/>
    <cellStyle name="Heading 1 3 28 9" xfId="29299" xr:uid="{00000000-0005-0000-0000-000046720000}"/>
    <cellStyle name="Heading 1 3 29" xfId="29300" xr:uid="{00000000-0005-0000-0000-000047720000}"/>
    <cellStyle name="Heading 1 3 29 10" xfId="29301" xr:uid="{00000000-0005-0000-0000-000048720000}"/>
    <cellStyle name="Heading 1 3 29 11" xfId="29302" xr:uid="{00000000-0005-0000-0000-000049720000}"/>
    <cellStyle name="Heading 1 3 29 12" xfId="29303" xr:uid="{00000000-0005-0000-0000-00004A720000}"/>
    <cellStyle name="Heading 1 3 29 13" xfId="29304" xr:uid="{00000000-0005-0000-0000-00004B720000}"/>
    <cellStyle name="Heading 1 3 29 14" xfId="29305" xr:uid="{00000000-0005-0000-0000-00004C720000}"/>
    <cellStyle name="Heading 1 3 29 15" xfId="29306" xr:uid="{00000000-0005-0000-0000-00004D720000}"/>
    <cellStyle name="Heading 1 3 29 2" xfId="29307" xr:uid="{00000000-0005-0000-0000-00004E720000}"/>
    <cellStyle name="Heading 1 3 29 3" xfId="29308" xr:uid="{00000000-0005-0000-0000-00004F720000}"/>
    <cellStyle name="Heading 1 3 29 4" xfId="29309" xr:uid="{00000000-0005-0000-0000-000050720000}"/>
    <cellStyle name="Heading 1 3 29 5" xfId="29310" xr:uid="{00000000-0005-0000-0000-000051720000}"/>
    <cellStyle name="Heading 1 3 29 6" xfId="29311" xr:uid="{00000000-0005-0000-0000-000052720000}"/>
    <cellStyle name="Heading 1 3 29 7" xfId="29312" xr:uid="{00000000-0005-0000-0000-000053720000}"/>
    <cellStyle name="Heading 1 3 29 8" xfId="29313" xr:uid="{00000000-0005-0000-0000-000054720000}"/>
    <cellStyle name="Heading 1 3 29 9" xfId="29314" xr:uid="{00000000-0005-0000-0000-000055720000}"/>
    <cellStyle name="Heading 1 3 3" xfId="29315" xr:uid="{00000000-0005-0000-0000-000056720000}"/>
    <cellStyle name="Heading 1 3 3 10" xfId="29316" xr:uid="{00000000-0005-0000-0000-000057720000}"/>
    <cellStyle name="Heading 1 3 3 11" xfId="29317" xr:uid="{00000000-0005-0000-0000-000058720000}"/>
    <cellStyle name="Heading 1 3 3 12" xfId="29318" xr:uid="{00000000-0005-0000-0000-000059720000}"/>
    <cellStyle name="Heading 1 3 3 13" xfId="29319" xr:uid="{00000000-0005-0000-0000-00005A720000}"/>
    <cellStyle name="Heading 1 3 3 14" xfId="29320" xr:uid="{00000000-0005-0000-0000-00005B720000}"/>
    <cellStyle name="Heading 1 3 3 15" xfId="29321" xr:uid="{00000000-0005-0000-0000-00005C720000}"/>
    <cellStyle name="Heading 1 3 3 16" xfId="29322" xr:uid="{00000000-0005-0000-0000-00005D720000}"/>
    <cellStyle name="Heading 1 3 3 2" xfId="29323" xr:uid="{00000000-0005-0000-0000-00005E720000}"/>
    <cellStyle name="Heading 1 3 3 3" xfId="29324" xr:uid="{00000000-0005-0000-0000-00005F720000}"/>
    <cellStyle name="Heading 1 3 3 4" xfId="29325" xr:uid="{00000000-0005-0000-0000-000060720000}"/>
    <cellStyle name="Heading 1 3 3 5" xfId="29326" xr:uid="{00000000-0005-0000-0000-000061720000}"/>
    <cellStyle name="Heading 1 3 3 6" xfId="29327" xr:uid="{00000000-0005-0000-0000-000062720000}"/>
    <cellStyle name="Heading 1 3 3 7" xfId="29328" xr:uid="{00000000-0005-0000-0000-000063720000}"/>
    <cellStyle name="Heading 1 3 3 8" xfId="29329" xr:uid="{00000000-0005-0000-0000-000064720000}"/>
    <cellStyle name="Heading 1 3 3 9" xfId="29330" xr:uid="{00000000-0005-0000-0000-000065720000}"/>
    <cellStyle name="Heading 1 3 30" xfId="29331" xr:uid="{00000000-0005-0000-0000-000066720000}"/>
    <cellStyle name="Heading 1 3 30 10" xfId="29332" xr:uid="{00000000-0005-0000-0000-000067720000}"/>
    <cellStyle name="Heading 1 3 30 11" xfId="29333" xr:uid="{00000000-0005-0000-0000-000068720000}"/>
    <cellStyle name="Heading 1 3 30 12" xfId="29334" xr:uid="{00000000-0005-0000-0000-000069720000}"/>
    <cellStyle name="Heading 1 3 30 13" xfId="29335" xr:uid="{00000000-0005-0000-0000-00006A720000}"/>
    <cellStyle name="Heading 1 3 30 14" xfId="29336" xr:uid="{00000000-0005-0000-0000-00006B720000}"/>
    <cellStyle name="Heading 1 3 30 15" xfId="29337" xr:uid="{00000000-0005-0000-0000-00006C720000}"/>
    <cellStyle name="Heading 1 3 30 2" xfId="29338" xr:uid="{00000000-0005-0000-0000-00006D720000}"/>
    <cellStyle name="Heading 1 3 30 3" xfId="29339" xr:uid="{00000000-0005-0000-0000-00006E720000}"/>
    <cellStyle name="Heading 1 3 30 4" xfId="29340" xr:uid="{00000000-0005-0000-0000-00006F720000}"/>
    <cellStyle name="Heading 1 3 30 5" xfId="29341" xr:uid="{00000000-0005-0000-0000-000070720000}"/>
    <cellStyle name="Heading 1 3 30 6" xfId="29342" xr:uid="{00000000-0005-0000-0000-000071720000}"/>
    <cellStyle name="Heading 1 3 30 7" xfId="29343" xr:uid="{00000000-0005-0000-0000-000072720000}"/>
    <cellStyle name="Heading 1 3 30 8" xfId="29344" xr:uid="{00000000-0005-0000-0000-000073720000}"/>
    <cellStyle name="Heading 1 3 30 9" xfId="29345" xr:uid="{00000000-0005-0000-0000-000074720000}"/>
    <cellStyle name="Heading 1 3 31" xfId="29346" xr:uid="{00000000-0005-0000-0000-000075720000}"/>
    <cellStyle name="Heading 1 3 31 10" xfId="29347" xr:uid="{00000000-0005-0000-0000-000076720000}"/>
    <cellStyle name="Heading 1 3 31 11" xfId="29348" xr:uid="{00000000-0005-0000-0000-000077720000}"/>
    <cellStyle name="Heading 1 3 31 12" xfId="29349" xr:uid="{00000000-0005-0000-0000-000078720000}"/>
    <cellStyle name="Heading 1 3 31 13" xfId="29350" xr:uid="{00000000-0005-0000-0000-000079720000}"/>
    <cellStyle name="Heading 1 3 31 14" xfId="29351" xr:uid="{00000000-0005-0000-0000-00007A720000}"/>
    <cellStyle name="Heading 1 3 31 15" xfId="29352" xr:uid="{00000000-0005-0000-0000-00007B720000}"/>
    <cellStyle name="Heading 1 3 31 2" xfId="29353" xr:uid="{00000000-0005-0000-0000-00007C720000}"/>
    <cellStyle name="Heading 1 3 31 3" xfId="29354" xr:uid="{00000000-0005-0000-0000-00007D720000}"/>
    <cellStyle name="Heading 1 3 31 4" xfId="29355" xr:uid="{00000000-0005-0000-0000-00007E720000}"/>
    <cellStyle name="Heading 1 3 31 5" xfId="29356" xr:uid="{00000000-0005-0000-0000-00007F720000}"/>
    <cellStyle name="Heading 1 3 31 6" xfId="29357" xr:uid="{00000000-0005-0000-0000-000080720000}"/>
    <cellStyle name="Heading 1 3 31 7" xfId="29358" xr:uid="{00000000-0005-0000-0000-000081720000}"/>
    <cellStyle name="Heading 1 3 31 8" xfId="29359" xr:uid="{00000000-0005-0000-0000-000082720000}"/>
    <cellStyle name="Heading 1 3 31 9" xfId="29360" xr:uid="{00000000-0005-0000-0000-000083720000}"/>
    <cellStyle name="Heading 1 3 32" xfId="29361" xr:uid="{00000000-0005-0000-0000-000084720000}"/>
    <cellStyle name="Heading 1 3 32 10" xfId="29362" xr:uid="{00000000-0005-0000-0000-000085720000}"/>
    <cellStyle name="Heading 1 3 32 11" xfId="29363" xr:uid="{00000000-0005-0000-0000-000086720000}"/>
    <cellStyle name="Heading 1 3 32 12" xfId="29364" xr:uid="{00000000-0005-0000-0000-000087720000}"/>
    <cellStyle name="Heading 1 3 32 13" xfId="29365" xr:uid="{00000000-0005-0000-0000-000088720000}"/>
    <cellStyle name="Heading 1 3 32 14" xfId="29366" xr:uid="{00000000-0005-0000-0000-000089720000}"/>
    <cellStyle name="Heading 1 3 32 15" xfId="29367" xr:uid="{00000000-0005-0000-0000-00008A720000}"/>
    <cellStyle name="Heading 1 3 32 2" xfId="29368" xr:uid="{00000000-0005-0000-0000-00008B720000}"/>
    <cellStyle name="Heading 1 3 32 3" xfId="29369" xr:uid="{00000000-0005-0000-0000-00008C720000}"/>
    <cellStyle name="Heading 1 3 32 4" xfId="29370" xr:uid="{00000000-0005-0000-0000-00008D720000}"/>
    <cellStyle name="Heading 1 3 32 5" xfId="29371" xr:uid="{00000000-0005-0000-0000-00008E720000}"/>
    <cellStyle name="Heading 1 3 32 6" xfId="29372" xr:uid="{00000000-0005-0000-0000-00008F720000}"/>
    <cellStyle name="Heading 1 3 32 7" xfId="29373" xr:uid="{00000000-0005-0000-0000-000090720000}"/>
    <cellStyle name="Heading 1 3 32 8" xfId="29374" xr:uid="{00000000-0005-0000-0000-000091720000}"/>
    <cellStyle name="Heading 1 3 32 9" xfId="29375" xr:uid="{00000000-0005-0000-0000-000092720000}"/>
    <cellStyle name="Heading 1 3 33" xfId="29376" xr:uid="{00000000-0005-0000-0000-000093720000}"/>
    <cellStyle name="Heading 1 3 34" xfId="29377" xr:uid="{00000000-0005-0000-0000-000094720000}"/>
    <cellStyle name="Heading 1 3 35" xfId="29378" xr:uid="{00000000-0005-0000-0000-000095720000}"/>
    <cellStyle name="Heading 1 3 36" xfId="29379" xr:uid="{00000000-0005-0000-0000-000096720000}"/>
    <cellStyle name="Heading 1 3 37" xfId="29380" xr:uid="{00000000-0005-0000-0000-000097720000}"/>
    <cellStyle name="Heading 1 3 38" xfId="29381" xr:uid="{00000000-0005-0000-0000-000098720000}"/>
    <cellStyle name="Heading 1 3 39" xfId="29382" xr:uid="{00000000-0005-0000-0000-000099720000}"/>
    <cellStyle name="Heading 1 3 4" xfId="29383" xr:uid="{00000000-0005-0000-0000-00009A720000}"/>
    <cellStyle name="Heading 1 3 4 10" xfId="29384" xr:uid="{00000000-0005-0000-0000-00009B720000}"/>
    <cellStyle name="Heading 1 3 4 11" xfId="29385" xr:uid="{00000000-0005-0000-0000-00009C720000}"/>
    <cellStyle name="Heading 1 3 4 12" xfId="29386" xr:uid="{00000000-0005-0000-0000-00009D720000}"/>
    <cellStyle name="Heading 1 3 4 13" xfId="29387" xr:uid="{00000000-0005-0000-0000-00009E720000}"/>
    <cellStyle name="Heading 1 3 4 14" xfId="29388" xr:uid="{00000000-0005-0000-0000-00009F720000}"/>
    <cellStyle name="Heading 1 3 4 15" xfId="29389" xr:uid="{00000000-0005-0000-0000-0000A0720000}"/>
    <cellStyle name="Heading 1 3 4 2" xfId="29390" xr:uid="{00000000-0005-0000-0000-0000A1720000}"/>
    <cellStyle name="Heading 1 3 4 3" xfId="29391" xr:uid="{00000000-0005-0000-0000-0000A2720000}"/>
    <cellStyle name="Heading 1 3 4 4" xfId="29392" xr:uid="{00000000-0005-0000-0000-0000A3720000}"/>
    <cellStyle name="Heading 1 3 4 5" xfId="29393" xr:uid="{00000000-0005-0000-0000-0000A4720000}"/>
    <cellStyle name="Heading 1 3 4 6" xfId="29394" xr:uid="{00000000-0005-0000-0000-0000A5720000}"/>
    <cellStyle name="Heading 1 3 4 7" xfId="29395" xr:uid="{00000000-0005-0000-0000-0000A6720000}"/>
    <cellStyle name="Heading 1 3 4 8" xfId="29396" xr:uid="{00000000-0005-0000-0000-0000A7720000}"/>
    <cellStyle name="Heading 1 3 4 9" xfId="29397" xr:uid="{00000000-0005-0000-0000-0000A8720000}"/>
    <cellStyle name="Heading 1 3 40" xfId="29398" xr:uid="{00000000-0005-0000-0000-0000A9720000}"/>
    <cellStyle name="Heading 1 3 41" xfId="29399" xr:uid="{00000000-0005-0000-0000-0000AA720000}"/>
    <cellStyle name="Heading 1 3 42" xfId="29400" xr:uid="{00000000-0005-0000-0000-0000AB720000}"/>
    <cellStyle name="Heading 1 3 43" xfId="29401" xr:uid="{00000000-0005-0000-0000-0000AC720000}"/>
    <cellStyle name="Heading 1 3 44" xfId="29402" xr:uid="{00000000-0005-0000-0000-0000AD720000}"/>
    <cellStyle name="Heading 1 3 45" xfId="29403" xr:uid="{00000000-0005-0000-0000-0000AE720000}"/>
    <cellStyle name="Heading 1 3 46" xfId="29404" xr:uid="{00000000-0005-0000-0000-0000AF720000}"/>
    <cellStyle name="Heading 1 3 47" xfId="29405" xr:uid="{00000000-0005-0000-0000-0000B0720000}"/>
    <cellStyle name="Heading 1 3 48" xfId="29406" xr:uid="{00000000-0005-0000-0000-0000B1720000}"/>
    <cellStyle name="Heading 1 3 49" xfId="29407" xr:uid="{00000000-0005-0000-0000-0000B2720000}"/>
    <cellStyle name="Heading 1 3 5" xfId="29408" xr:uid="{00000000-0005-0000-0000-0000B3720000}"/>
    <cellStyle name="Heading 1 3 5 10" xfId="29409" xr:uid="{00000000-0005-0000-0000-0000B4720000}"/>
    <cellStyle name="Heading 1 3 5 11" xfId="29410" xr:uid="{00000000-0005-0000-0000-0000B5720000}"/>
    <cellStyle name="Heading 1 3 5 12" xfId="29411" xr:uid="{00000000-0005-0000-0000-0000B6720000}"/>
    <cellStyle name="Heading 1 3 5 13" xfId="29412" xr:uid="{00000000-0005-0000-0000-0000B7720000}"/>
    <cellStyle name="Heading 1 3 5 14" xfId="29413" xr:uid="{00000000-0005-0000-0000-0000B8720000}"/>
    <cellStyle name="Heading 1 3 5 15" xfId="29414" xr:uid="{00000000-0005-0000-0000-0000B9720000}"/>
    <cellStyle name="Heading 1 3 5 2" xfId="29415" xr:uid="{00000000-0005-0000-0000-0000BA720000}"/>
    <cellStyle name="Heading 1 3 5 3" xfId="29416" xr:uid="{00000000-0005-0000-0000-0000BB720000}"/>
    <cellStyle name="Heading 1 3 5 4" xfId="29417" xr:uid="{00000000-0005-0000-0000-0000BC720000}"/>
    <cellStyle name="Heading 1 3 5 5" xfId="29418" xr:uid="{00000000-0005-0000-0000-0000BD720000}"/>
    <cellStyle name="Heading 1 3 5 6" xfId="29419" xr:uid="{00000000-0005-0000-0000-0000BE720000}"/>
    <cellStyle name="Heading 1 3 5 7" xfId="29420" xr:uid="{00000000-0005-0000-0000-0000BF720000}"/>
    <cellStyle name="Heading 1 3 5 8" xfId="29421" xr:uid="{00000000-0005-0000-0000-0000C0720000}"/>
    <cellStyle name="Heading 1 3 5 9" xfId="29422" xr:uid="{00000000-0005-0000-0000-0000C1720000}"/>
    <cellStyle name="Heading 1 3 50" xfId="29423" xr:uid="{00000000-0005-0000-0000-0000C2720000}"/>
    <cellStyle name="Heading 1 3 51" xfId="29424" xr:uid="{00000000-0005-0000-0000-0000C3720000}"/>
    <cellStyle name="Heading 1 3 52" xfId="29425" xr:uid="{00000000-0005-0000-0000-0000C4720000}"/>
    <cellStyle name="Heading 1 3 53" xfId="29426" xr:uid="{00000000-0005-0000-0000-0000C5720000}"/>
    <cellStyle name="Heading 1 3 6" xfId="29427" xr:uid="{00000000-0005-0000-0000-0000C6720000}"/>
    <cellStyle name="Heading 1 3 6 10" xfId="29428" xr:uid="{00000000-0005-0000-0000-0000C7720000}"/>
    <cellStyle name="Heading 1 3 6 11" xfId="29429" xr:uid="{00000000-0005-0000-0000-0000C8720000}"/>
    <cellStyle name="Heading 1 3 6 12" xfId="29430" xr:uid="{00000000-0005-0000-0000-0000C9720000}"/>
    <cellStyle name="Heading 1 3 6 13" xfId="29431" xr:uid="{00000000-0005-0000-0000-0000CA720000}"/>
    <cellStyle name="Heading 1 3 6 14" xfId="29432" xr:uid="{00000000-0005-0000-0000-0000CB720000}"/>
    <cellStyle name="Heading 1 3 6 15" xfId="29433" xr:uid="{00000000-0005-0000-0000-0000CC720000}"/>
    <cellStyle name="Heading 1 3 6 2" xfId="29434" xr:uid="{00000000-0005-0000-0000-0000CD720000}"/>
    <cellStyle name="Heading 1 3 6 3" xfId="29435" xr:uid="{00000000-0005-0000-0000-0000CE720000}"/>
    <cellStyle name="Heading 1 3 6 4" xfId="29436" xr:uid="{00000000-0005-0000-0000-0000CF720000}"/>
    <cellStyle name="Heading 1 3 6 5" xfId="29437" xr:uid="{00000000-0005-0000-0000-0000D0720000}"/>
    <cellStyle name="Heading 1 3 6 6" xfId="29438" xr:uid="{00000000-0005-0000-0000-0000D1720000}"/>
    <cellStyle name="Heading 1 3 6 7" xfId="29439" xr:uid="{00000000-0005-0000-0000-0000D2720000}"/>
    <cellStyle name="Heading 1 3 6 8" xfId="29440" xr:uid="{00000000-0005-0000-0000-0000D3720000}"/>
    <cellStyle name="Heading 1 3 6 9" xfId="29441" xr:uid="{00000000-0005-0000-0000-0000D4720000}"/>
    <cellStyle name="Heading 1 3 7" xfId="29442" xr:uid="{00000000-0005-0000-0000-0000D5720000}"/>
    <cellStyle name="Heading 1 3 7 10" xfId="29443" xr:uid="{00000000-0005-0000-0000-0000D6720000}"/>
    <cellStyle name="Heading 1 3 7 11" xfId="29444" xr:uid="{00000000-0005-0000-0000-0000D7720000}"/>
    <cellStyle name="Heading 1 3 7 12" xfId="29445" xr:uid="{00000000-0005-0000-0000-0000D8720000}"/>
    <cellStyle name="Heading 1 3 7 13" xfId="29446" xr:uid="{00000000-0005-0000-0000-0000D9720000}"/>
    <cellStyle name="Heading 1 3 7 14" xfId="29447" xr:uid="{00000000-0005-0000-0000-0000DA720000}"/>
    <cellStyle name="Heading 1 3 7 15" xfId="29448" xr:uid="{00000000-0005-0000-0000-0000DB720000}"/>
    <cellStyle name="Heading 1 3 7 2" xfId="29449" xr:uid="{00000000-0005-0000-0000-0000DC720000}"/>
    <cellStyle name="Heading 1 3 7 3" xfId="29450" xr:uid="{00000000-0005-0000-0000-0000DD720000}"/>
    <cellStyle name="Heading 1 3 7 4" xfId="29451" xr:uid="{00000000-0005-0000-0000-0000DE720000}"/>
    <cellStyle name="Heading 1 3 7 5" xfId="29452" xr:uid="{00000000-0005-0000-0000-0000DF720000}"/>
    <cellStyle name="Heading 1 3 7 6" xfId="29453" xr:uid="{00000000-0005-0000-0000-0000E0720000}"/>
    <cellStyle name="Heading 1 3 7 7" xfId="29454" xr:uid="{00000000-0005-0000-0000-0000E1720000}"/>
    <cellStyle name="Heading 1 3 7 8" xfId="29455" xr:uid="{00000000-0005-0000-0000-0000E2720000}"/>
    <cellStyle name="Heading 1 3 7 9" xfId="29456" xr:uid="{00000000-0005-0000-0000-0000E3720000}"/>
    <cellStyle name="Heading 1 3 8" xfId="29457" xr:uid="{00000000-0005-0000-0000-0000E4720000}"/>
    <cellStyle name="Heading 1 3 8 10" xfId="29458" xr:uid="{00000000-0005-0000-0000-0000E5720000}"/>
    <cellStyle name="Heading 1 3 8 11" xfId="29459" xr:uid="{00000000-0005-0000-0000-0000E6720000}"/>
    <cellStyle name="Heading 1 3 8 12" xfId="29460" xr:uid="{00000000-0005-0000-0000-0000E7720000}"/>
    <cellStyle name="Heading 1 3 8 13" xfId="29461" xr:uid="{00000000-0005-0000-0000-0000E8720000}"/>
    <cellStyle name="Heading 1 3 8 14" xfId="29462" xr:uid="{00000000-0005-0000-0000-0000E9720000}"/>
    <cellStyle name="Heading 1 3 8 15" xfId="29463" xr:uid="{00000000-0005-0000-0000-0000EA720000}"/>
    <cellStyle name="Heading 1 3 8 2" xfId="29464" xr:uid="{00000000-0005-0000-0000-0000EB720000}"/>
    <cellStyle name="Heading 1 3 8 3" xfId="29465" xr:uid="{00000000-0005-0000-0000-0000EC720000}"/>
    <cellStyle name="Heading 1 3 8 4" xfId="29466" xr:uid="{00000000-0005-0000-0000-0000ED720000}"/>
    <cellStyle name="Heading 1 3 8 5" xfId="29467" xr:uid="{00000000-0005-0000-0000-0000EE720000}"/>
    <cellStyle name="Heading 1 3 8 6" xfId="29468" xr:uid="{00000000-0005-0000-0000-0000EF720000}"/>
    <cellStyle name="Heading 1 3 8 7" xfId="29469" xr:uid="{00000000-0005-0000-0000-0000F0720000}"/>
    <cellStyle name="Heading 1 3 8 8" xfId="29470" xr:uid="{00000000-0005-0000-0000-0000F1720000}"/>
    <cellStyle name="Heading 1 3 8 9" xfId="29471" xr:uid="{00000000-0005-0000-0000-0000F2720000}"/>
    <cellStyle name="Heading 1 3 9" xfId="29472" xr:uid="{00000000-0005-0000-0000-0000F3720000}"/>
    <cellStyle name="Heading 1 3 9 10" xfId="29473" xr:uid="{00000000-0005-0000-0000-0000F4720000}"/>
    <cellStyle name="Heading 1 3 9 11" xfId="29474" xr:uid="{00000000-0005-0000-0000-0000F5720000}"/>
    <cellStyle name="Heading 1 3 9 12" xfId="29475" xr:uid="{00000000-0005-0000-0000-0000F6720000}"/>
    <cellStyle name="Heading 1 3 9 13" xfId="29476" xr:uid="{00000000-0005-0000-0000-0000F7720000}"/>
    <cellStyle name="Heading 1 3 9 14" xfId="29477" xr:uid="{00000000-0005-0000-0000-0000F8720000}"/>
    <cellStyle name="Heading 1 3 9 15" xfId="29478" xr:uid="{00000000-0005-0000-0000-0000F9720000}"/>
    <cellStyle name="Heading 1 3 9 2" xfId="29479" xr:uid="{00000000-0005-0000-0000-0000FA720000}"/>
    <cellStyle name="Heading 1 3 9 3" xfId="29480" xr:uid="{00000000-0005-0000-0000-0000FB720000}"/>
    <cellStyle name="Heading 1 3 9 4" xfId="29481" xr:uid="{00000000-0005-0000-0000-0000FC720000}"/>
    <cellStyle name="Heading 1 3 9 5" xfId="29482" xr:uid="{00000000-0005-0000-0000-0000FD720000}"/>
    <cellStyle name="Heading 1 3 9 6" xfId="29483" xr:uid="{00000000-0005-0000-0000-0000FE720000}"/>
    <cellStyle name="Heading 1 3 9 7" xfId="29484" xr:uid="{00000000-0005-0000-0000-0000FF720000}"/>
    <cellStyle name="Heading 1 3 9 8" xfId="29485" xr:uid="{00000000-0005-0000-0000-000000730000}"/>
    <cellStyle name="Heading 1 3 9 9" xfId="29486" xr:uid="{00000000-0005-0000-0000-000001730000}"/>
    <cellStyle name="Heading 1 30" xfId="29487" xr:uid="{00000000-0005-0000-0000-000002730000}"/>
    <cellStyle name="Heading 1 30 10" xfId="29488" xr:uid="{00000000-0005-0000-0000-000003730000}"/>
    <cellStyle name="Heading 1 30 11" xfId="29489" xr:uid="{00000000-0005-0000-0000-000004730000}"/>
    <cellStyle name="Heading 1 30 12" xfId="29490" xr:uid="{00000000-0005-0000-0000-000005730000}"/>
    <cellStyle name="Heading 1 30 13" xfId="29491" xr:uid="{00000000-0005-0000-0000-000006730000}"/>
    <cellStyle name="Heading 1 30 14" xfId="29492" xr:uid="{00000000-0005-0000-0000-000007730000}"/>
    <cellStyle name="Heading 1 30 15" xfId="29493" xr:uid="{00000000-0005-0000-0000-000008730000}"/>
    <cellStyle name="Heading 1 30 2" xfId="29494" xr:uid="{00000000-0005-0000-0000-000009730000}"/>
    <cellStyle name="Heading 1 30 3" xfId="29495" xr:uid="{00000000-0005-0000-0000-00000A730000}"/>
    <cellStyle name="Heading 1 30 4" xfId="29496" xr:uid="{00000000-0005-0000-0000-00000B730000}"/>
    <cellStyle name="Heading 1 30 5" xfId="29497" xr:uid="{00000000-0005-0000-0000-00000C730000}"/>
    <cellStyle name="Heading 1 30 6" xfId="29498" xr:uid="{00000000-0005-0000-0000-00000D730000}"/>
    <cellStyle name="Heading 1 30 7" xfId="29499" xr:uid="{00000000-0005-0000-0000-00000E730000}"/>
    <cellStyle name="Heading 1 30 8" xfId="29500" xr:uid="{00000000-0005-0000-0000-00000F730000}"/>
    <cellStyle name="Heading 1 30 9" xfId="29501" xr:uid="{00000000-0005-0000-0000-000010730000}"/>
    <cellStyle name="Heading 1 31" xfId="29502" xr:uid="{00000000-0005-0000-0000-000011730000}"/>
    <cellStyle name="Heading 1 31 10" xfId="29503" xr:uid="{00000000-0005-0000-0000-000012730000}"/>
    <cellStyle name="Heading 1 31 11" xfId="29504" xr:uid="{00000000-0005-0000-0000-000013730000}"/>
    <cellStyle name="Heading 1 31 12" xfId="29505" xr:uid="{00000000-0005-0000-0000-000014730000}"/>
    <cellStyle name="Heading 1 31 13" xfId="29506" xr:uid="{00000000-0005-0000-0000-000015730000}"/>
    <cellStyle name="Heading 1 31 14" xfId="29507" xr:uid="{00000000-0005-0000-0000-000016730000}"/>
    <cellStyle name="Heading 1 31 15" xfId="29508" xr:uid="{00000000-0005-0000-0000-000017730000}"/>
    <cellStyle name="Heading 1 31 2" xfId="29509" xr:uid="{00000000-0005-0000-0000-000018730000}"/>
    <cellStyle name="Heading 1 31 3" xfId="29510" xr:uid="{00000000-0005-0000-0000-000019730000}"/>
    <cellStyle name="Heading 1 31 4" xfId="29511" xr:uid="{00000000-0005-0000-0000-00001A730000}"/>
    <cellStyle name="Heading 1 31 5" xfId="29512" xr:uid="{00000000-0005-0000-0000-00001B730000}"/>
    <cellStyle name="Heading 1 31 6" xfId="29513" xr:uid="{00000000-0005-0000-0000-00001C730000}"/>
    <cellStyle name="Heading 1 31 7" xfId="29514" xr:uid="{00000000-0005-0000-0000-00001D730000}"/>
    <cellStyle name="Heading 1 31 8" xfId="29515" xr:uid="{00000000-0005-0000-0000-00001E730000}"/>
    <cellStyle name="Heading 1 31 9" xfId="29516" xr:uid="{00000000-0005-0000-0000-00001F730000}"/>
    <cellStyle name="Heading 1 32" xfId="29517" xr:uid="{00000000-0005-0000-0000-000020730000}"/>
    <cellStyle name="Heading 1 32 10" xfId="29518" xr:uid="{00000000-0005-0000-0000-000021730000}"/>
    <cellStyle name="Heading 1 32 11" xfId="29519" xr:uid="{00000000-0005-0000-0000-000022730000}"/>
    <cellStyle name="Heading 1 32 12" xfId="29520" xr:uid="{00000000-0005-0000-0000-000023730000}"/>
    <cellStyle name="Heading 1 32 13" xfId="29521" xr:uid="{00000000-0005-0000-0000-000024730000}"/>
    <cellStyle name="Heading 1 32 14" xfId="29522" xr:uid="{00000000-0005-0000-0000-000025730000}"/>
    <cellStyle name="Heading 1 32 15" xfId="29523" xr:uid="{00000000-0005-0000-0000-000026730000}"/>
    <cellStyle name="Heading 1 32 2" xfId="29524" xr:uid="{00000000-0005-0000-0000-000027730000}"/>
    <cellStyle name="Heading 1 32 3" xfId="29525" xr:uid="{00000000-0005-0000-0000-000028730000}"/>
    <cellStyle name="Heading 1 32 4" xfId="29526" xr:uid="{00000000-0005-0000-0000-000029730000}"/>
    <cellStyle name="Heading 1 32 5" xfId="29527" xr:uid="{00000000-0005-0000-0000-00002A730000}"/>
    <cellStyle name="Heading 1 32 6" xfId="29528" xr:uid="{00000000-0005-0000-0000-00002B730000}"/>
    <cellStyle name="Heading 1 32 7" xfId="29529" xr:uid="{00000000-0005-0000-0000-00002C730000}"/>
    <cellStyle name="Heading 1 32 8" xfId="29530" xr:uid="{00000000-0005-0000-0000-00002D730000}"/>
    <cellStyle name="Heading 1 32 9" xfId="29531" xr:uid="{00000000-0005-0000-0000-00002E730000}"/>
    <cellStyle name="Heading 1 33" xfId="29532" xr:uid="{00000000-0005-0000-0000-00002F730000}"/>
    <cellStyle name="Heading 1 33 10" xfId="29533" xr:uid="{00000000-0005-0000-0000-000030730000}"/>
    <cellStyle name="Heading 1 33 11" xfId="29534" xr:uid="{00000000-0005-0000-0000-000031730000}"/>
    <cellStyle name="Heading 1 33 12" xfId="29535" xr:uid="{00000000-0005-0000-0000-000032730000}"/>
    <cellStyle name="Heading 1 33 13" xfId="29536" xr:uid="{00000000-0005-0000-0000-000033730000}"/>
    <cellStyle name="Heading 1 33 14" xfId="29537" xr:uid="{00000000-0005-0000-0000-000034730000}"/>
    <cellStyle name="Heading 1 33 15" xfId="29538" xr:uid="{00000000-0005-0000-0000-000035730000}"/>
    <cellStyle name="Heading 1 33 2" xfId="29539" xr:uid="{00000000-0005-0000-0000-000036730000}"/>
    <cellStyle name="Heading 1 33 3" xfId="29540" xr:uid="{00000000-0005-0000-0000-000037730000}"/>
    <cellStyle name="Heading 1 33 4" xfId="29541" xr:uid="{00000000-0005-0000-0000-000038730000}"/>
    <cellStyle name="Heading 1 33 5" xfId="29542" xr:uid="{00000000-0005-0000-0000-000039730000}"/>
    <cellStyle name="Heading 1 33 6" xfId="29543" xr:uid="{00000000-0005-0000-0000-00003A730000}"/>
    <cellStyle name="Heading 1 33 7" xfId="29544" xr:uid="{00000000-0005-0000-0000-00003B730000}"/>
    <cellStyle name="Heading 1 33 8" xfId="29545" xr:uid="{00000000-0005-0000-0000-00003C730000}"/>
    <cellStyle name="Heading 1 33 9" xfId="29546" xr:uid="{00000000-0005-0000-0000-00003D730000}"/>
    <cellStyle name="Heading 1 34" xfId="29547" xr:uid="{00000000-0005-0000-0000-00003E730000}"/>
    <cellStyle name="Heading 1 34 10" xfId="29548" xr:uid="{00000000-0005-0000-0000-00003F730000}"/>
    <cellStyle name="Heading 1 34 11" xfId="29549" xr:uid="{00000000-0005-0000-0000-000040730000}"/>
    <cellStyle name="Heading 1 34 12" xfId="29550" xr:uid="{00000000-0005-0000-0000-000041730000}"/>
    <cellStyle name="Heading 1 34 13" xfId="29551" xr:uid="{00000000-0005-0000-0000-000042730000}"/>
    <cellStyle name="Heading 1 34 14" xfId="29552" xr:uid="{00000000-0005-0000-0000-000043730000}"/>
    <cellStyle name="Heading 1 34 15" xfId="29553" xr:uid="{00000000-0005-0000-0000-000044730000}"/>
    <cellStyle name="Heading 1 34 2" xfId="29554" xr:uid="{00000000-0005-0000-0000-000045730000}"/>
    <cellStyle name="Heading 1 34 3" xfId="29555" xr:uid="{00000000-0005-0000-0000-000046730000}"/>
    <cellStyle name="Heading 1 34 4" xfId="29556" xr:uid="{00000000-0005-0000-0000-000047730000}"/>
    <cellStyle name="Heading 1 34 5" xfId="29557" xr:uid="{00000000-0005-0000-0000-000048730000}"/>
    <cellStyle name="Heading 1 34 6" xfId="29558" xr:uid="{00000000-0005-0000-0000-000049730000}"/>
    <cellStyle name="Heading 1 34 7" xfId="29559" xr:uid="{00000000-0005-0000-0000-00004A730000}"/>
    <cellStyle name="Heading 1 34 8" xfId="29560" xr:uid="{00000000-0005-0000-0000-00004B730000}"/>
    <cellStyle name="Heading 1 34 9" xfId="29561" xr:uid="{00000000-0005-0000-0000-00004C730000}"/>
    <cellStyle name="Heading 1 35" xfId="29562" xr:uid="{00000000-0005-0000-0000-00004D730000}"/>
    <cellStyle name="Heading 1 35 10" xfId="29563" xr:uid="{00000000-0005-0000-0000-00004E730000}"/>
    <cellStyle name="Heading 1 35 11" xfId="29564" xr:uid="{00000000-0005-0000-0000-00004F730000}"/>
    <cellStyle name="Heading 1 35 12" xfId="29565" xr:uid="{00000000-0005-0000-0000-000050730000}"/>
    <cellStyle name="Heading 1 35 13" xfId="29566" xr:uid="{00000000-0005-0000-0000-000051730000}"/>
    <cellStyle name="Heading 1 35 14" xfId="29567" xr:uid="{00000000-0005-0000-0000-000052730000}"/>
    <cellStyle name="Heading 1 35 15" xfId="29568" xr:uid="{00000000-0005-0000-0000-000053730000}"/>
    <cellStyle name="Heading 1 35 2" xfId="29569" xr:uid="{00000000-0005-0000-0000-000054730000}"/>
    <cellStyle name="Heading 1 35 3" xfId="29570" xr:uid="{00000000-0005-0000-0000-000055730000}"/>
    <cellStyle name="Heading 1 35 4" xfId="29571" xr:uid="{00000000-0005-0000-0000-000056730000}"/>
    <cellStyle name="Heading 1 35 5" xfId="29572" xr:uid="{00000000-0005-0000-0000-000057730000}"/>
    <cellStyle name="Heading 1 35 6" xfId="29573" xr:uid="{00000000-0005-0000-0000-000058730000}"/>
    <cellStyle name="Heading 1 35 7" xfId="29574" xr:uid="{00000000-0005-0000-0000-000059730000}"/>
    <cellStyle name="Heading 1 35 8" xfId="29575" xr:uid="{00000000-0005-0000-0000-00005A730000}"/>
    <cellStyle name="Heading 1 35 9" xfId="29576" xr:uid="{00000000-0005-0000-0000-00005B730000}"/>
    <cellStyle name="Heading 1 36" xfId="29577" xr:uid="{00000000-0005-0000-0000-00005C730000}"/>
    <cellStyle name="Heading 1 36 10" xfId="29578" xr:uid="{00000000-0005-0000-0000-00005D730000}"/>
    <cellStyle name="Heading 1 36 11" xfId="29579" xr:uid="{00000000-0005-0000-0000-00005E730000}"/>
    <cellStyle name="Heading 1 36 12" xfId="29580" xr:uid="{00000000-0005-0000-0000-00005F730000}"/>
    <cellStyle name="Heading 1 36 13" xfId="29581" xr:uid="{00000000-0005-0000-0000-000060730000}"/>
    <cellStyle name="Heading 1 36 14" xfId="29582" xr:uid="{00000000-0005-0000-0000-000061730000}"/>
    <cellStyle name="Heading 1 36 15" xfId="29583" xr:uid="{00000000-0005-0000-0000-000062730000}"/>
    <cellStyle name="Heading 1 36 2" xfId="29584" xr:uid="{00000000-0005-0000-0000-000063730000}"/>
    <cellStyle name="Heading 1 36 3" xfId="29585" xr:uid="{00000000-0005-0000-0000-000064730000}"/>
    <cellStyle name="Heading 1 36 4" xfId="29586" xr:uid="{00000000-0005-0000-0000-000065730000}"/>
    <cellStyle name="Heading 1 36 5" xfId="29587" xr:uid="{00000000-0005-0000-0000-000066730000}"/>
    <cellStyle name="Heading 1 36 6" xfId="29588" xr:uid="{00000000-0005-0000-0000-000067730000}"/>
    <cellStyle name="Heading 1 36 7" xfId="29589" xr:uid="{00000000-0005-0000-0000-000068730000}"/>
    <cellStyle name="Heading 1 36 8" xfId="29590" xr:uid="{00000000-0005-0000-0000-000069730000}"/>
    <cellStyle name="Heading 1 36 9" xfId="29591" xr:uid="{00000000-0005-0000-0000-00006A730000}"/>
    <cellStyle name="Heading 1 37" xfId="29592" xr:uid="{00000000-0005-0000-0000-00006B730000}"/>
    <cellStyle name="Heading 1 37 10" xfId="29593" xr:uid="{00000000-0005-0000-0000-00006C730000}"/>
    <cellStyle name="Heading 1 37 11" xfId="29594" xr:uid="{00000000-0005-0000-0000-00006D730000}"/>
    <cellStyle name="Heading 1 37 12" xfId="29595" xr:uid="{00000000-0005-0000-0000-00006E730000}"/>
    <cellStyle name="Heading 1 37 13" xfId="29596" xr:uid="{00000000-0005-0000-0000-00006F730000}"/>
    <cellStyle name="Heading 1 37 14" xfId="29597" xr:uid="{00000000-0005-0000-0000-000070730000}"/>
    <cellStyle name="Heading 1 37 15" xfId="29598" xr:uid="{00000000-0005-0000-0000-000071730000}"/>
    <cellStyle name="Heading 1 37 2" xfId="29599" xr:uid="{00000000-0005-0000-0000-000072730000}"/>
    <cellStyle name="Heading 1 37 3" xfId="29600" xr:uid="{00000000-0005-0000-0000-000073730000}"/>
    <cellStyle name="Heading 1 37 4" xfId="29601" xr:uid="{00000000-0005-0000-0000-000074730000}"/>
    <cellStyle name="Heading 1 37 5" xfId="29602" xr:uid="{00000000-0005-0000-0000-000075730000}"/>
    <cellStyle name="Heading 1 37 6" xfId="29603" xr:uid="{00000000-0005-0000-0000-000076730000}"/>
    <cellStyle name="Heading 1 37 7" xfId="29604" xr:uid="{00000000-0005-0000-0000-000077730000}"/>
    <cellStyle name="Heading 1 37 8" xfId="29605" xr:uid="{00000000-0005-0000-0000-000078730000}"/>
    <cellStyle name="Heading 1 37 9" xfId="29606" xr:uid="{00000000-0005-0000-0000-000079730000}"/>
    <cellStyle name="Heading 1 38" xfId="29607" xr:uid="{00000000-0005-0000-0000-00007A730000}"/>
    <cellStyle name="Heading 1 38 10" xfId="29608" xr:uid="{00000000-0005-0000-0000-00007B730000}"/>
    <cellStyle name="Heading 1 38 11" xfId="29609" xr:uid="{00000000-0005-0000-0000-00007C730000}"/>
    <cellStyle name="Heading 1 38 12" xfId="29610" xr:uid="{00000000-0005-0000-0000-00007D730000}"/>
    <cellStyle name="Heading 1 38 13" xfId="29611" xr:uid="{00000000-0005-0000-0000-00007E730000}"/>
    <cellStyle name="Heading 1 38 14" xfId="29612" xr:uid="{00000000-0005-0000-0000-00007F730000}"/>
    <cellStyle name="Heading 1 38 15" xfId="29613" xr:uid="{00000000-0005-0000-0000-000080730000}"/>
    <cellStyle name="Heading 1 38 2" xfId="29614" xr:uid="{00000000-0005-0000-0000-000081730000}"/>
    <cellStyle name="Heading 1 38 3" xfId="29615" xr:uid="{00000000-0005-0000-0000-000082730000}"/>
    <cellStyle name="Heading 1 38 4" xfId="29616" xr:uid="{00000000-0005-0000-0000-000083730000}"/>
    <cellStyle name="Heading 1 38 5" xfId="29617" xr:uid="{00000000-0005-0000-0000-000084730000}"/>
    <cellStyle name="Heading 1 38 6" xfId="29618" xr:uid="{00000000-0005-0000-0000-000085730000}"/>
    <cellStyle name="Heading 1 38 7" xfId="29619" xr:uid="{00000000-0005-0000-0000-000086730000}"/>
    <cellStyle name="Heading 1 38 8" xfId="29620" xr:uid="{00000000-0005-0000-0000-000087730000}"/>
    <cellStyle name="Heading 1 38 9" xfId="29621" xr:uid="{00000000-0005-0000-0000-000088730000}"/>
    <cellStyle name="Heading 1 39" xfId="29622" xr:uid="{00000000-0005-0000-0000-000089730000}"/>
    <cellStyle name="Heading 1 39 10" xfId="29623" xr:uid="{00000000-0005-0000-0000-00008A730000}"/>
    <cellStyle name="Heading 1 39 11" xfId="29624" xr:uid="{00000000-0005-0000-0000-00008B730000}"/>
    <cellStyle name="Heading 1 39 12" xfId="29625" xr:uid="{00000000-0005-0000-0000-00008C730000}"/>
    <cellStyle name="Heading 1 39 13" xfId="29626" xr:uid="{00000000-0005-0000-0000-00008D730000}"/>
    <cellStyle name="Heading 1 39 14" xfId="29627" xr:uid="{00000000-0005-0000-0000-00008E730000}"/>
    <cellStyle name="Heading 1 39 15" xfId="29628" xr:uid="{00000000-0005-0000-0000-00008F730000}"/>
    <cellStyle name="Heading 1 39 2" xfId="29629" xr:uid="{00000000-0005-0000-0000-000090730000}"/>
    <cellStyle name="Heading 1 39 3" xfId="29630" xr:uid="{00000000-0005-0000-0000-000091730000}"/>
    <cellStyle name="Heading 1 39 4" xfId="29631" xr:uid="{00000000-0005-0000-0000-000092730000}"/>
    <cellStyle name="Heading 1 39 5" xfId="29632" xr:uid="{00000000-0005-0000-0000-000093730000}"/>
    <cellStyle name="Heading 1 39 6" xfId="29633" xr:uid="{00000000-0005-0000-0000-000094730000}"/>
    <cellStyle name="Heading 1 39 7" xfId="29634" xr:uid="{00000000-0005-0000-0000-000095730000}"/>
    <cellStyle name="Heading 1 39 8" xfId="29635" xr:uid="{00000000-0005-0000-0000-000096730000}"/>
    <cellStyle name="Heading 1 39 9" xfId="29636" xr:uid="{00000000-0005-0000-0000-000097730000}"/>
    <cellStyle name="Heading 1 4" xfId="29637" xr:uid="{00000000-0005-0000-0000-000098730000}"/>
    <cellStyle name="Heading 1 4 2" xfId="29638" xr:uid="{00000000-0005-0000-0000-000099730000}"/>
    <cellStyle name="Heading 1 4 2 2" xfId="29639" xr:uid="{00000000-0005-0000-0000-00009A730000}"/>
    <cellStyle name="Heading 1 4 3" xfId="29640" xr:uid="{00000000-0005-0000-0000-00009B730000}"/>
    <cellStyle name="Heading 1 4 3 2" xfId="29641" xr:uid="{00000000-0005-0000-0000-00009C730000}"/>
    <cellStyle name="Heading 1 4 4" xfId="29642" xr:uid="{00000000-0005-0000-0000-00009D730000}"/>
    <cellStyle name="Heading 1 4 4 2" xfId="29643" xr:uid="{00000000-0005-0000-0000-00009E730000}"/>
    <cellStyle name="Heading 1 4 5" xfId="29644" xr:uid="{00000000-0005-0000-0000-00009F730000}"/>
    <cellStyle name="Heading 1 4 5 2" xfId="29645" xr:uid="{00000000-0005-0000-0000-0000A0730000}"/>
    <cellStyle name="Heading 1 4 6" xfId="29646" xr:uid="{00000000-0005-0000-0000-0000A1730000}"/>
    <cellStyle name="Heading 1 4 6 2" xfId="29647" xr:uid="{00000000-0005-0000-0000-0000A2730000}"/>
    <cellStyle name="Heading 1 4 7" xfId="29648" xr:uid="{00000000-0005-0000-0000-0000A3730000}"/>
    <cellStyle name="Heading 1 40" xfId="29649" xr:uid="{00000000-0005-0000-0000-0000A4730000}"/>
    <cellStyle name="Heading 1 41" xfId="29650" xr:uid="{00000000-0005-0000-0000-0000A5730000}"/>
    <cellStyle name="Heading 1 42" xfId="29651" xr:uid="{00000000-0005-0000-0000-0000A6730000}"/>
    <cellStyle name="Heading 1 43" xfId="29652" xr:uid="{00000000-0005-0000-0000-0000A7730000}"/>
    <cellStyle name="Heading 1 44" xfId="29653" xr:uid="{00000000-0005-0000-0000-0000A8730000}"/>
    <cellStyle name="Heading 1 45" xfId="29654" xr:uid="{00000000-0005-0000-0000-0000A9730000}"/>
    <cellStyle name="Heading 1 46" xfId="29655" xr:uid="{00000000-0005-0000-0000-0000AA730000}"/>
    <cellStyle name="Heading 1 47" xfId="29656" xr:uid="{00000000-0005-0000-0000-0000AB730000}"/>
    <cellStyle name="Heading 1 48" xfId="29657" xr:uid="{00000000-0005-0000-0000-0000AC730000}"/>
    <cellStyle name="Heading 1 49" xfId="29658" xr:uid="{00000000-0005-0000-0000-0000AD730000}"/>
    <cellStyle name="Heading 1 5" xfId="29659" xr:uid="{00000000-0005-0000-0000-0000AE730000}"/>
    <cellStyle name="Heading 1 5 2" xfId="29660" xr:uid="{00000000-0005-0000-0000-0000AF730000}"/>
    <cellStyle name="Heading 1 5 2 2" xfId="29661" xr:uid="{00000000-0005-0000-0000-0000B0730000}"/>
    <cellStyle name="Heading 1 5 2 3" xfId="29662" xr:uid="{00000000-0005-0000-0000-0000B1730000}"/>
    <cellStyle name="Heading 1 5 2 4" xfId="29663" xr:uid="{00000000-0005-0000-0000-0000B2730000}"/>
    <cellStyle name="Heading 1 5 3" xfId="29664" xr:uid="{00000000-0005-0000-0000-0000B3730000}"/>
    <cellStyle name="Heading 1 5 3 2" xfId="29665" xr:uid="{00000000-0005-0000-0000-0000B4730000}"/>
    <cellStyle name="Heading 1 5 3 3" xfId="29666" xr:uid="{00000000-0005-0000-0000-0000B5730000}"/>
    <cellStyle name="Heading 1 5 4" xfId="29667" xr:uid="{00000000-0005-0000-0000-0000B6730000}"/>
    <cellStyle name="Heading 1 50" xfId="29668" xr:uid="{00000000-0005-0000-0000-0000B7730000}"/>
    <cellStyle name="Heading 1 51" xfId="29669" xr:uid="{00000000-0005-0000-0000-0000B8730000}"/>
    <cellStyle name="Heading 1 52" xfId="29670" xr:uid="{00000000-0005-0000-0000-0000B9730000}"/>
    <cellStyle name="Heading 1 53" xfId="29671" xr:uid="{00000000-0005-0000-0000-0000BA730000}"/>
    <cellStyle name="Heading 1 54" xfId="29672" xr:uid="{00000000-0005-0000-0000-0000BB730000}"/>
    <cellStyle name="Heading 1 55" xfId="29673" xr:uid="{00000000-0005-0000-0000-0000BC730000}"/>
    <cellStyle name="Heading 1 56" xfId="29674" xr:uid="{00000000-0005-0000-0000-0000BD730000}"/>
    <cellStyle name="Heading 1 57" xfId="29675" xr:uid="{00000000-0005-0000-0000-0000BE730000}"/>
    <cellStyle name="Heading 1 58" xfId="29676" xr:uid="{00000000-0005-0000-0000-0000BF730000}"/>
    <cellStyle name="Heading 1 59" xfId="29677" xr:uid="{00000000-0005-0000-0000-0000C0730000}"/>
    <cellStyle name="Heading 1 6" xfId="29678" xr:uid="{00000000-0005-0000-0000-0000C1730000}"/>
    <cellStyle name="Heading 1 6 2" xfId="29679" xr:uid="{00000000-0005-0000-0000-0000C2730000}"/>
    <cellStyle name="Heading 1 60" xfId="29680" xr:uid="{00000000-0005-0000-0000-0000C3730000}"/>
    <cellStyle name="Heading 1 61" xfId="29681" xr:uid="{00000000-0005-0000-0000-0000C4730000}"/>
    <cellStyle name="Heading 1 62" xfId="29682" xr:uid="{00000000-0005-0000-0000-0000C5730000}"/>
    <cellStyle name="Heading 1 63" xfId="29683" xr:uid="{00000000-0005-0000-0000-0000C6730000}"/>
    <cellStyle name="Heading 1 64" xfId="29684" xr:uid="{00000000-0005-0000-0000-0000C7730000}"/>
    <cellStyle name="Heading 1 65" xfId="29685" xr:uid="{00000000-0005-0000-0000-0000C8730000}"/>
    <cellStyle name="Heading 1 66" xfId="29686" xr:uid="{00000000-0005-0000-0000-0000C9730000}"/>
    <cellStyle name="Heading 1 67" xfId="29687" xr:uid="{00000000-0005-0000-0000-0000CA730000}"/>
    <cellStyle name="Heading 1 68" xfId="29688" xr:uid="{00000000-0005-0000-0000-0000CB730000}"/>
    <cellStyle name="Heading 1 69" xfId="29689" xr:uid="{00000000-0005-0000-0000-0000CC730000}"/>
    <cellStyle name="Heading 1 7" xfId="29690" xr:uid="{00000000-0005-0000-0000-0000CD730000}"/>
    <cellStyle name="Heading 1 7 2" xfId="29691" xr:uid="{00000000-0005-0000-0000-0000CE730000}"/>
    <cellStyle name="Heading 1 70" xfId="29692" xr:uid="{00000000-0005-0000-0000-0000CF730000}"/>
    <cellStyle name="Heading 1 71" xfId="29693" xr:uid="{00000000-0005-0000-0000-0000D0730000}"/>
    <cellStyle name="Heading 1 72" xfId="29694" xr:uid="{00000000-0005-0000-0000-0000D1730000}"/>
    <cellStyle name="Heading 1 73" xfId="29695" xr:uid="{00000000-0005-0000-0000-0000D2730000}"/>
    <cellStyle name="Heading 1 74" xfId="29696" xr:uid="{00000000-0005-0000-0000-0000D3730000}"/>
    <cellStyle name="Heading 1 75" xfId="29697" xr:uid="{00000000-0005-0000-0000-0000D4730000}"/>
    <cellStyle name="Heading 1 76" xfId="29698" xr:uid="{00000000-0005-0000-0000-0000D5730000}"/>
    <cellStyle name="Heading 1 77" xfId="29699" xr:uid="{00000000-0005-0000-0000-0000D6730000}"/>
    <cellStyle name="Heading 1 78" xfId="29700" xr:uid="{00000000-0005-0000-0000-0000D7730000}"/>
    <cellStyle name="Heading 1 79" xfId="29701" xr:uid="{00000000-0005-0000-0000-0000D8730000}"/>
    <cellStyle name="Heading 1 79 2" xfId="29702" xr:uid="{00000000-0005-0000-0000-0000D9730000}"/>
    <cellStyle name="Heading 1 8" xfId="29703" xr:uid="{00000000-0005-0000-0000-0000DA730000}"/>
    <cellStyle name="Heading 1 8 2" xfId="29704" xr:uid="{00000000-0005-0000-0000-0000DB730000}"/>
    <cellStyle name="Heading 1 80" xfId="29705" xr:uid="{00000000-0005-0000-0000-0000DC730000}"/>
    <cellStyle name="Heading 1 80 2" xfId="29706" xr:uid="{00000000-0005-0000-0000-0000DD730000}"/>
    <cellStyle name="Heading 1 81" xfId="29707" xr:uid="{00000000-0005-0000-0000-0000DE730000}"/>
    <cellStyle name="Heading 1 81 2" xfId="29708" xr:uid="{00000000-0005-0000-0000-0000DF730000}"/>
    <cellStyle name="Heading 1 82" xfId="29709" xr:uid="{00000000-0005-0000-0000-0000E0730000}"/>
    <cellStyle name="Heading 1 82 2" xfId="29710" xr:uid="{00000000-0005-0000-0000-0000E1730000}"/>
    <cellStyle name="Heading 1 83" xfId="29711" xr:uid="{00000000-0005-0000-0000-0000E2730000}"/>
    <cellStyle name="Heading 1 83 2" xfId="29712" xr:uid="{00000000-0005-0000-0000-0000E3730000}"/>
    <cellStyle name="Heading 1 84" xfId="29713" xr:uid="{00000000-0005-0000-0000-0000E4730000}"/>
    <cellStyle name="Heading 1 84 2" xfId="29714" xr:uid="{00000000-0005-0000-0000-0000E5730000}"/>
    <cellStyle name="Heading 1 85" xfId="29715" xr:uid="{00000000-0005-0000-0000-0000E6730000}"/>
    <cellStyle name="Heading 1 85 2" xfId="29716" xr:uid="{00000000-0005-0000-0000-0000E7730000}"/>
    <cellStyle name="Heading 1 86" xfId="29717" xr:uid="{00000000-0005-0000-0000-0000E8730000}"/>
    <cellStyle name="Heading 1 86 2" xfId="29718" xr:uid="{00000000-0005-0000-0000-0000E9730000}"/>
    <cellStyle name="Heading 1 87" xfId="29719" xr:uid="{00000000-0005-0000-0000-0000EA730000}"/>
    <cellStyle name="Heading 1 87 2" xfId="29720" xr:uid="{00000000-0005-0000-0000-0000EB730000}"/>
    <cellStyle name="Heading 1 88" xfId="29721" xr:uid="{00000000-0005-0000-0000-0000EC730000}"/>
    <cellStyle name="Heading 1 88 2" xfId="29722" xr:uid="{00000000-0005-0000-0000-0000ED730000}"/>
    <cellStyle name="Heading 1 89" xfId="29723" xr:uid="{00000000-0005-0000-0000-0000EE730000}"/>
    <cellStyle name="Heading 1 89 2" xfId="29724" xr:uid="{00000000-0005-0000-0000-0000EF730000}"/>
    <cellStyle name="Heading 1 9" xfId="29725" xr:uid="{00000000-0005-0000-0000-0000F0730000}"/>
    <cellStyle name="Heading 1 9 2" xfId="29726" xr:uid="{00000000-0005-0000-0000-0000F1730000}"/>
    <cellStyle name="Heading 1 90" xfId="29727" xr:uid="{00000000-0005-0000-0000-0000F2730000}"/>
    <cellStyle name="Heading 1 91" xfId="29728" xr:uid="{00000000-0005-0000-0000-0000F3730000}"/>
    <cellStyle name="Heading 1 92" xfId="29729" xr:uid="{00000000-0005-0000-0000-0000F4730000}"/>
    <cellStyle name="Heading 1 93" xfId="29730" xr:uid="{00000000-0005-0000-0000-0000F5730000}"/>
    <cellStyle name="Heading 1 94" xfId="29731" xr:uid="{00000000-0005-0000-0000-0000F6730000}"/>
    <cellStyle name="Heading 1 95" xfId="29732" xr:uid="{00000000-0005-0000-0000-0000F7730000}"/>
    <cellStyle name="Heading 1 96" xfId="29733" xr:uid="{00000000-0005-0000-0000-0000F8730000}"/>
    <cellStyle name="Heading 1 97" xfId="29734" xr:uid="{00000000-0005-0000-0000-0000F9730000}"/>
    <cellStyle name="Heading 1 98" xfId="29735" xr:uid="{00000000-0005-0000-0000-0000FA730000}"/>
    <cellStyle name="Heading 1 99" xfId="29736" xr:uid="{00000000-0005-0000-0000-0000FB730000}"/>
    <cellStyle name="Heading 2" xfId="3" builtinId="17" hidden="1" customBuiltin="1"/>
    <cellStyle name="Heading 2" xfId="50" builtinId="17" hidden="1" customBuiltin="1"/>
    <cellStyle name="Heading 2" xfId="72" builtinId="17" customBuiltin="1"/>
    <cellStyle name="Heading 2 10" xfId="29737" xr:uid="{00000000-0005-0000-0000-0000FF730000}"/>
    <cellStyle name="Heading 2 10 2" xfId="29738" xr:uid="{00000000-0005-0000-0000-000000740000}"/>
    <cellStyle name="Heading 2 100" xfId="29739" xr:uid="{00000000-0005-0000-0000-000001740000}"/>
    <cellStyle name="Heading 2 101" xfId="29740" xr:uid="{00000000-0005-0000-0000-000002740000}"/>
    <cellStyle name="Heading 2 102" xfId="29741" xr:uid="{00000000-0005-0000-0000-000003740000}"/>
    <cellStyle name="Heading 2 103" xfId="29742" xr:uid="{00000000-0005-0000-0000-000004740000}"/>
    <cellStyle name="Heading 2 104" xfId="29743" xr:uid="{00000000-0005-0000-0000-000005740000}"/>
    <cellStyle name="Heading 2 105" xfId="29744" xr:uid="{00000000-0005-0000-0000-000006740000}"/>
    <cellStyle name="Heading 2 106" xfId="29745" xr:uid="{00000000-0005-0000-0000-000007740000}"/>
    <cellStyle name="Heading 2 107" xfId="29746" xr:uid="{00000000-0005-0000-0000-000008740000}"/>
    <cellStyle name="Heading 2 108" xfId="29747" xr:uid="{00000000-0005-0000-0000-000009740000}"/>
    <cellStyle name="Heading 2 109" xfId="29748" xr:uid="{00000000-0005-0000-0000-00000A740000}"/>
    <cellStyle name="Heading 2 11" xfId="29749" xr:uid="{00000000-0005-0000-0000-00000B740000}"/>
    <cellStyle name="Heading 2 11 2" xfId="29750" xr:uid="{00000000-0005-0000-0000-00000C740000}"/>
    <cellStyle name="Heading 2 110" xfId="29751" xr:uid="{00000000-0005-0000-0000-00000D740000}"/>
    <cellStyle name="Heading 2 111" xfId="29752" xr:uid="{00000000-0005-0000-0000-00000E740000}"/>
    <cellStyle name="Heading 2 112" xfId="29753" xr:uid="{00000000-0005-0000-0000-00000F740000}"/>
    <cellStyle name="Heading 2 113" xfId="29754" xr:uid="{00000000-0005-0000-0000-000010740000}"/>
    <cellStyle name="Heading 2 114" xfId="29755" xr:uid="{00000000-0005-0000-0000-000011740000}"/>
    <cellStyle name="Heading 2 115" xfId="29756" xr:uid="{00000000-0005-0000-0000-000012740000}"/>
    <cellStyle name="Heading 2 116" xfId="29757" xr:uid="{00000000-0005-0000-0000-000013740000}"/>
    <cellStyle name="Heading 2 117" xfId="29758" xr:uid="{00000000-0005-0000-0000-000014740000}"/>
    <cellStyle name="Heading 2 118" xfId="29759" xr:uid="{00000000-0005-0000-0000-000015740000}"/>
    <cellStyle name="Heading 2 119" xfId="29760" xr:uid="{00000000-0005-0000-0000-000016740000}"/>
    <cellStyle name="Heading 2 12" xfId="29761" xr:uid="{00000000-0005-0000-0000-000017740000}"/>
    <cellStyle name="Heading 2 12 2" xfId="29762" xr:uid="{00000000-0005-0000-0000-000018740000}"/>
    <cellStyle name="Heading 2 120" xfId="29763" xr:uid="{00000000-0005-0000-0000-000019740000}"/>
    <cellStyle name="Heading 2 121" xfId="29764" xr:uid="{00000000-0005-0000-0000-00001A740000}"/>
    <cellStyle name="Heading 2 122" xfId="29765" xr:uid="{00000000-0005-0000-0000-00001B740000}"/>
    <cellStyle name="Heading 2 123" xfId="29766" xr:uid="{00000000-0005-0000-0000-00001C740000}"/>
    <cellStyle name="Heading 2 124" xfId="29767" xr:uid="{00000000-0005-0000-0000-00001D740000}"/>
    <cellStyle name="Heading 2 125" xfId="29768" xr:uid="{00000000-0005-0000-0000-00001E740000}"/>
    <cellStyle name="Heading 2 126" xfId="29769" xr:uid="{00000000-0005-0000-0000-00001F740000}"/>
    <cellStyle name="Heading 2 127" xfId="29770" xr:uid="{00000000-0005-0000-0000-000020740000}"/>
    <cellStyle name="Heading 2 128" xfId="29771" xr:uid="{00000000-0005-0000-0000-000021740000}"/>
    <cellStyle name="Heading 2 129" xfId="29772" xr:uid="{00000000-0005-0000-0000-000022740000}"/>
    <cellStyle name="Heading 2 13" xfId="29773" xr:uid="{00000000-0005-0000-0000-000023740000}"/>
    <cellStyle name="Heading 2 13 2" xfId="29774" xr:uid="{00000000-0005-0000-0000-000024740000}"/>
    <cellStyle name="Heading 2 130" xfId="29775" xr:uid="{00000000-0005-0000-0000-000025740000}"/>
    <cellStyle name="Heading 2 131" xfId="29776" xr:uid="{00000000-0005-0000-0000-000026740000}"/>
    <cellStyle name="Heading 2 132" xfId="29777" xr:uid="{00000000-0005-0000-0000-000027740000}"/>
    <cellStyle name="Heading 2 133" xfId="29778" xr:uid="{00000000-0005-0000-0000-000028740000}"/>
    <cellStyle name="Heading 2 134" xfId="29779" xr:uid="{00000000-0005-0000-0000-000029740000}"/>
    <cellStyle name="Heading 2 135" xfId="29780" xr:uid="{00000000-0005-0000-0000-00002A740000}"/>
    <cellStyle name="Heading 2 136" xfId="29781" xr:uid="{00000000-0005-0000-0000-00002B740000}"/>
    <cellStyle name="Heading 2 137" xfId="29782" xr:uid="{00000000-0005-0000-0000-00002C740000}"/>
    <cellStyle name="Heading 2 138" xfId="29783" xr:uid="{00000000-0005-0000-0000-00002D740000}"/>
    <cellStyle name="Heading 2 139" xfId="29784" xr:uid="{00000000-0005-0000-0000-00002E740000}"/>
    <cellStyle name="Heading 2 14" xfId="29785" xr:uid="{00000000-0005-0000-0000-00002F740000}"/>
    <cellStyle name="Heading 2 14 2" xfId="29786" xr:uid="{00000000-0005-0000-0000-000030740000}"/>
    <cellStyle name="Heading 2 140" xfId="29787" xr:uid="{00000000-0005-0000-0000-000031740000}"/>
    <cellStyle name="Heading 2 141" xfId="29788" xr:uid="{00000000-0005-0000-0000-000032740000}"/>
    <cellStyle name="Heading 2 142" xfId="29789" xr:uid="{00000000-0005-0000-0000-000033740000}"/>
    <cellStyle name="Heading 2 143" xfId="29790" xr:uid="{00000000-0005-0000-0000-000034740000}"/>
    <cellStyle name="Heading 2 144" xfId="29791" xr:uid="{00000000-0005-0000-0000-000035740000}"/>
    <cellStyle name="Heading 2 145" xfId="29792" xr:uid="{00000000-0005-0000-0000-000036740000}"/>
    <cellStyle name="Heading 2 146" xfId="29793" xr:uid="{00000000-0005-0000-0000-000037740000}"/>
    <cellStyle name="Heading 2 147" xfId="29794" xr:uid="{00000000-0005-0000-0000-000038740000}"/>
    <cellStyle name="Heading 2 148" xfId="29795" xr:uid="{00000000-0005-0000-0000-000039740000}"/>
    <cellStyle name="Heading 2 149" xfId="29796" xr:uid="{00000000-0005-0000-0000-00003A740000}"/>
    <cellStyle name="Heading 2 15" xfId="29797" xr:uid="{00000000-0005-0000-0000-00003B740000}"/>
    <cellStyle name="Heading 2 15 2" xfId="29798" xr:uid="{00000000-0005-0000-0000-00003C740000}"/>
    <cellStyle name="Heading 2 150" xfId="29799" xr:uid="{00000000-0005-0000-0000-00003D740000}"/>
    <cellStyle name="Heading 2 151" xfId="29800" xr:uid="{00000000-0005-0000-0000-00003E740000}"/>
    <cellStyle name="Heading 2 152" xfId="29801" xr:uid="{00000000-0005-0000-0000-00003F740000}"/>
    <cellStyle name="Heading 2 153" xfId="29802" xr:uid="{00000000-0005-0000-0000-000040740000}"/>
    <cellStyle name="Heading 2 154" xfId="29803" xr:uid="{00000000-0005-0000-0000-000041740000}"/>
    <cellStyle name="Heading 2 155" xfId="29804" xr:uid="{00000000-0005-0000-0000-000042740000}"/>
    <cellStyle name="Heading 2 156" xfId="29805" xr:uid="{00000000-0005-0000-0000-000043740000}"/>
    <cellStyle name="Heading 2 157" xfId="29806" xr:uid="{00000000-0005-0000-0000-000044740000}"/>
    <cellStyle name="Heading 2 158" xfId="29807" xr:uid="{00000000-0005-0000-0000-000045740000}"/>
    <cellStyle name="Heading 2 159" xfId="29808" xr:uid="{00000000-0005-0000-0000-000046740000}"/>
    <cellStyle name="Heading 2 16" xfId="29809" xr:uid="{00000000-0005-0000-0000-000047740000}"/>
    <cellStyle name="Heading 2 160" xfId="29810" xr:uid="{00000000-0005-0000-0000-000048740000}"/>
    <cellStyle name="Heading 2 161" xfId="29811" xr:uid="{00000000-0005-0000-0000-000049740000}"/>
    <cellStyle name="Heading 2 162" xfId="29812" xr:uid="{00000000-0005-0000-0000-00004A740000}"/>
    <cellStyle name="Heading 2 163" xfId="29813" xr:uid="{00000000-0005-0000-0000-00004B740000}"/>
    <cellStyle name="Heading 2 164" xfId="29814" xr:uid="{00000000-0005-0000-0000-00004C740000}"/>
    <cellStyle name="Heading 2 165" xfId="29815" xr:uid="{00000000-0005-0000-0000-00004D740000}"/>
    <cellStyle name="Heading 2 166" xfId="29816" xr:uid="{00000000-0005-0000-0000-00004E740000}"/>
    <cellStyle name="Heading 2 167" xfId="29817" xr:uid="{00000000-0005-0000-0000-00004F740000}"/>
    <cellStyle name="Heading 2 17" xfId="29818" xr:uid="{00000000-0005-0000-0000-000050740000}"/>
    <cellStyle name="Heading 2 18" xfId="29819" xr:uid="{00000000-0005-0000-0000-000051740000}"/>
    <cellStyle name="Heading 2 19" xfId="29820" xr:uid="{00000000-0005-0000-0000-000052740000}"/>
    <cellStyle name="Heading 2 2" xfId="29821" xr:uid="{00000000-0005-0000-0000-000053740000}"/>
    <cellStyle name="Heading 2 2 10" xfId="29822" xr:uid="{00000000-0005-0000-0000-000054740000}"/>
    <cellStyle name="Heading 2 2 11" xfId="29823" xr:uid="{00000000-0005-0000-0000-000055740000}"/>
    <cellStyle name="Heading 2 2 12" xfId="29824" xr:uid="{00000000-0005-0000-0000-000056740000}"/>
    <cellStyle name="Heading 2 2 13" xfId="29825" xr:uid="{00000000-0005-0000-0000-000057740000}"/>
    <cellStyle name="Heading 2 2 14" xfId="29826" xr:uid="{00000000-0005-0000-0000-000058740000}"/>
    <cellStyle name="Heading 2 2 15" xfId="29827" xr:uid="{00000000-0005-0000-0000-000059740000}"/>
    <cellStyle name="Heading 2 2 16" xfId="29828" xr:uid="{00000000-0005-0000-0000-00005A740000}"/>
    <cellStyle name="Heading 2 2 17" xfId="29829" xr:uid="{00000000-0005-0000-0000-00005B740000}"/>
    <cellStyle name="Heading 2 2 18" xfId="29830" xr:uid="{00000000-0005-0000-0000-00005C740000}"/>
    <cellStyle name="Heading 2 2 19" xfId="29831" xr:uid="{00000000-0005-0000-0000-00005D740000}"/>
    <cellStyle name="Heading 2 2 2" xfId="29832" xr:uid="{00000000-0005-0000-0000-00005E740000}"/>
    <cellStyle name="Heading 2 2 2 2" xfId="29833" xr:uid="{00000000-0005-0000-0000-00005F740000}"/>
    <cellStyle name="Heading 2 2 2 3" xfId="29834" xr:uid="{00000000-0005-0000-0000-000060740000}"/>
    <cellStyle name="Heading 2 2 2 3 2" xfId="29835" xr:uid="{00000000-0005-0000-0000-000061740000}"/>
    <cellStyle name="Heading 2 2 2 3 3" xfId="29836" xr:uid="{00000000-0005-0000-0000-000062740000}"/>
    <cellStyle name="Heading 2 2 2 3 4" xfId="29837" xr:uid="{00000000-0005-0000-0000-000063740000}"/>
    <cellStyle name="Heading 2 2 2 3 5" xfId="29838" xr:uid="{00000000-0005-0000-0000-000064740000}"/>
    <cellStyle name="Heading 2 2 2 4" xfId="29839" xr:uid="{00000000-0005-0000-0000-000065740000}"/>
    <cellStyle name="Heading 2 2 2 5" xfId="29840" xr:uid="{00000000-0005-0000-0000-000066740000}"/>
    <cellStyle name="Heading 2 2 20" xfId="29841" xr:uid="{00000000-0005-0000-0000-000067740000}"/>
    <cellStyle name="Heading 2 2 21" xfId="29842" xr:uid="{00000000-0005-0000-0000-000068740000}"/>
    <cellStyle name="Heading 2 2 22" xfId="29843" xr:uid="{00000000-0005-0000-0000-000069740000}"/>
    <cellStyle name="Heading 2 2 23" xfId="29844" xr:uid="{00000000-0005-0000-0000-00006A740000}"/>
    <cellStyle name="Heading 2 2 24" xfId="29845" xr:uid="{00000000-0005-0000-0000-00006B740000}"/>
    <cellStyle name="Heading 2 2 25" xfId="29846" xr:uid="{00000000-0005-0000-0000-00006C740000}"/>
    <cellStyle name="Heading 2 2 26" xfId="29847" xr:uid="{00000000-0005-0000-0000-00006D740000}"/>
    <cellStyle name="Heading 2 2 27" xfId="29848" xr:uid="{00000000-0005-0000-0000-00006E740000}"/>
    <cellStyle name="Heading 2 2 28" xfId="29849" xr:uid="{00000000-0005-0000-0000-00006F740000}"/>
    <cellStyle name="Heading 2 2 29" xfId="29850" xr:uid="{00000000-0005-0000-0000-000070740000}"/>
    <cellStyle name="Heading 2 2 3" xfId="29851" xr:uid="{00000000-0005-0000-0000-000071740000}"/>
    <cellStyle name="Heading 2 2 30" xfId="29852" xr:uid="{00000000-0005-0000-0000-000072740000}"/>
    <cellStyle name="Heading 2 2 31" xfId="29853" xr:uid="{00000000-0005-0000-0000-000073740000}"/>
    <cellStyle name="Heading 2 2 32" xfId="29854" xr:uid="{00000000-0005-0000-0000-000074740000}"/>
    <cellStyle name="Heading 2 2 33" xfId="29855" xr:uid="{00000000-0005-0000-0000-000075740000}"/>
    <cellStyle name="Heading 2 2 34" xfId="29856" xr:uid="{00000000-0005-0000-0000-000076740000}"/>
    <cellStyle name="Heading 2 2 35" xfId="29857" xr:uid="{00000000-0005-0000-0000-000077740000}"/>
    <cellStyle name="Heading 2 2 4" xfId="29858" xr:uid="{00000000-0005-0000-0000-000078740000}"/>
    <cellStyle name="Heading 2 2 5" xfId="29859" xr:uid="{00000000-0005-0000-0000-000079740000}"/>
    <cellStyle name="Heading 2 2 6" xfId="29860" xr:uid="{00000000-0005-0000-0000-00007A740000}"/>
    <cellStyle name="Heading 2 2 7" xfId="29861" xr:uid="{00000000-0005-0000-0000-00007B740000}"/>
    <cellStyle name="Heading 2 2 8" xfId="29862" xr:uid="{00000000-0005-0000-0000-00007C740000}"/>
    <cellStyle name="Heading 2 2 9" xfId="29863" xr:uid="{00000000-0005-0000-0000-00007D740000}"/>
    <cellStyle name="Heading 2 2_Belker-InternalTrade" xfId="29864" xr:uid="{00000000-0005-0000-0000-00007E740000}"/>
    <cellStyle name="Heading 2 20" xfId="29865" xr:uid="{00000000-0005-0000-0000-00007F740000}"/>
    <cellStyle name="Heading 2 20 10" xfId="29866" xr:uid="{00000000-0005-0000-0000-000080740000}"/>
    <cellStyle name="Heading 2 20 11" xfId="29867" xr:uid="{00000000-0005-0000-0000-000081740000}"/>
    <cellStyle name="Heading 2 20 12" xfId="29868" xr:uid="{00000000-0005-0000-0000-000082740000}"/>
    <cellStyle name="Heading 2 20 13" xfId="29869" xr:uid="{00000000-0005-0000-0000-000083740000}"/>
    <cellStyle name="Heading 2 20 14" xfId="29870" xr:uid="{00000000-0005-0000-0000-000084740000}"/>
    <cellStyle name="Heading 2 20 15" xfId="29871" xr:uid="{00000000-0005-0000-0000-000085740000}"/>
    <cellStyle name="Heading 2 20 16" xfId="29872" xr:uid="{00000000-0005-0000-0000-000086740000}"/>
    <cellStyle name="Heading 2 20 2" xfId="29873" xr:uid="{00000000-0005-0000-0000-000087740000}"/>
    <cellStyle name="Heading 2 20 3" xfId="29874" xr:uid="{00000000-0005-0000-0000-000088740000}"/>
    <cellStyle name="Heading 2 20 4" xfId="29875" xr:uid="{00000000-0005-0000-0000-000089740000}"/>
    <cellStyle name="Heading 2 20 5" xfId="29876" xr:uid="{00000000-0005-0000-0000-00008A740000}"/>
    <cellStyle name="Heading 2 20 6" xfId="29877" xr:uid="{00000000-0005-0000-0000-00008B740000}"/>
    <cellStyle name="Heading 2 20 7" xfId="29878" xr:uid="{00000000-0005-0000-0000-00008C740000}"/>
    <cellStyle name="Heading 2 20 8" xfId="29879" xr:uid="{00000000-0005-0000-0000-00008D740000}"/>
    <cellStyle name="Heading 2 20 9" xfId="29880" xr:uid="{00000000-0005-0000-0000-00008E740000}"/>
    <cellStyle name="Heading 2 21" xfId="29881" xr:uid="{00000000-0005-0000-0000-00008F740000}"/>
    <cellStyle name="Heading 2 21 2" xfId="29882" xr:uid="{00000000-0005-0000-0000-000090740000}"/>
    <cellStyle name="Heading 2 21 3" xfId="29883" xr:uid="{00000000-0005-0000-0000-000091740000}"/>
    <cellStyle name="Heading 2 22" xfId="29884" xr:uid="{00000000-0005-0000-0000-000092740000}"/>
    <cellStyle name="Heading 2 23" xfId="29885" xr:uid="{00000000-0005-0000-0000-000093740000}"/>
    <cellStyle name="Heading 2 24" xfId="29886" xr:uid="{00000000-0005-0000-0000-000094740000}"/>
    <cellStyle name="Heading 2 25" xfId="29887" xr:uid="{00000000-0005-0000-0000-000095740000}"/>
    <cellStyle name="Heading 2 26" xfId="29888" xr:uid="{00000000-0005-0000-0000-000096740000}"/>
    <cellStyle name="Heading 2 27" xfId="29889" xr:uid="{00000000-0005-0000-0000-000097740000}"/>
    <cellStyle name="Heading 2 28" xfId="29890" xr:uid="{00000000-0005-0000-0000-000098740000}"/>
    <cellStyle name="Heading 2 29" xfId="29891" xr:uid="{00000000-0005-0000-0000-000099740000}"/>
    <cellStyle name="Heading 2 3" xfId="29892" xr:uid="{00000000-0005-0000-0000-00009A740000}"/>
    <cellStyle name="Heading 2 3 10" xfId="29893" xr:uid="{00000000-0005-0000-0000-00009B740000}"/>
    <cellStyle name="Heading 2 3 10 10" xfId="29894" xr:uid="{00000000-0005-0000-0000-00009C740000}"/>
    <cellStyle name="Heading 2 3 10 11" xfId="29895" xr:uid="{00000000-0005-0000-0000-00009D740000}"/>
    <cellStyle name="Heading 2 3 10 12" xfId="29896" xr:uid="{00000000-0005-0000-0000-00009E740000}"/>
    <cellStyle name="Heading 2 3 10 13" xfId="29897" xr:uid="{00000000-0005-0000-0000-00009F740000}"/>
    <cellStyle name="Heading 2 3 10 14" xfId="29898" xr:uid="{00000000-0005-0000-0000-0000A0740000}"/>
    <cellStyle name="Heading 2 3 10 15" xfId="29899" xr:uid="{00000000-0005-0000-0000-0000A1740000}"/>
    <cellStyle name="Heading 2 3 10 2" xfId="29900" xr:uid="{00000000-0005-0000-0000-0000A2740000}"/>
    <cellStyle name="Heading 2 3 10 3" xfId="29901" xr:uid="{00000000-0005-0000-0000-0000A3740000}"/>
    <cellStyle name="Heading 2 3 10 4" xfId="29902" xr:uid="{00000000-0005-0000-0000-0000A4740000}"/>
    <cellStyle name="Heading 2 3 10 5" xfId="29903" xr:uid="{00000000-0005-0000-0000-0000A5740000}"/>
    <cellStyle name="Heading 2 3 10 6" xfId="29904" xr:uid="{00000000-0005-0000-0000-0000A6740000}"/>
    <cellStyle name="Heading 2 3 10 7" xfId="29905" xr:uid="{00000000-0005-0000-0000-0000A7740000}"/>
    <cellStyle name="Heading 2 3 10 8" xfId="29906" xr:uid="{00000000-0005-0000-0000-0000A8740000}"/>
    <cellStyle name="Heading 2 3 10 9" xfId="29907" xr:uid="{00000000-0005-0000-0000-0000A9740000}"/>
    <cellStyle name="Heading 2 3 11" xfId="29908" xr:uid="{00000000-0005-0000-0000-0000AA740000}"/>
    <cellStyle name="Heading 2 3 11 10" xfId="29909" xr:uid="{00000000-0005-0000-0000-0000AB740000}"/>
    <cellStyle name="Heading 2 3 11 11" xfId="29910" xr:uid="{00000000-0005-0000-0000-0000AC740000}"/>
    <cellStyle name="Heading 2 3 11 12" xfId="29911" xr:uid="{00000000-0005-0000-0000-0000AD740000}"/>
    <cellStyle name="Heading 2 3 11 13" xfId="29912" xr:uid="{00000000-0005-0000-0000-0000AE740000}"/>
    <cellStyle name="Heading 2 3 11 14" xfId="29913" xr:uid="{00000000-0005-0000-0000-0000AF740000}"/>
    <cellStyle name="Heading 2 3 11 15" xfId="29914" xr:uid="{00000000-0005-0000-0000-0000B0740000}"/>
    <cellStyle name="Heading 2 3 11 2" xfId="29915" xr:uid="{00000000-0005-0000-0000-0000B1740000}"/>
    <cellStyle name="Heading 2 3 11 3" xfId="29916" xr:uid="{00000000-0005-0000-0000-0000B2740000}"/>
    <cellStyle name="Heading 2 3 11 4" xfId="29917" xr:uid="{00000000-0005-0000-0000-0000B3740000}"/>
    <cellStyle name="Heading 2 3 11 5" xfId="29918" xr:uid="{00000000-0005-0000-0000-0000B4740000}"/>
    <cellStyle name="Heading 2 3 11 6" xfId="29919" xr:uid="{00000000-0005-0000-0000-0000B5740000}"/>
    <cellStyle name="Heading 2 3 11 7" xfId="29920" xr:uid="{00000000-0005-0000-0000-0000B6740000}"/>
    <cellStyle name="Heading 2 3 11 8" xfId="29921" xr:uid="{00000000-0005-0000-0000-0000B7740000}"/>
    <cellStyle name="Heading 2 3 11 9" xfId="29922" xr:uid="{00000000-0005-0000-0000-0000B8740000}"/>
    <cellStyle name="Heading 2 3 12" xfId="29923" xr:uid="{00000000-0005-0000-0000-0000B9740000}"/>
    <cellStyle name="Heading 2 3 12 10" xfId="29924" xr:uid="{00000000-0005-0000-0000-0000BA740000}"/>
    <cellStyle name="Heading 2 3 12 11" xfId="29925" xr:uid="{00000000-0005-0000-0000-0000BB740000}"/>
    <cellStyle name="Heading 2 3 12 12" xfId="29926" xr:uid="{00000000-0005-0000-0000-0000BC740000}"/>
    <cellStyle name="Heading 2 3 12 13" xfId="29927" xr:uid="{00000000-0005-0000-0000-0000BD740000}"/>
    <cellStyle name="Heading 2 3 12 14" xfId="29928" xr:uid="{00000000-0005-0000-0000-0000BE740000}"/>
    <cellStyle name="Heading 2 3 12 15" xfId="29929" xr:uid="{00000000-0005-0000-0000-0000BF740000}"/>
    <cellStyle name="Heading 2 3 12 2" xfId="29930" xr:uid="{00000000-0005-0000-0000-0000C0740000}"/>
    <cellStyle name="Heading 2 3 12 3" xfId="29931" xr:uid="{00000000-0005-0000-0000-0000C1740000}"/>
    <cellStyle name="Heading 2 3 12 4" xfId="29932" xr:uid="{00000000-0005-0000-0000-0000C2740000}"/>
    <cellStyle name="Heading 2 3 12 5" xfId="29933" xr:uid="{00000000-0005-0000-0000-0000C3740000}"/>
    <cellStyle name="Heading 2 3 12 6" xfId="29934" xr:uid="{00000000-0005-0000-0000-0000C4740000}"/>
    <cellStyle name="Heading 2 3 12 7" xfId="29935" xr:uid="{00000000-0005-0000-0000-0000C5740000}"/>
    <cellStyle name="Heading 2 3 12 8" xfId="29936" xr:uid="{00000000-0005-0000-0000-0000C6740000}"/>
    <cellStyle name="Heading 2 3 12 9" xfId="29937" xr:uid="{00000000-0005-0000-0000-0000C7740000}"/>
    <cellStyle name="Heading 2 3 13" xfId="29938" xr:uid="{00000000-0005-0000-0000-0000C8740000}"/>
    <cellStyle name="Heading 2 3 13 10" xfId="29939" xr:uid="{00000000-0005-0000-0000-0000C9740000}"/>
    <cellStyle name="Heading 2 3 13 11" xfId="29940" xr:uid="{00000000-0005-0000-0000-0000CA740000}"/>
    <cellStyle name="Heading 2 3 13 12" xfId="29941" xr:uid="{00000000-0005-0000-0000-0000CB740000}"/>
    <cellStyle name="Heading 2 3 13 13" xfId="29942" xr:uid="{00000000-0005-0000-0000-0000CC740000}"/>
    <cellStyle name="Heading 2 3 13 14" xfId="29943" xr:uid="{00000000-0005-0000-0000-0000CD740000}"/>
    <cellStyle name="Heading 2 3 13 15" xfId="29944" xr:uid="{00000000-0005-0000-0000-0000CE740000}"/>
    <cellStyle name="Heading 2 3 13 2" xfId="29945" xr:uid="{00000000-0005-0000-0000-0000CF740000}"/>
    <cellStyle name="Heading 2 3 13 3" xfId="29946" xr:uid="{00000000-0005-0000-0000-0000D0740000}"/>
    <cellStyle name="Heading 2 3 13 4" xfId="29947" xr:uid="{00000000-0005-0000-0000-0000D1740000}"/>
    <cellStyle name="Heading 2 3 13 5" xfId="29948" xr:uid="{00000000-0005-0000-0000-0000D2740000}"/>
    <cellStyle name="Heading 2 3 13 6" xfId="29949" xr:uid="{00000000-0005-0000-0000-0000D3740000}"/>
    <cellStyle name="Heading 2 3 13 7" xfId="29950" xr:uid="{00000000-0005-0000-0000-0000D4740000}"/>
    <cellStyle name="Heading 2 3 13 8" xfId="29951" xr:uid="{00000000-0005-0000-0000-0000D5740000}"/>
    <cellStyle name="Heading 2 3 13 9" xfId="29952" xr:uid="{00000000-0005-0000-0000-0000D6740000}"/>
    <cellStyle name="Heading 2 3 14" xfId="29953" xr:uid="{00000000-0005-0000-0000-0000D7740000}"/>
    <cellStyle name="Heading 2 3 14 10" xfId="29954" xr:uid="{00000000-0005-0000-0000-0000D8740000}"/>
    <cellStyle name="Heading 2 3 14 11" xfId="29955" xr:uid="{00000000-0005-0000-0000-0000D9740000}"/>
    <cellStyle name="Heading 2 3 14 12" xfId="29956" xr:uid="{00000000-0005-0000-0000-0000DA740000}"/>
    <cellStyle name="Heading 2 3 14 13" xfId="29957" xr:uid="{00000000-0005-0000-0000-0000DB740000}"/>
    <cellStyle name="Heading 2 3 14 14" xfId="29958" xr:uid="{00000000-0005-0000-0000-0000DC740000}"/>
    <cellStyle name="Heading 2 3 14 15" xfId="29959" xr:uid="{00000000-0005-0000-0000-0000DD740000}"/>
    <cellStyle name="Heading 2 3 14 2" xfId="29960" xr:uid="{00000000-0005-0000-0000-0000DE740000}"/>
    <cellStyle name="Heading 2 3 14 3" xfId="29961" xr:uid="{00000000-0005-0000-0000-0000DF740000}"/>
    <cellStyle name="Heading 2 3 14 4" xfId="29962" xr:uid="{00000000-0005-0000-0000-0000E0740000}"/>
    <cellStyle name="Heading 2 3 14 5" xfId="29963" xr:uid="{00000000-0005-0000-0000-0000E1740000}"/>
    <cellStyle name="Heading 2 3 14 6" xfId="29964" xr:uid="{00000000-0005-0000-0000-0000E2740000}"/>
    <cellStyle name="Heading 2 3 14 7" xfId="29965" xr:uid="{00000000-0005-0000-0000-0000E3740000}"/>
    <cellStyle name="Heading 2 3 14 8" xfId="29966" xr:uid="{00000000-0005-0000-0000-0000E4740000}"/>
    <cellStyle name="Heading 2 3 14 9" xfId="29967" xr:uid="{00000000-0005-0000-0000-0000E5740000}"/>
    <cellStyle name="Heading 2 3 15" xfId="29968" xr:uid="{00000000-0005-0000-0000-0000E6740000}"/>
    <cellStyle name="Heading 2 3 15 10" xfId="29969" xr:uid="{00000000-0005-0000-0000-0000E7740000}"/>
    <cellStyle name="Heading 2 3 15 11" xfId="29970" xr:uid="{00000000-0005-0000-0000-0000E8740000}"/>
    <cellStyle name="Heading 2 3 15 12" xfId="29971" xr:uid="{00000000-0005-0000-0000-0000E9740000}"/>
    <cellStyle name="Heading 2 3 15 13" xfId="29972" xr:uid="{00000000-0005-0000-0000-0000EA740000}"/>
    <cellStyle name="Heading 2 3 15 14" xfId="29973" xr:uid="{00000000-0005-0000-0000-0000EB740000}"/>
    <cellStyle name="Heading 2 3 15 15" xfId="29974" xr:uid="{00000000-0005-0000-0000-0000EC740000}"/>
    <cellStyle name="Heading 2 3 15 2" xfId="29975" xr:uid="{00000000-0005-0000-0000-0000ED740000}"/>
    <cellStyle name="Heading 2 3 15 3" xfId="29976" xr:uid="{00000000-0005-0000-0000-0000EE740000}"/>
    <cellStyle name="Heading 2 3 15 4" xfId="29977" xr:uid="{00000000-0005-0000-0000-0000EF740000}"/>
    <cellStyle name="Heading 2 3 15 5" xfId="29978" xr:uid="{00000000-0005-0000-0000-0000F0740000}"/>
    <cellStyle name="Heading 2 3 15 6" xfId="29979" xr:uid="{00000000-0005-0000-0000-0000F1740000}"/>
    <cellStyle name="Heading 2 3 15 7" xfId="29980" xr:uid="{00000000-0005-0000-0000-0000F2740000}"/>
    <cellStyle name="Heading 2 3 15 8" xfId="29981" xr:uid="{00000000-0005-0000-0000-0000F3740000}"/>
    <cellStyle name="Heading 2 3 15 9" xfId="29982" xr:uid="{00000000-0005-0000-0000-0000F4740000}"/>
    <cellStyle name="Heading 2 3 16" xfId="29983" xr:uid="{00000000-0005-0000-0000-0000F5740000}"/>
    <cellStyle name="Heading 2 3 16 10" xfId="29984" xr:uid="{00000000-0005-0000-0000-0000F6740000}"/>
    <cellStyle name="Heading 2 3 16 11" xfId="29985" xr:uid="{00000000-0005-0000-0000-0000F7740000}"/>
    <cellStyle name="Heading 2 3 16 12" xfId="29986" xr:uid="{00000000-0005-0000-0000-0000F8740000}"/>
    <cellStyle name="Heading 2 3 16 13" xfId="29987" xr:uid="{00000000-0005-0000-0000-0000F9740000}"/>
    <cellStyle name="Heading 2 3 16 14" xfId="29988" xr:uid="{00000000-0005-0000-0000-0000FA740000}"/>
    <cellStyle name="Heading 2 3 16 15" xfId="29989" xr:uid="{00000000-0005-0000-0000-0000FB740000}"/>
    <cellStyle name="Heading 2 3 16 2" xfId="29990" xr:uid="{00000000-0005-0000-0000-0000FC740000}"/>
    <cellStyle name="Heading 2 3 16 3" xfId="29991" xr:uid="{00000000-0005-0000-0000-0000FD740000}"/>
    <cellStyle name="Heading 2 3 16 4" xfId="29992" xr:uid="{00000000-0005-0000-0000-0000FE740000}"/>
    <cellStyle name="Heading 2 3 16 5" xfId="29993" xr:uid="{00000000-0005-0000-0000-0000FF740000}"/>
    <cellStyle name="Heading 2 3 16 6" xfId="29994" xr:uid="{00000000-0005-0000-0000-000000750000}"/>
    <cellStyle name="Heading 2 3 16 7" xfId="29995" xr:uid="{00000000-0005-0000-0000-000001750000}"/>
    <cellStyle name="Heading 2 3 16 8" xfId="29996" xr:uid="{00000000-0005-0000-0000-000002750000}"/>
    <cellStyle name="Heading 2 3 16 9" xfId="29997" xr:uid="{00000000-0005-0000-0000-000003750000}"/>
    <cellStyle name="Heading 2 3 17" xfId="29998" xr:uid="{00000000-0005-0000-0000-000004750000}"/>
    <cellStyle name="Heading 2 3 17 10" xfId="29999" xr:uid="{00000000-0005-0000-0000-000005750000}"/>
    <cellStyle name="Heading 2 3 17 11" xfId="30000" xr:uid="{00000000-0005-0000-0000-000006750000}"/>
    <cellStyle name="Heading 2 3 17 12" xfId="30001" xr:uid="{00000000-0005-0000-0000-000007750000}"/>
    <cellStyle name="Heading 2 3 17 13" xfId="30002" xr:uid="{00000000-0005-0000-0000-000008750000}"/>
    <cellStyle name="Heading 2 3 17 14" xfId="30003" xr:uid="{00000000-0005-0000-0000-000009750000}"/>
    <cellStyle name="Heading 2 3 17 15" xfId="30004" xr:uid="{00000000-0005-0000-0000-00000A750000}"/>
    <cellStyle name="Heading 2 3 17 2" xfId="30005" xr:uid="{00000000-0005-0000-0000-00000B750000}"/>
    <cellStyle name="Heading 2 3 17 3" xfId="30006" xr:uid="{00000000-0005-0000-0000-00000C750000}"/>
    <cellStyle name="Heading 2 3 17 4" xfId="30007" xr:uid="{00000000-0005-0000-0000-00000D750000}"/>
    <cellStyle name="Heading 2 3 17 5" xfId="30008" xr:uid="{00000000-0005-0000-0000-00000E750000}"/>
    <cellStyle name="Heading 2 3 17 6" xfId="30009" xr:uid="{00000000-0005-0000-0000-00000F750000}"/>
    <cellStyle name="Heading 2 3 17 7" xfId="30010" xr:uid="{00000000-0005-0000-0000-000010750000}"/>
    <cellStyle name="Heading 2 3 17 8" xfId="30011" xr:uid="{00000000-0005-0000-0000-000011750000}"/>
    <cellStyle name="Heading 2 3 17 9" xfId="30012" xr:uid="{00000000-0005-0000-0000-000012750000}"/>
    <cellStyle name="Heading 2 3 18" xfId="30013" xr:uid="{00000000-0005-0000-0000-000013750000}"/>
    <cellStyle name="Heading 2 3 18 10" xfId="30014" xr:uid="{00000000-0005-0000-0000-000014750000}"/>
    <cellStyle name="Heading 2 3 18 11" xfId="30015" xr:uid="{00000000-0005-0000-0000-000015750000}"/>
    <cellStyle name="Heading 2 3 18 12" xfId="30016" xr:uid="{00000000-0005-0000-0000-000016750000}"/>
    <cellStyle name="Heading 2 3 18 13" xfId="30017" xr:uid="{00000000-0005-0000-0000-000017750000}"/>
    <cellStyle name="Heading 2 3 18 14" xfId="30018" xr:uid="{00000000-0005-0000-0000-000018750000}"/>
    <cellStyle name="Heading 2 3 18 15" xfId="30019" xr:uid="{00000000-0005-0000-0000-000019750000}"/>
    <cellStyle name="Heading 2 3 18 2" xfId="30020" xr:uid="{00000000-0005-0000-0000-00001A750000}"/>
    <cellStyle name="Heading 2 3 18 3" xfId="30021" xr:uid="{00000000-0005-0000-0000-00001B750000}"/>
    <cellStyle name="Heading 2 3 18 4" xfId="30022" xr:uid="{00000000-0005-0000-0000-00001C750000}"/>
    <cellStyle name="Heading 2 3 18 5" xfId="30023" xr:uid="{00000000-0005-0000-0000-00001D750000}"/>
    <cellStyle name="Heading 2 3 18 6" xfId="30024" xr:uid="{00000000-0005-0000-0000-00001E750000}"/>
    <cellStyle name="Heading 2 3 18 7" xfId="30025" xr:uid="{00000000-0005-0000-0000-00001F750000}"/>
    <cellStyle name="Heading 2 3 18 8" xfId="30026" xr:uid="{00000000-0005-0000-0000-000020750000}"/>
    <cellStyle name="Heading 2 3 18 9" xfId="30027" xr:uid="{00000000-0005-0000-0000-000021750000}"/>
    <cellStyle name="Heading 2 3 19" xfId="30028" xr:uid="{00000000-0005-0000-0000-000022750000}"/>
    <cellStyle name="Heading 2 3 19 10" xfId="30029" xr:uid="{00000000-0005-0000-0000-000023750000}"/>
    <cellStyle name="Heading 2 3 19 11" xfId="30030" xr:uid="{00000000-0005-0000-0000-000024750000}"/>
    <cellStyle name="Heading 2 3 19 12" xfId="30031" xr:uid="{00000000-0005-0000-0000-000025750000}"/>
    <cellStyle name="Heading 2 3 19 13" xfId="30032" xr:uid="{00000000-0005-0000-0000-000026750000}"/>
    <cellStyle name="Heading 2 3 19 14" xfId="30033" xr:uid="{00000000-0005-0000-0000-000027750000}"/>
    <cellStyle name="Heading 2 3 19 15" xfId="30034" xr:uid="{00000000-0005-0000-0000-000028750000}"/>
    <cellStyle name="Heading 2 3 19 2" xfId="30035" xr:uid="{00000000-0005-0000-0000-000029750000}"/>
    <cellStyle name="Heading 2 3 19 3" xfId="30036" xr:uid="{00000000-0005-0000-0000-00002A750000}"/>
    <cellStyle name="Heading 2 3 19 4" xfId="30037" xr:uid="{00000000-0005-0000-0000-00002B750000}"/>
    <cellStyle name="Heading 2 3 19 5" xfId="30038" xr:uid="{00000000-0005-0000-0000-00002C750000}"/>
    <cellStyle name="Heading 2 3 19 6" xfId="30039" xr:uid="{00000000-0005-0000-0000-00002D750000}"/>
    <cellStyle name="Heading 2 3 19 7" xfId="30040" xr:uid="{00000000-0005-0000-0000-00002E750000}"/>
    <cellStyle name="Heading 2 3 19 8" xfId="30041" xr:uid="{00000000-0005-0000-0000-00002F750000}"/>
    <cellStyle name="Heading 2 3 19 9" xfId="30042" xr:uid="{00000000-0005-0000-0000-000030750000}"/>
    <cellStyle name="Heading 2 3 2" xfId="30043" xr:uid="{00000000-0005-0000-0000-000031750000}"/>
    <cellStyle name="Heading 2 3 2 10" xfId="30044" xr:uid="{00000000-0005-0000-0000-000032750000}"/>
    <cellStyle name="Heading 2 3 2 11" xfId="30045" xr:uid="{00000000-0005-0000-0000-000033750000}"/>
    <cellStyle name="Heading 2 3 2 12" xfId="30046" xr:uid="{00000000-0005-0000-0000-000034750000}"/>
    <cellStyle name="Heading 2 3 2 13" xfId="30047" xr:uid="{00000000-0005-0000-0000-000035750000}"/>
    <cellStyle name="Heading 2 3 2 14" xfId="30048" xr:uid="{00000000-0005-0000-0000-000036750000}"/>
    <cellStyle name="Heading 2 3 2 15" xfId="30049" xr:uid="{00000000-0005-0000-0000-000037750000}"/>
    <cellStyle name="Heading 2 3 2 16" xfId="30050" xr:uid="{00000000-0005-0000-0000-000038750000}"/>
    <cellStyle name="Heading 2 3 2 17" xfId="30051" xr:uid="{00000000-0005-0000-0000-000039750000}"/>
    <cellStyle name="Heading 2 3 2 18" xfId="30052" xr:uid="{00000000-0005-0000-0000-00003A750000}"/>
    <cellStyle name="Heading 2 3 2 19" xfId="30053" xr:uid="{00000000-0005-0000-0000-00003B750000}"/>
    <cellStyle name="Heading 2 3 2 2" xfId="30054" xr:uid="{00000000-0005-0000-0000-00003C750000}"/>
    <cellStyle name="Heading 2 3 2 20" xfId="30055" xr:uid="{00000000-0005-0000-0000-00003D750000}"/>
    <cellStyle name="Heading 2 3 2 21" xfId="30056" xr:uid="{00000000-0005-0000-0000-00003E750000}"/>
    <cellStyle name="Heading 2 3 2 22" xfId="30057" xr:uid="{00000000-0005-0000-0000-00003F750000}"/>
    <cellStyle name="Heading 2 3 2 23" xfId="30058" xr:uid="{00000000-0005-0000-0000-000040750000}"/>
    <cellStyle name="Heading 2 3 2 24" xfId="30059" xr:uid="{00000000-0005-0000-0000-000041750000}"/>
    <cellStyle name="Heading 2 3 2 25" xfId="30060" xr:uid="{00000000-0005-0000-0000-000042750000}"/>
    <cellStyle name="Heading 2 3 2 26" xfId="30061" xr:uid="{00000000-0005-0000-0000-000043750000}"/>
    <cellStyle name="Heading 2 3 2 27" xfId="30062" xr:uid="{00000000-0005-0000-0000-000044750000}"/>
    <cellStyle name="Heading 2 3 2 28" xfId="30063" xr:uid="{00000000-0005-0000-0000-000045750000}"/>
    <cellStyle name="Heading 2 3 2 29" xfId="30064" xr:uid="{00000000-0005-0000-0000-000046750000}"/>
    <cellStyle name="Heading 2 3 2 3" xfId="30065" xr:uid="{00000000-0005-0000-0000-000047750000}"/>
    <cellStyle name="Heading 2 3 2 30" xfId="30066" xr:uid="{00000000-0005-0000-0000-000048750000}"/>
    <cellStyle name="Heading 2 3 2 31" xfId="30067" xr:uid="{00000000-0005-0000-0000-000049750000}"/>
    <cellStyle name="Heading 2 3 2 32" xfId="30068" xr:uid="{00000000-0005-0000-0000-00004A750000}"/>
    <cellStyle name="Heading 2 3 2 33" xfId="30069" xr:uid="{00000000-0005-0000-0000-00004B750000}"/>
    <cellStyle name="Heading 2 3 2 34" xfId="30070" xr:uid="{00000000-0005-0000-0000-00004C750000}"/>
    <cellStyle name="Heading 2 3 2 35" xfId="30071" xr:uid="{00000000-0005-0000-0000-00004D750000}"/>
    <cellStyle name="Heading 2 3 2 36" xfId="30072" xr:uid="{00000000-0005-0000-0000-00004E750000}"/>
    <cellStyle name="Heading 2 3 2 37" xfId="30073" xr:uid="{00000000-0005-0000-0000-00004F750000}"/>
    <cellStyle name="Heading 2 3 2 38" xfId="30074" xr:uid="{00000000-0005-0000-0000-000050750000}"/>
    <cellStyle name="Heading 2 3 2 39" xfId="30075" xr:uid="{00000000-0005-0000-0000-000051750000}"/>
    <cellStyle name="Heading 2 3 2 4" xfId="30076" xr:uid="{00000000-0005-0000-0000-000052750000}"/>
    <cellStyle name="Heading 2 3 2 40" xfId="30077" xr:uid="{00000000-0005-0000-0000-000053750000}"/>
    <cellStyle name="Heading 2 3 2 41" xfId="30078" xr:uid="{00000000-0005-0000-0000-000054750000}"/>
    <cellStyle name="Heading 2 3 2 42" xfId="30079" xr:uid="{00000000-0005-0000-0000-000055750000}"/>
    <cellStyle name="Heading 2 3 2 43" xfId="30080" xr:uid="{00000000-0005-0000-0000-000056750000}"/>
    <cellStyle name="Heading 2 3 2 44" xfId="30081" xr:uid="{00000000-0005-0000-0000-000057750000}"/>
    <cellStyle name="Heading 2 3 2 45" xfId="30082" xr:uid="{00000000-0005-0000-0000-000058750000}"/>
    <cellStyle name="Heading 2 3 2 46" xfId="30083" xr:uid="{00000000-0005-0000-0000-000059750000}"/>
    <cellStyle name="Heading 2 3 2 47" xfId="30084" xr:uid="{00000000-0005-0000-0000-00005A750000}"/>
    <cellStyle name="Heading 2 3 2 48" xfId="30085" xr:uid="{00000000-0005-0000-0000-00005B750000}"/>
    <cellStyle name="Heading 2 3 2 49" xfId="30086" xr:uid="{00000000-0005-0000-0000-00005C750000}"/>
    <cellStyle name="Heading 2 3 2 5" xfId="30087" xr:uid="{00000000-0005-0000-0000-00005D750000}"/>
    <cellStyle name="Heading 2 3 2 50" xfId="30088" xr:uid="{00000000-0005-0000-0000-00005E750000}"/>
    <cellStyle name="Heading 2 3 2 51" xfId="30089" xr:uid="{00000000-0005-0000-0000-00005F750000}"/>
    <cellStyle name="Heading 2 3 2 52" xfId="30090" xr:uid="{00000000-0005-0000-0000-000060750000}"/>
    <cellStyle name="Heading 2 3 2 53" xfId="30091" xr:uid="{00000000-0005-0000-0000-000061750000}"/>
    <cellStyle name="Heading 2 3 2 6" xfId="30092" xr:uid="{00000000-0005-0000-0000-000062750000}"/>
    <cellStyle name="Heading 2 3 2 7" xfId="30093" xr:uid="{00000000-0005-0000-0000-000063750000}"/>
    <cellStyle name="Heading 2 3 2 8" xfId="30094" xr:uid="{00000000-0005-0000-0000-000064750000}"/>
    <cellStyle name="Heading 2 3 2 9" xfId="30095" xr:uid="{00000000-0005-0000-0000-000065750000}"/>
    <cellStyle name="Heading 2 3 20" xfId="30096" xr:uid="{00000000-0005-0000-0000-000066750000}"/>
    <cellStyle name="Heading 2 3 20 10" xfId="30097" xr:uid="{00000000-0005-0000-0000-000067750000}"/>
    <cellStyle name="Heading 2 3 20 11" xfId="30098" xr:uid="{00000000-0005-0000-0000-000068750000}"/>
    <cellStyle name="Heading 2 3 20 12" xfId="30099" xr:uid="{00000000-0005-0000-0000-000069750000}"/>
    <cellStyle name="Heading 2 3 20 13" xfId="30100" xr:uid="{00000000-0005-0000-0000-00006A750000}"/>
    <cellStyle name="Heading 2 3 20 14" xfId="30101" xr:uid="{00000000-0005-0000-0000-00006B750000}"/>
    <cellStyle name="Heading 2 3 20 15" xfId="30102" xr:uid="{00000000-0005-0000-0000-00006C750000}"/>
    <cellStyle name="Heading 2 3 20 2" xfId="30103" xr:uid="{00000000-0005-0000-0000-00006D750000}"/>
    <cellStyle name="Heading 2 3 20 3" xfId="30104" xr:uid="{00000000-0005-0000-0000-00006E750000}"/>
    <cellStyle name="Heading 2 3 20 4" xfId="30105" xr:uid="{00000000-0005-0000-0000-00006F750000}"/>
    <cellStyle name="Heading 2 3 20 5" xfId="30106" xr:uid="{00000000-0005-0000-0000-000070750000}"/>
    <cellStyle name="Heading 2 3 20 6" xfId="30107" xr:uid="{00000000-0005-0000-0000-000071750000}"/>
    <cellStyle name="Heading 2 3 20 7" xfId="30108" xr:uid="{00000000-0005-0000-0000-000072750000}"/>
    <cellStyle name="Heading 2 3 20 8" xfId="30109" xr:uid="{00000000-0005-0000-0000-000073750000}"/>
    <cellStyle name="Heading 2 3 20 9" xfId="30110" xr:uid="{00000000-0005-0000-0000-000074750000}"/>
    <cellStyle name="Heading 2 3 21" xfId="30111" xr:uid="{00000000-0005-0000-0000-000075750000}"/>
    <cellStyle name="Heading 2 3 21 10" xfId="30112" xr:uid="{00000000-0005-0000-0000-000076750000}"/>
    <cellStyle name="Heading 2 3 21 11" xfId="30113" xr:uid="{00000000-0005-0000-0000-000077750000}"/>
    <cellStyle name="Heading 2 3 21 12" xfId="30114" xr:uid="{00000000-0005-0000-0000-000078750000}"/>
    <cellStyle name="Heading 2 3 21 13" xfId="30115" xr:uid="{00000000-0005-0000-0000-000079750000}"/>
    <cellStyle name="Heading 2 3 21 14" xfId="30116" xr:uid="{00000000-0005-0000-0000-00007A750000}"/>
    <cellStyle name="Heading 2 3 21 15" xfId="30117" xr:uid="{00000000-0005-0000-0000-00007B750000}"/>
    <cellStyle name="Heading 2 3 21 2" xfId="30118" xr:uid="{00000000-0005-0000-0000-00007C750000}"/>
    <cellStyle name="Heading 2 3 21 3" xfId="30119" xr:uid="{00000000-0005-0000-0000-00007D750000}"/>
    <cellStyle name="Heading 2 3 21 4" xfId="30120" xr:uid="{00000000-0005-0000-0000-00007E750000}"/>
    <cellStyle name="Heading 2 3 21 5" xfId="30121" xr:uid="{00000000-0005-0000-0000-00007F750000}"/>
    <cellStyle name="Heading 2 3 21 6" xfId="30122" xr:uid="{00000000-0005-0000-0000-000080750000}"/>
    <cellStyle name="Heading 2 3 21 7" xfId="30123" xr:uid="{00000000-0005-0000-0000-000081750000}"/>
    <cellStyle name="Heading 2 3 21 8" xfId="30124" xr:uid="{00000000-0005-0000-0000-000082750000}"/>
    <cellStyle name="Heading 2 3 21 9" xfId="30125" xr:uid="{00000000-0005-0000-0000-000083750000}"/>
    <cellStyle name="Heading 2 3 22" xfId="30126" xr:uid="{00000000-0005-0000-0000-000084750000}"/>
    <cellStyle name="Heading 2 3 22 10" xfId="30127" xr:uid="{00000000-0005-0000-0000-000085750000}"/>
    <cellStyle name="Heading 2 3 22 11" xfId="30128" xr:uid="{00000000-0005-0000-0000-000086750000}"/>
    <cellStyle name="Heading 2 3 22 12" xfId="30129" xr:uid="{00000000-0005-0000-0000-000087750000}"/>
    <cellStyle name="Heading 2 3 22 13" xfId="30130" xr:uid="{00000000-0005-0000-0000-000088750000}"/>
    <cellStyle name="Heading 2 3 22 14" xfId="30131" xr:uid="{00000000-0005-0000-0000-000089750000}"/>
    <cellStyle name="Heading 2 3 22 15" xfId="30132" xr:uid="{00000000-0005-0000-0000-00008A750000}"/>
    <cellStyle name="Heading 2 3 22 2" xfId="30133" xr:uid="{00000000-0005-0000-0000-00008B750000}"/>
    <cellStyle name="Heading 2 3 22 3" xfId="30134" xr:uid="{00000000-0005-0000-0000-00008C750000}"/>
    <cellStyle name="Heading 2 3 22 4" xfId="30135" xr:uid="{00000000-0005-0000-0000-00008D750000}"/>
    <cellStyle name="Heading 2 3 22 5" xfId="30136" xr:uid="{00000000-0005-0000-0000-00008E750000}"/>
    <cellStyle name="Heading 2 3 22 6" xfId="30137" xr:uid="{00000000-0005-0000-0000-00008F750000}"/>
    <cellStyle name="Heading 2 3 22 7" xfId="30138" xr:uid="{00000000-0005-0000-0000-000090750000}"/>
    <cellStyle name="Heading 2 3 22 8" xfId="30139" xr:uid="{00000000-0005-0000-0000-000091750000}"/>
    <cellStyle name="Heading 2 3 22 9" xfId="30140" xr:uid="{00000000-0005-0000-0000-000092750000}"/>
    <cellStyle name="Heading 2 3 23" xfId="30141" xr:uid="{00000000-0005-0000-0000-000093750000}"/>
    <cellStyle name="Heading 2 3 23 10" xfId="30142" xr:uid="{00000000-0005-0000-0000-000094750000}"/>
    <cellStyle name="Heading 2 3 23 11" xfId="30143" xr:uid="{00000000-0005-0000-0000-000095750000}"/>
    <cellStyle name="Heading 2 3 23 12" xfId="30144" xr:uid="{00000000-0005-0000-0000-000096750000}"/>
    <cellStyle name="Heading 2 3 23 13" xfId="30145" xr:uid="{00000000-0005-0000-0000-000097750000}"/>
    <cellStyle name="Heading 2 3 23 14" xfId="30146" xr:uid="{00000000-0005-0000-0000-000098750000}"/>
    <cellStyle name="Heading 2 3 23 15" xfId="30147" xr:uid="{00000000-0005-0000-0000-000099750000}"/>
    <cellStyle name="Heading 2 3 23 2" xfId="30148" xr:uid="{00000000-0005-0000-0000-00009A750000}"/>
    <cellStyle name="Heading 2 3 23 3" xfId="30149" xr:uid="{00000000-0005-0000-0000-00009B750000}"/>
    <cellStyle name="Heading 2 3 23 4" xfId="30150" xr:uid="{00000000-0005-0000-0000-00009C750000}"/>
    <cellStyle name="Heading 2 3 23 5" xfId="30151" xr:uid="{00000000-0005-0000-0000-00009D750000}"/>
    <cellStyle name="Heading 2 3 23 6" xfId="30152" xr:uid="{00000000-0005-0000-0000-00009E750000}"/>
    <cellStyle name="Heading 2 3 23 7" xfId="30153" xr:uid="{00000000-0005-0000-0000-00009F750000}"/>
    <cellStyle name="Heading 2 3 23 8" xfId="30154" xr:uid="{00000000-0005-0000-0000-0000A0750000}"/>
    <cellStyle name="Heading 2 3 23 9" xfId="30155" xr:uid="{00000000-0005-0000-0000-0000A1750000}"/>
    <cellStyle name="Heading 2 3 24" xfId="30156" xr:uid="{00000000-0005-0000-0000-0000A2750000}"/>
    <cellStyle name="Heading 2 3 24 10" xfId="30157" xr:uid="{00000000-0005-0000-0000-0000A3750000}"/>
    <cellStyle name="Heading 2 3 24 11" xfId="30158" xr:uid="{00000000-0005-0000-0000-0000A4750000}"/>
    <cellStyle name="Heading 2 3 24 12" xfId="30159" xr:uid="{00000000-0005-0000-0000-0000A5750000}"/>
    <cellStyle name="Heading 2 3 24 13" xfId="30160" xr:uid="{00000000-0005-0000-0000-0000A6750000}"/>
    <cellStyle name="Heading 2 3 24 14" xfId="30161" xr:uid="{00000000-0005-0000-0000-0000A7750000}"/>
    <cellStyle name="Heading 2 3 24 15" xfId="30162" xr:uid="{00000000-0005-0000-0000-0000A8750000}"/>
    <cellStyle name="Heading 2 3 24 2" xfId="30163" xr:uid="{00000000-0005-0000-0000-0000A9750000}"/>
    <cellStyle name="Heading 2 3 24 3" xfId="30164" xr:uid="{00000000-0005-0000-0000-0000AA750000}"/>
    <cellStyle name="Heading 2 3 24 4" xfId="30165" xr:uid="{00000000-0005-0000-0000-0000AB750000}"/>
    <cellStyle name="Heading 2 3 24 5" xfId="30166" xr:uid="{00000000-0005-0000-0000-0000AC750000}"/>
    <cellStyle name="Heading 2 3 24 6" xfId="30167" xr:uid="{00000000-0005-0000-0000-0000AD750000}"/>
    <cellStyle name="Heading 2 3 24 7" xfId="30168" xr:uid="{00000000-0005-0000-0000-0000AE750000}"/>
    <cellStyle name="Heading 2 3 24 8" xfId="30169" xr:uid="{00000000-0005-0000-0000-0000AF750000}"/>
    <cellStyle name="Heading 2 3 24 9" xfId="30170" xr:uid="{00000000-0005-0000-0000-0000B0750000}"/>
    <cellStyle name="Heading 2 3 25" xfId="30171" xr:uid="{00000000-0005-0000-0000-0000B1750000}"/>
    <cellStyle name="Heading 2 3 25 10" xfId="30172" xr:uid="{00000000-0005-0000-0000-0000B2750000}"/>
    <cellStyle name="Heading 2 3 25 11" xfId="30173" xr:uid="{00000000-0005-0000-0000-0000B3750000}"/>
    <cellStyle name="Heading 2 3 25 12" xfId="30174" xr:uid="{00000000-0005-0000-0000-0000B4750000}"/>
    <cellStyle name="Heading 2 3 25 13" xfId="30175" xr:uid="{00000000-0005-0000-0000-0000B5750000}"/>
    <cellStyle name="Heading 2 3 25 14" xfId="30176" xr:uid="{00000000-0005-0000-0000-0000B6750000}"/>
    <cellStyle name="Heading 2 3 25 15" xfId="30177" xr:uid="{00000000-0005-0000-0000-0000B7750000}"/>
    <cellStyle name="Heading 2 3 25 2" xfId="30178" xr:uid="{00000000-0005-0000-0000-0000B8750000}"/>
    <cellStyle name="Heading 2 3 25 3" xfId="30179" xr:uid="{00000000-0005-0000-0000-0000B9750000}"/>
    <cellStyle name="Heading 2 3 25 4" xfId="30180" xr:uid="{00000000-0005-0000-0000-0000BA750000}"/>
    <cellStyle name="Heading 2 3 25 5" xfId="30181" xr:uid="{00000000-0005-0000-0000-0000BB750000}"/>
    <cellStyle name="Heading 2 3 25 6" xfId="30182" xr:uid="{00000000-0005-0000-0000-0000BC750000}"/>
    <cellStyle name="Heading 2 3 25 7" xfId="30183" xr:uid="{00000000-0005-0000-0000-0000BD750000}"/>
    <cellStyle name="Heading 2 3 25 8" xfId="30184" xr:uid="{00000000-0005-0000-0000-0000BE750000}"/>
    <cellStyle name="Heading 2 3 25 9" xfId="30185" xr:uid="{00000000-0005-0000-0000-0000BF750000}"/>
    <cellStyle name="Heading 2 3 26" xfId="30186" xr:uid="{00000000-0005-0000-0000-0000C0750000}"/>
    <cellStyle name="Heading 2 3 26 10" xfId="30187" xr:uid="{00000000-0005-0000-0000-0000C1750000}"/>
    <cellStyle name="Heading 2 3 26 11" xfId="30188" xr:uid="{00000000-0005-0000-0000-0000C2750000}"/>
    <cellStyle name="Heading 2 3 26 12" xfId="30189" xr:uid="{00000000-0005-0000-0000-0000C3750000}"/>
    <cellStyle name="Heading 2 3 26 13" xfId="30190" xr:uid="{00000000-0005-0000-0000-0000C4750000}"/>
    <cellStyle name="Heading 2 3 26 14" xfId="30191" xr:uid="{00000000-0005-0000-0000-0000C5750000}"/>
    <cellStyle name="Heading 2 3 26 15" xfId="30192" xr:uid="{00000000-0005-0000-0000-0000C6750000}"/>
    <cellStyle name="Heading 2 3 26 2" xfId="30193" xr:uid="{00000000-0005-0000-0000-0000C7750000}"/>
    <cellStyle name="Heading 2 3 26 3" xfId="30194" xr:uid="{00000000-0005-0000-0000-0000C8750000}"/>
    <cellStyle name="Heading 2 3 26 4" xfId="30195" xr:uid="{00000000-0005-0000-0000-0000C9750000}"/>
    <cellStyle name="Heading 2 3 26 5" xfId="30196" xr:uid="{00000000-0005-0000-0000-0000CA750000}"/>
    <cellStyle name="Heading 2 3 26 6" xfId="30197" xr:uid="{00000000-0005-0000-0000-0000CB750000}"/>
    <cellStyle name="Heading 2 3 26 7" xfId="30198" xr:uid="{00000000-0005-0000-0000-0000CC750000}"/>
    <cellStyle name="Heading 2 3 26 8" xfId="30199" xr:uid="{00000000-0005-0000-0000-0000CD750000}"/>
    <cellStyle name="Heading 2 3 26 9" xfId="30200" xr:uid="{00000000-0005-0000-0000-0000CE750000}"/>
    <cellStyle name="Heading 2 3 27" xfId="30201" xr:uid="{00000000-0005-0000-0000-0000CF750000}"/>
    <cellStyle name="Heading 2 3 27 10" xfId="30202" xr:uid="{00000000-0005-0000-0000-0000D0750000}"/>
    <cellStyle name="Heading 2 3 27 11" xfId="30203" xr:uid="{00000000-0005-0000-0000-0000D1750000}"/>
    <cellStyle name="Heading 2 3 27 12" xfId="30204" xr:uid="{00000000-0005-0000-0000-0000D2750000}"/>
    <cellStyle name="Heading 2 3 27 13" xfId="30205" xr:uid="{00000000-0005-0000-0000-0000D3750000}"/>
    <cellStyle name="Heading 2 3 27 14" xfId="30206" xr:uid="{00000000-0005-0000-0000-0000D4750000}"/>
    <cellStyle name="Heading 2 3 27 15" xfId="30207" xr:uid="{00000000-0005-0000-0000-0000D5750000}"/>
    <cellStyle name="Heading 2 3 27 2" xfId="30208" xr:uid="{00000000-0005-0000-0000-0000D6750000}"/>
    <cellStyle name="Heading 2 3 27 3" xfId="30209" xr:uid="{00000000-0005-0000-0000-0000D7750000}"/>
    <cellStyle name="Heading 2 3 27 4" xfId="30210" xr:uid="{00000000-0005-0000-0000-0000D8750000}"/>
    <cellStyle name="Heading 2 3 27 5" xfId="30211" xr:uid="{00000000-0005-0000-0000-0000D9750000}"/>
    <cellStyle name="Heading 2 3 27 6" xfId="30212" xr:uid="{00000000-0005-0000-0000-0000DA750000}"/>
    <cellStyle name="Heading 2 3 27 7" xfId="30213" xr:uid="{00000000-0005-0000-0000-0000DB750000}"/>
    <cellStyle name="Heading 2 3 27 8" xfId="30214" xr:uid="{00000000-0005-0000-0000-0000DC750000}"/>
    <cellStyle name="Heading 2 3 27 9" xfId="30215" xr:uid="{00000000-0005-0000-0000-0000DD750000}"/>
    <cellStyle name="Heading 2 3 28" xfId="30216" xr:uid="{00000000-0005-0000-0000-0000DE750000}"/>
    <cellStyle name="Heading 2 3 28 10" xfId="30217" xr:uid="{00000000-0005-0000-0000-0000DF750000}"/>
    <cellStyle name="Heading 2 3 28 11" xfId="30218" xr:uid="{00000000-0005-0000-0000-0000E0750000}"/>
    <cellStyle name="Heading 2 3 28 12" xfId="30219" xr:uid="{00000000-0005-0000-0000-0000E1750000}"/>
    <cellStyle name="Heading 2 3 28 13" xfId="30220" xr:uid="{00000000-0005-0000-0000-0000E2750000}"/>
    <cellStyle name="Heading 2 3 28 14" xfId="30221" xr:uid="{00000000-0005-0000-0000-0000E3750000}"/>
    <cellStyle name="Heading 2 3 28 15" xfId="30222" xr:uid="{00000000-0005-0000-0000-0000E4750000}"/>
    <cellStyle name="Heading 2 3 28 2" xfId="30223" xr:uid="{00000000-0005-0000-0000-0000E5750000}"/>
    <cellStyle name="Heading 2 3 28 3" xfId="30224" xr:uid="{00000000-0005-0000-0000-0000E6750000}"/>
    <cellStyle name="Heading 2 3 28 4" xfId="30225" xr:uid="{00000000-0005-0000-0000-0000E7750000}"/>
    <cellStyle name="Heading 2 3 28 5" xfId="30226" xr:uid="{00000000-0005-0000-0000-0000E8750000}"/>
    <cellStyle name="Heading 2 3 28 6" xfId="30227" xr:uid="{00000000-0005-0000-0000-0000E9750000}"/>
    <cellStyle name="Heading 2 3 28 7" xfId="30228" xr:uid="{00000000-0005-0000-0000-0000EA750000}"/>
    <cellStyle name="Heading 2 3 28 8" xfId="30229" xr:uid="{00000000-0005-0000-0000-0000EB750000}"/>
    <cellStyle name="Heading 2 3 28 9" xfId="30230" xr:uid="{00000000-0005-0000-0000-0000EC750000}"/>
    <cellStyle name="Heading 2 3 29" xfId="30231" xr:uid="{00000000-0005-0000-0000-0000ED750000}"/>
    <cellStyle name="Heading 2 3 29 10" xfId="30232" xr:uid="{00000000-0005-0000-0000-0000EE750000}"/>
    <cellStyle name="Heading 2 3 29 11" xfId="30233" xr:uid="{00000000-0005-0000-0000-0000EF750000}"/>
    <cellStyle name="Heading 2 3 29 12" xfId="30234" xr:uid="{00000000-0005-0000-0000-0000F0750000}"/>
    <cellStyle name="Heading 2 3 29 13" xfId="30235" xr:uid="{00000000-0005-0000-0000-0000F1750000}"/>
    <cellStyle name="Heading 2 3 29 14" xfId="30236" xr:uid="{00000000-0005-0000-0000-0000F2750000}"/>
    <cellStyle name="Heading 2 3 29 15" xfId="30237" xr:uid="{00000000-0005-0000-0000-0000F3750000}"/>
    <cellStyle name="Heading 2 3 29 2" xfId="30238" xr:uid="{00000000-0005-0000-0000-0000F4750000}"/>
    <cellStyle name="Heading 2 3 29 3" xfId="30239" xr:uid="{00000000-0005-0000-0000-0000F5750000}"/>
    <cellStyle name="Heading 2 3 29 4" xfId="30240" xr:uid="{00000000-0005-0000-0000-0000F6750000}"/>
    <cellStyle name="Heading 2 3 29 5" xfId="30241" xr:uid="{00000000-0005-0000-0000-0000F7750000}"/>
    <cellStyle name="Heading 2 3 29 6" xfId="30242" xr:uid="{00000000-0005-0000-0000-0000F8750000}"/>
    <cellStyle name="Heading 2 3 29 7" xfId="30243" xr:uid="{00000000-0005-0000-0000-0000F9750000}"/>
    <cellStyle name="Heading 2 3 29 8" xfId="30244" xr:uid="{00000000-0005-0000-0000-0000FA750000}"/>
    <cellStyle name="Heading 2 3 29 9" xfId="30245" xr:uid="{00000000-0005-0000-0000-0000FB750000}"/>
    <cellStyle name="Heading 2 3 3" xfId="30246" xr:uid="{00000000-0005-0000-0000-0000FC750000}"/>
    <cellStyle name="Heading 2 3 3 10" xfId="30247" xr:uid="{00000000-0005-0000-0000-0000FD750000}"/>
    <cellStyle name="Heading 2 3 3 11" xfId="30248" xr:uid="{00000000-0005-0000-0000-0000FE750000}"/>
    <cellStyle name="Heading 2 3 3 12" xfId="30249" xr:uid="{00000000-0005-0000-0000-0000FF750000}"/>
    <cellStyle name="Heading 2 3 3 13" xfId="30250" xr:uid="{00000000-0005-0000-0000-000000760000}"/>
    <cellStyle name="Heading 2 3 3 14" xfId="30251" xr:uid="{00000000-0005-0000-0000-000001760000}"/>
    <cellStyle name="Heading 2 3 3 15" xfId="30252" xr:uid="{00000000-0005-0000-0000-000002760000}"/>
    <cellStyle name="Heading 2 3 3 16" xfId="30253" xr:uid="{00000000-0005-0000-0000-000003760000}"/>
    <cellStyle name="Heading 2 3 3 2" xfId="30254" xr:uid="{00000000-0005-0000-0000-000004760000}"/>
    <cellStyle name="Heading 2 3 3 3" xfId="30255" xr:uid="{00000000-0005-0000-0000-000005760000}"/>
    <cellStyle name="Heading 2 3 3 4" xfId="30256" xr:uid="{00000000-0005-0000-0000-000006760000}"/>
    <cellStyle name="Heading 2 3 3 5" xfId="30257" xr:uid="{00000000-0005-0000-0000-000007760000}"/>
    <cellStyle name="Heading 2 3 3 6" xfId="30258" xr:uid="{00000000-0005-0000-0000-000008760000}"/>
    <cellStyle name="Heading 2 3 3 7" xfId="30259" xr:uid="{00000000-0005-0000-0000-000009760000}"/>
    <cellStyle name="Heading 2 3 3 8" xfId="30260" xr:uid="{00000000-0005-0000-0000-00000A760000}"/>
    <cellStyle name="Heading 2 3 3 9" xfId="30261" xr:uid="{00000000-0005-0000-0000-00000B760000}"/>
    <cellStyle name="Heading 2 3 30" xfId="30262" xr:uid="{00000000-0005-0000-0000-00000C760000}"/>
    <cellStyle name="Heading 2 3 30 10" xfId="30263" xr:uid="{00000000-0005-0000-0000-00000D760000}"/>
    <cellStyle name="Heading 2 3 30 11" xfId="30264" xr:uid="{00000000-0005-0000-0000-00000E760000}"/>
    <cellStyle name="Heading 2 3 30 12" xfId="30265" xr:uid="{00000000-0005-0000-0000-00000F760000}"/>
    <cellStyle name="Heading 2 3 30 13" xfId="30266" xr:uid="{00000000-0005-0000-0000-000010760000}"/>
    <cellStyle name="Heading 2 3 30 14" xfId="30267" xr:uid="{00000000-0005-0000-0000-000011760000}"/>
    <cellStyle name="Heading 2 3 30 15" xfId="30268" xr:uid="{00000000-0005-0000-0000-000012760000}"/>
    <cellStyle name="Heading 2 3 30 2" xfId="30269" xr:uid="{00000000-0005-0000-0000-000013760000}"/>
    <cellStyle name="Heading 2 3 30 3" xfId="30270" xr:uid="{00000000-0005-0000-0000-000014760000}"/>
    <cellStyle name="Heading 2 3 30 4" xfId="30271" xr:uid="{00000000-0005-0000-0000-000015760000}"/>
    <cellStyle name="Heading 2 3 30 5" xfId="30272" xr:uid="{00000000-0005-0000-0000-000016760000}"/>
    <cellStyle name="Heading 2 3 30 6" xfId="30273" xr:uid="{00000000-0005-0000-0000-000017760000}"/>
    <cellStyle name="Heading 2 3 30 7" xfId="30274" xr:uid="{00000000-0005-0000-0000-000018760000}"/>
    <cellStyle name="Heading 2 3 30 8" xfId="30275" xr:uid="{00000000-0005-0000-0000-000019760000}"/>
    <cellStyle name="Heading 2 3 30 9" xfId="30276" xr:uid="{00000000-0005-0000-0000-00001A760000}"/>
    <cellStyle name="Heading 2 3 31" xfId="30277" xr:uid="{00000000-0005-0000-0000-00001B760000}"/>
    <cellStyle name="Heading 2 3 31 10" xfId="30278" xr:uid="{00000000-0005-0000-0000-00001C760000}"/>
    <cellStyle name="Heading 2 3 31 11" xfId="30279" xr:uid="{00000000-0005-0000-0000-00001D760000}"/>
    <cellStyle name="Heading 2 3 31 12" xfId="30280" xr:uid="{00000000-0005-0000-0000-00001E760000}"/>
    <cellStyle name="Heading 2 3 31 13" xfId="30281" xr:uid="{00000000-0005-0000-0000-00001F760000}"/>
    <cellStyle name="Heading 2 3 31 14" xfId="30282" xr:uid="{00000000-0005-0000-0000-000020760000}"/>
    <cellStyle name="Heading 2 3 31 15" xfId="30283" xr:uid="{00000000-0005-0000-0000-000021760000}"/>
    <cellStyle name="Heading 2 3 31 2" xfId="30284" xr:uid="{00000000-0005-0000-0000-000022760000}"/>
    <cellStyle name="Heading 2 3 31 3" xfId="30285" xr:uid="{00000000-0005-0000-0000-000023760000}"/>
    <cellStyle name="Heading 2 3 31 4" xfId="30286" xr:uid="{00000000-0005-0000-0000-000024760000}"/>
    <cellStyle name="Heading 2 3 31 5" xfId="30287" xr:uid="{00000000-0005-0000-0000-000025760000}"/>
    <cellStyle name="Heading 2 3 31 6" xfId="30288" xr:uid="{00000000-0005-0000-0000-000026760000}"/>
    <cellStyle name="Heading 2 3 31 7" xfId="30289" xr:uid="{00000000-0005-0000-0000-000027760000}"/>
    <cellStyle name="Heading 2 3 31 8" xfId="30290" xr:uid="{00000000-0005-0000-0000-000028760000}"/>
    <cellStyle name="Heading 2 3 31 9" xfId="30291" xr:uid="{00000000-0005-0000-0000-000029760000}"/>
    <cellStyle name="Heading 2 3 32" xfId="30292" xr:uid="{00000000-0005-0000-0000-00002A760000}"/>
    <cellStyle name="Heading 2 3 32 10" xfId="30293" xr:uid="{00000000-0005-0000-0000-00002B760000}"/>
    <cellStyle name="Heading 2 3 32 11" xfId="30294" xr:uid="{00000000-0005-0000-0000-00002C760000}"/>
    <cellStyle name="Heading 2 3 32 12" xfId="30295" xr:uid="{00000000-0005-0000-0000-00002D760000}"/>
    <cellStyle name="Heading 2 3 32 13" xfId="30296" xr:uid="{00000000-0005-0000-0000-00002E760000}"/>
    <cellStyle name="Heading 2 3 32 14" xfId="30297" xr:uid="{00000000-0005-0000-0000-00002F760000}"/>
    <cellStyle name="Heading 2 3 32 15" xfId="30298" xr:uid="{00000000-0005-0000-0000-000030760000}"/>
    <cellStyle name="Heading 2 3 32 2" xfId="30299" xr:uid="{00000000-0005-0000-0000-000031760000}"/>
    <cellStyle name="Heading 2 3 32 3" xfId="30300" xr:uid="{00000000-0005-0000-0000-000032760000}"/>
    <cellStyle name="Heading 2 3 32 4" xfId="30301" xr:uid="{00000000-0005-0000-0000-000033760000}"/>
    <cellStyle name="Heading 2 3 32 5" xfId="30302" xr:uid="{00000000-0005-0000-0000-000034760000}"/>
    <cellStyle name="Heading 2 3 32 6" xfId="30303" xr:uid="{00000000-0005-0000-0000-000035760000}"/>
    <cellStyle name="Heading 2 3 32 7" xfId="30304" xr:uid="{00000000-0005-0000-0000-000036760000}"/>
    <cellStyle name="Heading 2 3 32 8" xfId="30305" xr:uid="{00000000-0005-0000-0000-000037760000}"/>
    <cellStyle name="Heading 2 3 32 9" xfId="30306" xr:uid="{00000000-0005-0000-0000-000038760000}"/>
    <cellStyle name="Heading 2 3 33" xfId="30307" xr:uid="{00000000-0005-0000-0000-000039760000}"/>
    <cellStyle name="Heading 2 3 34" xfId="30308" xr:uid="{00000000-0005-0000-0000-00003A760000}"/>
    <cellStyle name="Heading 2 3 35" xfId="30309" xr:uid="{00000000-0005-0000-0000-00003B760000}"/>
    <cellStyle name="Heading 2 3 36" xfId="30310" xr:uid="{00000000-0005-0000-0000-00003C760000}"/>
    <cellStyle name="Heading 2 3 37" xfId="30311" xr:uid="{00000000-0005-0000-0000-00003D760000}"/>
    <cellStyle name="Heading 2 3 38" xfId="30312" xr:uid="{00000000-0005-0000-0000-00003E760000}"/>
    <cellStyle name="Heading 2 3 39" xfId="30313" xr:uid="{00000000-0005-0000-0000-00003F760000}"/>
    <cellStyle name="Heading 2 3 4" xfId="30314" xr:uid="{00000000-0005-0000-0000-000040760000}"/>
    <cellStyle name="Heading 2 3 4 10" xfId="30315" xr:uid="{00000000-0005-0000-0000-000041760000}"/>
    <cellStyle name="Heading 2 3 4 11" xfId="30316" xr:uid="{00000000-0005-0000-0000-000042760000}"/>
    <cellStyle name="Heading 2 3 4 12" xfId="30317" xr:uid="{00000000-0005-0000-0000-000043760000}"/>
    <cellStyle name="Heading 2 3 4 13" xfId="30318" xr:uid="{00000000-0005-0000-0000-000044760000}"/>
    <cellStyle name="Heading 2 3 4 14" xfId="30319" xr:uid="{00000000-0005-0000-0000-000045760000}"/>
    <cellStyle name="Heading 2 3 4 15" xfId="30320" xr:uid="{00000000-0005-0000-0000-000046760000}"/>
    <cellStyle name="Heading 2 3 4 2" xfId="30321" xr:uid="{00000000-0005-0000-0000-000047760000}"/>
    <cellStyle name="Heading 2 3 4 3" xfId="30322" xr:uid="{00000000-0005-0000-0000-000048760000}"/>
    <cellStyle name="Heading 2 3 4 4" xfId="30323" xr:uid="{00000000-0005-0000-0000-000049760000}"/>
    <cellStyle name="Heading 2 3 4 5" xfId="30324" xr:uid="{00000000-0005-0000-0000-00004A760000}"/>
    <cellStyle name="Heading 2 3 4 6" xfId="30325" xr:uid="{00000000-0005-0000-0000-00004B760000}"/>
    <cellStyle name="Heading 2 3 4 7" xfId="30326" xr:uid="{00000000-0005-0000-0000-00004C760000}"/>
    <cellStyle name="Heading 2 3 4 8" xfId="30327" xr:uid="{00000000-0005-0000-0000-00004D760000}"/>
    <cellStyle name="Heading 2 3 4 9" xfId="30328" xr:uid="{00000000-0005-0000-0000-00004E760000}"/>
    <cellStyle name="Heading 2 3 40" xfId="30329" xr:uid="{00000000-0005-0000-0000-00004F760000}"/>
    <cellStyle name="Heading 2 3 41" xfId="30330" xr:uid="{00000000-0005-0000-0000-000050760000}"/>
    <cellStyle name="Heading 2 3 42" xfId="30331" xr:uid="{00000000-0005-0000-0000-000051760000}"/>
    <cellStyle name="Heading 2 3 43" xfId="30332" xr:uid="{00000000-0005-0000-0000-000052760000}"/>
    <cellStyle name="Heading 2 3 44" xfId="30333" xr:uid="{00000000-0005-0000-0000-000053760000}"/>
    <cellStyle name="Heading 2 3 45" xfId="30334" xr:uid="{00000000-0005-0000-0000-000054760000}"/>
    <cellStyle name="Heading 2 3 46" xfId="30335" xr:uid="{00000000-0005-0000-0000-000055760000}"/>
    <cellStyle name="Heading 2 3 47" xfId="30336" xr:uid="{00000000-0005-0000-0000-000056760000}"/>
    <cellStyle name="Heading 2 3 48" xfId="30337" xr:uid="{00000000-0005-0000-0000-000057760000}"/>
    <cellStyle name="Heading 2 3 49" xfId="30338" xr:uid="{00000000-0005-0000-0000-000058760000}"/>
    <cellStyle name="Heading 2 3 5" xfId="30339" xr:uid="{00000000-0005-0000-0000-000059760000}"/>
    <cellStyle name="Heading 2 3 5 10" xfId="30340" xr:uid="{00000000-0005-0000-0000-00005A760000}"/>
    <cellStyle name="Heading 2 3 5 11" xfId="30341" xr:uid="{00000000-0005-0000-0000-00005B760000}"/>
    <cellStyle name="Heading 2 3 5 12" xfId="30342" xr:uid="{00000000-0005-0000-0000-00005C760000}"/>
    <cellStyle name="Heading 2 3 5 13" xfId="30343" xr:uid="{00000000-0005-0000-0000-00005D760000}"/>
    <cellStyle name="Heading 2 3 5 14" xfId="30344" xr:uid="{00000000-0005-0000-0000-00005E760000}"/>
    <cellStyle name="Heading 2 3 5 15" xfId="30345" xr:uid="{00000000-0005-0000-0000-00005F760000}"/>
    <cellStyle name="Heading 2 3 5 2" xfId="30346" xr:uid="{00000000-0005-0000-0000-000060760000}"/>
    <cellStyle name="Heading 2 3 5 3" xfId="30347" xr:uid="{00000000-0005-0000-0000-000061760000}"/>
    <cellStyle name="Heading 2 3 5 4" xfId="30348" xr:uid="{00000000-0005-0000-0000-000062760000}"/>
    <cellStyle name="Heading 2 3 5 5" xfId="30349" xr:uid="{00000000-0005-0000-0000-000063760000}"/>
    <cellStyle name="Heading 2 3 5 6" xfId="30350" xr:uid="{00000000-0005-0000-0000-000064760000}"/>
    <cellStyle name="Heading 2 3 5 7" xfId="30351" xr:uid="{00000000-0005-0000-0000-000065760000}"/>
    <cellStyle name="Heading 2 3 5 8" xfId="30352" xr:uid="{00000000-0005-0000-0000-000066760000}"/>
    <cellStyle name="Heading 2 3 5 9" xfId="30353" xr:uid="{00000000-0005-0000-0000-000067760000}"/>
    <cellStyle name="Heading 2 3 50" xfId="30354" xr:uid="{00000000-0005-0000-0000-000068760000}"/>
    <cellStyle name="Heading 2 3 51" xfId="30355" xr:uid="{00000000-0005-0000-0000-000069760000}"/>
    <cellStyle name="Heading 2 3 52" xfId="30356" xr:uid="{00000000-0005-0000-0000-00006A760000}"/>
    <cellStyle name="Heading 2 3 53" xfId="30357" xr:uid="{00000000-0005-0000-0000-00006B760000}"/>
    <cellStyle name="Heading 2 3 6" xfId="30358" xr:uid="{00000000-0005-0000-0000-00006C760000}"/>
    <cellStyle name="Heading 2 3 6 10" xfId="30359" xr:uid="{00000000-0005-0000-0000-00006D760000}"/>
    <cellStyle name="Heading 2 3 6 11" xfId="30360" xr:uid="{00000000-0005-0000-0000-00006E760000}"/>
    <cellStyle name="Heading 2 3 6 12" xfId="30361" xr:uid="{00000000-0005-0000-0000-00006F760000}"/>
    <cellStyle name="Heading 2 3 6 13" xfId="30362" xr:uid="{00000000-0005-0000-0000-000070760000}"/>
    <cellStyle name="Heading 2 3 6 14" xfId="30363" xr:uid="{00000000-0005-0000-0000-000071760000}"/>
    <cellStyle name="Heading 2 3 6 15" xfId="30364" xr:uid="{00000000-0005-0000-0000-000072760000}"/>
    <cellStyle name="Heading 2 3 6 2" xfId="30365" xr:uid="{00000000-0005-0000-0000-000073760000}"/>
    <cellStyle name="Heading 2 3 6 3" xfId="30366" xr:uid="{00000000-0005-0000-0000-000074760000}"/>
    <cellStyle name="Heading 2 3 6 4" xfId="30367" xr:uid="{00000000-0005-0000-0000-000075760000}"/>
    <cellStyle name="Heading 2 3 6 5" xfId="30368" xr:uid="{00000000-0005-0000-0000-000076760000}"/>
    <cellStyle name="Heading 2 3 6 6" xfId="30369" xr:uid="{00000000-0005-0000-0000-000077760000}"/>
    <cellStyle name="Heading 2 3 6 7" xfId="30370" xr:uid="{00000000-0005-0000-0000-000078760000}"/>
    <cellStyle name="Heading 2 3 6 8" xfId="30371" xr:uid="{00000000-0005-0000-0000-000079760000}"/>
    <cellStyle name="Heading 2 3 6 9" xfId="30372" xr:uid="{00000000-0005-0000-0000-00007A760000}"/>
    <cellStyle name="Heading 2 3 7" xfId="30373" xr:uid="{00000000-0005-0000-0000-00007B760000}"/>
    <cellStyle name="Heading 2 3 7 10" xfId="30374" xr:uid="{00000000-0005-0000-0000-00007C760000}"/>
    <cellStyle name="Heading 2 3 7 11" xfId="30375" xr:uid="{00000000-0005-0000-0000-00007D760000}"/>
    <cellStyle name="Heading 2 3 7 12" xfId="30376" xr:uid="{00000000-0005-0000-0000-00007E760000}"/>
    <cellStyle name="Heading 2 3 7 13" xfId="30377" xr:uid="{00000000-0005-0000-0000-00007F760000}"/>
    <cellStyle name="Heading 2 3 7 14" xfId="30378" xr:uid="{00000000-0005-0000-0000-000080760000}"/>
    <cellStyle name="Heading 2 3 7 15" xfId="30379" xr:uid="{00000000-0005-0000-0000-000081760000}"/>
    <cellStyle name="Heading 2 3 7 2" xfId="30380" xr:uid="{00000000-0005-0000-0000-000082760000}"/>
    <cellStyle name="Heading 2 3 7 3" xfId="30381" xr:uid="{00000000-0005-0000-0000-000083760000}"/>
    <cellStyle name="Heading 2 3 7 4" xfId="30382" xr:uid="{00000000-0005-0000-0000-000084760000}"/>
    <cellStyle name="Heading 2 3 7 5" xfId="30383" xr:uid="{00000000-0005-0000-0000-000085760000}"/>
    <cellStyle name="Heading 2 3 7 6" xfId="30384" xr:uid="{00000000-0005-0000-0000-000086760000}"/>
    <cellStyle name="Heading 2 3 7 7" xfId="30385" xr:uid="{00000000-0005-0000-0000-000087760000}"/>
    <cellStyle name="Heading 2 3 7 8" xfId="30386" xr:uid="{00000000-0005-0000-0000-000088760000}"/>
    <cellStyle name="Heading 2 3 7 9" xfId="30387" xr:uid="{00000000-0005-0000-0000-000089760000}"/>
    <cellStyle name="Heading 2 3 8" xfId="30388" xr:uid="{00000000-0005-0000-0000-00008A760000}"/>
    <cellStyle name="Heading 2 3 8 10" xfId="30389" xr:uid="{00000000-0005-0000-0000-00008B760000}"/>
    <cellStyle name="Heading 2 3 8 11" xfId="30390" xr:uid="{00000000-0005-0000-0000-00008C760000}"/>
    <cellStyle name="Heading 2 3 8 12" xfId="30391" xr:uid="{00000000-0005-0000-0000-00008D760000}"/>
    <cellStyle name="Heading 2 3 8 13" xfId="30392" xr:uid="{00000000-0005-0000-0000-00008E760000}"/>
    <cellStyle name="Heading 2 3 8 14" xfId="30393" xr:uid="{00000000-0005-0000-0000-00008F760000}"/>
    <cellStyle name="Heading 2 3 8 15" xfId="30394" xr:uid="{00000000-0005-0000-0000-000090760000}"/>
    <cellStyle name="Heading 2 3 8 2" xfId="30395" xr:uid="{00000000-0005-0000-0000-000091760000}"/>
    <cellStyle name="Heading 2 3 8 3" xfId="30396" xr:uid="{00000000-0005-0000-0000-000092760000}"/>
    <cellStyle name="Heading 2 3 8 4" xfId="30397" xr:uid="{00000000-0005-0000-0000-000093760000}"/>
    <cellStyle name="Heading 2 3 8 5" xfId="30398" xr:uid="{00000000-0005-0000-0000-000094760000}"/>
    <cellStyle name="Heading 2 3 8 6" xfId="30399" xr:uid="{00000000-0005-0000-0000-000095760000}"/>
    <cellStyle name="Heading 2 3 8 7" xfId="30400" xr:uid="{00000000-0005-0000-0000-000096760000}"/>
    <cellStyle name="Heading 2 3 8 8" xfId="30401" xr:uid="{00000000-0005-0000-0000-000097760000}"/>
    <cellStyle name="Heading 2 3 8 9" xfId="30402" xr:uid="{00000000-0005-0000-0000-000098760000}"/>
    <cellStyle name="Heading 2 3 9" xfId="30403" xr:uid="{00000000-0005-0000-0000-000099760000}"/>
    <cellStyle name="Heading 2 3 9 10" xfId="30404" xr:uid="{00000000-0005-0000-0000-00009A760000}"/>
    <cellStyle name="Heading 2 3 9 11" xfId="30405" xr:uid="{00000000-0005-0000-0000-00009B760000}"/>
    <cellStyle name="Heading 2 3 9 12" xfId="30406" xr:uid="{00000000-0005-0000-0000-00009C760000}"/>
    <cellStyle name="Heading 2 3 9 13" xfId="30407" xr:uid="{00000000-0005-0000-0000-00009D760000}"/>
    <cellStyle name="Heading 2 3 9 14" xfId="30408" xr:uid="{00000000-0005-0000-0000-00009E760000}"/>
    <cellStyle name="Heading 2 3 9 15" xfId="30409" xr:uid="{00000000-0005-0000-0000-00009F760000}"/>
    <cellStyle name="Heading 2 3 9 2" xfId="30410" xr:uid="{00000000-0005-0000-0000-0000A0760000}"/>
    <cellStyle name="Heading 2 3 9 3" xfId="30411" xr:uid="{00000000-0005-0000-0000-0000A1760000}"/>
    <cellStyle name="Heading 2 3 9 4" xfId="30412" xr:uid="{00000000-0005-0000-0000-0000A2760000}"/>
    <cellStyle name="Heading 2 3 9 5" xfId="30413" xr:uid="{00000000-0005-0000-0000-0000A3760000}"/>
    <cellStyle name="Heading 2 3 9 6" xfId="30414" xr:uid="{00000000-0005-0000-0000-0000A4760000}"/>
    <cellStyle name="Heading 2 3 9 7" xfId="30415" xr:uid="{00000000-0005-0000-0000-0000A5760000}"/>
    <cellStyle name="Heading 2 3 9 8" xfId="30416" xr:uid="{00000000-0005-0000-0000-0000A6760000}"/>
    <cellStyle name="Heading 2 3 9 9" xfId="30417" xr:uid="{00000000-0005-0000-0000-0000A7760000}"/>
    <cellStyle name="Heading 2 30" xfId="30418" xr:uid="{00000000-0005-0000-0000-0000A8760000}"/>
    <cellStyle name="Heading 2 30 10" xfId="30419" xr:uid="{00000000-0005-0000-0000-0000A9760000}"/>
    <cellStyle name="Heading 2 30 11" xfId="30420" xr:uid="{00000000-0005-0000-0000-0000AA760000}"/>
    <cellStyle name="Heading 2 30 12" xfId="30421" xr:uid="{00000000-0005-0000-0000-0000AB760000}"/>
    <cellStyle name="Heading 2 30 13" xfId="30422" xr:uid="{00000000-0005-0000-0000-0000AC760000}"/>
    <cellStyle name="Heading 2 30 14" xfId="30423" xr:uid="{00000000-0005-0000-0000-0000AD760000}"/>
    <cellStyle name="Heading 2 30 15" xfId="30424" xr:uid="{00000000-0005-0000-0000-0000AE760000}"/>
    <cellStyle name="Heading 2 30 2" xfId="30425" xr:uid="{00000000-0005-0000-0000-0000AF760000}"/>
    <cellStyle name="Heading 2 30 3" xfId="30426" xr:uid="{00000000-0005-0000-0000-0000B0760000}"/>
    <cellStyle name="Heading 2 30 4" xfId="30427" xr:uid="{00000000-0005-0000-0000-0000B1760000}"/>
    <cellStyle name="Heading 2 30 5" xfId="30428" xr:uid="{00000000-0005-0000-0000-0000B2760000}"/>
    <cellStyle name="Heading 2 30 6" xfId="30429" xr:uid="{00000000-0005-0000-0000-0000B3760000}"/>
    <cellStyle name="Heading 2 30 7" xfId="30430" xr:uid="{00000000-0005-0000-0000-0000B4760000}"/>
    <cellStyle name="Heading 2 30 8" xfId="30431" xr:uid="{00000000-0005-0000-0000-0000B5760000}"/>
    <cellStyle name="Heading 2 30 9" xfId="30432" xr:uid="{00000000-0005-0000-0000-0000B6760000}"/>
    <cellStyle name="Heading 2 31" xfId="30433" xr:uid="{00000000-0005-0000-0000-0000B7760000}"/>
    <cellStyle name="Heading 2 31 10" xfId="30434" xr:uid="{00000000-0005-0000-0000-0000B8760000}"/>
    <cellStyle name="Heading 2 31 11" xfId="30435" xr:uid="{00000000-0005-0000-0000-0000B9760000}"/>
    <cellStyle name="Heading 2 31 12" xfId="30436" xr:uid="{00000000-0005-0000-0000-0000BA760000}"/>
    <cellStyle name="Heading 2 31 13" xfId="30437" xr:uid="{00000000-0005-0000-0000-0000BB760000}"/>
    <cellStyle name="Heading 2 31 14" xfId="30438" xr:uid="{00000000-0005-0000-0000-0000BC760000}"/>
    <cellStyle name="Heading 2 31 15" xfId="30439" xr:uid="{00000000-0005-0000-0000-0000BD760000}"/>
    <cellStyle name="Heading 2 31 2" xfId="30440" xr:uid="{00000000-0005-0000-0000-0000BE760000}"/>
    <cellStyle name="Heading 2 31 3" xfId="30441" xr:uid="{00000000-0005-0000-0000-0000BF760000}"/>
    <cellStyle name="Heading 2 31 4" xfId="30442" xr:uid="{00000000-0005-0000-0000-0000C0760000}"/>
    <cellStyle name="Heading 2 31 5" xfId="30443" xr:uid="{00000000-0005-0000-0000-0000C1760000}"/>
    <cellStyle name="Heading 2 31 6" xfId="30444" xr:uid="{00000000-0005-0000-0000-0000C2760000}"/>
    <cellStyle name="Heading 2 31 7" xfId="30445" xr:uid="{00000000-0005-0000-0000-0000C3760000}"/>
    <cellStyle name="Heading 2 31 8" xfId="30446" xr:uid="{00000000-0005-0000-0000-0000C4760000}"/>
    <cellStyle name="Heading 2 31 9" xfId="30447" xr:uid="{00000000-0005-0000-0000-0000C5760000}"/>
    <cellStyle name="Heading 2 32" xfId="30448" xr:uid="{00000000-0005-0000-0000-0000C6760000}"/>
    <cellStyle name="Heading 2 32 10" xfId="30449" xr:uid="{00000000-0005-0000-0000-0000C7760000}"/>
    <cellStyle name="Heading 2 32 11" xfId="30450" xr:uid="{00000000-0005-0000-0000-0000C8760000}"/>
    <cellStyle name="Heading 2 32 12" xfId="30451" xr:uid="{00000000-0005-0000-0000-0000C9760000}"/>
    <cellStyle name="Heading 2 32 13" xfId="30452" xr:uid="{00000000-0005-0000-0000-0000CA760000}"/>
    <cellStyle name="Heading 2 32 14" xfId="30453" xr:uid="{00000000-0005-0000-0000-0000CB760000}"/>
    <cellStyle name="Heading 2 32 15" xfId="30454" xr:uid="{00000000-0005-0000-0000-0000CC760000}"/>
    <cellStyle name="Heading 2 32 2" xfId="30455" xr:uid="{00000000-0005-0000-0000-0000CD760000}"/>
    <cellStyle name="Heading 2 32 3" xfId="30456" xr:uid="{00000000-0005-0000-0000-0000CE760000}"/>
    <cellStyle name="Heading 2 32 4" xfId="30457" xr:uid="{00000000-0005-0000-0000-0000CF760000}"/>
    <cellStyle name="Heading 2 32 5" xfId="30458" xr:uid="{00000000-0005-0000-0000-0000D0760000}"/>
    <cellStyle name="Heading 2 32 6" xfId="30459" xr:uid="{00000000-0005-0000-0000-0000D1760000}"/>
    <cellStyle name="Heading 2 32 7" xfId="30460" xr:uid="{00000000-0005-0000-0000-0000D2760000}"/>
    <cellStyle name="Heading 2 32 8" xfId="30461" xr:uid="{00000000-0005-0000-0000-0000D3760000}"/>
    <cellStyle name="Heading 2 32 9" xfId="30462" xr:uid="{00000000-0005-0000-0000-0000D4760000}"/>
    <cellStyle name="Heading 2 33" xfId="30463" xr:uid="{00000000-0005-0000-0000-0000D5760000}"/>
    <cellStyle name="Heading 2 33 10" xfId="30464" xr:uid="{00000000-0005-0000-0000-0000D6760000}"/>
    <cellStyle name="Heading 2 33 11" xfId="30465" xr:uid="{00000000-0005-0000-0000-0000D7760000}"/>
    <cellStyle name="Heading 2 33 12" xfId="30466" xr:uid="{00000000-0005-0000-0000-0000D8760000}"/>
    <cellStyle name="Heading 2 33 13" xfId="30467" xr:uid="{00000000-0005-0000-0000-0000D9760000}"/>
    <cellStyle name="Heading 2 33 14" xfId="30468" xr:uid="{00000000-0005-0000-0000-0000DA760000}"/>
    <cellStyle name="Heading 2 33 15" xfId="30469" xr:uid="{00000000-0005-0000-0000-0000DB760000}"/>
    <cellStyle name="Heading 2 33 2" xfId="30470" xr:uid="{00000000-0005-0000-0000-0000DC760000}"/>
    <cellStyle name="Heading 2 33 3" xfId="30471" xr:uid="{00000000-0005-0000-0000-0000DD760000}"/>
    <cellStyle name="Heading 2 33 4" xfId="30472" xr:uid="{00000000-0005-0000-0000-0000DE760000}"/>
    <cellStyle name="Heading 2 33 5" xfId="30473" xr:uid="{00000000-0005-0000-0000-0000DF760000}"/>
    <cellStyle name="Heading 2 33 6" xfId="30474" xr:uid="{00000000-0005-0000-0000-0000E0760000}"/>
    <cellStyle name="Heading 2 33 7" xfId="30475" xr:uid="{00000000-0005-0000-0000-0000E1760000}"/>
    <cellStyle name="Heading 2 33 8" xfId="30476" xr:uid="{00000000-0005-0000-0000-0000E2760000}"/>
    <cellStyle name="Heading 2 33 9" xfId="30477" xr:uid="{00000000-0005-0000-0000-0000E3760000}"/>
    <cellStyle name="Heading 2 34" xfId="30478" xr:uid="{00000000-0005-0000-0000-0000E4760000}"/>
    <cellStyle name="Heading 2 34 10" xfId="30479" xr:uid="{00000000-0005-0000-0000-0000E5760000}"/>
    <cellStyle name="Heading 2 34 11" xfId="30480" xr:uid="{00000000-0005-0000-0000-0000E6760000}"/>
    <cellStyle name="Heading 2 34 12" xfId="30481" xr:uid="{00000000-0005-0000-0000-0000E7760000}"/>
    <cellStyle name="Heading 2 34 13" xfId="30482" xr:uid="{00000000-0005-0000-0000-0000E8760000}"/>
    <cellStyle name="Heading 2 34 14" xfId="30483" xr:uid="{00000000-0005-0000-0000-0000E9760000}"/>
    <cellStyle name="Heading 2 34 15" xfId="30484" xr:uid="{00000000-0005-0000-0000-0000EA760000}"/>
    <cellStyle name="Heading 2 34 2" xfId="30485" xr:uid="{00000000-0005-0000-0000-0000EB760000}"/>
    <cellStyle name="Heading 2 34 3" xfId="30486" xr:uid="{00000000-0005-0000-0000-0000EC760000}"/>
    <cellStyle name="Heading 2 34 4" xfId="30487" xr:uid="{00000000-0005-0000-0000-0000ED760000}"/>
    <cellStyle name="Heading 2 34 5" xfId="30488" xr:uid="{00000000-0005-0000-0000-0000EE760000}"/>
    <cellStyle name="Heading 2 34 6" xfId="30489" xr:uid="{00000000-0005-0000-0000-0000EF760000}"/>
    <cellStyle name="Heading 2 34 7" xfId="30490" xr:uid="{00000000-0005-0000-0000-0000F0760000}"/>
    <cellStyle name="Heading 2 34 8" xfId="30491" xr:uid="{00000000-0005-0000-0000-0000F1760000}"/>
    <cellStyle name="Heading 2 34 9" xfId="30492" xr:uid="{00000000-0005-0000-0000-0000F2760000}"/>
    <cellStyle name="Heading 2 35" xfId="30493" xr:uid="{00000000-0005-0000-0000-0000F3760000}"/>
    <cellStyle name="Heading 2 35 10" xfId="30494" xr:uid="{00000000-0005-0000-0000-0000F4760000}"/>
    <cellStyle name="Heading 2 35 11" xfId="30495" xr:uid="{00000000-0005-0000-0000-0000F5760000}"/>
    <cellStyle name="Heading 2 35 12" xfId="30496" xr:uid="{00000000-0005-0000-0000-0000F6760000}"/>
    <cellStyle name="Heading 2 35 13" xfId="30497" xr:uid="{00000000-0005-0000-0000-0000F7760000}"/>
    <cellStyle name="Heading 2 35 14" xfId="30498" xr:uid="{00000000-0005-0000-0000-0000F8760000}"/>
    <cellStyle name="Heading 2 35 15" xfId="30499" xr:uid="{00000000-0005-0000-0000-0000F9760000}"/>
    <cellStyle name="Heading 2 35 2" xfId="30500" xr:uid="{00000000-0005-0000-0000-0000FA760000}"/>
    <cellStyle name="Heading 2 35 3" xfId="30501" xr:uid="{00000000-0005-0000-0000-0000FB760000}"/>
    <cellStyle name="Heading 2 35 4" xfId="30502" xr:uid="{00000000-0005-0000-0000-0000FC760000}"/>
    <cellStyle name="Heading 2 35 5" xfId="30503" xr:uid="{00000000-0005-0000-0000-0000FD760000}"/>
    <cellStyle name="Heading 2 35 6" xfId="30504" xr:uid="{00000000-0005-0000-0000-0000FE760000}"/>
    <cellStyle name="Heading 2 35 7" xfId="30505" xr:uid="{00000000-0005-0000-0000-0000FF760000}"/>
    <cellStyle name="Heading 2 35 8" xfId="30506" xr:uid="{00000000-0005-0000-0000-000000770000}"/>
    <cellStyle name="Heading 2 35 9" xfId="30507" xr:uid="{00000000-0005-0000-0000-000001770000}"/>
    <cellStyle name="Heading 2 36" xfId="30508" xr:uid="{00000000-0005-0000-0000-000002770000}"/>
    <cellStyle name="Heading 2 36 10" xfId="30509" xr:uid="{00000000-0005-0000-0000-000003770000}"/>
    <cellStyle name="Heading 2 36 11" xfId="30510" xr:uid="{00000000-0005-0000-0000-000004770000}"/>
    <cellStyle name="Heading 2 36 12" xfId="30511" xr:uid="{00000000-0005-0000-0000-000005770000}"/>
    <cellStyle name="Heading 2 36 13" xfId="30512" xr:uid="{00000000-0005-0000-0000-000006770000}"/>
    <cellStyle name="Heading 2 36 14" xfId="30513" xr:uid="{00000000-0005-0000-0000-000007770000}"/>
    <cellStyle name="Heading 2 36 15" xfId="30514" xr:uid="{00000000-0005-0000-0000-000008770000}"/>
    <cellStyle name="Heading 2 36 2" xfId="30515" xr:uid="{00000000-0005-0000-0000-000009770000}"/>
    <cellStyle name="Heading 2 36 3" xfId="30516" xr:uid="{00000000-0005-0000-0000-00000A770000}"/>
    <cellStyle name="Heading 2 36 4" xfId="30517" xr:uid="{00000000-0005-0000-0000-00000B770000}"/>
    <cellStyle name="Heading 2 36 5" xfId="30518" xr:uid="{00000000-0005-0000-0000-00000C770000}"/>
    <cellStyle name="Heading 2 36 6" xfId="30519" xr:uid="{00000000-0005-0000-0000-00000D770000}"/>
    <cellStyle name="Heading 2 36 7" xfId="30520" xr:uid="{00000000-0005-0000-0000-00000E770000}"/>
    <cellStyle name="Heading 2 36 8" xfId="30521" xr:uid="{00000000-0005-0000-0000-00000F770000}"/>
    <cellStyle name="Heading 2 36 9" xfId="30522" xr:uid="{00000000-0005-0000-0000-000010770000}"/>
    <cellStyle name="Heading 2 37" xfId="30523" xr:uid="{00000000-0005-0000-0000-000011770000}"/>
    <cellStyle name="Heading 2 37 10" xfId="30524" xr:uid="{00000000-0005-0000-0000-000012770000}"/>
    <cellStyle name="Heading 2 37 11" xfId="30525" xr:uid="{00000000-0005-0000-0000-000013770000}"/>
    <cellStyle name="Heading 2 37 12" xfId="30526" xr:uid="{00000000-0005-0000-0000-000014770000}"/>
    <cellStyle name="Heading 2 37 13" xfId="30527" xr:uid="{00000000-0005-0000-0000-000015770000}"/>
    <cellStyle name="Heading 2 37 14" xfId="30528" xr:uid="{00000000-0005-0000-0000-000016770000}"/>
    <cellStyle name="Heading 2 37 15" xfId="30529" xr:uid="{00000000-0005-0000-0000-000017770000}"/>
    <cellStyle name="Heading 2 37 2" xfId="30530" xr:uid="{00000000-0005-0000-0000-000018770000}"/>
    <cellStyle name="Heading 2 37 3" xfId="30531" xr:uid="{00000000-0005-0000-0000-000019770000}"/>
    <cellStyle name="Heading 2 37 4" xfId="30532" xr:uid="{00000000-0005-0000-0000-00001A770000}"/>
    <cellStyle name="Heading 2 37 5" xfId="30533" xr:uid="{00000000-0005-0000-0000-00001B770000}"/>
    <cellStyle name="Heading 2 37 6" xfId="30534" xr:uid="{00000000-0005-0000-0000-00001C770000}"/>
    <cellStyle name="Heading 2 37 7" xfId="30535" xr:uid="{00000000-0005-0000-0000-00001D770000}"/>
    <cellStyle name="Heading 2 37 8" xfId="30536" xr:uid="{00000000-0005-0000-0000-00001E770000}"/>
    <cellStyle name="Heading 2 37 9" xfId="30537" xr:uid="{00000000-0005-0000-0000-00001F770000}"/>
    <cellStyle name="Heading 2 38" xfId="30538" xr:uid="{00000000-0005-0000-0000-000020770000}"/>
    <cellStyle name="Heading 2 38 10" xfId="30539" xr:uid="{00000000-0005-0000-0000-000021770000}"/>
    <cellStyle name="Heading 2 38 11" xfId="30540" xr:uid="{00000000-0005-0000-0000-000022770000}"/>
    <cellStyle name="Heading 2 38 12" xfId="30541" xr:uid="{00000000-0005-0000-0000-000023770000}"/>
    <cellStyle name="Heading 2 38 13" xfId="30542" xr:uid="{00000000-0005-0000-0000-000024770000}"/>
    <cellStyle name="Heading 2 38 14" xfId="30543" xr:uid="{00000000-0005-0000-0000-000025770000}"/>
    <cellStyle name="Heading 2 38 15" xfId="30544" xr:uid="{00000000-0005-0000-0000-000026770000}"/>
    <cellStyle name="Heading 2 38 2" xfId="30545" xr:uid="{00000000-0005-0000-0000-000027770000}"/>
    <cellStyle name="Heading 2 38 3" xfId="30546" xr:uid="{00000000-0005-0000-0000-000028770000}"/>
    <cellStyle name="Heading 2 38 4" xfId="30547" xr:uid="{00000000-0005-0000-0000-000029770000}"/>
    <cellStyle name="Heading 2 38 5" xfId="30548" xr:uid="{00000000-0005-0000-0000-00002A770000}"/>
    <cellStyle name="Heading 2 38 6" xfId="30549" xr:uid="{00000000-0005-0000-0000-00002B770000}"/>
    <cellStyle name="Heading 2 38 7" xfId="30550" xr:uid="{00000000-0005-0000-0000-00002C770000}"/>
    <cellStyle name="Heading 2 38 8" xfId="30551" xr:uid="{00000000-0005-0000-0000-00002D770000}"/>
    <cellStyle name="Heading 2 38 9" xfId="30552" xr:uid="{00000000-0005-0000-0000-00002E770000}"/>
    <cellStyle name="Heading 2 39" xfId="30553" xr:uid="{00000000-0005-0000-0000-00002F770000}"/>
    <cellStyle name="Heading 2 39 10" xfId="30554" xr:uid="{00000000-0005-0000-0000-000030770000}"/>
    <cellStyle name="Heading 2 39 11" xfId="30555" xr:uid="{00000000-0005-0000-0000-000031770000}"/>
    <cellStyle name="Heading 2 39 12" xfId="30556" xr:uid="{00000000-0005-0000-0000-000032770000}"/>
    <cellStyle name="Heading 2 39 13" xfId="30557" xr:uid="{00000000-0005-0000-0000-000033770000}"/>
    <cellStyle name="Heading 2 39 14" xfId="30558" xr:uid="{00000000-0005-0000-0000-000034770000}"/>
    <cellStyle name="Heading 2 39 15" xfId="30559" xr:uid="{00000000-0005-0000-0000-000035770000}"/>
    <cellStyle name="Heading 2 39 2" xfId="30560" xr:uid="{00000000-0005-0000-0000-000036770000}"/>
    <cellStyle name="Heading 2 39 3" xfId="30561" xr:uid="{00000000-0005-0000-0000-000037770000}"/>
    <cellStyle name="Heading 2 39 4" xfId="30562" xr:uid="{00000000-0005-0000-0000-000038770000}"/>
    <cellStyle name="Heading 2 39 5" xfId="30563" xr:uid="{00000000-0005-0000-0000-000039770000}"/>
    <cellStyle name="Heading 2 39 6" xfId="30564" xr:uid="{00000000-0005-0000-0000-00003A770000}"/>
    <cellStyle name="Heading 2 39 7" xfId="30565" xr:uid="{00000000-0005-0000-0000-00003B770000}"/>
    <cellStyle name="Heading 2 39 8" xfId="30566" xr:uid="{00000000-0005-0000-0000-00003C770000}"/>
    <cellStyle name="Heading 2 39 9" xfId="30567" xr:uid="{00000000-0005-0000-0000-00003D770000}"/>
    <cellStyle name="Heading 2 4" xfId="30568" xr:uid="{00000000-0005-0000-0000-00003E770000}"/>
    <cellStyle name="Heading 2 4 2" xfId="30569" xr:uid="{00000000-0005-0000-0000-00003F770000}"/>
    <cellStyle name="Heading 2 4 2 2" xfId="30570" xr:uid="{00000000-0005-0000-0000-000040770000}"/>
    <cellStyle name="Heading 2 4 3" xfId="30571" xr:uid="{00000000-0005-0000-0000-000041770000}"/>
    <cellStyle name="Heading 2 4 3 2" xfId="30572" xr:uid="{00000000-0005-0000-0000-000042770000}"/>
    <cellStyle name="Heading 2 4 4" xfId="30573" xr:uid="{00000000-0005-0000-0000-000043770000}"/>
    <cellStyle name="Heading 2 4 4 2" xfId="30574" xr:uid="{00000000-0005-0000-0000-000044770000}"/>
    <cellStyle name="Heading 2 4 5" xfId="30575" xr:uid="{00000000-0005-0000-0000-000045770000}"/>
    <cellStyle name="Heading 2 4 5 2" xfId="30576" xr:uid="{00000000-0005-0000-0000-000046770000}"/>
    <cellStyle name="Heading 2 4 6" xfId="30577" xr:uid="{00000000-0005-0000-0000-000047770000}"/>
    <cellStyle name="Heading 2 4 6 2" xfId="30578" xr:uid="{00000000-0005-0000-0000-000048770000}"/>
    <cellStyle name="Heading 2 4 7" xfId="30579" xr:uid="{00000000-0005-0000-0000-000049770000}"/>
    <cellStyle name="Heading 2 40" xfId="30580" xr:uid="{00000000-0005-0000-0000-00004A770000}"/>
    <cellStyle name="Heading 2 41" xfId="30581" xr:uid="{00000000-0005-0000-0000-00004B770000}"/>
    <cellStyle name="Heading 2 42" xfId="30582" xr:uid="{00000000-0005-0000-0000-00004C770000}"/>
    <cellStyle name="Heading 2 43" xfId="30583" xr:uid="{00000000-0005-0000-0000-00004D770000}"/>
    <cellStyle name="Heading 2 44" xfId="30584" xr:uid="{00000000-0005-0000-0000-00004E770000}"/>
    <cellStyle name="Heading 2 45" xfId="30585" xr:uid="{00000000-0005-0000-0000-00004F770000}"/>
    <cellStyle name="Heading 2 46" xfId="30586" xr:uid="{00000000-0005-0000-0000-000050770000}"/>
    <cellStyle name="Heading 2 47" xfId="30587" xr:uid="{00000000-0005-0000-0000-000051770000}"/>
    <cellStyle name="Heading 2 48" xfId="30588" xr:uid="{00000000-0005-0000-0000-000052770000}"/>
    <cellStyle name="Heading 2 49" xfId="30589" xr:uid="{00000000-0005-0000-0000-000053770000}"/>
    <cellStyle name="Heading 2 5" xfId="30590" xr:uid="{00000000-0005-0000-0000-000054770000}"/>
    <cellStyle name="Heading 2 5 2" xfId="30591" xr:uid="{00000000-0005-0000-0000-000055770000}"/>
    <cellStyle name="Heading 2 5 2 2" xfId="30592" xr:uid="{00000000-0005-0000-0000-000056770000}"/>
    <cellStyle name="Heading 2 5 2 3" xfId="30593" xr:uid="{00000000-0005-0000-0000-000057770000}"/>
    <cellStyle name="Heading 2 5 2 4" xfId="30594" xr:uid="{00000000-0005-0000-0000-000058770000}"/>
    <cellStyle name="Heading 2 5 3" xfId="30595" xr:uid="{00000000-0005-0000-0000-000059770000}"/>
    <cellStyle name="Heading 2 5 3 2" xfId="30596" xr:uid="{00000000-0005-0000-0000-00005A770000}"/>
    <cellStyle name="Heading 2 5 3 3" xfId="30597" xr:uid="{00000000-0005-0000-0000-00005B770000}"/>
    <cellStyle name="Heading 2 5 4" xfId="30598" xr:uid="{00000000-0005-0000-0000-00005C770000}"/>
    <cellStyle name="Heading 2 50" xfId="30599" xr:uid="{00000000-0005-0000-0000-00005D770000}"/>
    <cellStyle name="Heading 2 51" xfId="30600" xr:uid="{00000000-0005-0000-0000-00005E770000}"/>
    <cellStyle name="Heading 2 52" xfId="30601" xr:uid="{00000000-0005-0000-0000-00005F770000}"/>
    <cellStyle name="Heading 2 53" xfId="30602" xr:uid="{00000000-0005-0000-0000-000060770000}"/>
    <cellStyle name="Heading 2 54" xfId="30603" xr:uid="{00000000-0005-0000-0000-000061770000}"/>
    <cellStyle name="Heading 2 55" xfId="30604" xr:uid="{00000000-0005-0000-0000-000062770000}"/>
    <cellStyle name="Heading 2 56" xfId="30605" xr:uid="{00000000-0005-0000-0000-000063770000}"/>
    <cellStyle name="Heading 2 57" xfId="30606" xr:uid="{00000000-0005-0000-0000-000064770000}"/>
    <cellStyle name="Heading 2 58" xfId="30607" xr:uid="{00000000-0005-0000-0000-000065770000}"/>
    <cellStyle name="Heading 2 59" xfId="30608" xr:uid="{00000000-0005-0000-0000-000066770000}"/>
    <cellStyle name="Heading 2 6" xfId="30609" xr:uid="{00000000-0005-0000-0000-000067770000}"/>
    <cellStyle name="Heading 2 6 2" xfId="30610" xr:uid="{00000000-0005-0000-0000-000068770000}"/>
    <cellStyle name="Heading 2 60" xfId="30611" xr:uid="{00000000-0005-0000-0000-000069770000}"/>
    <cellStyle name="Heading 2 61" xfId="30612" xr:uid="{00000000-0005-0000-0000-00006A770000}"/>
    <cellStyle name="Heading 2 62" xfId="30613" xr:uid="{00000000-0005-0000-0000-00006B770000}"/>
    <cellStyle name="Heading 2 63" xfId="30614" xr:uid="{00000000-0005-0000-0000-00006C770000}"/>
    <cellStyle name="Heading 2 64" xfId="30615" xr:uid="{00000000-0005-0000-0000-00006D770000}"/>
    <cellStyle name="Heading 2 65" xfId="30616" xr:uid="{00000000-0005-0000-0000-00006E770000}"/>
    <cellStyle name="Heading 2 66" xfId="30617" xr:uid="{00000000-0005-0000-0000-00006F770000}"/>
    <cellStyle name="Heading 2 67" xfId="30618" xr:uid="{00000000-0005-0000-0000-000070770000}"/>
    <cellStyle name="Heading 2 68" xfId="30619" xr:uid="{00000000-0005-0000-0000-000071770000}"/>
    <cellStyle name="Heading 2 69" xfId="30620" xr:uid="{00000000-0005-0000-0000-000072770000}"/>
    <cellStyle name="Heading 2 7" xfId="30621" xr:uid="{00000000-0005-0000-0000-000073770000}"/>
    <cellStyle name="Heading 2 7 2" xfId="30622" xr:uid="{00000000-0005-0000-0000-000074770000}"/>
    <cellStyle name="Heading 2 70" xfId="30623" xr:uid="{00000000-0005-0000-0000-000075770000}"/>
    <cellStyle name="Heading 2 71" xfId="30624" xr:uid="{00000000-0005-0000-0000-000076770000}"/>
    <cellStyle name="Heading 2 72" xfId="30625" xr:uid="{00000000-0005-0000-0000-000077770000}"/>
    <cellStyle name="Heading 2 73" xfId="30626" xr:uid="{00000000-0005-0000-0000-000078770000}"/>
    <cellStyle name="Heading 2 74" xfId="30627" xr:uid="{00000000-0005-0000-0000-000079770000}"/>
    <cellStyle name="Heading 2 75" xfId="30628" xr:uid="{00000000-0005-0000-0000-00007A770000}"/>
    <cellStyle name="Heading 2 76" xfId="30629" xr:uid="{00000000-0005-0000-0000-00007B770000}"/>
    <cellStyle name="Heading 2 77" xfId="30630" xr:uid="{00000000-0005-0000-0000-00007C770000}"/>
    <cellStyle name="Heading 2 78" xfId="30631" xr:uid="{00000000-0005-0000-0000-00007D770000}"/>
    <cellStyle name="Heading 2 79" xfId="30632" xr:uid="{00000000-0005-0000-0000-00007E770000}"/>
    <cellStyle name="Heading 2 79 2" xfId="30633" xr:uid="{00000000-0005-0000-0000-00007F770000}"/>
    <cellStyle name="Heading 2 8" xfId="30634" xr:uid="{00000000-0005-0000-0000-000080770000}"/>
    <cellStyle name="Heading 2 8 2" xfId="30635" xr:uid="{00000000-0005-0000-0000-000081770000}"/>
    <cellStyle name="Heading 2 80" xfId="30636" xr:uid="{00000000-0005-0000-0000-000082770000}"/>
    <cellStyle name="Heading 2 80 2" xfId="30637" xr:uid="{00000000-0005-0000-0000-000083770000}"/>
    <cellStyle name="Heading 2 81" xfId="30638" xr:uid="{00000000-0005-0000-0000-000084770000}"/>
    <cellStyle name="Heading 2 81 2" xfId="30639" xr:uid="{00000000-0005-0000-0000-000085770000}"/>
    <cellStyle name="Heading 2 82" xfId="30640" xr:uid="{00000000-0005-0000-0000-000086770000}"/>
    <cellStyle name="Heading 2 82 2" xfId="30641" xr:uid="{00000000-0005-0000-0000-000087770000}"/>
    <cellStyle name="Heading 2 83" xfId="30642" xr:uid="{00000000-0005-0000-0000-000088770000}"/>
    <cellStyle name="Heading 2 83 2" xfId="30643" xr:uid="{00000000-0005-0000-0000-000089770000}"/>
    <cellStyle name="Heading 2 84" xfId="30644" xr:uid="{00000000-0005-0000-0000-00008A770000}"/>
    <cellStyle name="Heading 2 84 2" xfId="30645" xr:uid="{00000000-0005-0000-0000-00008B770000}"/>
    <cellStyle name="Heading 2 85" xfId="30646" xr:uid="{00000000-0005-0000-0000-00008C770000}"/>
    <cellStyle name="Heading 2 85 2" xfId="30647" xr:uid="{00000000-0005-0000-0000-00008D770000}"/>
    <cellStyle name="Heading 2 86" xfId="30648" xr:uid="{00000000-0005-0000-0000-00008E770000}"/>
    <cellStyle name="Heading 2 86 2" xfId="30649" xr:uid="{00000000-0005-0000-0000-00008F770000}"/>
    <cellStyle name="Heading 2 87" xfId="30650" xr:uid="{00000000-0005-0000-0000-000090770000}"/>
    <cellStyle name="Heading 2 87 2" xfId="30651" xr:uid="{00000000-0005-0000-0000-000091770000}"/>
    <cellStyle name="Heading 2 88" xfId="30652" xr:uid="{00000000-0005-0000-0000-000092770000}"/>
    <cellStyle name="Heading 2 88 2" xfId="30653" xr:uid="{00000000-0005-0000-0000-000093770000}"/>
    <cellStyle name="Heading 2 89" xfId="30654" xr:uid="{00000000-0005-0000-0000-000094770000}"/>
    <cellStyle name="Heading 2 89 2" xfId="30655" xr:uid="{00000000-0005-0000-0000-000095770000}"/>
    <cellStyle name="Heading 2 9" xfId="30656" xr:uid="{00000000-0005-0000-0000-000096770000}"/>
    <cellStyle name="Heading 2 9 2" xfId="30657" xr:uid="{00000000-0005-0000-0000-000097770000}"/>
    <cellStyle name="Heading 2 90" xfId="30658" xr:uid="{00000000-0005-0000-0000-000098770000}"/>
    <cellStyle name="Heading 2 91" xfId="30659" xr:uid="{00000000-0005-0000-0000-000099770000}"/>
    <cellStyle name="Heading 2 92" xfId="30660" xr:uid="{00000000-0005-0000-0000-00009A770000}"/>
    <cellStyle name="Heading 2 93" xfId="30661" xr:uid="{00000000-0005-0000-0000-00009B770000}"/>
    <cellStyle name="Heading 2 94" xfId="30662" xr:uid="{00000000-0005-0000-0000-00009C770000}"/>
    <cellStyle name="Heading 2 95" xfId="30663" xr:uid="{00000000-0005-0000-0000-00009D770000}"/>
    <cellStyle name="Heading 2 96" xfId="30664" xr:uid="{00000000-0005-0000-0000-00009E770000}"/>
    <cellStyle name="Heading 2 97" xfId="30665" xr:uid="{00000000-0005-0000-0000-00009F770000}"/>
    <cellStyle name="Heading 2 98" xfId="30666" xr:uid="{00000000-0005-0000-0000-0000A0770000}"/>
    <cellStyle name="Heading 2 99" xfId="30667" xr:uid="{00000000-0005-0000-0000-0000A1770000}"/>
    <cellStyle name="Heading 3" xfId="4" builtinId="18" hidden="1" customBuiltin="1"/>
    <cellStyle name="Heading 3" xfId="51" builtinId="18" hidden="1" customBuiltin="1"/>
    <cellStyle name="Heading 3" xfId="73" builtinId="18" customBuiltin="1"/>
    <cellStyle name="Heading 3 10" xfId="30668" xr:uid="{00000000-0005-0000-0000-0000A5770000}"/>
    <cellStyle name="Heading 3 10 2" xfId="30669" xr:uid="{00000000-0005-0000-0000-0000A6770000}"/>
    <cellStyle name="Heading 3 100" xfId="30670" xr:uid="{00000000-0005-0000-0000-0000A7770000}"/>
    <cellStyle name="Heading 3 101" xfId="30671" xr:uid="{00000000-0005-0000-0000-0000A8770000}"/>
    <cellStyle name="Heading 3 102" xfId="30672" xr:uid="{00000000-0005-0000-0000-0000A9770000}"/>
    <cellStyle name="Heading 3 103" xfId="30673" xr:uid="{00000000-0005-0000-0000-0000AA770000}"/>
    <cellStyle name="Heading 3 104" xfId="30674" xr:uid="{00000000-0005-0000-0000-0000AB770000}"/>
    <cellStyle name="Heading 3 105" xfId="30675" xr:uid="{00000000-0005-0000-0000-0000AC770000}"/>
    <cellStyle name="Heading 3 106" xfId="30676" xr:uid="{00000000-0005-0000-0000-0000AD770000}"/>
    <cellStyle name="Heading 3 107" xfId="30677" xr:uid="{00000000-0005-0000-0000-0000AE770000}"/>
    <cellStyle name="Heading 3 108" xfId="30678" xr:uid="{00000000-0005-0000-0000-0000AF770000}"/>
    <cellStyle name="Heading 3 109" xfId="30679" xr:uid="{00000000-0005-0000-0000-0000B0770000}"/>
    <cellStyle name="Heading 3 11" xfId="30680" xr:uid="{00000000-0005-0000-0000-0000B1770000}"/>
    <cellStyle name="Heading 3 11 2" xfId="30681" xr:uid="{00000000-0005-0000-0000-0000B2770000}"/>
    <cellStyle name="Heading 3 110" xfId="30682" xr:uid="{00000000-0005-0000-0000-0000B3770000}"/>
    <cellStyle name="Heading 3 111" xfId="30683" xr:uid="{00000000-0005-0000-0000-0000B4770000}"/>
    <cellStyle name="Heading 3 112" xfId="30684" xr:uid="{00000000-0005-0000-0000-0000B5770000}"/>
    <cellStyle name="Heading 3 113" xfId="30685" xr:uid="{00000000-0005-0000-0000-0000B6770000}"/>
    <cellStyle name="Heading 3 114" xfId="30686" xr:uid="{00000000-0005-0000-0000-0000B7770000}"/>
    <cellStyle name="Heading 3 115" xfId="30687" xr:uid="{00000000-0005-0000-0000-0000B8770000}"/>
    <cellStyle name="Heading 3 116" xfId="30688" xr:uid="{00000000-0005-0000-0000-0000B9770000}"/>
    <cellStyle name="Heading 3 117" xfId="30689" xr:uid="{00000000-0005-0000-0000-0000BA770000}"/>
    <cellStyle name="Heading 3 118" xfId="30690" xr:uid="{00000000-0005-0000-0000-0000BB770000}"/>
    <cellStyle name="Heading 3 119" xfId="30691" xr:uid="{00000000-0005-0000-0000-0000BC770000}"/>
    <cellStyle name="Heading 3 12" xfId="30692" xr:uid="{00000000-0005-0000-0000-0000BD770000}"/>
    <cellStyle name="Heading 3 12 2" xfId="30693" xr:uid="{00000000-0005-0000-0000-0000BE770000}"/>
    <cellStyle name="Heading 3 120" xfId="30694" xr:uid="{00000000-0005-0000-0000-0000BF770000}"/>
    <cellStyle name="Heading 3 121" xfId="30695" xr:uid="{00000000-0005-0000-0000-0000C0770000}"/>
    <cellStyle name="Heading 3 122" xfId="30696" xr:uid="{00000000-0005-0000-0000-0000C1770000}"/>
    <cellStyle name="Heading 3 123" xfId="30697" xr:uid="{00000000-0005-0000-0000-0000C2770000}"/>
    <cellStyle name="Heading 3 124" xfId="30698" xr:uid="{00000000-0005-0000-0000-0000C3770000}"/>
    <cellStyle name="Heading 3 125" xfId="30699" xr:uid="{00000000-0005-0000-0000-0000C4770000}"/>
    <cellStyle name="Heading 3 126" xfId="30700" xr:uid="{00000000-0005-0000-0000-0000C5770000}"/>
    <cellStyle name="Heading 3 127" xfId="30701" xr:uid="{00000000-0005-0000-0000-0000C6770000}"/>
    <cellStyle name="Heading 3 128" xfId="30702" xr:uid="{00000000-0005-0000-0000-0000C7770000}"/>
    <cellStyle name="Heading 3 129" xfId="30703" xr:uid="{00000000-0005-0000-0000-0000C8770000}"/>
    <cellStyle name="Heading 3 13" xfId="30704" xr:uid="{00000000-0005-0000-0000-0000C9770000}"/>
    <cellStyle name="Heading 3 13 2" xfId="30705" xr:uid="{00000000-0005-0000-0000-0000CA770000}"/>
    <cellStyle name="Heading 3 130" xfId="30706" xr:uid="{00000000-0005-0000-0000-0000CB770000}"/>
    <cellStyle name="Heading 3 131" xfId="30707" xr:uid="{00000000-0005-0000-0000-0000CC770000}"/>
    <cellStyle name="Heading 3 132" xfId="30708" xr:uid="{00000000-0005-0000-0000-0000CD770000}"/>
    <cellStyle name="Heading 3 133" xfId="30709" xr:uid="{00000000-0005-0000-0000-0000CE770000}"/>
    <cellStyle name="Heading 3 134" xfId="30710" xr:uid="{00000000-0005-0000-0000-0000CF770000}"/>
    <cellStyle name="Heading 3 135" xfId="30711" xr:uid="{00000000-0005-0000-0000-0000D0770000}"/>
    <cellStyle name="Heading 3 136" xfId="30712" xr:uid="{00000000-0005-0000-0000-0000D1770000}"/>
    <cellStyle name="Heading 3 137" xfId="30713" xr:uid="{00000000-0005-0000-0000-0000D2770000}"/>
    <cellStyle name="Heading 3 138" xfId="30714" xr:uid="{00000000-0005-0000-0000-0000D3770000}"/>
    <cellStyle name="Heading 3 139" xfId="30715" xr:uid="{00000000-0005-0000-0000-0000D4770000}"/>
    <cellStyle name="Heading 3 14" xfId="30716" xr:uid="{00000000-0005-0000-0000-0000D5770000}"/>
    <cellStyle name="Heading 3 14 2" xfId="30717" xr:uid="{00000000-0005-0000-0000-0000D6770000}"/>
    <cellStyle name="Heading 3 140" xfId="30718" xr:uid="{00000000-0005-0000-0000-0000D7770000}"/>
    <cellStyle name="Heading 3 141" xfId="30719" xr:uid="{00000000-0005-0000-0000-0000D8770000}"/>
    <cellStyle name="Heading 3 142" xfId="30720" xr:uid="{00000000-0005-0000-0000-0000D9770000}"/>
    <cellStyle name="Heading 3 143" xfId="30721" xr:uid="{00000000-0005-0000-0000-0000DA770000}"/>
    <cellStyle name="Heading 3 144" xfId="30722" xr:uid="{00000000-0005-0000-0000-0000DB770000}"/>
    <cellStyle name="Heading 3 145" xfId="30723" xr:uid="{00000000-0005-0000-0000-0000DC770000}"/>
    <cellStyle name="Heading 3 146" xfId="30724" xr:uid="{00000000-0005-0000-0000-0000DD770000}"/>
    <cellStyle name="Heading 3 147" xfId="30725" xr:uid="{00000000-0005-0000-0000-0000DE770000}"/>
    <cellStyle name="Heading 3 148" xfId="30726" xr:uid="{00000000-0005-0000-0000-0000DF770000}"/>
    <cellStyle name="Heading 3 149" xfId="30727" xr:uid="{00000000-0005-0000-0000-0000E0770000}"/>
    <cellStyle name="Heading 3 15" xfId="30728" xr:uid="{00000000-0005-0000-0000-0000E1770000}"/>
    <cellStyle name="Heading 3 15 2" xfId="30729" xr:uid="{00000000-0005-0000-0000-0000E2770000}"/>
    <cellStyle name="Heading 3 150" xfId="30730" xr:uid="{00000000-0005-0000-0000-0000E3770000}"/>
    <cellStyle name="Heading 3 151" xfId="30731" xr:uid="{00000000-0005-0000-0000-0000E4770000}"/>
    <cellStyle name="Heading 3 152" xfId="30732" xr:uid="{00000000-0005-0000-0000-0000E5770000}"/>
    <cellStyle name="Heading 3 153" xfId="30733" xr:uid="{00000000-0005-0000-0000-0000E6770000}"/>
    <cellStyle name="Heading 3 154" xfId="30734" xr:uid="{00000000-0005-0000-0000-0000E7770000}"/>
    <cellStyle name="Heading 3 155" xfId="30735" xr:uid="{00000000-0005-0000-0000-0000E8770000}"/>
    <cellStyle name="Heading 3 156" xfId="30736" xr:uid="{00000000-0005-0000-0000-0000E9770000}"/>
    <cellStyle name="Heading 3 157" xfId="30737" xr:uid="{00000000-0005-0000-0000-0000EA770000}"/>
    <cellStyle name="Heading 3 158" xfId="30738" xr:uid="{00000000-0005-0000-0000-0000EB770000}"/>
    <cellStyle name="Heading 3 159" xfId="30739" xr:uid="{00000000-0005-0000-0000-0000EC770000}"/>
    <cellStyle name="Heading 3 16" xfId="30740" xr:uid="{00000000-0005-0000-0000-0000ED770000}"/>
    <cellStyle name="Heading 3 160" xfId="30741" xr:uid="{00000000-0005-0000-0000-0000EE770000}"/>
    <cellStyle name="Heading 3 161" xfId="30742" xr:uid="{00000000-0005-0000-0000-0000EF770000}"/>
    <cellStyle name="Heading 3 162" xfId="30743" xr:uid="{00000000-0005-0000-0000-0000F0770000}"/>
    <cellStyle name="Heading 3 163" xfId="30744" xr:uid="{00000000-0005-0000-0000-0000F1770000}"/>
    <cellStyle name="Heading 3 164" xfId="30745" xr:uid="{00000000-0005-0000-0000-0000F2770000}"/>
    <cellStyle name="Heading 3 165" xfId="30746" xr:uid="{00000000-0005-0000-0000-0000F3770000}"/>
    <cellStyle name="Heading 3 166" xfId="30747" xr:uid="{00000000-0005-0000-0000-0000F4770000}"/>
    <cellStyle name="Heading 3 167" xfId="30748" xr:uid="{00000000-0005-0000-0000-0000F5770000}"/>
    <cellStyle name="Heading 3 17" xfId="30749" xr:uid="{00000000-0005-0000-0000-0000F6770000}"/>
    <cellStyle name="Heading 3 18" xfId="30750" xr:uid="{00000000-0005-0000-0000-0000F7770000}"/>
    <cellStyle name="Heading 3 19" xfId="30751" xr:uid="{00000000-0005-0000-0000-0000F8770000}"/>
    <cellStyle name="Heading 3 2" xfId="30752" xr:uid="{00000000-0005-0000-0000-0000F9770000}"/>
    <cellStyle name="Heading 3 2 10" xfId="30753" xr:uid="{00000000-0005-0000-0000-0000FA770000}"/>
    <cellStyle name="Heading 3 2 11" xfId="30754" xr:uid="{00000000-0005-0000-0000-0000FB770000}"/>
    <cellStyle name="Heading 3 2 12" xfId="30755" xr:uid="{00000000-0005-0000-0000-0000FC770000}"/>
    <cellStyle name="Heading 3 2 13" xfId="30756" xr:uid="{00000000-0005-0000-0000-0000FD770000}"/>
    <cellStyle name="Heading 3 2 14" xfId="30757" xr:uid="{00000000-0005-0000-0000-0000FE770000}"/>
    <cellStyle name="Heading 3 2 15" xfId="30758" xr:uid="{00000000-0005-0000-0000-0000FF770000}"/>
    <cellStyle name="Heading 3 2 16" xfId="30759" xr:uid="{00000000-0005-0000-0000-000000780000}"/>
    <cellStyle name="Heading 3 2 17" xfId="30760" xr:uid="{00000000-0005-0000-0000-000001780000}"/>
    <cellStyle name="Heading 3 2 18" xfId="30761" xr:uid="{00000000-0005-0000-0000-000002780000}"/>
    <cellStyle name="Heading 3 2 19" xfId="30762" xr:uid="{00000000-0005-0000-0000-000003780000}"/>
    <cellStyle name="Heading 3 2 2" xfId="30763" xr:uid="{00000000-0005-0000-0000-000004780000}"/>
    <cellStyle name="Heading 3 2 2 2" xfId="30764" xr:uid="{00000000-0005-0000-0000-000005780000}"/>
    <cellStyle name="Heading 3 2 2 3" xfId="30765" xr:uid="{00000000-0005-0000-0000-000006780000}"/>
    <cellStyle name="Heading 3 2 2 3 2" xfId="30766" xr:uid="{00000000-0005-0000-0000-000007780000}"/>
    <cellStyle name="Heading 3 2 2 3 3" xfId="30767" xr:uid="{00000000-0005-0000-0000-000008780000}"/>
    <cellStyle name="Heading 3 2 2 3 4" xfId="30768" xr:uid="{00000000-0005-0000-0000-000009780000}"/>
    <cellStyle name="Heading 3 2 2 3 5" xfId="30769" xr:uid="{00000000-0005-0000-0000-00000A780000}"/>
    <cellStyle name="Heading 3 2 2 4" xfId="30770" xr:uid="{00000000-0005-0000-0000-00000B780000}"/>
    <cellStyle name="Heading 3 2 2 5" xfId="30771" xr:uid="{00000000-0005-0000-0000-00000C780000}"/>
    <cellStyle name="Heading 3 2 20" xfId="30772" xr:uid="{00000000-0005-0000-0000-00000D780000}"/>
    <cellStyle name="Heading 3 2 21" xfId="30773" xr:uid="{00000000-0005-0000-0000-00000E780000}"/>
    <cellStyle name="Heading 3 2 22" xfId="30774" xr:uid="{00000000-0005-0000-0000-00000F780000}"/>
    <cellStyle name="Heading 3 2 23" xfId="30775" xr:uid="{00000000-0005-0000-0000-000010780000}"/>
    <cellStyle name="Heading 3 2 24" xfId="30776" xr:uid="{00000000-0005-0000-0000-000011780000}"/>
    <cellStyle name="Heading 3 2 25" xfId="30777" xr:uid="{00000000-0005-0000-0000-000012780000}"/>
    <cellStyle name="Heading 3 2 26" xfId="30778" xr:uid="{00000000-0005-0000-0000-000013780000}"/>
    <cellStyle name="Heading 3 2 27" xfId="30779" xr:uid="{00000000-0005-0000-0000-000014780000}"/>
    <cellStyle name="Heading 3 2 28" xfId="30780" xr:uid="{00000000-0005-0000-0000-000015780000}"/>
    <cellStyle name="Heading 3 2 29" xfId="30781" xr:uid="{00000000-0005-0000-0000-000016780000}"/>
    <cellStyle name="Heading 3 2 3" xfId="30782" xr:uid="{00000000-0005-0000-0000-000017780000}"/>
    <cellStyle name="Heading 3 2 30" xfId="30783" xr:uid="{00000000-0005-0000-0000-000018780000}"/>
    <cellStyle name="Heading 3 2 31" xfId="30784" xr:uid="{00000000-0005-0000-0000-000019780000}"/>
    <cellStyle name="Heading 3 2 32" xfId="30785" xr:uid="{00000000-0005-0000-0000-00001A780000}"/>
    <cellStyle name="Heading 3 2 33" xfId="30786" xr:uid="{00000000-0005-0000-0000-00001B780000}"/>
    <cellStyle name="Heading 3 2 34" xfId="30787" xr:uid="{00000000-0005-0000-0000-00001C780000}"/>
    <cellStyle name="Heading 3 2 35" xfId="30788" xr:uid="{00000000-0005-0000-0000-00001D780000}"/>
    <cellStyle name="Heading 3 2 4" xfId="30789" xr:uid="{00000000-0005-0000-0000-00001E780000}"/>
    <cellStyle name="Heading 3 2 5" xfId="30790" xr:uid="{00000000-0005-0000-0000-00001F780000}"/>
    <cellStyle name="Heading 3 2 6" xfId="30791" xr:uid="{00000000-0005-0000-0000-000020780000}"/>
    <cellStyle name="Heading 3 2 7" xfId="30792" xr:uid="{00000000-0005-0000-0000-000021780000}"/>
    <cellStyle name="Heading 3 2 8" xfId="30793" xr:uid="{00000000-0005-0000-0000-000022780000}"/>
    <cellStyle name="Heading 3 2 9" xfId="30794" xr:uid="{00000000-0005-0000-0000-000023780000}"/>
    <cellStyle name="Heading 3 2_Belker-InternalTrade" xfId="30795" xr:uid="{00000000-0005-0000-0000-000024780000}"/>
    <cellStyle name="Heading 3 20" xfId="30796" xr:uid="{00000000-0005-0000-0000-000025780000}"/>
    <cellStyle name="Heading 3 20 10" xfId="30797" xr:uid="{00000000-0005-0000-0000-000026780000}"/>
    <cellStyle name="Heading 3 20 11" xfId="30798" xr:uid="{00000000-0005-0000-0000-000027780000}"/>
    <cellStyle name="Heading 3 20 12" xfId="30799" xr:uid="{00000000-0005-0000-0000-000028780000}"/>
    <cellStyle name="Heading 3 20 13" xfId="30800" xr:uid="{00000000-0005-0000-0000-000029780000}"/>
    <cellStyle name="Heading 3 20 14" xfId="30801" xr:uid="{00000000-0005-0000-0000-00002A780000}"/>
    <cellStyle name="Heading 3 20 15" xfId="30802" xr:uid="{00000000-0005-0000-0000-00002B780000}"/>
    <cellStyle name="Heading 3 20 16" xfId="30803" xr:uid="{00000000-0005-0000-0000-00002C780000}"/>
    <cellStyle name="Heading 3 20 2" xfId="30804" xr:uid="{00000000-0005-0000-0000-00002D780000}"/>
    <cellStyle name="Heading 3 20 3" xfId="30805" xr:uid="{00000000-0005-0000-0000-00002E780000}"/>
    <cellStyle name="Heading 3 20 4" xfId="30806" xr:uid="{00000000-0005-0000-0000-00002F780000}"/>
    <cellStyle name="Heading 3 20 5" xfId="30807" xr:uid="{00000000-0005-0000-0000-000030780000}"/>
    <cellStyle name="Heading 3 20 6" xfId="30808" xr:uid="{00000000-0005-0000-0000-000031780000}"/>
    <cellStyle name="Heading 3 20 7" xfId="30809" xr:uid="{00000000-0005-0000-0000-000032780000}"/>
    <cellStyle name="Heading 3 20 8" xfId="30810" xr:uid="{00000000-0005-0000-0000-000033780000}"/>
    <cellStyle name="Heading 3 20 9" xfId="30811" xr:uid="{00000000-0005-0000-0000-000034780000}"/>
    <cellStyle name="Heading 3 21" xfId="30812" xr:uid="{00000000-0005-0000-0000-000035780000}"/>
    <cellStyle name="Heading 3 21 2" xfId="30813" xr:uid="{00000000-0005-0000-0000-000036780000}"/>
    <cellStyle name="Heading 3 21 3" xfId="30814" xr:uid="{00000000-0005-0000-0000-000037780000}"/>
    <cellStyle name="Heading 3 22" xfId="30815" xr:uid="{00000000-0005-0000-0000-000038780000}"/>
    <cellStyle name="Heading 3 23" xfId="30816" xr:uid="{00000000-0005-0000-0000-000039780000}"/>
    <cellStyle name="Heading 3 24" xfId="30817" xr:uid="{00000000-0005-0000-0000-00003A780000}"/>
    <cellStyle name="Heading 3 25" xfId="30818" xr:uid="{00000000-0005-0000-0000-00003B780000}"/>
    <cellStyle name="Heading 3 26" xfId="30819" xr:uid="{00000000-0005-0000-0000-00003C780000}"/>
    <cellStyle name="Heading 3 27" xfId="30820" xr:uid="{00000000-0005-0000-0000-00003D780000}"/>
    <cellStyle name="Heading 3 28" xfId="30821" xr:uid="{00000000-0005-0000-0000-00003E780000}"/>
    <cellStyle name="Heading 3 29" xfId="30822" xr:uid="{00000000-0005-0000-0000-00003F780000}"/>
    <cellStyle name="Heading 3 3" xfId="30823" xr:uid="{00000000-0005-0000-0000-000040780000}"/>
    <cellStyle name="Heading 3 3 10" xfId="30824" xr:uid="{00000000-0005-0000-0000-000041780000}"/>
    <cellStyle name="Heading 3 3 10 10" xfId="30825" xr:uid="{00000000-0005-0000-0000-000042780000}"/>
    <cellStyle name="Heading 3 3 10 11" xfId="30826" xr:uid="{00000000-0005-0000-0000-000043780000}"/>
    <cellStyle name="Heading 3 3 10 12" xfId="30827" xr:uid="{00000000-0005-0000-0000-000044780000}"/>
    <cellStyle name="Heading 3 3 10 13" xfId="30828" xr:uid="{00000000-0005-0000-0000-000045780000}"/>
    <cellStyle name="Heading 3 3 10 14" xfId="30829" xr:uid="{00000000-0005-0000-0000-000046780000}"/>
    <cellStyle name="Heading 3 3 10 15" xfId="30830" xr:uid="{00000000-0005-0000-0000-000047780000}"/>
    <cellStyle name="Heading 3 3 10 2" xfId="30831" xr:uid="{00000000-0005-0000-0000-000048780000}"/>
    <cellStyle name="Heading 3 3 10 3" xfId="30832" xr:uid="{00000000-0005-0000-0000-000049780000}"/>
    <cellStyle name="Heading 3 3 10 4" xfId="30833" xr:uid="{00000000-0005-0000-0000-00004A780000}"/>
    <cellStyle name="Heading 3 3 10 5" xfId="30834" xr:uid="{00000000-0005-0000-0000-00004B780000}"/>
    <cellStyle name="Heading 3 3 10 6" xfId="30835" xr:uid="{00000000-0005-0000-0000-00004C780000}"/>
    <cellStyle name="Heading 3 3 10 7" xfId="30836" xr:uid="{00000000-0005-0000-0000-00004D780000}"/>
    <cellStyle name="Heading 3 3 10 8" xfId="30837" xr:uid="{00000000-0005-0000-0000-00004E780000}"/>
    <cellStyle name="Heading 3 3 10 9" xfId="30838" xr:uid="{00000000-0005-0000-0000-00004F780000}"/>
    <cellStyle name="Heading 3 3 11" xfId="30839" xr:uid="{00000000-0005-0000-0000-000050780000}"/>
    <cellStyle name="Heading 3 3 11 10" xfId="30840" xr:uid="{00000000-0005-0000-0000-000051780000}"/>
    <cellStyle name="Heading 3 3 11 11" xfId="30841" xr:uid="{00000000-0005-0000-0000-000052780000}"/>
    <cellStyle name="Heading 3 3 11 12" xfId="30842" xr:uid="{00000000-0005-0000-0000-000053780000}"/>
    <cellStyle name="Heading 3 3 11 13" xfId="30843" xr:uid="{00000000-0005-0000-0000-000054780000}"/>
    <cellStyle name="Heading 3 3 11 14" xfId="30844" xr:uid="{00000000-0005-0000-0000-000055780000}"/>
    <cellStyle name="Heading 3 3 11 15" xfId="30845" xr:uid="{00000000-0005-0000-0000-000056780000}"/>
    <cellStyle name="Heading 3 3 11 2" xfId="30846" xr:uid="{00000000-0005-0000-0000-000057780000}"/>
    <cellStyle name="Heading 3 3 11 3" xfId="30847" xr:uid="{00000000-0005-0000-0000-000058780000}"/>
    <cellStyle name="Heading 3 3 11 4" xfId="30848" xr:uid="{00000000-0005-0000-0000-000059780000}"/>
    <cellStyle name="Heading 3 3 11 5" xfId="30849" xr:uid="{00000000-0005-0000-0000-00005A780000}"/>
    <cellStyle name="Heading 3 3 11 6" xfId="30850" xr:uid="{00000000-0005-0000-0000-00005B780000}"/>
    <cellStyle name="Heading 3 3 11 7" xfId="30851" xr:uid="{00000000-0005-0000-0000-00005C780000}"/>
    <cellStyle name="Heading 3 3 11 8" xfId="30852" xr:uid="{00000000-0005-0000-0000-00005D780000}"/>
    <cellStyle name="Heading 3 3 11 9" xfId="30853" xr:uid="{00000000-0005-0000-0000-00005E780000}"/>
    <cellStyle name="Heading 3 3 12" xfId="30854" xr:uid="{00000000-0005-0000-0000-00005F780000}"/>
    <cellStyle name="Heading 3 3 12 10" xfId="30855" xr:uid="{00000000-0005-0000-0000-000060780000}"/>
    <cellStyle name="Heading 3 3 12 11" xfId="30856" xr:uid="{00000000-0005-0000-0000-000061780000}"/>
    <cellStyle name="Heading 3 3 12 12" xfId="30857" xr:uid="{00000000-0005-0000-0000-000062780000}"/>
    <cellStyle name="Heading 3 3 12 13" xfId="30858" xr:uid="{00000000-0005-0000-0000-000063780000}"/>
    <cellStyle name="Heading 3 3 12 14" xfId="30859" xr:uid="{00000000-0005-0000-0000-000064780000}"/>
    <cellStyle name="Heading 3 3 12 15" xfId="30860" xr:uid="{00000000-0005-0000-0000-000065780000}"/>
    <cellStyle name="Heading 3 3 12 2" xfId="30861" xr:uid="{00000000-0005-0000-0000-000066780000}"/>
    <cellStyle name="Heading 3 3 12 3" xfId="30862" xr:uid="{00000000-0005-0000-0000-000067780000}"/>
    <cellStyle name="Heading 3 3 12 4" xfId="30863" xr:uid="{00000000-0005-0000-0000-000068780000}"/>
    <cellStyle name="Heading 3 3 12 5" xfId="30864" xr:uid="{00000000-0005-0000-0000-000069780000}"/>
    <cellStyle name="Heading 3 3 12 6" xfId="30865" xr:uid="{00000000-0005-0000-0000-00006A780000}"/>
    <cellStyle name="Heading 3 3 12 7" xfId="30866" xr:uid="{00000000-0005-0000-0000-00006B780000}"/>
    <cellStyle name="Heading 3 3 12 8" xfId="30867" xr:uid="{00000000-0005-0000-0000-00006C780000}"/>
    <cellStyle name="Heading 3 3 12 9" xfId="30868" xr:uid="{00000000-0005-0000-0000-00006D780000}"/>
    <cellStyle name="Heading 3 3 13" xfId="30869" xr:uid="{00000000-0005-0000-0000-00006E780000}"/>
    <cellStyle name="Heading 3 3 13 10" xfId="30870" xr:uid="{00000000-0005-0000-0000-00006F780000}"/>
    <cellStyle name="Heading 3 3 13 11" xfId="30871" xr:uid="{00000000-0005-0000-0000-000070780000}"/>
    <cellStyle name="Heading 3 3 13 12" xfId="30872" xr:uid="{00000000-0005-0000-0000-000071780000}"/>
    <cellStyle name="Heading 3 3 13 13" xfId="30873" xr:uid="{00000000-0005-0000-0000-000072780000}"/>
    <cellStyle name="Heading 3 3 13 14" xfId="30874" xr:uid="{00000000-0005-0000-0000-000073780000}"/>
    <cellStyle name="Heading 3 3 13 15" xfId="30875" xr:uid="{00000000-0005-0000-0000-000074780000}"/>
    <cellStyle name="Heading 3 3 13 2" xfId="30876" xr:uid="{00000000-0005-0000-0000-000075780000}"/>
    <cellStyle name="Heading 3 3 13 3" xfId="30877" xr:uid="{00000000-0005-0000-0000-000076780000}"/>
    <cellStyle name="Heading 3 3 13 4" xfId="30878" xr:uid="{00000000-0005-0000-0000-000077780000}"/>
    <cellStyle name="Heading 3 3 13 5" xfId="30879" xr:uid="{00000000-0005-0000-0000-000078780000}"/>
    <cellStyle name="Heading 3 3 13 6" xfId="30880" xr:uid="{00000000-0005-0000-0000-000079780000}"/>
    <cellStyle name="Heading 3 3 13 7" xfId="30881" xr:uid="{00000000-0005-0000-0000-00007A780000}"/>
    <cellStyle name="Heading 3 3 13 8" xfId="30882" xr:uid="{00000000-0005-0000-0000-00007B780000}"/>
    <cellStyle name="Heading 3 3 13 9" xfId="30883" xr:uid="{00000000-0005-0000-0000-00007C780000}"/>
    <cellStyle name="Heading 3 3 14" xfId="30884" xr:uid="{00000000-0005-0000-0000-00007D780000}"/>
    <cellStyle name="Heading 3 3 14 10" xfId="30885" xr:uid="{00000000-0005-0000-0000-00007E780000}"/>
    <cellStyle name="Heading 3 3 14 11" xfId="30886" xr:uid="{00000000-0005-0000-0000-00007F780000}"/>
    <cellStyle name="Heading 3 3 14 12" xfId="30887" xr:uid="{00000000-0005-0000-0000-000080780000}"/>
    <cellStyle name="Heading 3 3 14 13" xfId="30888" xr:uid="{00000000-0005-0000-0000-000081780000}"/>
    <cellStyle name="Heading 3 3 14 14" xfId="30889" xr:uid="{00000000-0005-0000-0000-000082780000}"/>
    <cellStyle name="Heading 3 3 14 15" xfId="30890" xr:uid="{00000000-0005-0000-0000-000083780000}"/>
    <cellStyle name="Heading 3 3 14 2" xfId="30891" xr:uid="{00000000-0005-0000-0000-000084780000}"/>
    <cellStyle name="Heading 3 3 14 3" xfId="30892" xr:uid="{00000000-0005-0000-0000-000085780000}"/>
    <cellStyle name="Heading 3 3 14 4" xfId="30893" xr:uid="{00000000-0005-0000-0000-000086780000}"/>
    <cellStyle name="Heading 3 3 14 5" xfId="30894" xr:uid="{00000000-0005-0000-0000-000087780000}"/>
    <cellStyle name="Heading 3 3 14 6" xfId="30895" xr:uid="{00000000-0005-0000-0000-000088780000}"/>
    <cellStyle name="Heading 3 3 14 7" xfId="30896" xr:uid="{00000000-0005-0000-0000-000089780000}"/>
    <cellStyle name="Heading 3 3 14 8" xfId="30897" xr:uid="{00000000-0005-0000-0000-00008A780000}"/>
    <cellStyle name="Heading 3 3 14 9" xfId="30898" xr:uid="{00000000-0005-0000-0000-00008B780000}"/>
    <cellStyle name="Heading 3 3 15" xfId="30899" xr:uid="{00000000-0005-0000-0000-00008C780000}"/>
    <cellStyle name="Heading 3 3 15 10" xfId="30900" xr:uid="{00000000-0005-0000-0000-00008D780000}"/>
    <cellStyle name="Heading 3 3 15 11" xfId="30901" xr:uid="{00000000-0005-0000-0000-00008E780000}"/>
    <cellStyle name="Heading 3 3 15 12" xfId="30902" xr:uid="{00000000-0005-0000-0000-00008F780000}"/>
    <cellStyle name="Heading 3 3 15 13" xfId="30903" xr:uid="{00000000-0005-0000-0000-000090780000}"/>
    <cellStyle name="Heading 3 3 15 14" xfId="30904" xr:uid="{00000000-0005-0000-0000-000091780000}"/>
    <cellStyle name="Heading 3 3 15 15" xfId="30905" xr:uid="{00000000-0005-0000-0000-000092780000}"/>
    <cellStyle name="Heading 3 3 15 2" xfId="30906" xr:uid="{00000000-0005-0000-0000-000093780000}"/>
    <cellStyle name="Heading 3 3 15 3" xfId="30907" xr:uid="{00000000-0005-0000-0000-000094780000}"/>
    <cellStyle name="Heading 3 3 15 4" xfId="30908" xr:uid="{00000000-0005-0000-0000-000095780000}"/>
    <cellStyle name="Heading 3 3 15 5" xfId="30909" xr:uid="{00000000-0005-0000-0000-000096780000}"/>
    <cellStyle name="Heading 3 3 15 6" xfId="30910" xr:uid="{00000000-0005-0000-0000-000097780000}"/>
    <cellStyle name="Heading 3 3 15 7" xfId="30911" xr:uid="{00000000-0005-0000-0000-000098780000}"/>
    <cellStyle name="Heading 3 3 15 8" xfId="30912" xr:uid="{00000000-0005-0000-0000-000099780000}"/>
    <cellStyle name="Heading 3 3 15 9" xfId="30913" xr:uid="{00000000-0005-0000-0000-00009A780000}"/>
    <cellStyle name="Heading 3 3 16" xfId="30914" xr:uid="{00000000-0005-0000-0000-00009B780000}"/>
    <cellStyle name="Heading 3 3 16 10" xfId="30915" xr:uid="{00000000-0005-0000-0000-00009C780000}"/>
    <cellStyle name="Heading 3 3 16 11" xfId="30916" xr:uid="{00000000-0005-0000-0000-00009D780000}"/>
    <cellStyle name="Heading 3 3 16 12" xfId="30917" xr:uid="{00000000-0005-0000-0000-00009E780000}"/>
    <cellStyle name="Heading 3 3 16 13" xfId="30918" xr:uid="{00000000-0005-0000-0000-00009F780000}"/>
    <cellStyle name="Heading 3 3 16 14" xfId="30919" xr:uid="{00000000-0005-0000-0000-0000A0780000}"/>
    <cellStyle name="Heading 3 3 16 15" xfId="30920" xr:uid="{00000000-0005-0000-0000-0000A1780000}"/>
    <cellStyle name="Heading 3 3 16 2" xfId="30921" xr:uid="{00000000-0005-0000-0000-0000A2780000}"/>
    <cellStyle name="Heading 3 3 16 3" xfId="30922" xr:uid="{00000000-0005-0000-0000-0000A3780000}"/>
    <cellStyle name="Heading 3 3 16 4" xfId="30923" xr:uid="{00000000-0005-0000-0000-0000A4780000}"/>
    <cellStyle name="Heading 3 3 16 5" xfId="30924" xr:uid="{00000000-0005-0000-0000-0000A5780000}"/>
    <cellStyle name="Heading 3 3 16 6" xfId="30925" xr:uid="{00000000-0005-0000-0000-0000A6780000}"/>
    <cellStyle name="Heading 3 3 16 7" xfId="30926" xr:uid="{00000000-0005-0000-0000-0000A7780000}"/>
    <cellStyle name="Heading 3 3 16 8" xfId="30927" xr:uid="{00000000-0005-0000-0000-0000A8780000}"/>
    <cellStyle name="Heading 3 3 16 9" xfId="30928" xr:uid="{00000000-0005-0000-0000-0000A9780000}"/>
    <cellStyle name="Heading 3 3 17" xfId="30929" xr:uid="{00000000-0005-0000-0000-0000AA780000}"/>
    <cellStyle name="Heading 3 3 17 10" xfId="30930" xr:uid="{00000000-0005-0000-0000-0000AB780000}"/>
    <cellStyle name="Heading 3 3 17 11" xfId="30931" xr:uid="{00000000-0005-0000-0000-0000AC780000}"/>
    <cellStyle name="Heading 3 3 17 12" xfId="30932" xr:uid="{00000000-0005-0000-0000-0000AD780000}"/>
    <cellStyle name="Heading 3 3 17 13" xfId="30933" xr:uid="{00000000-0005-0000-0000-0000AE780000}"/>
    <cellStyle name="Heading 3 3 17 14" xfId="30934" xr:uid="{00000000-0005-0000-0000-0000AF780000}"/>
    <cellStyle name="Heading 3 3 17 15" xfId="30935" xr:uid="{00000000-0005-0000-0000-0000B0780000}"/>
    <cellStyle name="Heading 3 3 17 2" xfId="30936" xr:uid="{00000000-0005-0000-0000-0000B1780000}"/>
    <cellStyle name="Heading 3 3 17 3" xfId="30937" xr:uid="{00000000-0005-0000-0000-0000B2780000}"/>
    <cellStyle name="Heading 3 3 17 4" xfId="30938" xr:uid="{00000000-0005-0000-0000-0000B3780000}"/>
    <cellStyle name="Heading 3 3 17 5" xfId="30939" xr:uid="{00000000-0005-0000-0000-0000B4780000}"/>
    <cellStyle name="Heading 3 3 17 6" xfId="30940" xr:uid="{00000000-0005-0000-0000-0000B5780000}"/>
    <cellStyle name="Heading 3 3 17 7" xfId="30941" xr:uid="{00000000-0005-0000-0000-0000B6780000}"/>
    <cellStyle name="Heading 3 3 17 8" xfId="30942" xr:uid="{00000000-0005-0000-0000-0000B7780000}"/>
    <cellStyle name="Heading 3 3 17 9" xfId="30943" xr:uid="{00000000-0005-0000-0000-0000B8780000}"/>
    <cellStyle name="Heading 3 3 18" xfId="30944" xr:uid="{00000000-0005-0000-0000-0000B9780000}"/>
    <cellStyle name="Heading 3 3 18 10" xfId="30945" xr:uid="{00000000-0005-0000-0000-0000BA780000}"/>
    <cellStyle name="Heading 3 3 18 11" xfId="30946" xr:uid="{00000000-0005-0000-0000-0000BB780000}"/>
    <cellStyle name="Heading 3 3 18 12" xfId="30947" xr:uid="{00000000-0005-0000-0000-0000BC780000}"/>
    <cellStyle name="Heading 3 3 18 13" xfId="30948" xr:uid="{00000000-0005-0000-0000-0000BD780000}"/>
    <cellStyle name="Heading 3 3 18 14" xfId="30949" xr:uid="{00000000-0005-0000-0000-0000BE780000}"/>
    <cellStyle name="Heading 3 3 18 15" xfId="30950" xr:uid="{00000000-0005-0000-0000-0000BF780000}"/>
    <cellStyle name="Heading 3 3 18 2" xfId="30951" xr:uid="{00000000-0005-0000-0000-0000C0780000}"/>
    <cellStyle name="Heading 3 3 18 3" xfId="30952" xr:uid="{00000000-0005-0000-0000-0000C1780000}"/>
    <cellStyle name="Heading 3 3 18 4" xfId="30953" xr:uid="{00000000-0005-0000-0000-0000C2780000}"/>
    <cellStyle name="Heading 3 3 18 5" xfId="30954" xr:uid="{00000000-0005-0000-0000-0000C3780000}"/>
    <cellStyle name="Heading 3 3 18 6" xfId="30955" xr:uid="{00000000-0005-0000-0000-0000C4780000}"/>
    <cellStyle name="Heading 3 3 18 7" xfId="30956" xr:uid="{00000000-0005-0000-0000-0000C5780000}"/>
    <cellStyle name="Heading 3 3 18 8" xfId="30957" xr:uid="{00000000-0005-0000-0000-0000C6780000}"/>
    <cellStyle name="Heading 3 3 18 9" xfId="30958" xr:uid="{00000000-0005-0000-0000-0000C7780000}"/>
    <cellStyle name="Heading 3 3 19" xfId="30959" xr:uid="{00000000-0005-0000-0000-0000C8780000}"/>
    <cellStyle name="Heading 3 3 19 10" xfId="30960" xr:uid="{00000000-0005-0000-0000-0000C9780000}"/>
    <cellStyle name="Heading 3 3 19 11" xfId="30961" xr:uid="{00000000-0005-0000-0000-0000CA780000}"/>
    <cellStyle name="Heading 3 3 19 12" xfId="30962" xr:uid="{00000000-0005-0000-0000-0000CB780000}"/>
    <cellStyle name="Heading 3 3 19 13" xfId="30963" xr:uid="{00000000-0005-0000-0000-0000CC780000}"/>
    <cellStyle name="Heading 3 3 19 14" xfId="30964" xr:uid="{00000000-0005-0000-0000-0000CD780000}"/>
    <cellStyle name="Heading 3 3 19 15" xfId="30965" xr:uid="{00000000-0005-0000-0000-0000CE780000}"/>
    <cellStyle name="Heading 3 3 19 2" xfId="30966" xr:uid="{00000000-0005-0000-0000-0000CF780000}"/>
    <cellStyle name="Heading 3 3 19 3" xfId="30967" xr:uid="{00000000-0005-0000-0000-0000D0780000}"/>
    <cellStyle name="Heading 3 3 19 4" xfId="30968" xr:uid="{00000000-0005-0000-0000-0000D1780000}"/>
    <cellStyle name="Heading 3 3 19 5" xfId="30969" xr:uid="{00000000-0005-0000-0000-0000D2780000}"/>
    <cellStyle name="Heading 3 3 19 6" xfId="30970" xr:uid="{00000000-0005-0000-0000-0000D3780000}"/>
    <cellStyle name="Heading 3 3 19 7" xfId="30971" xr:uid="{00000000-0005-0000-0000-0000D4780000}"/>
    <cellStyle name="Heading 3 3 19 8" xfId="30972" xr:uid="{00000000-0005-0000-0000-0000D5780000}"/>
    <cellStyle name="Heading 3 3 19 9" xfId="30973" xr:uid="{00000000-0005-0000-0000-0000D6780000}"/>
    <cellStyle name="Heading 3 3 2" xfId="30974" xr:uid="{00000000-0005-0000-0000-0000D7780000}"/>
    <cellStyle name="Heading 3 3 2 10" xfId="30975" xr:uid="{00000000-0005-0000-0000-0000D8780000}"/>
    <cellStyle name="Heading 3 3 2 11" xfId="30976" xr:uid="{00000000-0005-0000-0000-0000D9780000}"/>
    <cellStyle name="Heading 3 3 2 12" xfId="30977" xr:uid="{00000000-0005-0000-0000-0000DA780000}"/>
    <cellStyle name="Heading 3 3 2 13" xfId="30978" xr:uid="{00000000-0005-0000-0000-0000DB780000}"/>
    <cellStyle name="Heading 3 3 2 14" xfId="30979" xr:uid="{00000000-0005-0000-0000-0000DC780000}"/>
    <cellStyle name="Heading 3 3 2 15" xfId="30980" xr:uid="{00000000-0005-0000-0000-0000DD780000}"/>
    <cellStyle name="Heading 3 3 2 16" xfId="30981" xr:uid="{00000000-0005-0000-0000-0000DE780000}"/>
    <cellStyle name="Heading 3 3 2 17" xfId="30982" xr:uid="{00000000-0005-0000-0000-0000DF780000}"/>
    <cellStyle name="Heading 3 3 2 18" xfId="30983" xr:uid="{00000000-0005-0000-0000-0000E0780000}"/>
    <cellStyle name="Heading 3 3 2 19" xfId="30984" xr:uid="{00000000-0005-0000-0000-0000E1780000}"/>
    <cellStyle name="Heading 3 3 2 2" xfId="30985" xr:uid="{00000000-0005-0000-0000-0000E2780000}"/>
    <cellStyle name="Heading 3 3 2 20" xfId="30986" xr:uid="{00000000-0005-0000-0000-0000E3780000}"/>
    <cellStyle name="Heading 3 3 2 21" xfId="30987" xr:uid="{00000000-0005-0000-0000-0000E4780000}"/>
    <cellStyle name="Heading 3 3 2 22" xfId="30988" xr:uid="{00000000-0005-0000-0000-0000E5780000}"/>
    <cellStyle name="Heading 3 3 2 23" xfId="30989" xr:uid="{00000000-0005-0000-0000-0000E6780000}"/>
    <cellStyle name="Heading 3 3 2 24" xfId="30990" xr:uid="{00000000-0005-0000-0000-0000E7780000}"/>
    <cellStyle name="Heading 3 3 2 25" xfId="30991" xr:uid="{00000000-0005-0000-0000-0000E8780000}"/>
    <cellStyle name="Heading 3 3 2 26" xfId="30992" xr:uid="{00000000-0005-0000-0000-0000E9780000}"/>
    <cellStyle name="Heading 3 3 2 27" xfId="30993" xr:uid="{00000000-0005-0000-0000-0000EA780000}"/>
    <cellStyle name="Heading 3 3 2 28" xfId="30994" xr:uid="{00000000-0005-0000-0000-0000EB780000}"/>
    <cellStyle name="Heading 3 3 2 29" xfId="30995" xr:uid="{00000000-0005-0000-0000-0000EC780000}"/>
    <cellStyle name="Heading 3 3 2 3" xfId="30996" xr:uid="{00000000-0005-0000-0000-0000ED780000}"/>
    <cellStyle name="Heading 3 3 2 30" xfId="30997" xr:uid="{00000000-0005-0000-0000-0000EE780000}"/>
    <cellStyle name="Heading 3 3 2 31" xfId="30998" xr:uid="{00000000-0005-0000-0000-0000EF780000}"/>
    <cellStyle name="Heading 3 3 2 32" xfId="30999" xr:uid="{00000000-0005-0000-0000-0000F0780000}"/>
    <cellStyle name="Heading 3 3 2 33" xfId="31000" xr:uid="{00000000-0005-0000-0000-0000F1780000}"/>
    <cellStyle name="Heading 3 3 2 34" xfId="31001" xr:uid="{00000000-0005-0000-0000-0000F2780000}"/>
    <cellStyle name="Heading 3 3 2 35" xfId="31002" xr:uid="{00000000-0005-0000-0000-0000F3780000}"/>
    <cellStyle name="Heading 3 3 2 36" xfId="31003" xr:uid="{00000000-0005-0000-0000-0000F4780000}"/>
    <cellStyle name="Heading 3 3 2 37" xfId="31004" xr:uid="{00000000-0005-0000-0000-0000F5780000}"/>
    <cellStyle name="Heading 3 3 2 38" xfId="31005" xr:uid="{00000000-0005-0000-0000-0000F6780000}"/>
    <cellStyle name="Heading 3 3 2 39" xfId="31006" xr:uid="{00000000-0005-0000-0000-0000F7780000}"/>
    <cellStyle name="Heading 3 3 2 4" xfId="31007" xr:uid="{00000000-0005-0000-0000-0000F8780000}"/>
    <cellStyle name="Heading 3 3 2 40" xfId="31008" xr:uid="{00000000-0005-0000-0000-0000F9780000}"/>
    <cellStyle name="Heading 3 3 2 41" xfId="31009" xr:uid="{00000000-0005-0000-0000-0000FA780000}"/>
    <cellStyle name="Heading 3 3 2 42" xfId="31010" xr:uid="{00000000-0005-0000-0000-0000FB780000}"/>
    <cellStyle name="Heading 3 3 2 43" xfId="31011" xr:uid="{00000000-0005-0000-0000-0000FC780000}"/>
    <cellStyle name="Heading 3 3 2 44" xfId="31012" xr:uid="{00000000-0005-0000-0000-0000FD780000}"/>
    <cellStyle name="Heading 3 3 2 45" xfId="31013" xr:uid="{00000000-0005-0000-0000-0000FE780000}"/>
    <cellStyle name="Heading 3 3 2 46" xfId="31014" xr:uid="{00000000-0005-0000-0000-0000FF780000}"/>
    <cellStyle name="Heading 3 3 2 47" xfId="31015" xr:uid="{00000000-0005-0000-0000-000000790000}"/>
    <cellStyle name="Heading 3 3 2 48" xfId="31016" xr:uid="{00000000-0005-0000-0000-000001790000}"/>
    <cellStyle name="Heading 3 3 2 49" xfId="31017" xr:uid="{00000000-0005-0000-0000-000002790000}"/>
    <cellStyle name="Heading 3 3 2 5" xfId="31018" xr:uid="{00000000-0005-0000-0000-000003790000}"/>
    <cellStyle name="Heading 3 3 2 50" xfId="31019" xr:uid="{00000000-0005-0000-0000-000004790000}"/>
    <cellStyle name="Heading 3 3 2 51" xfId="31020" xr:uid="{00000000-0005-0000-0000-000005790000}"/>
    <cellStyle name="Heading 3 3 2 52" xfId="31021" xr:uid="{00000000-0005-0000-0000-000006790000}"/>
    <cellStyle name="Heading 3 3 2 53" xfId="31022" xr:uid="{00000000-0005-0000-0000-000007790000}"/>
    <cellStyle name="Heading 3 3 2 6" xfId="31023" xr:uid="{00000000-0005-0000-0000-000008790000}"/>
    <cellStyle name="Heading 3 3 2 7" xfId="31024" xr:uid="{00000000-0005-0000-0000-000009790000}"/>
    <cellStyle name="Heading 3 3 2 8" xfId="31025" xr:uid="{00000000-0005-0000-0000-00000A790000}"/>
    <cellStyle name="Heading 3 3 2 9" xfId="31026" xr:uid="{00000000-0005-0000-0000-00000B790000}"/>
    <cellStyle name="Heading 3 3 20" xfId="31027" xr:uid="{00000000-0005-0000-0000-00000C790000}"/>
    <cellStyle name="Heading 3 3 20 10" xfId="31028" xr:uid="{00000000-0005-0000-0000-00000D790000}"/>
    <cellStyle name="Heading 3 3 20 11" xfId="31029" xr:uid="{00000000-0005-0000-0000-00000E790000}"/>
    <cellStyle name="Heading 3 3 20 12" xfId="31030" xr:uid="{00000000-0005-0000-0000-00000F790000}"/>
    <cellStyle name="Heading 3 3 20 13" xfId="31031" xr:uid="{00000000-0005-0000-0000-000010790000}"/>
    <cellStyle name="Heading 3 3 20 14" xfId="31032" xr:uid="{00000000-0005-0000-0000-000011790000}"/>
    <cellStyle name="Heading 3 3 20 15" xfId="31033" xr:uid="{00000000-0005-0000-0000-000012790000}"/>
    <cellStyle name="Heading 3 3 20 2" xfId="31034" xr:uid="{00000000-0005-0000-0000-000013790000}"/>
    <cellStyle name="Heading 3 3 20 3" xfId="31035" xr:uid="{00000000-0005-0000-0000-000014790000}"/>
    <cellStyle name="Heading 3 3 20 4" xfId="31036" xr:uid="{00000000-0005-0000-0000-000015790000}"/>
    <cellStyle name="Heading 3 3 20 5" xfId="31037" xr:uid="{00000000-0005-0000-0000-000016790000}"/>
    <cellStyle name="Heading 3 3 20 6" xfId="31038" xr:uid="{00000000-0005-0000-0000-000017790000}"/>
    <cellStyle name="Heading 3 3 20 7" xfId="31039" xr:uid="{00000000-0005-0000-0000-000018790000}"/>
    <cellStyle name="Heading 3 3 20 8" xfId="31040" xr:uid="{00000000-0005-0000-0000-000019790000}"/>
    <cellStyle name="Heading 3 3 20 9" xfId="31041" xr:uid="{00000000-0005-0000-0000-00001A790000}"/>
    <cellStyle name="Heading 3 3 21" xfId="31042" xr:uid="{00000000-0005-0000-0000-00001B790000}"/>
    <cellStyle name="Heading 3 3 21 10" xfId="31043" xr:uid="{00000000-0005-0000-0000-00001C790000}"/>
    <cellStyle name="Heading 3 3 21 11" xfId="31044" xr:uid="{00000000-0005-0000-0000-00001D790000}"/>
    <cellStyle name="Heading 3 3 21 12" xfId="31045" xr:uid="{00000000-0005-0000-0000-00001E790000}"/>
    <cellStyle name="Heading 3 3 21 13" xfId="31046" xr:uid="{00000000-0005-0000-0000-00001F790000}"/>
    <cellStyle name="Heading 3 3 21 14" xfId="31047" xr:uid="{00000000-0005-0000-0000-000020790000}"/>
    <cellStyle name="Heading 3 3 21 15" xfId="31048" xr:uid="{00000000-0005-0000-0000-000021790000}"/>
    <cellStyle name="Heading 3 3 21 2" xfId="31049" xr:uid="{00000000-0005-0000-0000-000022790000}"/>
    <cellStyle name="Heading 3 3 21 3" xfId="31050" xr:uid="{00000000-0005-0000-0000-000023790000}"/>
    <cellStyle name="Heading 3 3 21 4" xfId="31051" xr:uid="{00000000-0005-0000-0000-000024790000}"/>
    <cellStyle name="Heading 3 3 21 5" xfId="31052" xr:uid="{00000000-0005-0000-0000-000025790000}"/>
    <cellStyle name="Heading 3 3 21 6" xfId="31053" xr:uid="{00000000-0005-0000-0000-000026790000}"/>
    <cellStyle name="Heading 3 3 21 7" xfId="31054" xr:uid="{00000000-0005-0000-0000-000027790000}"/>
    <cellStyle name="Heading 3 3 21 8" xfId="31055" xr:uid="{00000000-0005-0000-0000-000028790000}"/>
    <cellStyle name="Heading 3 3 21 9" xfId="31056" xr:uid="{00000000-0005-0000-0000-000029790000}"/>
    <cellStyle name="Heading 3 3 22" xfId="31057" xr:uid="{00000000-0005-0000-0000-00002A790000}"/>
    <cellStyle name="Heading 3 3 22 10" xfId="31058" xr:uid="{00000000-0005-0000-0000-00002B790000}"/>
    <cellStyle name="Heading 3 3 22 11" xfId="31059" xr:uid="{00000000-0005-0000-0000-00002C790000}"/>
    <cellStyle name="Heading 3 3 22 12" xfId="31060" xr:uid="{00000000-0005-0000-0000-00002D790000}"/>
    <cellStyle name="Heading 3 3 22 13" xfId="31061" xr:uid="{00000000-0005-0000-0000-00002E790000}"/>
    <cellStyle name="Heading 3 3 22 14" xfId="31062" xr:uid="{00000000-0005-0000-0000-00002F790000}"/>
    <cellStyle name="Heading 3 3 22 15" xfId="31063" xr:uid="{00000000-0005-0000-0000-000030790000}"/>
    <cellStyle name="Heading 3 3 22 2" xfId="31064" xr:uid="{00000000-0005-0000-0000-000031790000}"/>
    <cellStyle name="Heading 3 3 22 3" xfId="31065" xr:uid="{00000000-0005-0000-0000-000032790000}"/>
    <cellStyle name="Heading 3 3 22 4" xfId="31066" xr:uid="{00000000-0005-0000-0000-000033790000}"/>
    <cellStyle name="Heading 3 3 22 5" xfId="31067" xr:uid="{00000000-0005-0000-0000-000034790000}"/>
    <cellStyle name="Heading 3 3 22 6" xfId="31068" xr:uid="{00000000-0005-0000-0000-000035790000}"/>
    <cellStyle name="Heading 3 3 22 7" xfId="31069" xr:uid="{00000000-0005-0000-0000-000036790000}"/>
    <cellStyle name="Heading 3 3 22 8" xfId="31070" xr:uid="{00000000-0005-0000-0000-000037790000}"/>
    <cellStyle name="Heading 3 3 22 9" xfId="31071" xr:uid="{00000000-0005-0000-0000-000038790000}"/>
    <cellStyle name="Heading 3 3 23" xfId="31072" xr:uid="{00000000-0005-0000-0000-000039790000}"/>
    <cellStyle name="Heading 3 3 23 10" xfId="31073" xr:uid="{00000000-0005-0000-0000-00003A790000}"/>
    <cellStyle name="Heading 3 3 23 11" xfId="31074" xr:uid="{00000000-0005-0000-0000-00003B790000}"/>
    <cellStyle name="Heading 3 3 23 12" xfId="31075" xr:uid="{00000000-0005-0000-0000-00003C790000}"/>
    <cellStyle name="Heading 3 3 23 13" xfId="31076" xr:uid="{00000000-0005-0000-0000-00003D790000}"/>
    <cellStyle name="Heading 3 3 23 14" xfId="31077" xr:uid="{00000000-0005-0000-0000-00003E790000}"/>
    <cellStyle name="Heading 3 3 23 15" xfId="31078" xr:uid="{00000000-0005-0000-0000-00003F790000}"/>
    <cellStyle name="Heading 3 3 23 2" xfId="31079" xr:uid="{00000000-0005-0000-0000-000040790000}"/>
    <cellStyle name="Heading 3 3 23 3" xfId="31080" xr:uid="{00000000-0005-0000-0000-000041790000}"/>
    <cellStyle name="Heading 3 3 23 4" xfId="31081" xr:uid="{00000000-0005-0000-0000-000042790000}"/>
    <cellStyle name="Heading 3 3 23 5" xfId="31082" xr:uid="{00000000-0005-0000-0000-000043790000}"/>
    <cellStyle name="Heading 3 3 23 6" xfId="31083" xr:uid="{00000000-0005-0000-0000-000044790000}"/>
    <cellStyle name="Heading 3 3 23 7" xfId="31084" xr:uid="{00000000-0005-0000-0000-000045790000}"/>
    <cellStyle name="Heading 3 3 23 8" xfId="31085" xr:uid="{00000000-0005-0000-0000-000046790000}"/>
    <cellStyle name="Heading 3 3 23 9" xfId="31086" xr:uid="{00000000-0005-0000-0000-000047790000}"/>
    <cellStyle name="Heading 3 3 24" xfId="31087" xr:uid="{00000000-0005-0000-0000-000048790000}"/>
    <cellStyle name="Heading 3 3 24 10" xfId="31088" xr:uid="{00000000-0005-0000-0000-000049790000}"/>
    <cellStyle name="Heading 3 3 24 11" xfId="31089" xr:uid="{00000000-0005-0000-0000-00004A790000}"/>
    <cellStyle name="Heading 3 3 24 12" xfId="31090" xr:uid="{00000000-0005-0000-0000-00004B790000}"/>
    <cellStyle name="Heading 3 3 24 13" xfId="31091" xr:uid="{00000000-0005-0000-0000-00004C790000}"/>
    <cellStyle name="Heading 3 3 24 14" xfId="31092" xr:uid="{00000000-0005-0000-0000-00004D790000}"/>
    <cellStyle name="Heading 3 3 24 15" xfId="31093" xr:uid="{00000000-0005-0000-0000-00004E790000}"/>
    <cellStyle name="Heading 3 3 24 2" xfId="31094" xr:uid="{00000000-0005-0000-0000-00004F790000}"/>
    <cellStyle name="Heading 3 3 24 3" xfId="31095" xr:uid="{00000000-0005-0000-0000-000050790000}"/>
    <cellStyle name="Heading 3 3 24 4" xfId="31096" xr:uid="{00000000-0005-0000-0000-000051790000}"/>
    <cellStyle name="Heading 3 3 24 5" xfId="31097" xr:uid="{00000000-0005-0000-0000-000052790000}"/>
    <cellStyle name="Heading 3 3 24 6" xfId="31098" xr:uid="{00000000-0005-0000-0000-000053790000}"/>
    <cellStyle name="Heading 3 3 24 7" xfId="31099" xr:uid="{00000000-0005-0000-0000-000054790000}"/>
    <cellStyle name="Heading 3 3 24 8" xfId="31100" xr:uid="{00000000-0005-0000-0000-000055790000}"/>
    <cellStyle name="Heading 3 3 24 9" xfId="31101" xr:uid="{00000000-0005-0000-0000-000056790000}"/>
    <cellStyle name="Heading 3 3 25" xfId="31102" xr:uid="{00000000-0005-0000-0000-000057790000}"/>
    <cellStyle name="Heading 3 3 25 10" xfId="31103" xr:uid="{00000000-0005-0000-0000-000058790000}"/>
    <cellStyle name="Heading 3 3 25 11" xfId="31104" xr:uid="{00000000-0005-0000-0000-000059790000}"/>
    <cellStyle name="Heading 3 3 25 12" xfId="31105" xr:uid="{00000000-0005-0000-0000-00005A790000}"/>
    <cellStyle name="Heading 3 3 25 13" xfId="31106" xr:uid="{00000000-0005-0000-0000-00005B790000}"/>
    <cellStyle name="Heading 3 3 25 14" xfId="31107" xr:uid="{00000000-0005-0000-0000-00005C790000}"/>
    <cellStyle name="Heading 3 3 25 15" xfId="31108" xr:uid="{00000000-0005-0000-0000-00005D790000}"/>
    <cellStyle name="Heading 3 3 25 2" xfId="31109" xr:uid="{00000000-0005-0000-0000-00005E790000}"/>
    <cellStyle name="Heading 3 3 25 3" xfId="31110" xr:uid="{00000000-0005-0000-0000-00005F790000}"/>
    <cellStyle name="Heading 3 3 25 4" xfId="31111" xr:uid="{00000000-0005-0000-0000-000060790000}"/>
    <cellStyle name="Heading 3 3 25 5" xfId="31112" xr:uid="{00000000-0005-0000-0000-000061790000}"/>
    <cellStyle name="Heading 3 3 25 6" xfId="31113" xr:uid="{00000000-0005-0000-0000-000062790000}"/>
    <cellStyle name="Heading 3 3 25 7" xfId="31114" xr:uid="{00000000-0005-0000-0000-000063790000}"/>
    <cellStyle name="Heading 3 3 25 8" xfId="31115" xr:uid="{00000000-0005-0000-0000-000064790000}"/>
    <cellStyle name="Heading 3 3 25 9" xfId="31116" xr:uid="{00000000-0005-0000-0000-000065790000}"/>
    <cellStyle name="Heading 3 3 26" xfId="31117" xr:uid="{00000000-0005-0000-0000-000066790000}"/>
    <cellStyle name="Heading 3 3 26 10" xfId="31118" xr:uid="{00000000-0005-0000-0000-000067790000}"/>
    <cellStyle name="Heading 3 3 26 11" xfId="31119" xr:uid="{00000000-0005-0000-0000-000068790000}"/>
    <cellStyle name="Heading 3 3 26 12" xfId="31120" xr:uid="{00000000-0005-0000-0000-000069790000}"/>
    <cellStyle name="Heading 3 3 26 13" xfId="31121" xr:uid="{00000000-0005-0000-0000-00006A790000}"/>
    <cellStyle name="Heading 3 3 26 14" xfId="31122" xr:uid="{00000000-0005-0000-0000-00006B790000}"/>
    <cellStyle name="Heading 3 3 26 15" xfId="31123" xr:uid="{00000000-0005-0000-0000-00006C790000}"/>
    <cellStyle name="Heading 3 3 26 2" xfId="31124" xr:uid="{00000000-0005-0000-0000-00006D790000}"/>
    <cellStyle name="Heading 3 3 26 3" xfId="31125" xr:uid="{00000000-0005-0000-0000-00006E790000}"/>
    <cellStyle name="Heading 3 3 26 4" xfId="31126" xr:uid="{00000000-0005-0000-0000-00006F790000}"/>
    <cellStyle name="Heading 3 3 26 5" xfId="31127" xr:uid="{00000000-0005-0000-0000-000070790000}"/>
    <cellStyle name="Heading 3 3 26 6" xfId="31128" xr:uid="{00000000-0005-0000-0000-000071790000}"/>
    <cellStyle name="Heading 3 3 26 7" xfId="31129" xr:uid="{00000000-0005-0000-0000-000072790000}"/>
    <cellStyle name="Heading 3 3 26 8" xfId="31130" xr:uid="{00000000-0005-0000-0000-000073790000}"/>
    <cellStyle name="Heading 3 3 26 9" xfId="31131" xr:uid="{00000000-0005-0000-0000-000074790000}"/>
    <cellStyle name="Heading 3 3 27" xfId="31132" xr:uid="{00000000-0005-0000-0000-000075790000}"/>
    <cellStyle name="Heading 3 3 27 10" xfId="31133" xr:uid="{00000000-0005-0000-0000-000076790000}"/>
    <cellStyle name="Heading 3 3 27 11" xfId="31134" xr:uid="{00000000-0005-0000-0000-000077790000}"/>
    <cellStyle name="Heading 3 3 27 12" xfId="31135" xr:uid="{00000000-0005-0000-0000-000078790000}"/>
    <cellStyle name="Heading 3 3 27 13" xfId="31136" xr:uid="{00000000-0005-0000-0000-000079790000}"/>
    <cellStyle name="Heading 3 3 27 14" xfId="31137" xr:uid="{00000000-0005-0000-0000-00007A790000}"/>
    <cellStyle name="Heading 3 3 27 15" xfId="31138" xr:uid="{00000000-0005-0000-0000-00007B790000}"/>
    <cellStyle name="Heading 3 3 27 2" xfId="31139" xr:uid="{00000000-0005-0000-0000-00007C790000}"/>
    <cellStyle name="Heading 3 3 27 3" xfId="31140" xr:uid="{00000000-0005-0000-0000-00007D790000}"/>
    <cellStyle name="Heading 3 3 27 4" xfId="31141" xr:uid="{00000000-0005-0000-0000-00007E790000}"/>
    <cellStyle name="Heading 3 3 27 5" xfId="31142" xr:uid="{00000000-0005-0000-0000-00007F790000}"/>
    <cellStyle name="Heading 3 3 27 6" xfId="31143" xr:uid="{00000000-0005-0000-0000-000080790000}"/>
    <cellStyle name="Heading 3 3 27 7" xfId="31144" xr:uid="{00000000-0005-0000-0000-000081790000}"/>
    <cellStyle name="Heading 3 3 27 8" xfId="31145" xr:uid="{00000000-0005-0000-0000-000082790000}"/>
    <cellStyle name="Heading 3 3 27 9" xfId="31146" xr:uid="{00000000-0005-0000-0000-000083790000}"/>
    <cellStyle name="Heading 3 3 28" xfId="31147" xr:uid="{00000000-0005-0000-0000-000084790000}"/>
    <cellStyle name="Heading 3 3 28 10" xfId="31148" xr:uid="{00000000-0005-0000-0000-000085790000}"/>
    <cellStyle name="Heading 3 3 28 11" xfId="31149" xr:uid="{00000000-0005-0000-0000-000086790000}"/>
    <cellStyle name="Heading 3 3 28 12" xfId="31150" xr:uid="{00000000-0005-0000-0000-000087790000}"/>
    <cellStyle name="Heading 3 3 28 13" xfId="31151" xr:uid="{00000000-0005-0000-0000-000088790000}"/>
    <cellStyle name="Heading 3 3 28 14" xfId="31152" xr:uid="{00000000-0005-0000-0000-000089790000}"/>
    <cellStyle name="Heading 3 3 28 15" xfId="31153" xr:uid="{00000000-0005-0000-0000-00008A790000}"/>
    <cellStyle name="Heading 3 3 28 2" xfId="31154" xr:uid="{00000000-0005-0000-0000-00008B790000}"/>
    <cellStyle name="Heading 3 3 28 3" xfId="31155" xr:uid="{00000000-0005-0000-0000-00008C790000}"/>
    <cellStyle name="Heading 3 3 28 4" xfId="31156" xr:uid="{00000000-0005-0000-0000-00008D790000}"/>
    <cellStyle name="Heading 3 3 28 5" xfId="31157" xr:uid="{00000000-0005-0000-0000-00008E790000}"/>
    <cellStyle name="Heading 3 3 28 6" xfId="31158" xr:uid="{00000000-0005-0000-0000-00008F790000}"/>
    <cellStyle name="Heading 3 3 28 7" xfId="31159" xr:uid="{00000000-0005-0000-0000-000090790000}"/>
    <cellStyle name="Heading 3 3 28 8" xfId="31160" xr:uid="{00000000-0005-0000-0000-000091790000}"/>
    <cellStyle name="Heading 3 3 28 9" xfId="31161" xr:uid="{00000000-0005-0000-0000-000092790000}"/>
    <cellStyle name="Heading 3 3 29" xfId="31162" xr:uid="{00000000-0005-0000-0000-000093790000}"/>
    <cellStyle name="Heading 3 3 29 10" xfId="31163" xr:uid="{00000000-0005-0000-0000-000094790000}"/>
    <cellStyle name="Heading 3 3 29 11" xfId="31164" xr:uid="{00000000-0005-0000-0000-000095790000}"/>
    <cellStyle name="Heading 3 3 29 12" xfId="31165" xr:uid="{00000000-0005-0000-0000-000096790000}"/>
    <cellStyle name="Heading 3 3 29 13" xfId="31166" xr:uid="{00000000-0005-0000-0000-000097790000}"/>
    <cellStyle name="Heading 3 3 29 14" xfId="31167" xr:uid="{00000000-0005-0000-0000-000098790000}"/>
    <cellStyle name="Heading 3 3 29 15" xfId="31168" xr:uid="{00000000-0005-0000-0000-000099790000}"/>
    <cellStyle name="Heading 3 3 29 2" xfId="31169" xr:uid="{00000000-0005-0000-0000-00009A790000}"/>
    <cellStyle name="Heading 3 3 29 3" xfId="31170" xr:uid="{00000000-0005-0000-0000-00009B790000}"/>
    <cellStyle name="Heading 3 3 29 4" xfId="31171" xr:uid="{00000000-0005-0000-0000-00009C790000}"/>
    <cellStyle name="Heading 3 3 29 5" xfId="31172" xr:uid="{00000000-0005-0000-0000-00009D790000}"/>
    <cellStyle name="Heading 3 3 29 6" xfId="31173" xr:uid="{00000000-0005-0000-0000-00009E790000}"/>
    <cellStyle name="Heading 3 3 29 7" xfId="31174" xr:uid="{00000000-0005-0000-0000-00009F790000}"/>
    <cellStyle name="Heading 3 3 29 8" xfId="31175" xr:uid="{00000000-0005-0000-0000-0000A0790000}"/>
    <cellStyle name="Heading 3 3 29 9" xfId="31176" xr:uid="{00000000-0005-0000-0000-0000A1790000}"/>
    <cellStyle name="Heading 3 3 3" xfId="31177" xr:uid="{00000000-0005-0000-0000-0000A2790000}"/>
    <cellStyle name="Heading 3 3 3 10" xfId="31178" xr:uid="{00000000-0005-0000-0000-0000A3790000}"/>
    <cellStyle name="Heading 3 3 3 11" xfId="31179" xr:uid="{00000000-0005-0000-0000-0000A4790000}"/>
    <cellStyle name="Heading 3 3 3 12" xfId="31180" xr:uid="{00000000-0005-0000-0000-0000A5790000}"/>
    <cellStyle name="Heading 3 3 3 13" xfId="31181" xr:uid="{00000000-0005-0000-0000-0000A6790000}"/>
    <cellStyle name="Heading 3 3 3 14" xfId="31182" xr:uid="{00000000-0005-0000-0000-0000A7790000}"/>
    <cellStyle name="Heading 3 3 3 15" xfId="31183" xr:uid="{00000000-0005-0000-0000-0000A8790000}"/>
    <cellStyle name="Heading 3 3 3 16" xfId="31184" xr:uid="{00000000-0005-0000-0000-0000A9790000}"/>
    <cellStyle name="Heading 3 3 3 2" xfId="31185" xr:uid="{00000000-0005-0000-0000-0000AA790000}"/>
    <cellStyle name="Heading 3 3 3 3" xfId="31186" xr:uid="{00000000-0005-0000-0000-0000AB790000}"/>
    <cellStyle name="Heading 3 3 3 4" xfId="31187" xr:uid="{00000000-0005-0000-0000-0000AC790000}"/>
    <cellStyle name="Heading 3 3 3 5" xfId="31188" xr:uid="{00000000-0005-0000-0000-0000AD790000}"/>
    <cellStyle name="Heading 3 3 3 6" xfId="31189" xr:uid="{00000000-0005-0000-0000-0000AE790000}"/>
    <cellStyle name="Heading 3 3 3 7" xfId="31190" xr:uid="{00000000-0005-0000-0000-0000AF790000}"/>
    <cellStyle name="Heading 3 3 3 8" xfId="31191" xr:uid="{00000000-0005-0000-0000-0000B0790000}"/>
    <cellStyle name="Heading 3 3 3 9" xfId="31192" xr:uid="{00000000-0005-0000-0000-0000B1790000}"/>
    <cellStyle name="Heading 3 3 30" xfId="31193" xr:uid="{00000000-0005-0000-0000-0000B2790000}"/>
    <cellStyle name="Heading 3 3 30 10" xfId="31194" xr:uid="{00000000-0005-0000-0000-0000B3790000}"/>
    <cellStyle name="Heading 3 3 30 11" xfId="31195" xr:uid="{00000000-0005-0000-0000-0000B4790000}"/>
    <cellStyle name="Heading 3 3 30 12" xfId="31196" xr:uid="{00000000-0005-0000-0000-0000B5790000}"/>
    <cellStyle name="Heading 3 3 30 13" xfId="31197" xr:uid="{00000000-0005-0000-0000-0000B6790000}"/>
    <cellStyle name="Heading 3 3 30 14" xfId="31198" xr:uid="{00000000-0005-0000-0000-0000B7790000}"/>
    <cellStyle name="Heading 3 3 30 15" xfId="31199" xr:uid="{00000000-0005-0000-0000-0000B8790000}"/>
    <cellStyle name="Heading 3 3 30 2" xfId="31200" xr:uid="{00000000-0005-0000-0000-0000B9790000}"/>
    <cellStyle name="Heading 3 3 30 3" xfId="31201" xr:uid="{00000000-0005-0000-0000-0000BA790000}"/>
    <cellStyle name="Heading 3 3 30 4" xfId="31202" xr:uid="{00000000-0005-0000-0000-0000BB790000}"/>
    <cellStyle name="Heading 3 3 30 5" xfId="31203" xr:uid="{00000000-0005-0000-0000-0000BC790000}"/>
    <cellStyle name="Heading 3 3 30 6" xfId="31204" xr:uid="{00000000-0005-0000-0000-0000BD790000}"/>
    <cellStyle name="Heading 3 3 30 7" xfId="31205" xr:uid="{00000000-0005-0000-0000-0000BE790000}"/>
    <cellStyle name="Heading 3 3 30 8" xfId="31206" xr:uid="{00000000-0005-0000-0000-0000BF790000}"/>
    <cellStyle name="Heading 3 3 30 9" xfId="31207" xr:uid="{00000000-0005-0000-0000-0000C0790000}"/>
    <cellStyle name="Heading 3 3 31" xfId="31208" xr:uid="{00000000-0005-0000-0000-0000C1790000}"/>
    <cellStyle name="Heading 3 3 31 10" xfId="31209" xr:uid="{00000000-0005-0000-0000-0000C2790000}"/>
    <cellStyle name="Heading 3 3 31 11" xfId="31210" xr:uid="{00000000-0005-0000-0000-0000C3790000}"/>
    <cellStyle name="Heading 3 3 31 12" xfId="31211" xr:uid="{00000000-0005-0000-0000-0000C4790000}"/>
    <cellStyle name="Heading 3 3 31 13" xfId="31212" xr:uid="{00000000-0005-0000-0000-0000C5790000}"/>
    <cellStyle name="Heading 3 3 31 14" xfId="31213" xr:uid="{00000000-0005-0000-0000-0000C6790000}"/>
    <cellStyle name="Heading 3 3 31 15" xfId="31214" xr:uid="{00000000-0005-0000-0000-0000C7790000}"/>
    <cellStyle name="Heading 3 3 31 2" xfId="31215" xr:uid="{00000000-0005-0000-0000-0000C8790000}"/>
    <cellStyle name="Heading 3 3 31 3" xfId="31216" xr:uid="{00000000-0005-0000-0000-0000C9790000}"/>
    <cellStyle name="Heading 3 3 31 4" xfId="31217" xr:uid="{00000000-0005-0000-0000-0000CA790000}"/>
    <cellStyle name="Heading 3 3 31 5" xfId="31218" xr:uid="{00000000-0005-0000-0000-0000CB790000}"/>
    <cellStyle name="Heading 3 3 31 6" xfId="31219" xr:uid="{00000000-0005-0000-0000-0000CC790000}"/>
    <cellStyle name="Heading 3 3 31 7" xfId="31220" xr:uid="{00000000-0005-0000-0000-0000CD790000}"/>
    <cellStyle name="Heading 3 3 31 8" xfId="31221" xr:uid="{00000000-0005-0000-0000-0000CE790000}"/>
    <cellStyle name="Heading 3 3 31 9" xfId="31222" xr:uid="{00000000-0005-0000-0000-0000CF790000}"/>
    <cellStyle name="Heading 3 3 32" xfId="31223" xr:uid="{00000000-0005-0000-0000-0000D0790000}"/>
    <cellStyle name="Heading 3 3 32 10" xfId="31224" xr:uid="{00000000-0005-0000-0000-0000D1790000}"/>
    <cellStyle name="Heading 3 3 32 11" xfId="31225" xr:uid="{00000000-0005-0000-0000-0000D2790000}"/>
    <cellStyle name="Heading 3 3 32 12" xfId="31226" xr:uid="{00000000-0005-0000-0000-0000D3790000}"/>
    <cellStyle name="Heading 3 3 32 13" xfId="31227" xr:uid="{00000000-0005-0000-0000-0000D4790000}"/>
    <cellStyle name="Heading 3 3 32 14" xfId="31228" xr:uid="{00000000-0005-0000-0000-0000D5790000}"/>
    <cellStyle name="Heading 3 3 32 15" xfId="31229" xr:uid="{00000000-0005-0000-0000-0000D6790000}"/>
    <cellStyle name="Heading 3 3 32 2" xfId="31230" xr:uid="{00000000-0005-0000-0000-0000D7790000}"/>
    <cellStyle name="Heading 3 3 32 3" xfId="31231" xr:uid="{00000000-0005-0000-0000-0000D8790000}"/>
    <cellStyle name="Heading 3 3 32 4" xfId="31232" xr:uid="{00000000-0005-0000-0000-0000D9790000}"/>
    <cellStyle name="Heading 3 3 32 5" xfId="31233" xr:uid="{00000000-0005-0000-0000-0000DA790000}"/>
    <cellStyle name="Heading 3 3 32 6" xfId="31234" xr:uid="{00000000-0005-0000-0000-0000DB790000}"/>
    <cellStyle name="Heading 3 3 32 7" xfId="31235" xr:uid="{00000000-0005-0000-0000-0000DC790000}"/>
    <cellStyle name="Heading 3 3 32 8" xfId="31236" xr:uid="{00000000-0005-0000-0000-0000DD790000}"/>
    <cellStyle name="Heading 3 3 32 9" xfId="31237" xr:uid="{00000000-0005-0000-0000-0000DE790000}"/>
    <cellStyle name="Heading 3 3 33" xfId="31238" xr:uid="{00000000-0005-0000-0000-0000DF790000}"/>
    <cellStyle name="Heading 3 3 34" xfId="31239" xr:uid="{00000000-0005-0000-0000-0000E0790000}"/>
    <cellStyle name="Heading 3 3 35" xfId="31240" xr:uid="{00000000-0005-0000-0000-0000E1790000}"/>
    <cellStyle name="Heading 3 3 36" xfId="31241" xr:uid="{00000000-0005-0000-0000-0000E2790000}"/>
    <cellStyle name="Heading 3 3 37" xfId="31242" xr:uid="{00000000-0005-0000-0000-0000E3790000}"/>
    <cellStyle name="Heading 3 3 38" xfId="31243" xr:uid="{00000000-0005-0000-0000-0000E4790000}"/>
    <cellStyle name="Heading 3 3 39" xfId="31244" xr:uid="{00000000-0005-0000-0000-0000E5790000}"/>
    <cellStyle name="Heading 3 3 4" xfId="31245" xr:uid="{00000000-0005-0000-0000-0000E6790000}"/>
    <cellStyle name="Heading 3 3 4 10" xfId="31246" xr:uid="{00000000-0005-0000-0000-0000E7790000}"/>
    <cellStyle name="Heading 3 3 4 11" xfId="31247" xr:uid="{00000000-0005-0000-0000-0000E8790000}"/>
    <cellStyle name="Heading 3 3 4 12" xfId="31248" xr:uid="{00000000-0005-0000-0000-0000E9790000}"/>
    <cellStyle name="Heading 3 3 4 13" xfId="31249" xr:uid="{00000000-0005-0000-0000-0000EA790000}"/>
    <cellStyle name="Heading 3 3 4 14" xfId="31250" xr:uid="{00000000-0005-0000-0000-0000EB790000}"/>
    <cellStyle name="Heading 3 3 4 15" xfId="31251" xr:uid="{00000000-0005-0000-0000-0000EC790000}"/>
    <cellStyle name="Heading 3 3 4 2" xfId="31252" xr:uid="{00000000-0005-0000-0000-0000ED790000}"/>
    <cellStyle name="Heading 3 3 4 3" xfId="31253" xr:uid="{00000000-0005-0000-0000-0000EE790000}"/>
    <cellStyle name="Heading 3 3 4 4" xfId="31254" xr:uid="{00000000-0005-0000-0000-0000EF790000}"/>
    <cellStyle name="Heading 3 3 4 5" xfId="31255" xr:uid="{00000000-0005-0000-0000-0000F0790000}"/>
    <cellStyle name="Heading 3 3 4 6" xfId="31256" xr:uid="{00000000-0005-0000-0000-0000F1790000}"/>
    <cellStyle name="Heading 3 3 4 7" xfId="31257" xr:uid="{00000000-0005-0000-0000-0000F2790000}"/>
    <cellStyle name="Heading 3 3 4 8" xfId="31258" xr:uid="{00000000-0005-0000-0000-0000F3790000}"/>
    <cellStyle name="Heading 3 3 4 9" xfId="31259" xr:uid="{00000000-0005-0000-0000-0000F4790000}"/>
    <cellStyle name="Heading 3 3 40" xfId="31260" xr:uid="{00000000-0005-0000-0000-0000F5790000}"/>
    <cellStyle name="Heading 3 3 41" xfId="31261" xr:uid="{00000000-0005-0000-0000-0000F6790000}"/>
    <cellStyle name="Heading 3 3 42" xfId="31262" xr:uid="{00000000-0005-0000-0000-0000F7790000}"/>
    <cellStyle name="Heading 3 3 43" xfId="31263" xr:uid="{00000000-0005-0000-0000-0000F8790000}"/>
    <cellStyle name="Heading 3 3 44" xfId="31264" xr:uid="{00000000-0005-0000-0000-0000F9790000}"/>
    <cellStyle name="Heading 3 3 45" xfId="31265" xr:uid="{00000000-0005-0000-0000-0000FA790000}"/>
    <cellStyle name="Heading 3 3 46" xfId="31266" xr:uid="{00000000-0005-0000-0000-0000FB790000}"/>
    <cellStyle name="Heading 3 3 47" xfId="31267" xr:uid="{00000000-0005-0000-0000-0000FC790000}"/>
    <cellStyle name="Heading 3 3 48" xfId="31268" xr:uid="{00000000-0005-0000-0000-0000FD790000}"/>
    <cellStyle name="Heading 3 3 49" xfId="31269" xr:uid="{00000000-0005-0000-0000-0000FE790000}"/>
    <cellStyle name="Heading 3 3 5" xfId="31270" xr:uid="{00000000-0005-0000-0000-0000FF790000}"/>
    <cellStyle name="Heading 3 3 5 10" xfId="31271" xr:uid="{00000000-0005-0000-0000-0000007A0000}"/>
    <cellStyle name="Heading 3 3 5 11" xfId="31272" xr:uid="{00000000-0005-0000-0000-0000017A0000}"/>
    <cellStyle name="Heading 3 3 5 12" xfId="31273" xr:uid="{00000000-0005-0000-0000-0000027A0000}"/>
    <cellStyle name="Heading 3 3 5 13" xfId="31274" xr:uid="{00000000-0005-0000-0000-0000037A0000}"/>
    <cellStyle name="Heading 3 3 5 14" xfId="31275" xr:uid="{00000000-0005-0000-0000-0000047A0000}"/>
    <cellStyle name="Heading 3 3 5 15" xfId="31276" xr:uid="{00000000-0005-0000-0000-0000057A0000}"/>
    <cellStyle name="Heading 3 3 5 2" xfId="31277" xr:uid="{00000000-0005-0000-0000-0000067A0000}"/>
    <cellStyle name="Heading 3 3 5 3" xfId="31278" xr:uid="{00000000-0005-0000-0000-0000077A0000}"/>
    <cellStyle name="Heading 3 3 5 4" xfId="31279" xr:uid="{00000000-0005-0000-0000-0000087A0000}"/>
    <cellStyle name="Heading 3 3 5 5" xfId="31280" xr:uid="{00000000-0005-0000-0000-0000097A0000}"/>
    <cellStyle name="Heading 3 3 5 6" xfId="31281" xr:uid="{00000000-0005-0000-0000-00000A7A0000}"/>
    <cellStyle name="Heading 3 3 5 7" xfId="31282" xr:uid="{00000000-0005-0000-0000-00000B7A0000}"/>
    <cellStyle name="Heading 3 3 5 8" xfId="31283" xr:uid="{00000000-0005-0000-0000-00000C7A0000}"/>
    <cellStyle name="Heading 3 3 5 9" xfId="31284" xr:uid="{00000000-0005-0000-0000-00000D7A0000}"/>
    <cellStyle name="Heading 3 3 50" xfId="31285" xr:uid="{00000000-0005-0000-0000-00000E7A0000}"/>
    <cellStyle name="Heading 3 3 51" xfId="31286" xr:uid="{00000000-0005-0000-0000-00000F7A0000}"/>
    <cellStyle name="Heading 3 3 52" xfId="31287" xr:uid="{00000000-0005-0000-0000-0000107A0000}"/>
    <cellStyle name="Heading 3 3 53" xfId="31288" xr:uid="{00000000-0005-0000-0000-0000117A0000}"/>
    <cellStyle name="Heading 3 3 6" xfId="31289" xr:uid="{00000000-0005-0000-0000-0000127A0000}"/>
    <cellStyle name="Heading 3 3 6 10" xfId="31290" xr:uid="{00000000-0005-0000-0000-0000137A0000}"/>
    <cellStyle name="Heading 3 3 6 11" xfId="31291" xr:uid="{00000000-0005-0000-0000-0000147A0000}"/>
    <cellStyle name="Heading 3 3 6 12" xfId="31292" xr:uid="{00000000-0005-0000-0000-0000157A0000}"/>
    <cellStyle name="Heading 3 3 6 13" xfId="31293" xr:uid="{00000000-0005-0000-0000-0000167A0000}"/>
    <cellStyle name="Heading 3 3 6 14" xfId="31294" xr:uid="{00000000-0005-0000-0000-0000177A0000}"/>
    <cellStyle name="Heading 3 3 6 15" xfId="31295" xr:uid="{00000000-0005-0000-0000-0000187A0000}"/>
    <cellStyle name="Heading 3 3 6 2" xfId="31296" xr:uid="{00000000-0005-0000-0000-0000197A0000}"/>
    <cellStyle name="Heading 3 3 6 3" xfId="31297" xr:uid="{00000000-0005-0000-0000-00001A7A0000}"/>
    <cellStyle name="Heading 3 3 6 4" xfId="31298" xr:uid="{00000000-0005-0000-0000-00001B7A0000}"/>
    <cellStyle name="Heading 3 3 6 5" xfId="31299" xr:uid="{00000000-0005-0000-0000-00001C7A0000}"/>
    <cellStyle name="Heading 3 3 6 6" xfId="31300" xr:uid="{00000000-0005-0000-0000-00001D7A0000}"/>
    <cellStyle name="Heading 3 3 6 7" xfId="31301" xr:uid="{00000000-0005-0000-0000-00001E7A0000}"/>
    <cellStyle name="Heading 3 3 6 8" xfId="31302" xr:uid="{00000000-0005-0000-0000-00001F7A0000}"/>
    <cellStyle name="Heading 3 3 6 9" xfId="31303" xr:uid="{00000000-0005-0000-0000-0000207A0000}"/>
    <cellStyle name="Heading 3 3 7" xfId="31304" xr:uid="{00000000-0005-0000-0000-0000217A0000}"/>
    <cellStyle name="Heading 3 3 7 10" xfId="31305" xr:uid="{00000000-0005-0000-0000-0000227A0000}"/>
    <cellStyle name="Heading 3 3 7 11" xfId="31306" xr:uid="{00000000-0005-0000-0000-0000237A0000}"/>
    <cellStyle name="Heading 3 3 7 12" xfId="31307" xr:uid="{00000000-0005-0000-0000-0000247A0000}"/>
    <cellStyle name="Heading 3 3 7 13" xfId="31308" xr:uid="{00000000-0005-0000-0000-0000257A0000}"/>
    <cellStyle name="Heading 3 3 7 14" xfId="31309" xr:uid="{00000000-0005-0000-0000-0000267A0000}"/>
    <cellStyle name="Heading 3 3 7 15" xfId="31310" xr:uid="{00000000-0005-0000-0000-0000277A0000}"/>
    <cellStyle name="Heading 3 3 7 2" xfId="31311" xr:uid="{00000000-0005-0000-0000-0000287A0000}"/>
    <cellStyle name="Heading 3 3 7 3" xfId="31312" xr:uid="{00000000-0005-0000-0000-0000297A0000}"/>
    <cellStyle name="Heading 3 3 7 4" xfId="31313" xr:uid="{00000000-0005-0000-0000-00002A7A0000}"/>
    <cellStyle name="Heading 3 3 7 5" xfId="31314" xr:uid="{00000000-0005-0000-0000-00002B7A0000}"/>
    <cellStyle name="Heading 3 3 7 6" xfId="31315" xr:uid="{00000000-0005-0000-0000-00002C7A0000}"/>
    <cellStyle name="Heading 3 3 7 7" xfId="31316" xr:uid="{00000000-0005-0000-0000-00002D7A0000}"/>
    <cellStyle name="Heading 3 3 7 8" xfId="31317" xr:uid="{00000000-0005-0000-0000-00002E7A0000}"/>
    <cellStyle name="Heading 3 3 7 9" xfId="31318" xr:uid="{00000000-0005-0000-0000-00002F7A0000}"/>
    <cellStyle name="Heading 3 3 8" xfId="31319" xr:uid="{00000000-0005-0000-0000-0000307A0000}"/>
    <cellStyle name="Heading 3 3 8 10" xfId="31320" xr:uid="{00000000-0005-0000-0000-0000317A0000}"/>
    <cellStyle name="Heading 3 3 8 11" xfId="31321" xr:uid="{00000000-0005-0000-0000-0000327A0000}"/>
    <cellStyle name="Heading 3 3 8 12" xfId="31322" xr:uid="{00000000-0005-0000-0000-0000337A0000}"/>
    <cellStyle name="Heading 3 3 8 13" xfId="31323" xr:uid="{00000000-0005-0000-0000-0000347A0000}"/>
    <cellStyle name="Heading 3 3 8 14" xfId="31324" xr:uid="{00000000-0005-0000-0000-0000357A0000}"/>
    <cellStyle name="Heading 3 3 8 15" xfId="31325" xr:uid="{00000000-0005-0000-0000-0000367A0000}"/>
    <cellStyle name="Heading 3 3 8 2" xfId="31326" xr:uid="{00000000-0005-0000-0000-0000377A0000}"/>
    <cellStyle name="Heading 3 3 8 3" xfId="31327" xr:uid="{00000000-0005-0000-0000-0000387A0000}"/>
    <cellStyle name="Heading 3 3 8 4" xfId="31328" xr:uid="{00000000-0005-0000-0000-0000397A0000}"/>
    <cellStyle name="Heading 3 3 8 5" xfId="31329" xr:uid="{00000000-0005-0000-0000-00003A7A0000}"/>
    <cellStyle name="Heading 3 3 8 6" xfId="31330" xr:uid="{00000000-0005-0000-0000-00003B7A0000}"/>
    <cellStyle name="Heading 3 3 8 7" xfId="31331" xr:uid="{00000000-0005-0000-0000-00003C7A0000}"/>
    <cellStyle name="Heading 3 3 8 8" xfId="31332" xr:uid="{00000000-0005-0000-0000-00003D7A0000}"/>
    <cellStyle name="Heading 3 3 8 9" xfId="31333" xr:uid="{00000000-0005-0000-0000-00003E7A0000}"/>
    <cellStyle name="Heading 3 3 9" xfId="31334" xr:uid="{00000000-0005-0000-0000-00003F7A0000}"/>
    <cellStyle name="Heading 3 3 9 10" xfId="31335" xr:uid="{00000000-0005-0000-0000-0000407A0000}"/>
    <cellStyle name="Heading 3 3 9 11" xfId="31336" xr:uid="{00000000-0005-0000-0000-0000417A0000}"/>
    <cellStyle name="Heading 3 3 9 12" xfId="31337" xr:uid="{00000000-0005-0000-0000-0000427A0000}"/>
    <cellStyle name="Heading 3 3 9 13" xfId="31338" xr:uid="{00000000-0005-0000-0000-0000437A0000}"/>
    <cellStyle name="Heading 3 3 9 14" xfId="31339" xr:uid="{00000000-0005-0000-0000-0000447A0000}"/>
    <cellStyle name="Heading 3 3 9 15" xfId="31340" xr:uid="{00000000-0005-0000-0000-0000457A0000}"/>
    <cellStyle name="Heading 3 3 9 2" xfId="31341" xr:uid="{00000000-0005-0000-0000-0000467A0000}"/>
    <cellStyle name="Heading 3 3 9 3" xfId="31342" xr:uid="{00000000-0005-0000-0000-0000477A0000}"/>
    <cellStyle name="Heading 3 3 9 4" xfId="31343" xr:uid="{00000000-0005-0000-0000-0000487A0000}"/>
    <cellStyle name="Heading 3 3 9 5" xfId="31344" xr:uid="{00000000-0005-0000-0000-0000497A0000}"/>
    <cellStyle name="Heading 3 3 9 6" xfId="31345" xr:uid="{00000000-0005-0000-0000-00004A7A0000}"/>
    <cellStyle name="Heading 3 3 9 7" xfId="31346" xr:uid="{00000000-0005-0000-0000-00004B7A0000}"/>
    <cellStyle name="Heading 3 3 9 8" xfId="31347" xr:uid="{00000000-0005-0000-0000-00004C7A0000}"/>
    <cellStyle name="Heading 3 3 9 9" xfId="31348" xr:uid="{00000000-0005-0000-0000-00004D7A0000}"/>
    <cellStyle name="Heading 3 30" xfId="31349" xr:uid="{00000000-0005-0000-0000-00004E7A0000}"/>
    <cellStyle name="Heading 3 30 10" xfId="31350" xr:uid="{00000000-0005-0000-0000-00004F7A0000}"/>
    <cellStyle name="Heading 3 30 11" xfId="31351" xr:uid="{00000000-0005-0000-0000-0000507A0000}"/>
    <cellStyle name="Heading 3 30 12" xfId="31352" xr:uid="{00000000-0005-0000-0000-0000517A0000}"/>
    <cellStyle name="Heading 3 30 13" xfId="31353" xr:uid="{00000000-0005-0000-0000-0000527A0000}"/>
    <cellStyle name="Heading 3 30 14" xfId="31354" xr:uid="{00000000-0005-0000-0000-0000537A0000}"/>
    <cellStyle name="Heading 3 30 15" xfId="31355" xr:uid="{00000000-0005-0000-0000-0000547A0000}"/>
    <cellStyle name="Heading 3 30 2" xfId="31356" xr:uid="{00000000-0005-0000-0000-0000557A0000}"/>
    <cellStyle name="Heading 3 30 3" xfId="31357" xr:uid="{00000000-0005-0000-0000-0000567A0000}"/>
    <cellStyle name="Heading 3 30 4" xfId="31358" xr:uid="{00000000-0005-0000-0000-0000577A0000}"/>
    <cellStyle name="Heading 3 30 5" xfId="31359" xr:uid="{00000000-0005-0000-0000-0000587A0000}"/>
    <cellStyle name="Heading 3 30 6" xfId="31360" xr:uid="{00000000-0005-0000-0000-0000597A0000}"/>
    <cellStyle name="Heading 3 30 7" xfId="31361" xr:uid="{00000000-0005-0000-0000-00005A7A0000}"/>
    <cellStyle name="Heading 3 30 8" xfId="31362" xr:uid="{00000000-0005-0000-0000-00005B7A0000}"/>
    <cellStyle name="Heading 3 30 9" xfId="31363" xr:uid="{00000000-0005-0000-0000-00005C7A0000}"/>
    <cellStyle name="Heading 3 31" xfId="31364" xr:uid="{00000000-0005-0000-0000-00005D7A0000}"/>
    <cellStyle name="Heading 3 31 10" xfId="31365" xr:uid="{00000000-0005-0000-0000-00005E7A0000}"/>
    <cellStyle name="Heading 3 31 11" xfId="31366" xr:uid="{00000000-0005-0000-0000-00005F7A0000}"/>
    <cellStyle name="Heading 3 31 12" xfId="31367" xr:uid="{00000000-0005-0000-0000-0000607A0000}"/>
    <cellStyle name="Heading 3 31 13" xfId="31368" xr:uid="{00000000-0005-0000-0000-0000617A0000}"/>
    <cellStyle name="Heading 3 31 14" xfId="31369" xr:uid="{00000000-0005-0000-0000-0000627A0000}"/>
    <cellStyle name="Heading 3 31 15" xfId="31370" xr:uid="{00000000-0005-0000-0000-0000637A0000}"/>
    <cellStyle name="Heading 3 31 2" xfId="31371" xr:uid="{00000000-0005-0000-0000-0000647A0000}"/>
    <cellStyle name="Heading 3 31 3" xfId="31372" xr:uid="{00000000-0005-0000-0000-0000657A0000}"/>
    <cellStyle name="Heading 3 31 4" xfId="31373" xr:uid="{00000000-0005-0000-0000-0000667A0000}"/>
    <cellStyle name="Heading 3 31 5" xfId="31374" xr:uid="{00000000-0005-0000-0000-0000677A0000}"/>
    <cellStyle name="Heading 3 31 6" xfId="31375" xr:uid="{00000000-0005-0000-0000-0000687A0000}"/>
    <cellStyle name="Heading 3 31 7" xfId="31376" xr:uid="{00000000-0005-0000-0000-0000697A0000}"/>
    <cellStyle name="Heading 3 31 8" xfId="31377" xr:uid="{00000000-0005-0000-0000-00006A7A0000}"/>
    <cellStyle name="Heading 3 31 9" xfId="31378" xr:uid="{00000000-0005-0000-0000-00006B7A0000}"/>
    <cellStyle name="Heading 3 32" xfId="31379" xr:uid="{00000000-0005-0000-0000-00006C7A0000}"/>
    <cellStyle name="Heading 3 32 10" xfId="31380" xr:uid="{00000000-0005-0000-0000-00006D7A0000}"/>
    <cellStyle name="Heading 3 32 11" xfId="31381" xr:uid="{00000000-0005-0000-0000-00006E7A0000}"/>
    <cellStyle name="Heading 3 32 12" xfId="31382" xr:uid="{00000000-0005-0000-0000-00006F7A0000}"/>
    <cellStyle name="Heading 3 32 13" xfId="31383" xr:uid="{00000000-0005-0000-0000-0000707A0000}"/>
    <cellStyle name="Heading 3 32 14" xfId="31384" xr:uid="{00000000-0005-0000-0000-0000717A0000}"/>
    <cellStyle name="Heading 3 32 15" xfId="31385" xr:uid="{00000000-0005-0000-0000-0000727A0000}"/>
    <cellStyle name="Heading 3 32 2" xfId="31386" xr:uid="{00000000-0005-0000-0000-0000737A0000}"/>
    <cellStyle name="Heading 3 32 3" xfId="31387" xr:uid="{00000000-0005-0000-0000-0000747A0000}"/>
    <cellStyle name="Heading 3 32 4" xfId="31388" xr:uid="{00000000-0005-0000-0000-0000757A0000}"/>
    <cellStyle name="Heading 3 32 5" xfId="31389" xr:uid="{00000000-0005-0000-0000-0000767A0000}"/>
    <cellStyle name="Heading 3 32 6" xfId="31390" xr:uid="{00000000-0005-0000-0000-0000777A0000}"/>
    <cellStyle name="Heading 3 32 7" xfId="31391" xr:uid="{00000000-0005-0000-0000-0000787A0000}"/>
    <cellStyle name="Heading 3 32 8" xfId="31392" xr:uid="{00000000-0005-0000-0000-0000797A0000}"/>
    <cellStyle name="Heading 3 32 9" xfId="31393" xr:uid="{00000000-0005-0000-0000-00007A7A0000}"/>
    <cellStyle name="Heading 3 33" xfId="31394" xr:uid="{00000000-0005-0000-0000-00007B7A0000}"/>
    <cellStyle name="Heading 3 33 10" xfId="31395" xr:uid="{00000000-0005-0000-0000-00007C7A0000}"/>
    <cellStyle name="Heading 3 33 11" xfId="31396" xr:uid="{00000000-0005-0000-0000-00007D7A0000}"/>
    <cellStyle name="Heading 3 33 12" xfId="31397" xr:uid="{00000000-0005-0000-0000-00007E7A0000}"/>
    <cellStyle name="Heading 3 33 13" xfId="31398" xr:uid="{00000000-0005-0000-0000-00007F7A0000}"/>
    <cellStyle name="Heading 3 33 14" xfId="31399" xr:uid="{00000000-0005-0000-0000-0000807A0000}"/>
    <cellStyle name="Heading 3 33 15" xfId="31400" xr:uid="{00000000-0005-0000-0000-0000817A0000}"/>
    <cellStyle name="Heading 3 33 2" xfId="31401" xr:uid="{00000000-0005-0000-0000-0000827A0000}"/>
    <cellStyle name="Heading 3 33 3" xfId="31402" xr:uid="{00000000-0005-0000-0000-0000837A0000}"/>
    <cellStyle name="Heading 3 33 4" xfId="31403" xr:uid="{00000000-0005-0000-0000-0000847A0000}"/>
    <cellStyle name="Heading 3 33 5" xfId="31404" xr:uid="{00000000-0005-0000-0000-0000857A0000}"/>
    <cellStyle name="Heading 3 33 6" xfId="31405" xr:uid="{00000000-0005-0000-0000-0000867A0000}"/>
    <cellStyle name="Heading 3 33 7" xfId="31406" xr:uid="{00000000-0005-0000-0000-0000877A0000}"/>
    <cellStyle name="Heading 3 33 8" xfId="31407" xr:uid="{00000000-0005-0000-0000-0000887A0000}"/>
    <cellStyle name="Heading 3 33 9" xfId="31408" xr:uid="{00000000-0005-0000-0000-0000897A0000}"/>
    <cellStyle name="Heading 3 34" xfId="31409" xr:uid="{00000000-0005-0000-0000-00008A7A0000}"/>
    <cellStyle name="Heading 3 34 10" xfId="31410" xr:uid="{00000000-0005-0000-0000-00008B7A0000}"/>
    <cellStyle name="Heading 3 34 11" xfId="31411" xr:uid="{00000000-0005-0000-0000-00008C7A0000}"/>
    <cellStyle name="Heading 3 34 12" xfId="31412" xr:uid="{00000000-0005-0000-0000-00008D7A0000}"/>
    <cellStyle name="Heading 3 34 13" xfId="31413" xr:uid="{00000000-0005-0000-0000-00008E7A0000}"/>
    <cellStyle name="Heading 3 34 14" xfId="31414" xr:uid="{00000000-0005-0000-0000-00008F7A0000}"/>
    <cellStyle name="Heading 3 34 15" xfId="31415" xr:uid="{00000000-0005-0000-0000-0000907A0000}"/>
    <cellStyle name="Heading 3 34 2" xfId="31416" xr:uid="{00000000-0005-0000-0000-0000917A0000}"/>
    <cellStyle name="Heading 3 34 3" xfId="31417" xr:uid="{00000000-0005-0000-0000-0000927A0000}"/>
    <cellStyle name="Heading 3 34 4" xfId="31418" xr:uid="{00000000-0005-0000-0000-0000937A0000}"/>
    <cellStyle name="Heading 3 34 5" xfId="31419" xr:uid="{00000000-0005-0000-0000-0000947A0000}"/>
    <cellStyle name="Heading 3 34 6" xfId="31420" xr:uid="{00000000-0005-0000-0000-0000957A0000}"/>
    <cellStyle name="Heading 3 34 7" xfId="31421" xr:uid="{00000000-0005-0000-0000-0000967A0000}"/>
    <cellStyle name="Heading 3 34 8" xfId="31422" xr:uid="{00000000-0005-0000-0000-0000977A0000}"/>
    <cellStyle name="Heading 3 34 9" xfId="31423" xr:uid="{00000000-0005-0000-0000-0000987A0000}"/>
    <cellStyle name="Heading 3 35" xfId="31424" xr:uid="{00000000-0005-0000-0000-0000997A0000}"/>
    <cellStyle name="Heading 3 35 10" xfId="31425" xr:uid="{00000000-0005-0000-0000-00009A7A0000}"/>
    <cellStyle name="Heading 3 35 11" xfId="31426" xr:uid="{00000000-0005-0000-0000-00009B7A0000}"/>
    <cellStyle name="Heading 3 35 12" xfId="31427" xr:uid="{00000000-0005-0000-0000-00009C7A0000}"/>
    <cellStyle name="Heading 3 35 13" xfId="31428" xr:uid="{00000000-0005-0000-0000-00009D7A0000}"/>
    <cellStyle name="Heading 3 35 14" xfId="31429" xr:uid="{00000000-0005-0000-0000-00009E7A0000}"/>
    <cellStyle name="Heading 3 35 15" xfId="31430" xr:uid="{00000000-0005-0000-0000-00009F7A0000}"/>
    <cellStyle name="Heading 3 35 2" xfId="31431" xr:uid="{00000000-0005-0000-0000-0000A07A0000}"/>
    <cellStyle name="Heading 3 35 3" xfId="31432" xr:uid="{00000000-0005-0000-0000-0000A17A0000}"/>
    <cellStyle name="Heading 3 35 4" xfId="31433" xr:uid="{00000000-0005-0000-0000-0000A27A0000}"/>
    <cellStyle name="Heading 3 35 5" xfId="31434" xr:uid="{00000000-0005-0000-0000-0000A37A0000}"/>
    <cellStyle name="Heading 3 35 6" xfId="31435" xr:uid="{00000000-0005-0000-0000-0000A47A0000}"/>
    <cellStyle name="Heading 3 35 7" xfId="31436" xr:uid="{00000000-0005-0000-0000-0000A57A0000}"/>
    <cellStyle name="Heading 3 35 8" xfId="31437" xr:uid="{00000000-0005-0000-0000-0000A67A0000}"/>
    <cellStyle name="Heading 3 35 9" xfId="31438" xr:uid="{00000000-0005-0000-0000-0000A77A0000}"/>
    <cellStyle name="Heading 3 36" xfId="31439" xr:uid="{00000000-0005-0000-0000-0000A87A0000}"/>
    <cellStyle name="Heading 3 36 10" xfId="31440" xr:uid="{00000000-0005-0000-0000-0000A97A0000}"/>
    <cellStyle name="Heading 3 36 11" xfId="31441" xr:uid="{00000000-0005-0000-0000-0000AA7A0000}"/>
    <cellStyle name="Heading 3 36 12" xfId="31442" xr:uid="{00000000-0005-0000-0000-0000AB7A0000}"/>
    <cellStyle name="Heading 3 36 13" xfId="31443" xr:uid="{00000000-0005-0000-0000-0000AC7A0000}"/>
    <cellStyle name="Heading 3 36 14" xfId="31444" xr:uid="{00000000-0005-0000-0000-0000AD7A0000}"/>
    <cellStyle name="Heading 3 36 15" xfId="31445" xr:uid="{00000000-0005-0000-0000-0000AE7A0000}"/>
    <cellStyle name="Heading 3 36 2" xfId="31446" xr:uid="{00000000-0005-0000-0000-0000AF7A0000}"/>
    <cellStyle name="Heading 3 36 3" xfId="31447" xr:uid="{00000000-0005-0000-0000-0000B07A0000}"/>
    <cellStyle name="Heading 3 36 4" xfId="31448" xr:uid="{00000000-0005-0000-0000-0000B17A0000}"/>
    <cellStyle name="Heading 3 36 5" xfId="31449" xr:uid="{00000000-0005-0000-0000-0000B27A0000}"/>
    <cellStyle name="Heading 3 36 6" xfId="31450" xr:uid="{00000000-0005-0000-0000-0000B37A0000}"/>
    <cellStyle name="Heading 3 36 7" xfId="31451" xr:uid="{00000000-0005-0000-0000-0000B47A0000}"/>
    <cellStyle name="Heading 3 36 8" xfId="31452" xr:uid="{00000000-0005-0000-0000-0000B57A0000}"/>
    <cellStyle name="Heading 3 36 9" xfId="31453" xr:uid="{00000000-0005-0000-0000-0000B67A0000}"/>
    <cellStyle name="Heading 3 37" xfId="31454" xr:uid="{00000000-0005-0000-0000-0000B77A0000}"/>
    <cellStyle name="Heading 3 37 10" xfId="31455" xr:uid="{00000000-0005-0000-0000-0000B87A0000}"/>
    <cellStyle name="Heading 3 37 11" xfId="31456" xr:uid="{00000000-0005-0000-0000-0000B97A0000}"/>
    <cellStyle name="Heading 3 37 12" xfId="31457" xr:uid="{00000000-0005-0000-0000-0000BA7A0000}"/>
    <cellStyle name="Heading 3 37 13" xfId="31458" xr:uid="{00000000-0005-0000-0000-0000BB7A0000}"/>
    <cellStyle name="Heading 3 37 14" xfId="31459" xr:uid="{00000000-0005-0000-0000-0000BC7A0000}"/>
    <cellStyle name="Heading 3 37 15" xfId="31460" xr:uid="{00000000-0005-0000-0000-0000BD7A0000}"/>
    <cellStyle name="Heading 3 37 2" xfId="31461" xr:uid="{00000000-0005-0000-0000-0000BE7A0000}"/>
    <cellStyle name="Heading 3 37 3" xfId="31462" xr:uid="{00000000-0005-0000-0000-0000BF7A0000}"/>
    <cellStyle name="Heading 3 37 4" xfId="31463" xr:uid="{00000000-0005-0000-0000-0000C07A0000}"/>
    <cellStyle name="Heading 3 37 5" xfId="31464" xr:uid="{00000000-0005-0000-0000-0000C17A0000}"/>
    <cellStyle name="Heading 3 37 6" xfId="31465" xr:uid="{00000000-0005-0000-0000-0000C27A0000}"/>
    <cellStyle name="Heading 3 37 7" xfId="31466" xr:uid="{00000000-0005-0000-0000-0000C37A0000}"/>
    <cellStyle name="Heading 3 37 8" xfId="31467" xr:uid="{00000000-0005-0000-0000-0000C47A0000}"/>
    <cellStyle name="Heading 3 37 9" xfId="31468" xr:uid="{00000000-0005-0000-0000-0000C57A0000}"/>
    <cellStyle name="Heading 3 38" xfId="31469" xr:uid="{00000000-0005-0000-0000-0000C67A0000}"/>
    <cellStyle name="Heading 3 38 10" xfId="31470" xr:uid="{00000000-0005-0000-0000-0000C77A0000}"/>
    <cellStyle name="Heading 3 38 11" xfId="31471" xr:uid="{00000000-0005-0000-0000-0000C87A0000}"/>
    <cellStyle name="Heading 3 38 12" xfId="31472" xr:uid="{00000000-0005-0000-0000-0000C97A0000}"/>
    <cellStyle name="Heading 3 38 13" xfId="31473" xr:uid="{00000000-0005-0000-0000-0000CA7A0000}"/>
    <cellStyle name="Heading 3 38 14" xfId="31474" xr:uid="{00000000-0005-0000-0000-0000CB7A0000}"/>
    <cellStyle name="Heading 3 38 15" xfId="31475" xr:uid="{00000000-0005-0000-0000-0000CC7A0000}"/>
    <cellStyle name="Heading 3 38 2" xfId="31476" xr:uid="{00000000-0005-0000-0000-0000CD7A0000}"/>
    <cellStyle name="Heading 3 38 3" xfId="31477" xr:uid="{00000000-0005-0000-0000-0000CE7A0000}"/>
    <cellStyle name="Heading 3 38 4" xfId="31478" xr:uid="{00000000-0005-0000-0000-0000CF7A0000}"/>
    <cellStyle name="Heading 3 38 5" xfId="31479" xr:uid="{00000000-0005-0000-0000-0000D07A0000}"/>
    <cellStyle name="Heading 3 38 6" xfId="31480" xr:uid="{00000000-0005-0000-0000-0000D17A0000}"/>
    <cellStyle name="Heading 3 38 7" xfId="31481" xr:uid="{00000000-0005-0000-0000-0000D27A0000}"/>
    <cellStyle name="Heading 3 38 8" xfId="31482" xr:uid="{00000000-0005-0000-0000-0000D37A0000}"/>
    <cellStyle name="Heading 3 38 9" xfId="31483" xr:uid="{00000000-0005-0000-0000-0000D47A0000}"/>
    <cellStyle name="Heading 3 39" xfId="31484" xr:uid="{00000000-0005-0000-0000-0000D57A0000}"/>
    <cellStyle name="Heading 3 39 10" xfId="31485" xr:uid="{00000000-0005-0000-0000-0000D67A0000}"/>
    <cellStyle name="Heading 3 39 11" xfId="31486" xr:uid="{00000000-0005-0000-0000-0000D77A0000}"/>
    <cellStyle name="Heading 3 39 12" xfId="31487" xr:uid="{00000000-0005-0000-0000-0000D87A0000}"/>
    <cellStyle name="Heading 3 39 13" xfId="31488" xr:uid="{00000000-0005-0000-0000-0000D97A0000}"/>
    <cellStyle name="Heading 3 39 14" xfId="31489" xr:uid="{00000000-0005-0000-0000-0000DA7A0000}"/>
    <cellStyle name="Heading 3 39 15" xfId="31490" xr:uid="{00000000-0005-0000-0000-0000DB7A0000}"/>
    <cellStyle name="Heading 3 39 2" xfId="31491" xr:uid="{00000000-0005-0000-0000-0000DC7A0000}"/>
    <cellStyle name="Heading 3 39 3" xfId="31492" xr:uid="{00000000-0005-0000-0000-0000DD7A0000}"/>
    <cellStyle name="Heading 3 39 4" xfId="31493" xr:uid="{00000000-0005-0000-0000-0000DE7A0000}"/>
    <cellStyle name="Heading 3 39 5" xfId="31494" xr:uid="{00000000-0005-0000-0000-0000DF7A0000}"/>
    <cellStyle name="Heading 3 39 6" xfId="31495" xr:uid="{00000000-0005-0000-0000-0000E07A0000}"/>
    <cellStyle name="Heading 3 39 7" xfId="31496" xr:uid="{00000000-0005-0000-0000-0000E17A0000}"/>
    <cellStyle name="Heading 3 39 8" xfId="31497" xr:uid="{00000000-0005-0000-0000-0000E27A0000}"/>
    <cellStyle name="Heading 3 39 9" xfId="31498" xr:uid="{00000000-0005-0000-0000-0000E37A0000}"/>
    <cellStyle name="Heading 3 4" xfId="31499" xr:uid="{00000000-0005-0000-0000-0000E47A0000}"/>
    <cellStyle name="Heading 3 4 2" xfId="31500" xr:uid="{00000000-0005-0000-0000-0000E57A0000}"/>
    <cellStyle name="Heading 3 4 2 2" xfId="31501" xr:uid="{00000000-0005-0000-0000-0000E67A0000}"/>
    <cellStyle name="Heading 3 4 3" xfId="31502" xr:uid="{00000000-0005-0000-0000-0000E77A0000}"/>
    <cellStyle name="Heading 3 4 3 2" xfId="31503" xr:uid="{00000000-0005-0000-0000-0000E87A0000}"/>
    <cellStyle name="Heading 3 4 4" xfId="31504" xr:uid="{00000000-0005-0000-0000-0000E97A0000}"/>
    <cellStyle name="Heading 3 4 4 2" xfId="31505" xr:uid="{00000000-0005-0000-0000-0000EA7A0000}"/>
    <cellStyle name="Heading 3 4 5" xfId="31506" xr:uid="{00000000-0005-0000-0000-0000EB7A0000}"/>
    <cellStyle name="Heading 3 4 5 2" xfId="31507" xr:uid="{00000000-0005-0000-0000-0000EC7A0000}"/>
    <cellStyle name="Heading 3 4 6" xfId="31508" xr:uid="{00000000-0005-0000-0000-0000ED7A0000}"/>
    <cellStyle name="Heading 3 4 6 2" xfId="31509" xr:uid="{00000000-0005-0000-0000-0000EE7A0000}"/>
    <cellStyle name="Heading 3 4 7" xfId="31510" xr:uid="{00000000-0005-0000-0000-0000EF7A0000}"/>
    <cellStyle name="Heading 3 40" xfId="31511" xr:uid="{00000000-0005-0000-0000-0000F07A0000}"/>
    <cellStyle name="Heading 3 41" xfId="31512" xr:uid="{00000000-0005-0000-0000-0000F17A0000}"/>
    <cellStyle name="Heading 3 42" xfId="31513" xr:uid="{00000000-0005-0000-0000-0000F27A0000}"/>
    <cellStyle name="Heading 3 43" xfId="31514" xr:uid="{00000000-0005-0000-0000-0000F37A0000}"/>
    <cellStyle name="Heading 3 44" xfId="31515" xr:uid="{00000000-0005-0000-0000-0000F47A0000}"/>
    <cellStyle name="Heading 3 45" xfId="31516" xr:uid="{00000000-0005-0000-0000-0000F57A0000}"/>
    <cellStyle name="Heading 3 46" xfId="31517" xr:uid="{00000000-0005-0000-0000-0000F67A0000}"/>
    <cellStyle name="Heading 3 47" xfId="31518" xr:uid="{00000000-0005-0000-0000-0000F77A0000}"/>
    <cellStyle name="Heading 3 48" xfId="31519" xr:uid="{00000000-0005-0000-0000-0000F87A0000}"/>
    <cellStyle name="Heading 3 49" xfId="31520" xr:uid="{00000000-0005-0000-0000-0000F97A0000}"/>
    <cellStyle name="Heading 3 5" xfId="31521" xr:uid="{00000000-0005-0000-0000-0000FA7A0000}"/>
    <cellStyle name="Heading 3 5 2" xfId="31522" xr:uid="{00000000-0005-0000-0000-0000FB7A0000}"/>
    <cellStyle name="Heading 3 5 2 2" xfId="31523" xr:uid="{00000000-0005-0000-0000-0000FC7A0000}"/>
    <cellStyle name="Heading 3 5 2 3" xfId="31524" xr:uid="{00000000-0005-0000-0000-0000FD7A0000}"/>
    <cellStyle name="Heading 3 5 2 4" xfId="31525" xr:uid="{00000000-0005-0000-0000-0000FE7A0000}"/>
    <cellStyle name="Heading 3 5 3" xfId="31526" xr:uid="{00000000-0005-0000-0000-0000FF7A0000}"/>
    <cellStyle name="Heading 3 5 3 2" xfId="31527" xr:uid="{00000000-0005-0000-0000-0000007B0000}"/>
    <cellStyle name="Heading 3 5 3 3" xfId="31528" xr:uid="{00000000-0005-0000-0000-0000017B0000}"/>
    <cellStyle name="Heading 3 5 4" xfId="31529" xr:uid="{00000000-0005-0000-0000-0000027B0000}"/>
    <cellStyle name="Heading 3 50" xfId="31530" xr:uid="{00000000-0005-0000-0000-0000037B0000}"/>
    <cellStyle name="Heading 3 51" xfId="31531" xr:uid="{00000000-0005-0000-0000-0000047B0000}"/>
    <cellStyle name="Heading 3 52" xfId="31532" xr:uid="{00000000-0005-0000-0000-0000057B0000}"/>
    <cellStyle name="Heading 3 53" xfId="31533" xr:uid="{00000000-0005-0000-0000-0000067B0000}"/>
    <cellStyle name="Heading 3 54" xfId="31534" xr:uid="{00000000-0005-0000-0000-0000077B0000}"/>
    <cellStyle name="Heading 3 55" xfId="31535" xr:uid="{00000000-0005-0000-0000-0000087B0000}"/>
    <cellStyle name="Heading 3 56" xfId="31536" xr:uid="{00000000-0005-0000-0000-0000097B0000}"/>
    <cellStyle name="Heading 3 57" xfId="31537" xr:uid="{00000000-0005-0000-0000-00000A7B0000}"/>
    <cellStyle name="Heading 3 58" xfId="31538" xr:uid="{00000000-0005-0000-0000-00000B7B0000}"/>
    <cellStyle name="Heading 3 59" xfId="31539" xr:uid="{00000000-0005-0000-0000-00000C7B0000}"/>
    <cellStyle name="Heading 3 6" xfId="31540" xr:uid="{00000000-0005-0000-0000-00000D7B0000}"/>
    <cellStyle name="Heading 3 6 2" xfId="31541" xr:uid="{00000000-0005-0000-0000-00000E7B0000}"/>
    <cellStyle name="Heading 3 60" xfId="31542" xr:uid="{00000000-0005-0000-0000-00000F7B0000}"/>
    <cellStyle name="Heading 3 61" xfId="31543" xr:uid="{00000000-0005-0000-0000-0000107B0000}"/>
    <cellStyle name="Heading 3 62" xfId="31544" xr:uid="{00000000-0005-0000-0000-0000117B0000}"/>
    <cellStyle name="Heading 3 63" xfId="31545" xr:uid="{00000000-0005-0000-0000-0000127B0000}"/>
    <cellStyle name="Heading 3 64" xfId="31546" xr:uid="{00000000-0005-0000-0000-0000137B0000}"/>
    <cellStyle name="Heading 3 65" xfId="31547" xr:uid="{00000000-0005-0000-0000-0000147B0000}"/>
    <cellStyle name="Heading 3 66" xfId="31548" xr:uid="{00000000-0005-0000-0000-0000157B0000}"/>
    <cellStyle name="Heading 3 67" xfId="31549" xr:uid="{00000000-0005-0000-0000-0000167B0000}"/>
    <cellStyle name="Heading 3 68" xfId="31550" xr:uid="{00000000-0005-0000-0000-0000177B0000}"/>
    <cellStyle name="Heading 3 69" xfId="31551" xr:uid="{00000000-0005-0000-0000-0000187B0000}"/>
    <cellStyle name="Heading 3 7" xfId="31552" xr:uid="{00000000-0005-0000-0000-0000197B0000}"/>
    <cellStyle name="Heading 3 7 2" xfId="31553" xr:uid="{00000000-0005-0000-0000-00001A7B0000}"/>
    <cellStyle name="Heading 3 70" xfId="31554" xr:uid="{00000000-0005-0000-0000-00001B7B0000}"/>
    <cellStyle name="Heading 3 71" xfId="31555" xr:uid="{00000000-0005-0000-0000-00001C7B0000}"/>
    <cellStyle name="Heading 3 72" xfId="31556" xr:uid="{00000000-0005-0000-0000-00001D7B0000}"/>
    <cellStyle name="Heading 3 73" xfId="31557" xr:uid="{00000000-0005-0000-0000-00001E7B0000}"/>
    <cellStyle name="Heading 3 74" xfId="31558" xr:uid="{00000000-0005-0000-0000-00001F7B0000}"/>
    <cellStyle name="Heading 3 75" xfId="31559" xr:uid="{00000000-0005-0000-0000-0000207B0000}"/>
    <cellStyle name="Heading 3 76" xfId="31560" xr:uid="{00000000-0005-0000-0000-0000217B0000}"/>
    <cellStyle name="Heading 3 77" xfId="31561" xr:uid="{00000000-0005-0000-0000-0000227B0000}"/>
    <cellStyle name="Heading 3 78" xfId="31562" xr:uid="{00000000-0005-0000-0000-0000237B0000}"/>
    <cellStyle name="Heading 3 79" xfId="31563" xr:uid="{00000000-0005-0000-0000-0000247B0000}"/>
    <cellStyle name="Heading 3 79 2" xfId="31564" xr:uid="{00000000-0005-0000-0000-0000257B0000}"/>
    <cellStyle name="Heading 3 8" xfId="31565" xr:uid="{00000000-0005-0000-0000-0000267B0000}"/>
    <cellStyle name="Heading 3 8 2" xfId="31566" xr:uid="{00000000-0005-0000-0000-0000277B0000}"/>
    <cellStyle name="Heading 3 80" xfId="31567" xr:uid="{00000000-0005-0000-0000-0000287B0000}"/>
    <cellStyle name="Heading 3 80 2" xfId="31568" xr:uid="{00000000-0005-0000-0000-0000297B0000}"/>
    <cellStyle name="Heading 3 81" xfId="31569" xr:uid="{00000000-0005-0000-0000-00002A7B0000}"/>
    <cellStyle name="Heading 3 81 2" xfId="31570" xr:uid="{00000000-0005-0000-0000-00002B7B0000}"/>
    <cellStyle name="Heading 3 82" xfId="31571" xr:uid="{00000000-0005-0000-0000-00002C7B0000}"/>
    <cellStyle name="Heading 3 82 2" xfId="31572" xr:uid="{00000000-0005-0000-0000-00002D7B0000}"/>
    <cellStyle name="Heading 3 83" xfId="31573" xr:uid="{00000000-0005-0000-0000-00002E7B0000}"/>
    <cellStyle name="Heading 3 83 2" xfId="31574" xr:uid="{00000000-0005-0000-0000-00002F7B0000}"/>
    <cellStyle name="Heading 3 84" xfId="31575" xr:uid="{00000000-0005-0000-0000-0000307B0000}"/>
    <cellStyle name="Heading 3 84 2" xfId="31576" xr:uid="{00000000-0005-0000-0000-0000317B0000}"/>
    <cellStyle name="Heading 3 85" xfId="31577" xr:uid="{00000000-0005-0000-0000-0000327B0000}"/>
    <cellStyle name="Heading 3 85 2" xfId="31578" xr:uid="{00000000-0005-0000-0000-0000337B0000}"/>
    <cellStyle name="Heading 3 86" xfId="31579" xr:uid="{00000000-0005-0000-0000-0000347B0000}"/>
    <cellStyle name="Heading 3 86 2" xfId="31580" xr:uid="{00000000-0005-0000-0000-0000357B0000}"/>
    <cellStyle name="Heading 3 87" xfId="31581" xr:uid="{00000000-0005-0000-0000-0000367B0000}"/>
    <cellStyle name="Heading 3 87 2" xfId="31582" xr:uid="{00000000-0005-0000-0000-0000377B0000}"/>
    <cellStyle name="Heading 3 88" xfId="31583" xr:uid="{00000000-0005-0000-0000-0000387B0000}"/>
    <cellStyle name="Heading 3 88 2" xfId="31584" xr:uid="{00000000-0005-0000-0000-0000397B0000}"/>
    <cellStyle name="Heading 3 89" xfId="31585" xr:uid="{00000000-0005-0000-0000-00003A7B0000}"/>
    <cellStyle name="Heading 3 89 2" xfId="31586" xr:uid="{00000000-0005-0000-0000-00003B7B0000}"/>
    <cellStyle name="Heading 3 9" xfId="31587" xr:uid="{00000000-0005-0000-0000-00003C7B0000}"/>
    <cellStyle name="Heading 3 9 2" xfId="31588" xr:uid="{00000000-0005-0000-0000-00003D7B0000}"/>
    <cellStyle name="Heading 3 90" xfId="31589" xr:uid="{00000000-0005-0000-0000-00003E7B0000}"/>
    <cellStyle name="Heading 3 91" xfId="31590" xr:uid="{00000000-0005-0000-0000-00003F7B0000}"/>
    <cellStyle name="Heading 3 92" xfId="31591" xr:uid="{00000000-0005-0000-0000-0000407B0000}"/>
    <cellStyle name="Heading 3 93" xfId="31592" xr:uid="{00000000-0005-0000-0000-0000417B0000}"/>
    <cellStyle name="Heading 3 94" xfId="31593" xr:uid="{00000000-0005-0000-0000-0000427B0000}"/>
    <cellStyle name="Heading 3 95" xfId="31594" xr:uid="{00000000-0005-0000-0000-0000437B0000}"/>
    <cellStyle name="Heading 3 96" xfId="31595" xr:uid="{00000000-0005-0000-0000-0000447B0000}"/>
    <cellStyle name="Heading 3 97" xfId="31596" xr:uid="{00000000-0005-0000-0000-0000457B0000}"/>
    <cellStyle name="Heading 3 98" xfId="31597" xr:uid="{00000000-0005-0000-0000-0000467B0000}"/>
    <cellStyle name="Heading 3 99" xfId="31598" xr:uid="{00000000-0005-0000-0000-0000477B0000}"/>
    <cellStyle name="Heading 4" xfId="5" builtinId="19" hidden="1" customBuiltin="1"/>
    <cellStyle name="Heading 4" xfId="52" builtinId="19" hidden="1" customBuiltin="1"/>
    <cellStyle name="Heading 4" xfId="74" builtinId="19" customBuiltin="1"/>
    <cellStyle name="Heading 4 10" xfId="31599" xr:uid="{00000000-0005-0000-0000-00004B7B0000}"/>
    <cellStyle name="Heading 4 10 2" xfId="31600" xr:uid="{00000000-0005-0000-0000-00004C7B0000}"/>
    <cellStyle name="Heading 4 100" xfId="31601" xr:uid="{00000000-0005-0000-0000-00004D7B0000}"/>
    <cellStyle name="Heading 4 101" xfId="31602" xr:uid="{00000000-0005-0000-0000-00004E7B0000}"/>
    <cellStyle name="Heading 4 102" xfId="31603" xr:uid="{00000000-0005-0000-0000-00004F7B0000}"/>
    <cellStyle name="Heading 4 103" xfId="31604" xr:uid="{00000000-0005-0000-0000-0000507B0000}"/>
    <cellStyle name="Heading 4 104" xfId="31605" xr:uid="{00000000-0005-0000-0000-0000517B0000}"/>
    <cellStyle name="Heading 4 105" xfId="31606" xr:uid="{00000000-0005-0000-0000-0000527B0000}"/>
    <cellStyle name="Heading 4 106" xfId="31607" xr:uid="{00000000-0005-0000-0000-0000537B0000}"/>
    <cellStyle name="Heading 4 107" xfId="31608" xr:uid="{00000000-0005-0000-0000-0000547B0000}"/>
    <cellStyle name="Heading 4 108" xfId="31609" xr:uid="{00000000-0005-0000-0000-0000557B0000}"/>
    <cellStyle name="Heading 4 109" xfId="31610" xr:uid="{00000000-0005-0000-0000-0000567B0000}"/>
    <cellStyle name="Heading 4 11" xfId="31611" xr:uid="{00000000-0005-0000-0000-0000577B0000}"/>
    <cellStyle name="Heading 4 11 2" xfId="31612" xr:uid="{00000000-0005-0000-0000-0000587B0000}"/>
    <cellStyle name="Heading 4 110" xfId="31613" xr:uid="{00000000-0005-0000-0000-0000597B0000}"/>
    <cellStyle name="Heading 4 111" xfId="31614" xr:uid="{00000000-0005-0000-0000-00005A7B0000}"/>
    <cellStyle name="Heading 4 112" xfId="31615" xr:uid="{00000000-0005-0000-0000-00005B7B0000}"/>
    <cellStyle name="Heading 4 113" xfId="31616" xr:uid="{00000000-0005-0000-0000-00005C7B0000}"/>
    <cellStyle name="Heading 4 114" xfId="31617" xr:uid="{00000000-0005-0000-0000-00005D7B0000}"/>
    <cellStyle name="Heading 4 115" xfId="31618" xr:uid="{00000000-0005-0000-0000-00005E7B0000}"/>
    <cellStyle name="Heading 4 116" xfId="31619" xr:uid="{00000000-0005-0000-0000-00005F7B0000}"/>
    <cellStyle name="Heading 4 117" xfId="31620" xr:uid="{00000000-0005-0000-0000-0000607B0000}"/>
    <cellStyle name="Heading 4 118" xfId="31621" xr:uid="{00000000-0005-0000-0000-0000617B0000}"/>
    <cellStyle name="Heading 4 119" xfId="31622" xr:uid="{00000000-0005-0000-0000-0000627B0000}"/>
    <cellStyle name="Heading 4 12" xfId="31623" xr:uid="{00000000-0005-0000-0000-0000637B0000}"/>
    <cellStyle name="Heading 4 12 2" xfId="31624" xr:uid="{00000000-0005-0000-0000-0000647B0000}"/>
    <cellStyle name="Heading 4 120" xfId="31625" xr:uid="{00000000-0005-0000-0000-0000657B0000}"/>
    <cellStyle name="Heading 4 121" xfId="31626" xr:uid="{00000000-0005-0000-0000-0000667B0000}"/>
    <cellStyle name="Heading 4 122" xfId="31627" xr:uid="{00000000-0005-0000-0000-0000677B0000}"/>
    <cellStyle name="Heading 4 123" xfId="31628" xr:uid="{00000000-0005-0000-0000-0000687B0000}"/>
    <cellStyle name="Heading 4 124" xfId="31629" xr:uid="{00000000-0005-0000-0000-0000697B0000}"/>
    <cellStyle name="Heading 4 125" xfId="31630" xr:uid="{00000000-0005-0000-0000-00006A7B0000}"/>
    <cellStyle name="Heading 4 126" xfId="31631" xr:uid="{00000000-0005-0000-0000-00006B7B0000}"/>
    <cellStyle name="Heading 4 127" xfId="31632" xr:uid="{00000000-0005-0000-0000-00006C7B0000}"/>
    <cellStyle name="Heading 4 128" xfId="31633" xr:uid="{00000000-0005-0000-0000-00006D7B0000}"/>
    <cellStyle name="Heading 4 129" xfId="31634" xr:uid="{00000000-0005-0000-0000-00006E7B0000}"/>
    <cellStyle name="Heading 4 13" xfId="31635" xr:uid="{00000000-0005-0000-0000-00006F7B0000}"/>
    <cellStyle name="Heading 4 13 2" xfId="31636" xr:uid="{00000000-0005-0000-0000-0000707B0000}"/>
    <cellStyle name="Heading 4 130" xfId="31637" xr:uid="{00000000-0005-0000-0000-0000717B0000}"/>
    <cellStyle name="Heading 4 131" xfId="31638" xr:uid="{00000000-0005-0000-0000-0000727B0000}"/>
    <cellStyle name="Heading 4 132" xfId="31639" xr:uid="{00000000-0005-0000-0000-0000737B0000}"/>
    <cellStyle name="Heading 4 133" xfId="31640" xr:uid="{00000000-0005-0000-0000-0000747B0000}"/>
    <cellStyle name="Heading 4 134" xfId="31641" xr:uid="{00000000-0005-0000-0000-0000757B0000}"/>
    <cellStyle name="Heading 4 135" xfId="31642" xr:uid="{00000000-0005-0000-0000-0000767B0000}"/>
    <cellStyle name="Heading 4 136" xfId="31643" xr:uid="{00000000-0005-0000-0000-0000777B0000}"/>
    <cellStyle name="Heading 4 137" xfId="31644" xr:uid="{00000000-0005-0000-0000-0000787B0000}"/>
    <cellStyle name="Heading 4 138" xfId="31645" xr:uid="{00000000-0005-0000-0000-0000797B0000}"/>
    <cellStyle name="Heading 4 139" xfId="31646" xr:uid="{00000000-0005-0000-0000-00007A7B0000}"/>
    <cellStyle name="Heading 4 14" xfId="31647" xr:uid="{00000000-0005-0000-0000-00007B7B0000}"/>
    <cellStyle name="Heading 4 14 2" xfId="31648" xr:uid="{00000000-0005-0000-0000-00007C7B0000}"/>
    <cellStyle name="Heading 4 140" xfId="31649" xr:uid="{00000000-0005-0000-0000-00007D7B0000}"/>
    <cellStyle name="Heading 4 141" xfId="31650" xr:uid="{00000000-0005-0000-0000-00007E7B0000}"/>
    <cellStyle name="Heading 4 142" xfId="31651" xr:uid="{00000000-0005-0000-0000-00007F7B0000}"/>
    <cellStyle name="Heading 4 143" xfId="31652" xr:uid="{00000000-0005-0000-0000-0000807B0000}"/>
    <cellStyle name="Heading 4 144" xfId="31653" xr:uid="{00000000-0005-0000-0000-0000817B0000}"/>
    <cellStyle name="Heading 4 145" xfId="31654" xr:uid="{00000000-0005-0000-0000-0000827B0000}"/>
    <cellStyle name="Heading 4 146" xfId="31655" xr:uid="{00000000-0005-0000-0000-0000837B0000}"/>
    <cellStyle name="Heading 4 147" xfId="31656" xr:uid="{00000000-0005-0000-0000-0000847B0000}"/>
    <cellStyle name="Heading 4 148" xfId="31657" xr:uid="{00000000-0005-0000-0000-0000857B0000}"/>
    <cellStyle name="Heading 4 149" xfId="31658" xr:uid="{00000000-0005-0000-0000-0000867B0000}"/>
    <cellStyle name="Heading 4 15" xfId="31659" xr:uid="{00000000-0005-0000-0000-0000877B0000}"/>
    <cellStyle name="Heading 4 15 2" xfId="31660" xr:uid="{00000000-0005-0000-0000-0000887B0000}"/>
    <cellStyle name="Heading 4 150" xfId="31661" xr:uid="{00000000-0005-0000-0000-0000897B0000}"/>
    <cellStyle name="Heading 4 151" xfId="31662" xr:uid="{00000000-0005-0000-0000-00008A7B0000}"/>
    <cellStyle name="Heading 4 152" xfId="31663" xr:uid="{00000000-0005-0000-0000-00008B7B0000}"/>
    <cellStyle name="Heading 4 153" xfId="31664" xr:uid="{00000000-0005-0000-0000-00008C7B0000}"/>
    <cellStyle name="Heading 4 154" xfId="31665" xr:uid="{00000000-0005-0000-0000-00008D7B0000}"/>
    <cellStyle name="Heading 4 155" xfId="31666" xr:uid="{00000000-0005-0000-0000-00008E7B0000}"/>
    <cellStyle name="Heading 4 156" xfId="31667" xr:uid="{00000000-0005-0000-0000-00008F7B0000}"/>
    <cellStyle name="Heading 4 157" xfId="31668" xr:uid="{00000000-0005-0000-0000-0000907B0000}"/>
    <cellStyle name="Heading 4 158" xfId="31669" xr:uid="{00000000-0005-0000-0000-0000917B0000}"/>
    <cellStyle name="Heading 4 159" xfId="31670" xr:uid="{00000000-0005-0000-0000-0000927B0000}"/>
    <cellStyle name="Heading 4 16" xfId="31671" xr:uid="{00000000-0005-0000-0000-0000937B0000}"/>
    <cellStyle name="Heading 4 160" xfId="31672" xr:uid="{00000000-0005-0000-0000-0000947B0000}"/>
    <cellStyle name="Heading 4 161" xfId="31673" xr:uid="{00000000-0005-0000-0000-0000957B0000}"/>
    <cellStyle name="Heading 4 162" xfId="31674" xr:uid="{00000000-0005-0000-0000-0000967B0000}"/>
    <cellStyle name="Heading 4 163" xfId="31675" xr:uid="{00000000-0005-0000-0000-0000977B0000}"/>
    <cellStyle name="Heading 4 164" xfId="31676" xr:uid="{00000000-0005-0000-0000-0000987B0000}"/>
    <cellStyle name="Heading 4 165" xfId="31677" xr:uid="{00000000-0005-0000-0000-0000997B0000}"/>
    <cellStyle name="Heading 4 166" xfId="31678" xr:uid="{00000000-0005-0000-0000-00009A7B0000}"/>
    <cellStyle name="Heading 4 167" xfId="31679" xr:uid="{00000000-0005-0000-0000-00009B7B0000}"/>
    <cellStyle name="Heading 4 17" xfId="31680" xr:uid="{00000000-0005-0000-0000-00009C7B0000}"/>
    <cellStyle name="Heading 4 18" xfId="31681" xr:uid="{00000000-0005-0000-0000-00009D7B0000}"/>
    <cellStyle name="Heading 4 19" xfId="31682" xr:uid="{00000000-0005-0000-0000-00009E7B0000}"/>
    <cellStyle name="Heading 4 2" xfId="31683" xr:uid="{00000000-0005-0000-0000-00009F7B0000}"/>
    <cellStyle name="Heading 4 2 10" xfId="31684" xr:uid="{00000000-0005-0000-0000-0000A07B0000}"/>
    <cellStyle name="Heading 4 2 11" xfId="31685" xr:uid="{00000000-0005-0000-0000-0000A17B0000}"/>
    <cellStyle name="Heading 4 2 12" xfId="31686" xr:uid="{00000000-0005-0000-0000-0000A27B0000}"/>
    <cellStyle name="Heading 4 2 13" xfId="31687" xr:uid="{00000000-0005-0000-0000-0000A37B0000}"/>
    <cellStyle name="Heading 4 2 14" xfId="31688" xr:uid="{00000000-0005-0000-0000-0000A47B0000}"/>
    <cellStyle name="Heading 4 2 15" xfId="31689" xr:uid="{00000000-0005-0000-0000-0000A57B0000}"/>
    <cellStyle name="Heading 4 2 16" xfId="31690" xr:uid="{00000000-0005-0000-0000-0000A67B0000}"/>
    <cellStyle name="Heading 4 2 17" xfId="31691" xr:uid="{00000000-0005-0000-0000-0000A77B0000}"/>
    <cellStyle name="Heading 4 2 18" xfId="31692" xr:uid="{00000000-0005-0000-0000-0000A87B0000}"/>
    <cellStyle name="Heading 4 2 19" xfId="31693" xr:uid="{00000000-0005-0000-0000-0000A97B0000}"/>
    <cellStyle name="Heading 4 2 2" xfId="31694" xr:uid="{00000000-0005-0000-0000-0000AA7B0000}"/>
    <cellStyle name="Heading 4 2 2 2" xfId="31695" xr:uid="{00000000-0005-0000-0000-0000AB7B0000}"/>
    <cellStyle name="Heading 4 2 2 3" xfId="31696" xr:uid="{00000000-0005-0000-0000-0000AC7B0000}"/>
    <cellStyle name="Heading 4 2 2 3 2" xfId="31697" xr:uid="{00000000-0005-0000-0000-0000AD7B0000}"/>
    <cellStyle name="Heading 4 2 2 3 3" xfId="31698" xr:uid="{00000000-0005-0000-0000-0000AE7B0000}"/>
    <cellStyle name="Heading 4 2 2 3 4" xfId="31699" xr:uid="{00000000-0005-0000-0000-0000AF7B0000}"/>
    <cellStyle name="Heading 4 2 2 3 5" xfId="31700" xr:uid="{00000000-0005-0000-0000-0000B07B0000}"/>
    <cellStyle name="Heading 4 2 2 4" xfId="31701" xr:uid="{00000000-0005-0000-0000-0000B17B0000}"/>
    <cellStyle name="Heading 4 2 2 5" xfId="31702" xr:uid="{00000000-0005-0000-0000-0000B27B0000}"/>
    <cellStyle name="Heading 4 2 20" xfId="31703" xr:uid="{00000000-0005-0000-0000-0000B37B0000}"/>
    <cellStyle name="Heading 4 2 21" xfId="31704" xr:uid="{00000000-0005-0000-0000-0000B47B0000}"/>
    <cellStyle name="Heading 4 2 22" xfId="31705" xr:uid="{00000000-0005-0000-0000-0000B57B0000}"/>
    <cellStyle name="Heading 4 2 23" xfId="31706" xr:uid="{00000000-0005-0000-0000-0000B67B0000}"/>
    <cellStyle name="Heading 4 2 24" xfId="31707" xr:uid="{00000000-0005-0000-0000-0000B77B0000}"/>
    <cellStyle name="Heading 4 2 25" xfId="31708" xr:uid="{00000000-0005-0000-0000-0000B87B0000}"/>
    <cellStyle name="Heading 4 2 26" xfId="31709" xr:uid="{00000000-0005-0000-0000-0000B97B0000}"/>
    <cellStyle name="Heading 4 2 27" xfId="31710" xr:uid="{00000000-0005-0000-0000-0000BA7B0000}"/>
    <cellStyle name="Heading 4 2 28" xfId="31711" xr:uid="{00000000-0005-0000-0000-0000BB7B0000}"/>
    <cellStyle name="Heading 4 2 29" xfId="31712" xr:uid="{00000000-0005-0000-0000-0000BC7B0000}"/>
    <cellStyle name="Heading 4 2 3" xfId="31713" xr:uid="{00000000-0005-0000-0000-0000BD7B0000}"/>
    <cellStyle name="Heading 4 2 30" xfId="31714" xr:uid="{00000000-0005-0000-0000-0000BE7B0000}"/>
    <cellStyle name="Heading 4 2 31" xfId="31715" xr:uid="{00000000-0005-0000-0000-0000BF7B0000}"/>
    <cellStyle name="Heading 4 2 32" xfId="31716" xr:uid="{00000000-0005-0000-0000-0000C07B0000}"/>
    <cellStyle name="Heading 4 2 33" xfId="31717" xr:uid="{00000000-0005-0000-0000-0000C17B0000}"/>
    <cellStyle name="Heading 4 2 34" xfId="31718" xr:uid="{00000000-0005-0000-0000-0000C27B0000}"/>
    <cellStyle name="Heading 4 2 35" xfId="31719" xr:uid="{00000000-0005-0000-0000-0000C37B0000}"/>
    <cellStyle name="Heading 4 2 4" xfId="31720" xr:uid="{00000000-0005-0000-0000-0000C47B0000}"/>
    <cellStyle name="Heading 4 2 5" xfId="31721" xr:uid="{00000000-0005-0000-0000-0000C57B0000}"/>
    <cellStyle name="Heading 4 2 6" xfId="31722" xr:uid="{00000000-0005-0000-0000-0000C67B0000}"/>
    <cellStyle name="Heading 4 2 7" xfId="31723" xr:uid="{00000000-0005-0000-0000-0000C77B0000}"/>
    <cellStyle name="Heading 4 2 8" xfId="31724" xr:uid="{00000000-0005-0000-0000-0000C87B0000}"/>
    <cellStyle name="Heading 4 2 9" xfId="31725" xr:uid="{00000000-0005-0000-0000-0000C97B0000}"/>
    <cellStyle name="Heading 4 2_Position Keeping v6" xfId="31726" xr:uid="{00000000-0005-0000-0000-0000CA7B0000}"/>
    <cellStyle name="Heading 4 20" xfId="31727" xr:uid="{00000000-0005-0000-0000-0000CB7B0000}"/>
    <cellStyle name="Heading 4 20 10" xfId="31728" xr:uid="{00000000-0005-0000-0000-0000CC7B0000}"/>
    <cellStyle name="Heading 4 20 11" xfId="31729" xr:uid="{00000000-0005-0000-0000-0000CD7B0000}"/>
    <cellStyle name="Heading 4 20 12" xfId="31730" xr:uid="{00000000-0005-0000-0000-0000CE7B0000}"/>
    <cellStyle name="Heading 4 20 13" xfId="31731" xr:uid="{00000000-0005-0000-0000-0000CF7B0000}"/>
    <cellStyle name="Heading 4 20 14" xfId="31732" xr:uid="{00000000-0005-0000-0000-0000D07B0000}"/>
    <cellStyle name="Heading 4 20 15" xfId="31733" xr:uid="{00000000-0005-0000-0000-0000D17B0000}"/>
    <cellStyle name="Heading 4 20 16" xfId="31734" xr:uid="{00000000-0005-0000-0000-0000D27B0000}"/>
    <cellStyle name="Heading 4 20 2" xfId="31735" xr:uid="{00000000-0005-0000-0000-0000D37B0000}"/>
    <cellStyle name="Heading 4 20 3" xfId="31736" xr:uid="{00000000-0005-0000-0000-0000D47B0000}"/>
    <cellStyle name="Heading 4 20 4" xfId="31737" xr:uid="{00000000-0005-0000-0000-0000D57B0000}"/>
    <cellStyle name="Heading 4 20 5" xfId="31738" xr:uid="{00000000-0005-0000-0000-0000D67B0000}"/>
    <cellStyle name="Heading 4 20 6" xfId="31739" xr:uid="{00000000-0005-0000-0000-0000D77B0000}"/>
    <cellStyle name="Heading 4 20 7" xfId="31740" xr:uid="{00000000-0005-0000-0000-0000D87B0000}"/>
    <cellStyle name="Heading 4 20 8" xfId="31741" xr:uid="{00000000-0005-0000-0000-0000D97B0000}"/>
    <cellStyle name="Heading 4 20 9" xfId="31742" xr:uid="{00000000-0005-0000-0000-0000DA7B0000}"/>
    <cellStyle name="Heading 4 21" xfId="31743" xr:uid="{00000000-0005-0000-0000-0000DB7B0000}"/>
    <cellStyle name="Heading 4 21 2" xfId="31744" xr:uid="{00000000-0005-0000-0000-0000DC7B0000}"/>
    <cellStyle name="Heading 4 21 3" xfId="31745" xr:uid="{00000000-0005-0000-0000-0000DD7B0000}"/>
    <cellStyle name="Heading 4 22" xfId="31746" xr:uid="{00000000-0005-0000-0000-0000DE7B0000}"/>
    <cellStyle name="Heading 4 23" xfId="31747" xr:uid="{00000000-0005-0000-0000-0000DF7B0000}"/>
    <cellStyle name="Heading 4 24" xfId="31748" xr:uid="{00000000-0005-0000-0000-0000E07B0000}"/>
    <cellStyle name="Heading 4 25" xfId="31749" xr:uid="{00000000-0005-0000-0000-0000E17B0000}"/>
    <cellStyle name="Heading 4 26" xfId="31750" xr:uid="{00000000-0005-0000-0000-0000E27B0000}"/>
    <cellStyle name="Heading 4 27" xfId="31751" xr:uid="{00000000-0005-0000-0000-0000E37B0000}"/>
    <cellStyle name="Heading 4 28" xfId="31752" xr:uid="{00000000-0005-0000-0000-0000E47B0000}"/>
    <cellStyle name="Heading 4 29" xfId="31753" xr:uid="{00000000-0005-0000-0000-0000E57B0000}"/>
    <cellStyle name="Heading 4 3" xfId="31754" xr:uid="{00000000-0005-0000-0000-0000E67B0000}"/>
    <cellStyle name="Heading 4 3 10" xfId="31755" xr:uid="{00000000-0005-0000-0000-0000E77B0000}"/>
    <cellStyle name="Heading 4 3 10 10" xfId="31756" xr:uid="{00000000-0005-0000-0000-0000E87B0000}"/>
    <cellStyle name="Heading 4 3 10 11" xfId="31757" xr:uid="{00000000-0005-0000-0000-0000E97B0000}"/>
    <cellStyle name="Heading 4 3 10 12" xfId="31758" xr:uid="{00000000-0005-0000-0000-0000EA7B0000}"/>
    <cellStyle name="Heading 4 3 10 13" xfId="31759" xr:uid="{00000000-0005-0000-0000-0000EB7B0000}"/>
    <cellStyle name="Heading 4 3 10 14" xfId="31760" xr:uid="{00000000-0005-0000-0000-0000EC7B0000}"/>
    <cellStyle name="Heading 4 3 10 15" xfId="31761" xr:uid="{00000000-0005-0000-0000-0000ED7B0000}"/>
    <cellStyle name="Heading 4 3 10 2" xfId="31762" xr:uid="{00000000-0005-0000-0000-0000EE7B0000}"/>
    <cellStyle name="Heading 4 3 10 3" xfId="31763" xr:uid="{00000000-0005-0000-0000-0000EF7B0000}"/>
    <cellStyle name="Heading 4 3 10 4" xfId="31764" xr:uid="{00000000-0005-0000-0000-0000F07B0000}"/>
    <cellStyle name="Heading 4 3 10 5" xfId="31765" xr:uid="{00000000-0005-0000-0000-0000F17B0000}"/>
    <cellStyle name="Heading 4 3 10 6" xfId="31766" xr:uid="{00000000-0005-0000-0000-0000F27B0000}"/>
    <cellStyle name="Heading 4 3 10 7" xfId="31767" xr:uid="{00000000-0005-0000-0000-0000F37B0000}"/>
    <cellStyle name="Heading 4 3 10 8" xfId="31768" xr:uid="{00000000-0005-0000-0000-0000F47B0000}"/>
    <cellStyle name="Heading 4 3 10 9" xfId="31769" xr:uid="{00000000-0005-0000-0000-0000F57B0000}"/>
    <cellStyle name="Heading 4 3 11" xfId="31770" xr:uid="{00000000-0005-0000-0000-0000F67B0000}"/>
    <cellStyle name="Heading 4 3 11 10" xfId="31771" xr:uid="{00000000-0005-0000-0000-0000F77B0000}"/>
    <cellStyle name="Heading 4 3 11 11" xfId="31772" xr:uid="{00000000-0005-0000-0000-0000F87B0000}"/>
    <cellStyle name="Heading 4 3 11 12" xfId="31773" xr:uid="{00000000-0005-0000-0000-0000F97B0000}"/>
    <cellStyle name="Heading 4 3 11 13" xfId="31774" xr:uid="{00000000-0005-0000-0000-0000FA7B0000}"/>
    <cellStyle name="Heading 4 3 11 14" xfId="31775" xr:uid="{00000000-0005-0000-0000-0000FB7B0000}"/>
    <cellStyle name="Heading 4 3 11 15" xfId="31776" xr:uid="{00000000-0005-0000-0000-0000FC7B0000}"/>
    <cellStyle name="Heading 4 3 11 2" xfId="31777" xr:uid="{00000000-0005-0000-0000-0000FD7B0000}"/>
    <cellStyle name="Heading 4 3 11 3" xfId="31778" xr:uid="{00000000-0005-0000-0000-0000FE7B0000}"/>
    <cellStyle name="Heading 4 3 11 4" xfId="31779" xr:uid="{00000000-0005-0000-0000-0000FF7B0000}"/>
    <cellStyle name="Heading 4 3 11 5" xfId="31780" xr:uid="{00000000-0005-0000-0000-0000007C0000}"/>
    <cellStyle name="Heading 4 3 11 6" xfId="31781" xr:uid="{00000000-0005-0000-0000-0000017C0000}"/>
    <cellStyle name="Heading 4 3 11 7" xfId="31782" xr:uid="{00000000-0005-0000-0000-0000027C0000}"/>
    <cellStyle name="Heading 4 3 11 8" xfId="31783" xr:uid="{00000000-0005-0000-0000-0000037C0000}"/>
    <cellStyle name="Heading 4 3 11 9" xfId="31784" xr:uid="{00000000-0005-0000-0000-0000047C0000}"/>
    <cellStyle name="Heading 4 3 12" xfId="31785" xr:uid="{00000000-0005-0000-0000-0000057C0000}"/>
    <cellStyle name="Heading 4 3 12 10" xfId="31786" xr:uid="{00000000-0005-0000-0000-0000067C0000}"/>
    <cellStyle name="Heading 4 3 12 11" xfId="31787" xr:uid="{00000000-0005-0000-0000-0000077C0000}"/>
    <cellStyle name="Heading 4 3 12 12" xfId="31788" xr:uid="{00000000-0005-0000-0000-0000087C0000}"/>
    <cellStyle name="Heading 4 3 12 13" xfId="31789" xr:uid="{00000000-0005-0000-0000-0000097C0000}"/>
    <cellStyle name="Heading 4 3 12 14" xfId="31790" xr:uid="{00000000-0005-0000-0000-00000A7C0000}"/>
    <cellStyle name="Heading 4 3 12 15" xfId="31791" xr:uid="{00000000-0005-0000-0000-00000B7C0000}"/>
    <cellStyle name="Heading 4 3 12 2" xfId="31792" xr:uid="{00000000-0005-0000-0000-00000C7C0000}"/>
    <cellStyle name="Heading 4 3 12 3" xfId="31793" xr:uid="{00000000-0005-0000-0000-00000D7C0000}"/>
    <cellStyle name="Heading 4 3 12 4" xfId="31794" xr:uid="{00000000-0005-0000-0000-00000E7C0000}"/>
    <cellStyle name="Heading 4 3 12 5" xfId="31795" xr:uid="{00000000-0005-0000-0000-00000F7C0000}"/>
    <cellStyle name="Heading 4 3 12 6" xfId="31796" xr:uid="{00000000-0005-0000-0000-0000107C0000}"/>
    <cellStyle name="Heading 4 3 12 7" xfId="31797" xr:uid="{00000000-0005-0000-0000-0000117C0000}"/>
    <cellStyle name="Heading 4 3 12 8" xfId="31798" xr:uid="{00000000-0005-0000-0000-0000127C0000}"/>
    <cellStyle name="Heading 4 3 12 9" xfId="31799" xr:uid="{00000000-0005-0000-0000-0000137C0000}"/>
    <cellStyle name="Heading 4 3 13" xfId="31800" xr:uid="{00000000-0005-0000-0000-0000147C0000}"/>
    <cellStyle name="Heading 4 3 13 10" xfId="31801" xr:uid="{00000000-0005-0000-0000-0000157C0000}"/>
    <cellStyle name="Heading 4 3 13 11" xfId="31802" xr:uid="{00000000-0005-0000-0000-0000167C0000}"/>
    <cellStyle name="Heading 4 3 13 12" xfId="31803" xr:uid="{00000000-0005-0000-0000-0000177C0000}"/>
    <cellStyle name="Heading 4 3 13 13" xfId="31804" xr:uid="{00000000-0005-0000-0000-0000187C0000}"/>
    <cellStyle name="Heading 4 3 13 14" xfId="31805" xr:uid="{00000000-0005-0000-0000-0000197C0000}"/>
    <cellStyle name="Heading 4 3 13 15" xfId="31806" xr:uid="{00000000-0005-0000-0000-00001A7C0000}"/>
    <cellStyle name="Heading 4 3 13 2" xfId="31807" xr:uid="{00000000-0005-0000-0000-00001B7C0000}"/>
    <cellStyle name="Heading 4 3 13 3" xfId="31808" xr:uid="{00000000-0005-0000-0000-00001C7C0000}"/>
    <cellStyle name="Heading 4 3 13 4" xfId="31809" xr:uid="{00000000-0005-0000-0000-00001D7C0000}"/>
    <cellStyle name="Heading 4 3 13 5" xfId="31810" xr:uid="{00000000-0005-0000-0000-00001E7C0000}"/>
    <cellStyle name="Heading 4 3 13 6" xfId="31811" xr:uid="{00000000-0005-0000-0000-00001F7C0000}"/>
    <cellStyle name="Heading 4 3 13 7" xfId="31812" xr:uid="{00000000-0005-0000-0000-0000207C0000}"/>
    <cellStyle name="Heading 4 3 13 8" xfId="31813" xr:uid="{00000000-0005-0000-0000-0000217C0000}"/>
    <cellStyle name="Heading 4 3 13 9" xfId="31814" xr:uid="{00000000-0005-0000-0000-0000227C0000}"/>
    <cellStyle name="Heading 4 3 14" xfId="31815" xr:uid="{00000000-0005-0000-0000-0000237C0000}"/>
    <cellStyle name="Heading 4 3 14 10" xfId="31816" xr:uid="{00000000-0005-0000-0000-0000247C0000}"/>
    <cellStyle name="Heading 4 3 14 11" xfId="31817" xr:uid="{00000000-0005-0000-0000-0000257C0000}"/>
    <cellStyle name="Heading 4 3 14 12" xfId="31818" xr:uid="{00000000-0005-0000-0000-0000267C0000}"/>
    <cellStyle name="Heading 4 3 14 13" xfId="31819" xr:uid="{00000000-0005-0000-0000-0000277C0000}"/>
    <cellStyle name="Heading 4 3 14 14" xfId="31820" xr:uid="{00000000-0005-0000-0000-0000287C0000}"/>
    <cellStyle name="Heading 4 3 14 15" xfId="31821" xr:uid="{00000000-0005-0000-0000-0000297C0000}"/>
    <cellStyle name="Heading 4 3 14 2" xfId="31822" xr:uid="{00000000-0005-0000-0000-00002A7C0000}"/>
    <cellStyle name="Heading 4 3 14 3" xfId="31823" xr:uid="{00000000-0005-0000-0000-00002B7C0000}"/>
    <cellStyle name="Heading 4 3 14 4" xfId="31824" xr:uid="{00000000-0005-0000-0000-00002C7C0000}"/>
    <cellStyle name="Heading 4 3 14 5" xfId="31825" xr:uid="{00000000-0005-0000-0000-00002D7C0000}"/>
    <cellStyle name="Heading 4 3 14 6" xfId="31826" xr:uid="{00000000-0005-0000-0000-00002E7C0000}"/>
    <cellStyle name="Heading 4 3 14 7" xfId="31827" xr:uid="{00000000-0005-0000-0000-00002F7C0000}"/>
    <cellStyle name="Heading 4 3 14 8" xfId="31828" xr:uid="{00000000-0005-0000-0000-0000307C0000}"/>
    <cellStyle name="Heading 4 3 14 9" xfId="31829" xr:uid="{00000000-0005-0000-0000-0000317C0000}"/>
    <cellStyle name="Heading 4 3 15" xfId="31830" xr:uid="{00000000-0005-0000-0000-0000327C0000}"/>
    <cellStyle name="Heading 4 3 15 10" xfId="31831" xr:uid="{00000000-0005-0000-0000-0000337C0000}"/>
    <cellStyle name="Heading 4 3 15 11" xfId="31832" xr:uid="{00000000-0005-0000-0000-0000347C0000}"/>
    <cellStyle name="Heading 4 3 15 12" xfId="31833" xr:uid="{00000000-0005-0000-0000-0000357C0000}"/>
    <cellStyle name="Heading 4 3 15 13" xfId="31834" xr:uid="{00000000-0005-0000-0000-0000367C0000}"/>
    <cellStyle name="Heading 4 3 15 14" xfId="31835" xr:uid="{00000000-0005-0000-0000-0000377C0000}"/>
    <cellStyle name="Heading 4 3 15 15" xfId="31836" xr:uid="{00000000-0005-0000-0000-0000387C0000}"/>
    <cellStyle name="Heading 4 3 15 2" xfId="31837" xr:uid="{00000000-0005-0000-0000-0000397C0000}"/>
    <cellStyle name="Heading 4 3 15 3" xfId="31838" xr:uid="{00000000-0005-0000-0000-00003A7C0000}"/>
    <cellStyle name="Heading 4 3 15 4" xfId="31839" xr:uid="{00000000-0005-0000-0000-00003B7C0000}"/>
    <cellStyle name="Heading 4 3 15 5" xfId="31840" xr:uid="{00000000-0005-0000-0000-00003C7C0000}"/>
    <cellStyle name="Heading 4 3 15 6" xfId="31841" xr:uid="{00000000-0005-0000-0000-00003D7C0000}"/>
    <cellStyle name="Heading 4 3 15 7" xfId="31842" xr:uid="{00000000-0005-0000-0000-00003E7C0000}"/>
    <cellStyle name="Heading 4 3 15 8" xfId="31843" xr:uid="{00000000-0005-0000-0000-00003F7C0000}"/>
    <cellStyle name="Heading 4 3 15 9" xfId="31844" xr:uid="{00000000-0005-0000-0000-0000407C0000}"/>
    <cellStyle name="Heading 4 3 16" xfId="31845" xr:uid="{00000000-0005-0000-0000-0000417C0000}"/>
    <cellStyle name="Heading 4 3 16 10" xfId="31846" xr:uid="{00000000-0005-0000-0000-0000427C0000}"/>
    <cellStyle name="Heading 4 3 16 11" xfId="31847" xr:uid="{00000000-0005-0000-0000-0000437C0000}"/>
    <cellStyle name="Heading 4 3 16 12" xfId="31848" xr:uid="{00000000-0005-0000-0000-0000447C0000}"/>
    <cellStyle name="Heading 4 3 16 13" xfId="31849" xr:uid="{00000000-0005-0000-0000-0000457C0000}"/>
    <cellStyle name="Heading 4 3 16 14" xfId="31850" xr:uid="{00000000-0005-0000-0000-0000467C0000}"/>
    <cellStyle name="Heading 4 3 16 15" xfId="31851" xr:uid="{00000000-0005-0000-0000-0000477C0000}"/>
    <cellStyle name="Heading 4 3 16 2" xfId="31852" xr:uid="{00000000-0005-0000-0000-0000487C0000}"/>
    <cellStyle name="Heading 4 3 16 3" xfId="31853" xr:uid="{00000000-0005-0000-0000-0000497C0000}"/>
    <cellStyle name="Heading 4 3 16 4" xfId="31854" xr:uid="{00000000-0005-0000-0000-00004A7C0000}"/>
    <cellStyle name="Heading 4 3 16 5" xfId="31855" xr:uid="{00000000-0005-0000-0000-00004B7C0000}"/>
    <cellStyle name="Heading 4 3 16 6" xfId="31856" xr:uid="{00000000-0005-0000-0000-00004C7C0000}"/>
    <cellStyle name="Heading 4 3 16 7" xfId="31857" xr:uid="{00000000-0005-0000-0000-00004D7C0000}"/>
    <cellStyle name="Heading 4 3 16 8" xfId="31858" xr:uid="{00000000-0005-0000-0000-00004E7C0000}"/>
    <cellStyle name="Heading 4 3 16 9" xfId="31859" xr:uid="{00000000-0005-0000-0000-00004F7C0000}"/>
    <cellStyle name="Heading 4 3 17" xfId="31860" xr:uid="{00000000-0005-0000-0000-0000507C0000}"/>
    <cellStyle name="Heading 4 3 17 10" xfId="31861" xr:uid="{00000000-0005-0000-0000-0000517C0000}"/>
    <cellStyle name="Heading 4 3 17 11" xfId="31862" xr:uid="{00000000-0005-0000-0000-0000527C0000}"/>
    <cellStyle name="Heading 4 3 17 12" xfId="31863" xr:uid="{00000000-0005-0000-0000-0000537C0000}"/>
    <cellStyle name="Heading 4 3 17 13" xfId="31864" xr:uid="{00000000-0005-0000-0000-0000547C0000}"/>
    <cellStyle name="Heading 4 3 17 14" xfId="31865" xr:uid="{00000000-0005-0000-0000-0000557C0000}"/>
    <cellStyle name="Heading 4 3 17 15" xfId="31866" xr:uid="{00000000-0005-0000-0000-0000567C0000}"/>
    <cellStyle name="Heading 4 3 17 2" xfId="31867" xr:uid="{00000000-0005-0000-0000-0000577C0000}"/>
    <cellStyle name="Heading 4 3 17 3" xfId="31868" xr:uid="{00000000-0005-0000-0000-0000587C0000}"/>
    <cellStyle name="Heading 4 3 17 4" xfId="31869" xr:uid="{00000000-0005-0000-0000-0000597C0000}"/>
    <cellStyle name="Heading 4 3 17 5" xfId="31870" xr:uid="{00000000-0005-0000-0000-00005A7C0000}"/>
    <cellStyle name="Heading 4 3 17 6" xfId="31871" xr:uid="{00000000-0005-0000-0000-00005B7C0000}"/>
    <cellStyle name="Heading 4 3 17 7" xfId="31872" xr:uid="{00000000-0005-0000-0000-00005C7C0000}"/>
    <cellStyle name="Heading 4 3 17 8" xfId="31873" xr:uid="{00000000-0005-0000-0000-00005D7C0000}"/>
    <cellStyle name="Heading 4 3 17 9" xfId="31874" xr:uid="{00000000-0005-0000-0000-00005E7C0000}"/>
    <cellStyle name="Heading 4 3 18" xfId="31875" xr:uid="{00000000-0005-0000-0000-00005F7C0000}"/>
    <cellStyle name="Heading 4 3 18 10" xfId="31876" xr:uid="{00000000-0005-0000-0000-0000607C0000}"/>
    <cellStyle name="Heading 4 3 18 11" xfId="31877" xr:uid="{00000000-0005-0000-0000-0000617C0000}"/>
    <cellStyle name="Heading 4 3 18 12" xfId="31878" xr:uid="{00000000-0005-0000-0000-0000627C0000}"/>
    <cellStyle name="Heading 4 3 18 13" xfId="31879" xr:uid="{00000000-0005-0000-0000-0000637C0000}"/>
    <cellStyle name="Heading 4 3 18 14" xfId="31880" xr:uid="{00000000-0005-0000-0000-0000647C0000}"/>
    <cellStyle name="Heading 4 3 18 15" xfId="31881" xr:uid="{00000000-0005-0000-0000-0000657C0000}"/>
    <cellStyle name="Heading 4 3 18 2" xfId="31882" xr:uid="{00000000-0005-0000-0000-0000667C0000}"/>
    <cellStyle name="Heading 4 3 18 3" xfId="31883" xr:uid="{00000000-0005-0000-0000-0000677C0000}"/>
    <cellStyle name="Heading 4 3 18 4" xfId="31884" xr:uid="{00000000-0005-0000-0000-0000687C0000}"/>
    <cellStyle name="Heading 4 3 18 5" xfId="31885" xr:uid="{00000000-0005-0000-0000-0000697C0000}"/>
    <cellStyle name="Heading 4 3 18 6" xfId="31886" xr:uid="{00000000-0005-0000-0000-00006A7C0000}"/>
    <cellStyle name="Heading 4 3 18 7" xfId="31887" xr:uid="{00000000-0005-0000-0000-00006B7C0000}"/>
    <cellStyle name="Heading 4 3 18 8" xfId="31888" xr:uid="{00000000-0005-0000-0000-00006C7C0000}"/>
    <cellStyle name="Heading 4 3 18 9" xfId="31889" xr:uid="{00000000-0005-0000-0000-00006D7C0000}"/>
    <cellStyle name="Heading 4 3 19" xfId="31890" xr:uid="{00000000-0005-0000-0000-00006E7C0000}"/>
    <cellStyle name="Heading 4 3 19 10" xfId="31891" xr:uid="{00000000-0005-0000-0000-00006F7C0000}"/>
    <cellStyle name="Heading 4 3 19 11" xfId="31892" xr:uid="{00000000-0005-0000-0000-0000707C0000}"/>
    <cellStyle name="Heading 4 3 19 12" xfId="31893" xr:uid="{00000000-0005-0000-0000-0000717C0000}"/>
    <cellStyle name="Heading 4 3 19 13" xfId="31894" xr:uid="{00000000-0005-0000-0000-0000727C0000}"/>
    <cellStyle name="Heading 4 3 19 14" xfId="31895" xr:uid="{00000000-0005-0000-0000-0000737C0000}"/>
    <cellStyle name="Heading 4 3 19 15" xfId="31896" xr:uid="{00000000-0005-0000-0000-0000747C0000}"/>
    <cellStyle name="Heading 4 3 19 2" xfId="31897" xr:uid="{00000000-0005-0000-0000-0000757C0000}"/>
    <cellStyle name="Heading 4 3 19 3" xfId="31898" xr:uid="{00000000-0005-0000-0000-0000767C0000}"/>
    <cellStyle name="Heading 4 3 19 4" xfId="31899" xr:uid="{00000000-0005-0000-0000-0000777C0000}"/>
    <cellStyle name="Heading 4 3 19 5" xfId="31900" xr:uid="{00000000-0005-0000-0000-0000787C0000}"/>
    <cellStyle name="Heading 4 3 19 6" xfId="31901" xr:uid="{00000000-0005-0000-0000-0000797C0000}"/>
    <cellStyle name="Heading 4 3 19 7" xfId="31902" xr:uid="{00000000-0005-0000-0000-00007A7C0000}"/>
    <cellStyle name="Heading 4 3 19 8" xfId="31903" xr:uid="{00000000-0005-0000-0000-00007B7C0000}"/>
    <cellStyle name="Heading 4 3 19 9" xfId="31904" xr:uid="{00000000-0005-0000-0000-00007C7C0000}"/>
    <cellStyle name="Heading 4 3 2" xfId="31905" xr:uid="{00000000-0005-0000-0000-00007D7C0000}"/>
    <cellStyle name="Heading 4 3 2 10" xfId="31906" xr:uid="{00000000-0005-0000-0000-00007E7C0000}"/>
    <cellStyle name="Heading 4 3 2 11" xfId="31907" xr:uid="{00000000-0005-0000-0000-00007F7C0000}"/>
    <cellStyle name="Heading 4 3 2 12" xfId="31908" xr:uid="{00000000-0005-0000-0000-0000807C0000}"/>
    <cellStyle name="Heading 4 3 2 13" xfId="31909" xr:uid="{00000000-0005-0000-0000-0000817C0000}"/>
    <cellStyle name="Heading 4 3 2 14" xfId="31910" xr:uid="{00000000-0005-0000-0000-0000827C0000}"/>
    <cellStyle name="Heading 4 3 2 15" xfId="31911" xr:uid="{00000000-0005-0000-0000-0000837C0000}"/>
    <cellStyle name="Heading 4 3 2 16" xfId="31912" xr:uid="{00000000-0005-0000-0000-0000847C0000}"/>
    <cellStyle name="Heading 4 3 2 17" xfId="31913" xr:uid="{00000000-0005-0000-0000-0000857C0000}"/>
    <cellStyle name="Heading 4 3 2 18" xfId="31914" xr:uid="{00000000-0005-0000-0000-0000867C0000}"/>
    <cellStyle name="Heading 4 3 2 19" xfId="31915" xr:uid="{00000000-0005-0000-0000-0000877C0000}"/>
    <cellStyle name="Heading 4 3 2 2" xfId="31916" xr:uid="{00000000-0005-0000-0000-0000887C0000}"/>
    <cellStyle name="Heading 4 3 2 20" xfId="31917" xr:uid="{00000000-0005-0000-0000-0000897C0000}"/>
    <cellStyle name="Heading 4 3 2 21" xfId="31918" xr:uid="{00000000-0005-0000-0000-00008A7C0000}"/>
    <cellStyle name="Heading 4 3 2 22" xfId="31919" xr:uid="{00000000-0005-0000-0000-00008B7C0000}"/>
    <cellStyle name="Heading 4 3 2 23" xfId="31920" xr:uid="{00000000-0005-0000-0000-00008C7C0000}"/>
    <cellStyle name="Heading 4 3 2 24" xfId="31921" xr:uid="{00000000-0005-0000-0000-00008D7C0000}"/>
    <cellStyle name="Heading 4 3 2 25" xfId="31922" xr:uid="{00000000-0005-0000-0000-00008E7C0000}"/>
    <cellStyle name="Heading 4 3 2 26" xfId="31923" xr:uid="{00000000-0005-0000-0000-00008F7C0000}"/>
    <cellStyle name="Heading 4 3 2 27" xfId="31924" xr:uid="{00000000-0005-0000-0000-0000907C0000}"/>
    <cellStyle name="Heading 4 3 2 28" xfId="31925" xr:uid="{00000000-0005-0000-0000-0000917C0000}"/>
    <cellStyle name="Heading 4 3 2 29" xfId="31926" xr:uid="{00000000-0005-0000-0000-0000927C0000}"/>
    <cellStyle name="Heading 4 3 2 3" xfId="31927" xr:uid="{00000000-0005-0000-0000-0000937C0000}"/>
    <cellStyle name="Heading 4 3 2 30" xfId="31928" xr:uid="{00000000-0005-0000-0000-0000947C0000}"/>
    <cellStyle name="Heading 4 3 2 31" xfId="31929" xr:uid="{00000000-0005-0000-0000-0000957C0000}"/>
    <cellStyle name="Heading 4 3 2 32" xfId="31930" xr:uid="{00000000-0005-0000-0000-0000967C0000}"/>
    <cellStyle name="Heading 4 3 2 33" xfId="31931" xr:uid="{00000000-0005-0000-0000-0000977C0000}"/>
    <cellStyle name="Heading 4 3 2 34" xfId="31932" xr:uid="{00000000-0005-0000-0000-0000987C0000}"/>
    <cellStyle name="Heading 4 3 2 35" xfId="31933" xr:uid="{00000000-0005-0000-0000-0000997C0000}"/>
    <cellStyle name="Heading 4 3 2 36" xfId="31934" xr:uid="{00000000-0005-0000-0000-00009A7C0000}"/>
    <cellStyle name="Heading 4 3 2 37" xfId="31935" xr:uid="{00000000-0005-0000-0000-00009B7C0000}"/>
    <cellStyle name="Heading 4 3 2 38" xfId="31936" xr:uid="{00000000-0005-0000-0000-00009C7C0000}"/>
    <cellStyle name="Heading 4 3 2 39" xfId="31937" xr:uid="{00000000-0005-0000-0000-00009D7C0000}"/>
    <cellStyle name="Heading 4 3 2 4" xfId="31938" xr:uid="{00000000-0005-0000-0000-00009E7C0000}"/>
    <cellStyle name="Heading 4 3 2 40" xfId="31939" xr:uid="{00000000-0005-0000-0000-00009F7C0000}"/>
    <cellStyle name="Heading 4 3 2 41" xfId="31940" xr:uid="{00000000-0005-0000-0000-0000A07C0000}"/>
    <cellStyle name="Heading 4 3 2 42" xfId="31941" xr:uid="{00000000-0005-0000-0000-0000A17C0000}"/>
    <cellStyle name="Heading 4 3 2 43" xfId="31942" xr:uid="{00000000-0005-0000-0000-0000A27C0000}"/>
    <cellStyle name="Heading 4 3 2 44" xfId="31943" xr:uid="{00000000-0005-0000-0000-0000A37C0000}"/>
    <cellStyle name="Heading 4 3 2 45" xfId="31944" xr:uid="{00000000-0005-0000-0000-0000A47C0000}"/>
    <cellStyle name="Heading 4 3 2 46" xfId="31945" xr:uid="{00000000-0005-0000-0000-0000A57C0000}"/>
    <cellStyle name="Heading 4 3 2 47" xfId="31946" xr:uid="{00000000-0005-0000-0000-0000A67C0000}"/>
    <cellStyle name="Heading 4 3 2 48" xfId="31947" xr:uid="{00000000-0005-0000-0000-0000A77C0000}"/>
    <cellStyle name="Heading 4 3 2 49" xfId="31948" xr:uid="{00000000-0005-0000-0000-0000A87C0000}"/>
    <cellStyle name="Heading 4 3 2 5" xfId="31949" xr:uid="{00000000-0005-0000-0000-0000A97C0000}"/>
    <cellStyle name="Heading 4 3 2 50" xfId="31950" xr:uid="{00000000-0005-0000-0000-0000AA7C0000}"/>
    <cellStyle name="Heading 4 3 2 51" xfId="31951" xr:uid="{00000000-0005-0000-0000-0000AB7C0000}"/>
    <cellStyle name="Heading 4 3 2 52" xfId="31952" xr:uid="{00000000-0005-0000-0000-0000AC7C0000}"/>
    <cellStyle name="Heading 4 3 2 53" xfId="31953" xr:uid="{00000000-0005-0000-0000-0000AD7C0000}"/>
    <cellStyle name="Heading 4 3 2 6" xfId="31954" xr:uid="{00000000-0005-0000-0000-0000AE7C0000}"/>
    <cellStyle name="Heading 4 3 2 7" xfId="31955" xr:uid="{00000000-0005-0000-0000-0000AF7C0000}"/>
    <cellStyle name="Heading 4 3 2 8" xfId="31956" xr:uid="{00000000-0005-0000-0000-0000B07C0000}"/>
    <cellStyle name="Heading 4 3 2 9" xfId="31957" xr:uid="{00000000-0005-0000-0000-0000B17C0000}"/>
    <cellStyle name="Heading 4 3 20" xfId="31958" xr:uid="{00000000-0005-0000-0000-0000B27C0000}"/>
    <cellStyle name="Heading 4 3 20 10" xfId="31959" xr:uid="{00000000-0005-0000-0000-0000B37C0000}"/>
    <cellStyle name="Heading 4 3 20 11" xfId="31960" xr:uid="{00000000-0005-0000-0000-0000B47C0000}"/>
    <cellStyle name="Heading 4 3 20 12" xfId="31961" xr:uid="{00000000-0005-0000-0000-0000B57C0000}"/>
    <cellStyle name="Heading 4 3 20 13" xfId="31962" xr:uid="{00000000-0005-0000-0000-0000B67C0000}"/>
    <cellStyle name="Heading 4 3 20 14" xfId="31963" xr:uid="{00000000-0005-0000-0000-0000B77C0000}"/>
    <cellStyle name="Heading 4 3 20 15" xfId="31964" xr:uid="{00000000-0005-0000-0000-0000B87C0000}"/>
    <cellStyle name="Heading 4 3 20 2" xfId="31965" xr:uid="{00000000-0005-0000-0000-0000B97C0000}"/>
    <cellStyle name="Heading 4 3 20 3" xfId="31966" xr:uid="{00000000-0005-0000-0000-0000BA7C0000}"/>
    <cellStyle name="Heading 4 3 20 4" xfId="31967" xr:uid="{00000000-0005-0000-0000-0000BB7C0000}"/>
    <cellStyle name="Heading 4 3 20 5" xfId="31968" xr:uid="{00000000-0005-0000-0000-0000BC7C0000}"/>
    <cellStyle name="Heading 4 3 20 6" xfId="31969" xr:uid="{00000000-0005-0000-0000-0000BD7C0000}"/>
    <cellStyle name="Heading 4 3 20 7" xfId="31970" xr:uid="{00000000-0005-0000-0000-0000BE7C0000}"/>
    <cellStyle name="Heading 4 3 20 8" xfId="31971" xr:uid="{00000000-0005-0000-0000-0000BF7C0000}"/>
    <cellStyle name="Heading 4 3 20 9" xfId="31972" xr:uid="{00000000-0005-0000-0000-0000C07C0000}"/>
    <cellStyle name="Heading 4 3 21" xfId="31973" xr:uid="{00000000-0005-0000-0000-0000C17C0000}"/>
    <cellStyle name="Heading 4 3 21 10" xfId="31974" xr:uid="{00000000-0005-0000-0000-0000C27C0000}"/>
    <cellStyle name="Heading 4 3 21 11" xfId="31975" xr:uid="{00000000-0005-0000-0000-0000C37C0000}"/>
    <cellStyle name="Heading 4 3 21 12" xfId="31976" xr:uid="{00000000-0005-0000-0000-0000C47C0000}"/>
    <cellStyle name="Heading 4 3 21 13" xfId="31977" xr:uid="{00000000-0005-0000-0000-0000C57C0000}"/>
    <cellStyle name="Heading 4 3 21 14" xfId="31978" xr:uid="{00000000-0005-0000-0000-0000C67C0000}"/>
    <cellStyle name="Heading 4 3 21 15" xfId="31979" xr:uid="{00000000-0005-0000-0000-0000C77C0000}"/>
    <cellStyle name="Heading 4 3 21 2" xfId="31980" xr:uid="{00000000-0005-0000-0000-0000C87C0000}"/>
    <cellStyle name="Heading 4 3 21 3" xfId="31981" xr:uid="{00000000-0005-0000-0000-0000C97C0000}"/>
    <cellStyle name="Heading 4 3 21 4" xfId="31982" xr:uid="{00000000-0005-0000-0000-0000CA7C0000}"/>
    <cellStyle name="Heading 4 3 21 5" xfId="31983" xr:uid="{00000000-0005-0000-0000-0000CB7C0000}"/>
    <cellStyle name="Heading 4 3 21 6" xfId="31984" xr:uid="{00000000-0005-0000-0000-0000CC7C0000}"/>
    <cellStyle name="Heading 4 3 21 7" xfId="31985" xr:uid="{00000000-0005-0000-0000-0000CD7C0000}"/>
    <cellStyle name="Heading 4 3 21 8" xfId="31986" xr:uid="{00000000-0005-0000-0000-0000CE7C0000}"/>
    <cellStyle name="Heading 4 3 21 9" xfId="31987" xr:uid="{00000000-0005-0000-0000-0000CF7C0000}"/>
    <cellStyle name="Heading 4 3 22" xfId="31988" xr:uid="{00000000-0005-0000-0000-0000D07C0000}"/>
    <cellStyle name="Heading 4 3 22 10" xfId="31989" xr:uid="{00000000-0005-0000-0000-0000D17C0000}"/>
    <cellStyle name="Heading 4 3 22 11" xfId="31990" xr:uid="{00000000-0005-0000-0000-0000D27C0000}"/>
    <cellStyle name="Heading 4 3 22 12" xfId="31991" xr:uid="{00000000-0005-0000-0000-0000D37C0000}"/>
    <cellStyle name="Heading 4 3 22 13" xfId="31992" xr:uid="{00000000-0005-0000-0000-0000D47C0000}"/>
    <cellStyle name="Heading 4 3 22 14" xfId="31993" xr:uid="{00000000-0005-0000-0000-0000D57C0000}"/>
    <cellStyle name="Heading 4 3 22 15" xfId="31994" xr:uid="{00000000-0005-0000-0000-0000D67C0000}"/>
    <cellStyle name="Heading 4 3 22 2" xfId="31995" xr:uid="{00000000-0005-0000-0000-0000D77C0000}"/>
    <cellStyle name="Heading 4 3 22 3" xfId="31996" xr:uid="{00000000-0005-0000-0000-0000D87C0000}"/>
    <cellStyle name="Heading 4 3 22 4" xfId="31997" xr:uid="{00000000-0005-0000-0000-0000D97C0000}"/>
    <cellStyle name="Heading 4 3 22 5" xfId="31998" xr:uid="{00000000-0005-0000-0000-0000DA7C0000}"/>
    <cellStyle name="Heading 4 3 22 6" xfId="31999" xr:uid="{00000000-0005-0000-0000-0000DB7C0000}"/>
    <cellStyle name="Heading 4 3 22 7" xfId="32000" xr:uid="{00000000-0005-0000-0000-0000DC7C0000}"/>
    <cellStyle name="Heading 4 3 22 8" xfId="32001" xr:uid="{00000000-0005-0000-0000-0000DD7C0000}"/>
    <cellStyle name="Heading 4 3 22 9" xfId="32002" xr:uid="{00000000-0005-0000-0000-0000DE7C0000}"/>
    <cellStyle name="Heading 4 3 23" xfId="32003" xr:uid="{00000000-0005-0000-0000-0000DF7C0000}"/>
    <cellStyle name="Heading 4 3 23 10" xfId="32004" xr:uid="{00000000-0005-0000-0000-0000E07C0000}"/>
    <cellStyle name="Heading 4 3 23 11" xfId="32005" xr:uid="{00000000-0005-0000-0000-0000E17C0000}"/>
    <cellStyle name="Heading 4 3 23 12" xfId="32006" xr:uid="{00000000-0005-0000-0000-0000E27C0000}"/>
    <cellStyle name="Heading 4 3 23 13" xfId="32007" xr:uid="{00000000-0005-0000-0000-0000E37C0000}"/>
    <cellStyle name="Heading 4 3 23 14" xfId="32008" xr:uid="{00000000-0005-0000-0000-0000E47C0000}"/>
    <cellStyle name="Heading 4 3 23 15" xfId="32009" xr:uid="{00000000-0005-0000-0000-0000E57C0000}"/>
    <cellStyle name="Heading 4 3 23 2" xfId="32010" xr:uid="{00000000-0005-0000-0000-0000E67C0000}"/>
    <cellStyle name="Heading 4 3 23 3" xfId="32011" xr:uid="{00000000-0005-0000-0000-0000E77C0000}"/>
    <cellStyle name="Heading 4 3 23 4" xfId="32012" xr:uid="{00000000-0005-0000-0000-0000E87C0000}"/>
    <cellStyle name="Heading 4 3 23 5" xfId="32013" xr:uid="{00000000-0005-0000-0000-0000E97C0000}"/>
    <cellStyle name="Heading 4 3 23 6" xfId="32014" xr:uid="{00000000-0005-0000-0000-0000EA7C0000}"/>
    <cellStyle name="Heading 4 3 23 7" xfId="32015" xr:uid="{00000000-0005-0000-0000-0000EB7C0000}"/>
    <cellStyle name="Heading 4 3 23 8" xfId="32016" xr:uid="{00000000-0005-0000-0000-0000EC7C0000}"/>
    <cellStyle name="Heading 4 3 23 9" xfId="32017" xr:uid="{00000000-0005-0000-0000-0000ED7C0000}"/>
    <cellStyle name="Heading 4 3 24" xfId="32018" xr:uid="{00000000-0005-0000-0000-0000EE7C0000}"/>
    <cellStyle name="Heading 4 3 24 10" xfId="32019" xr:uid="{00000000-0005-0000-0000-0000EF7C0000}"/>
    <cellStyle name="Heading 4 3 24 11" xfId="32020" xr:uid="{00000000-0005-0000-0000-0000F07C0000}"/>
    <cellStyle name="Heading 4 3 24 12" xfId="32021" xr:uid="{00000000-0005-0000-0000-0000F17C0000}"/>
    <cellStyle name="Heading 4 3 24 13" xfId="32022" xr:uid="{00000000-0005-0000-0000-0000F27C0000}"/>
    <cellStyle name="Heading 4 3 24 14" xfId="32023" xr:uid="{00000000-0005-0000-0000-0000F37C0000}"/>
    <cellStyle name="Heading 4 3 24 15" xfId="32024" xr:uid="{00000000-0005-0000-0000-0000F47C0000}"/>
    <cellStyle name="Heading 4 3 24 2" xfId="32025" xr:uid="{00000000-0005-0000-0000-0000F57C0000}"/>
    <cellStyle name="Heading 4 3 24 3" xfId="32026" xr:uid="{00000000-0005-0000-0000-0000F67C0000}"/>
    <cellStyle name="Heading 4 3 24 4" xfId="32027" xr:uid="{00000000-0005-0000-0000-0000F77C0000}"/>
    <cellStyle name="Heading 4 3 24 5" xfId="32028" xr:uid="{00000000-0005-0000-0000-0000F87C0000}"/>
    <cellStyle name="Heading 4 3 24 6" xfId="32029" xr:uid="{00000000-0005-0000-0000-0000F97C0000}"/>
    <cellStyle name="Heading 4 3 24 7" xfId="32030" xr:uid="{00000000-0005-0000-0000-0000FA7C0000}"/>
    <cellStyle name="Heading 4 3 24 8" xfId="32031" xr:uid="{00000000-0005-0000-0000-0000FB7C0000}"/>
    <cellStyle name="Heading 4 3 24 9" xfId="32032" xr:uid="{00000000-0005-0000-0000-0000FC7C0000}"/>
    <cellStyle name="Heading 4 3 25" xfId="32033" xr:uid="{00000000-0005-0000-0000-0000FD7C0000}"/>
    <cellStyle name="Heading 4 3 25 10" xfId="32034" xr:uid="{00000000-0005-0000-0000-0000FE7C0000}"/>
    <cellStyle name="Heading 4 3 25 11" xfId="32035" xr:uid="{00000000-0005-0000-0000-0000FF7C0000}"/>
    <cellStyle name="Heading 4 3 25 12" xfId="32036" xr:uid="{00000000-0005-0000-0000-0000007D0000}"/>
    <cellStyle name="Heading 4 3 25 13" xfId="32037" xr:uid="{00000000-0005-0000-0000-0000017D0000}"/>
    <cellStyle name="Heading 4 3 25 14" xfId="32038" xr:uid="{00000000-0005-0000-0000-0000027D0000}"/>
    <cellStyle name="Heading 4 3 25 15" xfId="32039" xr:uid="{00000000-0005-0000-0000-0000037D0000}"/>
    <cellStyle name="Heading 4 3 25 2" xfId="32040" xr:uid="{00000000-0005-0000-0000-0000047D0000}"/>
    <cellStyle name="Heading 4 3 25 3" xfId="32041" xr:uid="{00000000-0005-0000-0000-0000057D0000}"/>
    <cellStyle name="Heading 4 3 25 4" xfId="32042" xr:uid="{00000000-0005-0000-0000-0000067D0000}"/>
    <cellStyle name="Heading 4 3 25 5" xfId="32043" xr:uid="{00000000-0005-0000-0000-0000077D0000}"/>
    <cellStyle name="Heading 4 3 25 6" xfId="32044" xr:uid="{00000000-0005-0000-0000-0000087D0000}"/>
    <cellStyle name="Heading 4 3 25 7" xfId="32045" xr:uid="{00000000-0005-0000-0000-0000097D0000}"/>
    <cellStyle name="Heading 4 3 25 8" xfId="32046" xr:uid="{00000000-0005-0000-0000-00000A7D0000}"/>
    <cellStyle name="Heading 4 3 25 9" xfId="32047" xr:uid="{00000000-0005-0000-0000-00000B7D0000}"/>
    <cellStyle name="Heading 4 3 26" xfId="32048" xr:uid="{00000000-0005-0000-0000-00000C7D0000}"/>
    <cellStyle name="Heading 4 3 26 10" xfId="32049" xr:uid="{00000000-0005-0000-0000-00000D7D0000}"/>
    <cellStyle name="Heading 4 3 26 11" xfId="32050" xr:uid="{00000000-0005-0000-0000-00000E7D0000}"/>
    <cellStyle name="Heading 4 3 26 12" xfId="32051" xr:uid="{00000000-0005-0000-0000-00000F7D0000}"/>
    <cellStyle name="Heading 4 3 26 13" xfId="32052" xr:uid="{00000000-0005-0000-0000-0000107D0000}"/>
    <cellStyle name="Heading 4 3 26 14" xfId="32053" xr:uid="{00000000-0005-0000-0000-0000117D0000}"/>
    <cellStyle name="Heading 4 3 26 15" xfId="32054" xr:uid="{00000000-0005-0000-0000-0000127D0000}"/>
    <cellStyle name="Heading 4 3 26 2" xfId="32055" xr:uid="{00000000-0005-0000-0000-0000137D0000}"/>
    <cellStyle name="Heading 4 3 26 3" xfId="32056" xr:uid="{00000000-0005-0000-0000-0000147D0000}"/>
    <cellStyle name="Heading 4 3 26 4" xfId="32057" xr:uid="{00000000-0005-0000-0000-0000157D0000}"/>
    <cellStyle name="Heading 4 3 26 5" xfId="32058" xr:uid="{00000000-0005-0000-0000-0000167D0000}"/>
    <cellStyle name="Heading 4 3 26 6" xfId="32059" xr:uid="{00000000-0005-0000-0000-0000177D0000}"/>
    <cellStyle name="Heading 4 3 26 7" xfId="32060" xr:uid="{00000000-0005-0000-0000-0000187D0000}"/>
    <cellStyle name="Heading 4 3 26 8" xfId="32061" xr:uid="{00000000-0005-0000-0000-0000197D0000}"/>
    <cellStyle name="Heading 4 3 26 9" xfId="32062" xr:uid="{00000000-0005-0000-0000-00001A7D0000}"/>
    <cellStyle name="Heading 4 3 27" xfId="32063" xr:uid="{00000000-0005-0000-0000-00001B7D0000}"/>
    <cellStyle name="Heading 4 3 27 10" xfId="32064" xr:uid="{00000000-0005-0000-0000-00001C7D0000}"/>
    <cellStyle name="Heading 4 3 27 11" xfId="32065" xr:uid="{00000000-0005-0000-0000-00001D7D0000}"/>
    <cellStyle name="Heading 4 3 27 12" xfId="32066" xr:uid="{00000000-0005-0000-0000-00001E7D0000}"/>
    <cellStyle name="Heading 4 3 27 13" xfId="32067" xr:uid="{00000000-0005-0000-0000-00001F7D0000}"/>
    <cellStyle name="Heading 4 3 27 14" xfId="32068" xr:uid="{00000000-0005-0000-0000-0000207D0000}"/>
    <cellStyle name="Heading 4 3 27 15" xfId="32069" xr:uid="{00000000-0005-0000-0000-0000217D0000}"/>
    <cellStyle name="Heading 4 3 27 2" xfId="32070" xr:uid="{00000000-0005-0000-0000-0000227D0000}"/>
    <cellStyle name="Heading 4 3 27 3" xfId="32071" xr:uid="{00000000-0005-0000-0000-0000237D0000}"/>
    <cellStyle name="Heading 4 3 27 4" xfId="32072" xr:uid="{00000000-0005-0000-0000-0000247D0000}"/>
    <cellStyle name="Heading 4 3 27 5" xfId="32073" xr:uid="{00000000-0005-0000-0000-0000257D0000}"/>
    <cellStyle name="Heading 4 3 27 6" xfId="32074" xr:uid="{00000000-0005-0000-0000-0000267D0000}"/>
    <cellStyle name="Heading 4 3 27 7" xfId="32075" xr:uid="{00000000-0005-0000-0000-0000277D0000}"/>
    <cellStyle name="Heading 4 3 27 8" xfId="32076" xr:uid="{00000000-0005-0000-0000-0000287D0000}"/>
    <cellStyle name="Heading 4 3 27 9" xfId="32077" xr:uid="{00000000-0005-0000-0000-0000297D0000}"/>
    <cellStyle name="Heading 4 3 28" xfId="32078" xr:uid="{00000000-0005-0000-0000-00002A7D0000}"/>
    <cellStyle name="Heading 4 3 28 10" xfId="32079" xr:uid="{00000000-0005-0000-0000-00002B7D0000}"/>
    <cellStyle name="Heading 4 3 28 11" xfId="32080" xr:uid="{00000000-0005-0000-0000-00002C7D0000}"/>
    <cellStyle name="Heading 4 3 28 12" xfId="32081" xr:uid="{00000000-0005-0000-0000-00002D7D0000}"/>
    <cellStyle name="Heading 4 3 28 13" xfId="32082" xr:uid="{00000000-0005-0000-0000-00002E7D0000}"/>
    <cellStyle name="Heading 4 3 28 14" xfId="32083" xr:uid="{00000000-0005-0000-0000-00002F7D0000}"/>
    <cellStyle name="Heading 4 3 28 15" xfId="32084" xr:uid="{00000000-0005-0000-0000-0000307D0000}"/>
    <cellStyle name="Heading 4 3 28 2" xfId="32085" xr:uid="{00000000-0005-0000-0000-0000317D0000}"/>
    <cellStyle name="Heading 4 3 28 3" xfId="32086" xr:uid="{00000000-0005-0000-0000-0000327D0000}"/>
    <cellStyle name="Heading 4 3 28 4" xfId="32087" xr:uid="{00000000-0005-0000-0000-0000337D0000}"/>
    <cellStyle name="Heading 4 3 28 5" xfId="32088" xr:uid="{00000000-0005-0000-0000-0000347D0000}"/>
    <cellStyle name="Heading 4 3 28 6" xfId="32089" xr:uid="{00000000-0005-0000-0000-0000357D0000}"/>
    <cellStyle name="Heading 4 3 28 7" xfId="32090" xr:uid="{00000000-0005-0000-0000-0000367D0000}"/>
    <cellStyle name="Heading 4 3 28 8" xfId="32091" xr:uid="{00000000-0005-0000-0000-0000377D0000}"/>
    <cellStyle name="Heading 4 3 28 9" xfId="32092" xr:uid="{00000000-0005-0000-0000-0000387D0000}"/>
    <cellStyle name="Heading 4 3 29" xfId="32093" xr:uid="{00000000-0005-0000-0000-0000397D0000}"/>
    <cellStyle name="Heading 4 3 29 10" xfId="32094" xr:uid="{00000000-0005-0000-0000-00003A7D0000}"/>
    <cellStyle name="Heading 4 3 29 11" xfId="32095" xr:uid="{00000000-0005-0000-0000-00003B7D0000}"/>
    <cellStyle name="Heading 4 3 29 12" xfId="32096" xr:uid="{00000000-0005-0000-0000-00003C7D0000}"/>
    <cellStyle name="Heading 4 3 29 13" xfId="32097" xr:uid="{00000000-0005-0000-0000-00003D7D0000}"/>
    <cellStyle name="Heading 4 3 29 14" xfId="32098" xr:uid="{00000000-0005-0000-0000-00003E7D0000}"/>
    <cellStyle name="Heading 4 3 29 15" xfId="32099" xr:uid="{00000000-0005-0000-0000-00003F7D0000}"/>
    <cellStyle name="Heading 4 3 29 2" xfId="32100" xr:uid="{00000000-0005-0000-0000-0000407D0000}"/>
    <cellStyle name="Heading 4 3 29 3" xfId="32101" xr:uid="{00000000-0005-0000-0000-0000417D0000}"/>
    <cellStyle name="Heading 4 3 29 4" xfId="32102" xr:uid="{00000000-0005-0000-0000-0000427D0000}"/>
    <cellStyle name="Heading 4 3 29 5" xfId="32103" xr:uid="{00000000-0005-0000-0000-0000437D0000}"/>
    <cellStyle name="Heading 4 3 29 6" xfId="32104" xr:uid="{00000000-0005-0000-0000-0000447D0000}"/>
    <cellStyle name="Heading 4 3 29 7" xfId="32105" xr:uid="{00000000-0005-0000-0000-0000457D0000}"/>
    <cellStyle name="Heading 4 3 29 8" xfId="32106" xr:uid="{00000000-0005-0000-0000-0000467D0000}"/>
    <cellStyle name="Heading 4 3 29 9" xfId="32107" xr:uid="{00000000-0005-0000-0000-0000477D0000}"/>
    <cellStyle name="Heading 4 3 3" xfId="32108" xr:uid="{00000000-0005-0000-0000-0000487D0000}"/>
    <cellStyle name="Heading 4 3 3 10" xfId="32109" xr:uid="{00000000-0005-0000-0000-0000497D0000}"/>
    <cellStyle name="Heading 4 3 3 11" xfId="32110" xr:uid="{00000000-0005-0000-0000-00004A7D0000}"/>
    <cellStyle name="Heading 4 3 3 12" xfId="32111" xr:uid="{00000000-0005-0000-0000-00004B7D0000}"/>
    <cellStyle name="Heading 4 3 3 13" xfId="32112" xr:uid="{00000000-0005-0000-0000-00004C7D0000}"/>
    <cellStyle name="Heading 4 3 3 14" xfId="32113" xr:uid="{00000000-0005-0000-0000-00004D7D0000}"/>
    <cellStyle name="Heading 4 3 3 15" xfId="32114" xr:uid="{00000000-0005-0000-0000-00004E7D0000}"/>
    <cellStyle name="Heading 4 3 3 16" xfId="32115" xr:uid="{00000000-0005-0000-0000-00004F7D0000}"/>
    <cellStyle name="Heading 4 3 3 2" xfId="32116" xr:uid="{00000000-0005-0000-0000-0000507D0000}"/>
    <cellStyle name="Heading 4 3 3 3" xfId="32117" xr:uid="{00000000-0005-0000-0000-0000517D0000}"/>
    <cellStyle name="Heading 4 3 3 4" xfId="32118" xr:uid="{00000000-0005-0000-0000-0000527D0000}"/>
    <cellStyle name="Heading 4 3 3 5" xfId="32119" xr:uid="{00000000-0005-0000-0000-0000537D0000}"/>
    <cellStyle name="Heading 4 3 3 6" xfId="32120" xr:uid="{00000000-0005-0000-0000-0000547D0000}"/>
    <cellStyle name="Heading 4 3 3 7" xfId="32121" xr:uid="{00000000-0005-0000-0000-0000557D0000}"/>
    <cellStyle name="Heading 4 3 3 8" xfId="32122" xr:uid="{00000000-0005-0000-0000-0000567D0000}"/>
    <cellStyle name="Heading 4 3 3 9" xfId="32123" xr:uid="{00000000-0005-0000-0000-0000577D0000}"/>
    <cellStyle name="Heading 4 3 30" xfId="32124" xr:uid="{00000000-0005-0000-0000-0000587D0000}"/>
    <cellStyle name="Heading 4 3 30 10" xfId="32125" xr:uid="{00000000-0005-0000-0000-0000597D0000}"/>
    <cellStyle name="Heading 4 3 30 11" xfId="32126" xr:uid="{00000000-0005-0000-0000-00005A7D0000}"/>
    <cellStyle name="Heading 4 3 30 12" xfId="32127" xr:uid="{00000000-0005-0000-0000-00005B7D0000}"/>
    <cellStyle name="Heading 4 3 30 13" xfId="32128" xr:uid="{00000000-0005-0000-0000-00005C7D0000}"/>
    <cellStyle name="Heading 4 3 30 14" xfId="32129" xr:uid="{00000000-0005-0000-0000-00005D7D0000}"/>
    <cellStyle name="Heading 4 3 30 15" xfId="32130" xr:uid="{00000000-0005-0000-0000-00005E7D0000}"/>
    <cellStyle name="Heading 4 3 30 2" xfId="32131" xr:uid="{00000000-0005-0000-0000-00005F7D0000}"/>
    <cellStyle name="Heading 4 3 30 3" xfId="32132" xr:uid="{00000000-0005-0000-0000-0000607D0000}"/>
    <cellStyle name="Heading 4 3 30 4" xfId="32133" xr:uid="{00000000-0005-0000-0000-0000617D0000}"/>
    <cellStyle name="Heading 4 3 30 5" xfId="32134" xr:uid="{00000000-0005-0000-0000-0000627D0000}"/>
    <cellStyle name="Heading 4 3 30 6" xfId="32135" xr:uid="{00000000-0005-0000-0000-0000637D0000}"/>
    <cellStyle name="Heading 4 3 30 7" xfId="32136" xr:uid="{00000000-0005-0000-0000-0000647D0000}"/>
    <cellStyle name="Heading 4 3 30 8" xfId="32137" xr:uid="{00000000-0005-0000-0000-0000657D0000}"/>
    <cellStyle name="Heading 4 3 30 9" xfId="32138" xr:uid="{00000000-0005-0000-0000-0000667D0000}"/>
    <cellStyle name="Heading 4 3 31" xfId="32139" xr:uid="{00000000-0005-0000-0000-0000677D0000}"/>
    <cellStyle name="Heading 4 3 31 10" xfId="32140" xr:uid="{00000000-0005-0000-0000-0000687D0000}"/>
    <cellStyle name="Heading 4 3 31 11" xfId="32141" xr:uid="{00000000-0005-0000-0000-0000697D0000}"/>
    <cellStyle name="Heading 4 3 31 12" xfId="32142" xr:uid="{00000000-0005-0000-0000-00006A7D0000}"/>
    <cellStyle name="Heading 4 3 31 13" xfId="32143" xr:uid="{00000000-0005-0000-0000-00006B7D0000}"/>
    <cellStyle name="Heading 4 3 31 14" xfId="32144" xr:uid="{00000000-0005-0000-0000-00006C7D0000}"/>
    <cellStyle name="Heading 4 3 31 15" xfId="32145" xr:uid="{00000000-0005-0000-0000-00006D7D0000}"/>
    <cellStyle name="Heading 4 3 31 2" xfId="32146" xr:uid="{00000000-0005-0000-0000-00006E7D0000}"/>
    <cellStyle name="Heading 4 3 31 3" xfId="32147" xr:uid="{00000000-0005-0000-0000-00006F7D0000}"/>
    <cellStyle name="Heading 4 3 31 4" xfId="32148" xr:uid="{00000000-0005-0000-0000-0000707D0000}"/>
    <cellStyle name="Heading 4 3 31 5" xfId="32149" xr:uid="{00000000-0005-0000-0000-0000717D0000}"/>
    <cellStyle name="Heading 4 3 31 6" xfId="32150" xr:uid="{00000000-0005-0000-0000-0000727D0000}"/>
    <cellStyle name="Heading 4 3 31 7" xfId="32151" xr:uid="{00000000-0005-0000-0000-0000737D0000}"/>
    <cellStyle name="Heading 4 3 31 8" xfId="32152" xr:uid="{00000000-0005-0000-0000-0000747D0000}"/>
    <cellStyle name="Heading 4 3 31 9" xfId="32153" xr:uid="{00000000-0005-0000-0000-0000757D0000}"/>
    <cellStyle name="Heading 4 3 32" xfId="32154" xr:uid="{00000000-0005-0000-0000-0000767D0000}"/>
    <cellStyle name="Heading 4 3 32 10" xfId="32155" xr:uid="{00000000-0005-0000-0000-0000777D0000}"/>
    <cellStyle name="Heading 4 3 32 11" xfId="32156" xr:uid="{00000000-0005-0000-0000-0000787D0000}"/>
    <cellStyle name="Heading 4 3 32 12" xfId="32157" xr:uid="{00000000-0005-0000-0000-0000797D0000}"/>
    <cellStyle name="Heading 4 3 32 13" xfId="32158" xr:uid="{00000000-0005-0000-0000-00007A7D0000}"/>
    <cellStyle name="Heading 4 3 32 14" xfId="32159" xr:uid="{00000000-0005-0000-0000-00007B7D0000}"/>
    <cellStyle name="Heading 4 3 32 15" xfId="32160" xr:uid="{00000000-0005-0000-0000-00007C7D0000}"/>
    <cellStyle name="Heading 4 3 32 2" xfId="32161" xr:uid="{00000000-0005-0000-0000-00007D7D0000}"/>
    <cellStyle name="Heading 4 3 32 3" xfId="32162" xr:uid="{00000000-0005-0000-0000-00007E7D0000}"/>
    <cellStyle name="Heading 4 3 32 4" xfId="32163" xr:uid="{00000000-0005-0000-0000-00007F7D0000}"/>
    <cellStyle name="Heading 4 3 32 5" xfId="32164" xr:uid="{00000000-0005-0000-0000-0000807D0000}"/>
    <cellStyle name="Heading 4 3 32 6" xfId="32165" xr:uid="{00000000-0005-0000-0000-0000817D0000}"/>
    <cellStyle name="Heading 4 3 32 7" xfId="32166" xr:uid="{00000000-0005-0000-0000-0000827D0000}"/>
    <cellStyle name="Heading 4 3 32 8" xfId="32167" xr:uid="{00000000-0005-0000-0000-0000837D0000}"/>
    <cellStyle name="Heading 4 3 32 9" xfId="32168" xr:uid="{00000000-0005-0000-0000-0000847D0000}"/>
    <cellStyle name="Heading 4 3 33" xfId="32169" xr:uid="{00000000-0005-0000-0000-0000857D0000}"/>
    <cellStyle name="Heading 4 3 34" xfId="32170" xr:uid="{00000000-0005-0000-0000-0000867D0000}"/>
    <cellStyle name="Heading 4 3 35" xfId="32171" xr:uid="{00000000-0005-0000-0000-0000877D0000}"/>
    <cellStyle name="Heading 4 3 36" xfId="32172" xr:uid="{00000000-0005-0000-0000-0000887D0000}"/>
    <cellStyle name="Heading 4 3 37" xfId="32173" xr:uid="{00000000-0005-0000-0000-0000897D0000}"/>
    <cellStyle name="Heading 4 3 38" xfId="32174" xr:uid="{00000000-0005-0000-0000-00008A7D0000}"/>
    <cellStyle name="Heading 4 3 39" xfId="32175" xr:uid="{00000000-0005-0000-0000-00008B7D0000}"/>
    <cellStyle name="Heading 4 3 4" xfId="32176" xr:uid="{00000000-0005-0000-0000-00008C7D0000}"/>
    <cellStyle name="Heading 4 3 4 10" xfId="32177" xr:uid="{00000000-0005-0000-0000-00008D7D0000}"/>
    <cellStyle name="Heading 4 3 4 11" xfId="32178" xr:uid="{00000000-0005-0000-0000-00008E7D0000}"/>
    <cellStyle name="Heading 4 3 4 12" xfId="32179" xr:uid="{00000000-0005-0000-0000-00008F7D0000}"/>
    <cellStyle name="Heading 4 3 4 13" xfId="32180" xr:uid="{00000000-0005-0000-0000-0000907D0000}"/>
    <cellStyle name="Heading 4 3 4 14" xfId="32181" xr:uid="{00000000-0005-0000-0000-0000917D0000}"/>
    <cellStyle name="Heading 4 3 4 15" xfId="32182" xr:uid="{00000000-0005-0000-0000-0000927D0000}"/>
    <cellStyle name="Heading 4 3 4 2" xfId="32183" xr:uid="{00000000-0005-0000-0000-0000937D0000}"/>
    <cellStyle name="Heading 4 3 4 3" xfId="32184" xr:uid="{00000000-0005-0000-0000-0000947D0000}"/>
    <cellStyle name="Heading 4 3 4 4" xfId="32185" xr:uid="{00000000-0005-0000-0000-0000957D0000}"/>
    <cellStyle name="Heading 4 3 4 5" xfId="32186" xr:uid="{00000000-0005-0000-0000-0000967D0000}"/>
    <cellStyle name="Heading 4 3 4 6" xfId="32187" xr:uid="{00000000-0005-0000-0000-0000977D0000}"/>
    <cellStyle name="Heading 4 3 4 7" xfId="32188" xr:uid="{00000000-0005-0000-0000-0000987D0000}"/>
    <cellStyle name="Heading 4 3 4 8" xfId="32189" xr:uid="{00000000-0005-0000-0000-0000997D0000}"/>
    <cellStyle name="Heading 4 3 4 9" xfId="32190" xr:uid="{00000000-0005-0000-0000-00009A7D0000}"/>
    <cellStyle name="Heading 4 3 40" xfId="32191" xr:uid="{00000000-0005-0000-0000-00009B7D0000}"/>
    <cellStyle name="Heading 4 3 41" xfId="32192" xr:uid="{00000000-0005-0000-0000-00009C7D0000}"/>
    <cellStyle name="Heading 4 3 42" xfId="32193" xr:uid="{00000000-0005-0000-0000-00009D7D0000}"/>
    <cellStyle name="Heading 4 3 43" xfId="32194" xr:uid="{00000000-0005-0000-0000-00009E7D0000}"/>
    <cellStyle name="Heading 4 3 44" xfId="32195" xr:uid="{00000000-0005-0000-0000-00009F7D0000}"/>
    <cellStyle name="Heading 4 3 45" xfId="32196" xr:uid="{00000000-0005-0000-0000-0000A07D0000}"/>
    <cellStyle name="Heading 4 3 46" xfId="32197" xr:uid="{00000000-0005-0000-0000-0000A17D0000}"/>
    <cellStyle name="Heading 4 3 47" xfId="32198" xr:uid="{00000000-0005-0000-0000-0000A27D0000}"/>
    <cellStyle name="Heading 4 3 48" xfId="32199" xr:uid="{00000000-0005-0000-0000-0000A37D0000}"/>
    <cellStyle name="Heading 4 3 49" xfId="32200" xr:uid="{00000000-0005-0000-0000-0000A47D0000}"/>
    <cellStyle name="Heading 4 3 5" xfId="32201" xr:uid="{00000000-0005-0000-0000-0000A57D0000}"/>
    <cellStyle name="Heading 4 3 5 10" xfId="32202" xr:uid="{00000000-0005-0000-0000-0000A67D0000}"/>
    <cellStyle name="Heading 4 3 5 11" xfId="32203" xr:uid="{00000000-0005-0000-0000-0000A77D0000}"/>
    <cellStyle name="Heading 4 3 5 12" xfId="32204" xr:uid="{00000000-0005-0000-0000-0000A87D0000}"/>
    <cellStyle name="Heading 4 3 5 13" xfId="32205" xr:uid="{00000000-0005-0000-0000-0000A97D0000}"/>
    <cellStyle name="Heading 4 3 5 14" xfId="32206" xr:uid="{00000000-0005-0000-0000-0000AA7D0000}"/>
    <cellStyle name="Heading 4 3 5 15" xfId="32207" xr:uid="{00000000-0005-0000-0000-0000AB7D0000}"/>
    <cellStyle name="Heading 4 3 5 2" xfId="32208" xr:uid="{00000000-0005-0000-0000-0000AC7D0000}"/>
    <cellStyle name="Heading 4 3 5 3" xfId="32209" xr:uid="{00000000-0005-0000-0000-0000AD7D0000}"/>
    <cellStyle name="Heading 4 3 5 4" xfId="32210" xr:uid="{00000000-0005-0000-0000-0000AE7D0000}"/>
    <cellStyle name="Heading 4 3 5 5" xfId="32211" xr:uid="{00000000-0005-0000-0000-0000AF7D0000}"/>
    <cellStyle name="Heading 4 3 5 6" xfId="32212" xr:uid="{00000000-0005-0000-0000-0000B07D0000}"/>
    <cellStyle name="Heading 4 3 5 7" xfId="32213" xr:uid="{00000000-0005-0000-0000-0000B17D0000}"/>
    <cellStyle name="Heading 4 3 5 8" xfId="32214" xr:uid="{00000000-0005-0000-0000-0000B27D0000}"/>
    <cellStyle name="Heading 4 3 5 9" xfId="32215" xr:uid="{00000000-0005-0000-0000-0000B37D0000}"/>
    <cellStyle name="Heading 4 3 50" xfId="32216" xr:uid="{00000000-0005-0000-0000-0000B47D0000}"/>
    <cellStyle name="Heading 4 3 51" xfId="32217" xr:uid="{00000000-0005-0000-0000-0000B57D0000}"/>
    <cellStyle name="Heading 4 3 52" xfId="32218" xr:uid="{00000000-0005-0000-0000-0000B67D0000}"/>
    <cellStyle name="Heading 4 3 53" xfId="32219" xr:uid="{00000000-0005-0000-0000-0000B77D0000}"/>
    <cellStyle name="Heading 4 3 6" xfId="32220" xr:uid="{00000000-0005-0000-0000-0000B87D0000}"/>
    <cellStyle name="Heading 4 3 6 10" xfId="32221" xr:uid="{00000000-0005-0000-0000-0000B97D0000}"/>
    <cellStyle name="Heading 4 3 6 11" xfId="32222" xr:uid="{00000000-0005-0000-0000-0000BA7D0000}"/>
    <cellStyle name="Heading 4 3 6 12" xfId="32223" xr:uid="{00000000-0005-0000-0000-0000BB7D0000}"/>
    <cellStyle name="Heading 4 3 6 13" xfId="32224" xr:uid="{00000000-0005-0000-0000-0000BC7D0000}"/>
    <cellStyle name="Heading 4 3 6 14" xfId="32225" xr:uid="{00000000-0005-0000-0000-0000BD7D0000}"/>
    <cellStyle name="Heading 4 3 6 15" xfId="32226" xr:uid="{00000000-0005-0000-0000-0000BE7D0000}"/>
    <cellStyle name="Heading 4 3 6 2" xfId="32227" xr:uid="{00000000-0005-0000-0000-0000BF7D0000}"/>
    <cellStyle name="Heading 4 3 6 3" xfId="32228" xr:uid="{00000000-0005-0000-0000-0000C07D0000}"/>
    <cellStyle name="Heading 4 3 6 4" xfId="32229" xr:uid="{00000000-0005-0000-0000-0000C17D0000}"/>
    <cellStyle name="Heading 4 3 6 5" xfId="32230" xr:uid="{00000000-0005-0000-0000-0000C27D0000}"/>
    <cellStyle name="Heading 4 3 6 6" xfId="32231" xr:uid="{00000000-0005-0000-0000-0000C37D0000}"/>
    <cellStyle name="Heading 4 3 6 7" xfId="32232" xr:uid="{00000000-0005-0000-0000-0000C47D0000}"/>
    <cellStyle name="Heading 4 3 6 8" xfId="32233" xr:uid="{00000000-0005-0000-0000-0000C57D0000}"/>
    <cellStyle name="Heading 4 3 6 9" xfId="32234" xr:uid="{00000000-0005-0000-0000-0000C67D0000}"/>
    <cellStyle name="Heading 4 3 7" xfId="32235" xr:uid="{00000000-0005-0000-0000-0000C77D0000}"/>
    <cellStyle name="Heading 4 3 7 10" xfId="32236" xr:uid="{00000000-0005-0000-0000-0000C87D0000}"/>
    <cellStyle name="Heading 4 3 7 11" xfId="32237" xr:uid="{00000000-0005-0000-0000-0000C97D0000}"/>
    <cellStyle name="Heading 4 3 7 12" xfId="32238" xr:uid="{00000000-0005-0000-0000-0000CA7D0000}"/>
    <cellStyle name="Heading 4 3 7 13" xfId="32239" xr:uid="{00000000-0005-0000-0000-0000CB7D0000}"/>
    <cellStyle name="Heading 4 3 7 14" xfId="32240" xr:uid="{00000000-0005-0000-0000-0000CC7D0000}"/>
    <cellStyle name="Heading 4 3 7 15" xfId="32241" xr:uid="{00000000-0005-0000-0000-0000CD7D0000}"/>
    <cellStyle name="Heading 4 3 7 2" xfId="32242" xr:uid="{00000000-0005-0000-0000-0000CE7D0000}"/>
    <cellStyle name="Heading 4 3 7 3" xfId="32243" xr:uid="{00000000-0005-0000-0000-0000CF7D0000}"/>
    <cellStyle name="Heading 4 3 7 4" xfId="32244" xr:uid="{00000000-0005-0000-0000-0000D07D0000}"/>
    <cellStyle name="Heading 4 3 7 5" xfId="32245" xr:uid="{00000000-0005-0000-0000-0000D17D0000}"/>
    <cellStyle name="Heading 4 3 7 6" xfId="32246" xr:uid="{00000000-0005-0000-0000-0000D27D0000}"/>
    <cellStyle name="Heading 4 3 7 7" xfId="32247" xr:uid="{00000000-0005-0000-0000-0000D37D0000}"/>
    <cellStyle name="Heading 4 3 7 8" xfId="32248" xr:uid="{00000000-0005-0000-0000-0000D47D0000}"/>
    <cellStyle name="Heading 4 3 7 9" xfId="32249" xr:uid="{00000000-0005-0000-0000-0000D57D0000}"/>
    <cellStyle name="Heading 4 3 8" xfId="32250" xr:uid="{00000000-0005-0000-0000-0000D67D0000}"/>
    <cellStyle name="Heading 4 3 8 10" xfId="32251" xr:uid="{00000000-0005-0000-0000-0000D77D0000}"/>
    <cellStyle name="Heading 4 3 8 11" xfId="32252" xr:uid="{00000000-0005-0000-0000-0000D87D0000}"/>
    <cellStyle name="Heading 4 3 8 12" xfId="32253" xr:uid="{00000000-0005-0000-0000-0000D97D0000}"/>
    <cellStyle name="Heading 4 3 8 13" xfId="32254" xr:uid="{00000000-0005-0000-0000-0000DA7D0000}"/>
    <cellStyle name="Heading 4 3 8 14" xfId="32255" xr:uid="{00000000-0005-0000-0000-0000DB7D0000}"/>
    <cellStyle name="Heading 4 3 8 15" xfId="32256" xr:uid="{00000000-0005-0000-0000-0000DC7D0000}"/>
    <cellStyle name="Heading 4 3 8 2" xfId="32257" xr:uid="{00000000-0005-0000-0000-0000DD7D0000}"/>
    <cellStyle name="Heading 4 3 8 3" xfId="32258" xr:uid="{00000000-0005-0000-0000-0000DE7D0000}"/>
    <cellStyle name="Heading 4 3 8 4" xfId="32259" xr:uid="{00000000-0005-0000-0000-0000DF7D0000}"/>
    <cellStyle name="Heading 4 3 8 5" xfId="32260" xr:uid="{00000000-0005-0000-0000-0000E07D0000}"/>
    <cellStyle name="Heading 4 3 8 6" xfId="32261" xr:uid="{00000000-0005-0000-0000-0000E17D0000}"/>
    <cellStyle name="Heading 4 3 8 7" xfId="32262" xr:uid="{00000000-0005-0000-0000-0000E27D0000}"/>
    <cellStyle name="Heading 4 3 8 8" xfId="32263" xr:uid="{00000000-0005-0000-0000-0000E37D0000}"/>
    <cellStyle name="Heading 4 3 8 9" xfId="32264" xr:uid="{00000000-0005-0000-0000-0000E47D0000}"/>
    <cellStyle name="Heading 4 3 9" xfId="32265" xr:uid="{00000000-0005-0000-0000-0000E57D0000}"/>
    <cellStyle name="Heading 4 3 9 10" xfId="32266" xr:uid="{00000000-0005-0000-0000-0000E67D0000}"/>
    <cellStyle name="Heading 4 3 9 11" xfId="32267" xr:uid="{00000000-0005-0000-0000-0000E77D0000}"/>
    <cellStyle name="Heading 4 3 9 12" xfId="32268" xr:uid="{00000000-0005-0000-0000-0000E87D0000}"/>
    <cellStyle name="Heading 4 3 9 13" xfId="32269" xr:uid="{00000000-0005-0000-0000-0000E97D0000}"/>
    <cellStyle name="Heading 4 3 9 14" xfId="32270" xr:uid="{00000000-0005-0000-0000-0000EA7D0000}"/>
    <cellStyle name="Heading 4 3 9 15" xfId="32271" xr:uid="{00000000-0005-0000-0000-0000EB7D0000}"/>
    <cellStyle name="Heading 4 3 9 2" xfId="32272" xr:uid="{00000000-0005-0000-0000-0000EC7D0000}"/>
    <cellStyle name="Heading 4 3 9 3" xfId="32273" xr:uid="{00000000-0005-0000-0000-0000ED7D0000}"/>
    <cellStyle name="Heading 4 3 9 4" xfId="32274" xr:uid="{00000000-0005-0000-0000-0000EE7D0000}"/>
    <cellStyle name="Heading 4 3 9 5" xfId="32275" xr:uid="{00000000-0005-0000-0000-0000EF7D0000}"/>
    <cellStyle name="Heading 4 3 9 6" xfId="32276" xr:uid="{00000000-0005-0000-0000-0000F07D0000}"/>
    <cellStyle name="Heading 4 3 9 7" xfId="32277" xr:uid="{00000000-0005-0000-0000-0000F17D0000}"/>
    <cellStyle name="Heading 4 3 9 8" xfId="32278" xr:uid="{00000000-0005-0000-0000-0000F27D0000}"/>
    <cellStyle name="Heading 4 3 9 9" xfId="32279" xr:uid="{00000000-0005-0000-0000-0000F37D0000}"/>
    <cellStyle name="Heading 4 30" xfId="32280" xr:uid="{00000000-0005-0000-0000-0000F47D0000}"/>
    <cellStyle name="Heading 4 30 10" xfId="32281" xr:uid="{00000000-0005-0000-0000-0000F57D0000}"/>
    <cellStyle name="Heading 4 30 11" xfId="32282" xr:uid="{00000000-0005-0000-0000-0000F67D0000}"/>
    <cellStyle name="Heading 4 30 12" xfId="32283" xr:uid="{00000000-0005-0000-0000-0000F77D0000}"/>
    <cellStyle name="Heading 4 30 13" xfId="32284" xr:uid="{00000000-0005-0000-0000-0000F87D0000}"/>
    <cellStyle name="Heading 4 30 14" xfId="32285" xr:uid="{00000000-0005-0000-0000-0000F97D0000}"/>
    <cellStyle name="Heading 4 30 15" xfId="32286" xr:uid="{00000000-0005-0000-0000-0000FA7D0000}"/>
    <cellStyle name="Heading 4 30 2" xfId="32287" xr:uid="{00000000-0005-0000-0000-0000FB7D0000}"/>
    <cellStyle name="Heading 4 30 3" xfId="32288" xr:uid="{00000000-0005-0000-0000-0000FC7D0000}"/>
    <cellStyle name="Heading 4 30 4" xfId="32289" xr:uid="{00000000-0005-0000-0000-0000FD7D0000}"/>
    <cellStyle name="Heading 4 30 5" xfId="32290" xr:uid="{00000000-0005-0000-0000-0000FE7D0000}"/>
    <cellStyle name="Heading 4 30 6" xfId="32291" xr:uid="{00000000-0005-0000-0000-0000FF7D0000}"/>
    <cellStyle name="Heading 4 30 7" xfId="32292" xr:uid="{00000000-0005-0000-0000-0000007E0000}"/>
    <cellStyle name="Heading 4 30 8" xfId="32293" xr:uid="{00000000-0005-0000-0000-0000017E0000}"/>
    <cellStyle name="Heading 4 30 9" xfId="32294" xr:uid="{00000000-0005-0000-0000-0000027E0000}"/>
    <cellStyle name="Heading 4 31" xfId="32295" xr:uid="{00000000-0005-0000-0000-0000037E0000}"/>
    <cellStyle name="Heading 4 31 10" xfId="32296" xr:uid="{00000000-0005-0000-0000-0000047E0000}"/>
    <cellStyle name="Heading 4 31 11" xfId="32297" xr:uid="{00000000-0005-0000-0000-0000057E0000}"/>
    <cellStyle name="Heading 4 31 12" xfId="32298" xr:uid="{00000000-0005-0000-0000-0000067E0000}"/>
    <cellStyle name="Heading 4 31 13" xfId="32299" xr:uid="{00000000-0005-0000-0000-0000077E0000}"/>
    <cellStyle name="Heading 4 31 14" xfId="32300" xr:uid="{00000000-0005-0000-0000-0000087E0000}"/>
    <cellStyle name="Heading 4 31 15" xfId="32301" xr:uid="{00000000-0005-0000-0000-0000097E0000}"/>
    <cellStyle name="Heading 4 31 2" xfId="32302" xr:uid="{00000000-0005-0000-0000-00000A7E0000}"/>
    <cellStyle name="Heading 4 31 3" xfId="32303" xr:uid="{00000000-0005-0000-0000-00000B7E0000}"/>
    <cellStyle name="Heading 4 31 4" xfId="32304" xr:uid="{00000000-0005-0000-0000-00000C7E0000}"/>
    <cellStyle name="Heading 4 31 5" xfId="32305" xr:uid="{00000000-0005-0000-0000-00000D7E0000}"/>
    <cellStyle name="Heading 4 31 6" xfId="32306" xr:uid="{00000000-0005-0000-0000-00000E7E0000}"/>
    <cellStyle name="Heading 4 31 7" xfId="32307" xr:uid="{00000000-0005-0000-0000-00000F7E0000}"/>
    <cellStyle name="Heading 4 31 8" xfId="32308" xr:uid="{00000000-0005-0000-0000-0000107E0000}"/>
    <cellStyle name="Heading 4 31 9" xfId="32309" xr:uid="{00000000-0005-0000-0000-0000117E0000}"/>
    <cellStyle name="Heading 4 32" xfId="32310" xr:uid="{00000000-0005-0000-0000-0000127E0000}"/>
    <cellStyle name="Heading 4 32 10" xfId="32311" xr:uid="{00000000-0005-0000-0000-0000137E0000}"/>
    <cellStyle name="Heading 4 32 11" xfId="32312" xr:uid="{00000000-0005-0000-0000-0000147E0000}"/>
    <cellStyle name="Heading 4 32 12" xfId="32313" xr:uid="{00000000-0005-0000-0000-0000157E0000}"/>
    <cellStyle name="Heading 4 32 13" xfId="32314" xr:uid="{00000000-0005-0000-0000-0000167E0000}"/>
    <cellStyle name="Heading 4 32 14" xfId="32315" xr:uid="{00000000-0005-0000-0000-0000177E0000}"/>
    <cellStyle name="Heading 4 32 15" xfId="32316" xr:uid="{00000000-0005-0000-0000-0000187E0000}"/>
    <cellStyle name="Heading 4 32 2" xfId="32317" xr:uid="{00000000-0005-0000-0000-0000197E0000}"/>
    <cellStyle name="Heading 4 32 3" xfId="32318" xr:uid="{00000000-0005-0000-0000-00001A7E0000}"/>
    <cellStyle name="Heading 4 32 4" xfId="32319" xr:uid="{00000000-0005-0000-0000-00001B7E0000}"/>
    <cellStyle name="Heading 4 32 5" xfId="32320" xr:uid="{00000000-0005-0000-0000-00001C7E0000}"/>
    <cellStyle name="Heading 4 32 6" xfId="32321" xr:uid="{00000000-0005-0000-0000-00001D7E0000}"/>
    <cellStyle name="Heading 4 32 7" xfId="32322" xr:uid="{00000000-0005-0000-0000-00001E7E0000}"/>
    <cellStyle name="Heading 4 32 8" xfId="32323" xr:uid="{00000000-0005-0000-0000-00001F7E0000}"/>
    <cellStyle name="Heading 4 32 9" xfId="32324" xr:uid="{00000000-0005-0000-0000-0000207E0000}"/>
    <cellStyle name="Heading 4 33" xfId="32325" xr:uid="{00000000-0005-0000-0000-0000217E0000}"/>
    <cellStyle name="Heading 4 33 10" xfId="32326" xr:uid="{00000000-0005-0000-0000-0000227E0000}"/>
    <cellStyle name="Heading 4 33 11" xfId="32327" xr:uid="{00000000-0005-0000-0000-0000237E0000}"/>
    <cellStyle name="Heading 4 33 12" xfId="32328" xr:uid="{00000000-0005-0000-0000-0000247E0000}"/>
    <cellStyle name="Heading 4 33 13" xfId="32329" xr:uid="{00000000-0005-0000-0000-0000257E0000}"/>
    <cellStyle name="Heading 4 33 14" xfId="32330" xr:uid="{00000000-0005-0000-0000-0000267E0000}"/>
    <cellStyle name="Heading 4 33 15" xfId="32331" xr:uid="{00000000-0005-0000-0000-0000277E0000}"/>
    <cellStyle name="Heading 4 33 2" xfId="32332" xr:uid="{00000000-0005-0000-0000-0000287E0000}"/>
    <cellStyle name="Heading 4 33 3" xfId="32333" xr:uid="{00000000-0005-0000-0000-0000297E0000}"/>
    <cellStyle name="Heading 4 33 4" xfId="32334" xr:uid="{00000000-0005-0000-0000-00002A7E0000}"/>
    <cellStyle name="Heading 4 33 5" xfId="32335" xr:uid="{00000000-0005-0000-0000-00002B7E0000}"/>
    <cellStyle name="Heading 4 33 6" xfId="32336" xr:uid="{00000000-0005-0000-0000-00002C7E0000}"/>
    <cellStyle name="Heading 4 33 7" xfId="32337" xr:uid="{00000000-0005-0000-0000-00002D7E0000}"/>
    <cellStyle name="Heading 4 33 8" xfId="32338" xr:uid="{00000000-0005-0000-0000-00002E7E0000}"/>
    <cellStyle name="Heading 4 33 9" xfId="32339" xr:uid="{00000000-0005-0000-0000-00002F7E0000}"/>
    <cellStyle name="Heading 4 34" xfId="32340" xr:uid="{00000000-0005-0000-0000-0000307E0000}"/>
    <cellStyle name="Heading 4 34 10" xfId="32341" xr:uid="{00000000-0005-0000-0000-0000317E0000}"/>
    <cellStyle name="Heading 4 34 11" xfId="32342" xr:uid="{00000000-0005-0000-0000-0000327E0000}"/>
    <cellStyle name="Heading 4 34 12" xfId="32343" xr:uid="{00000000-0005-0000-0000-0000337E0000}"/>
    <cellStyle name="Heading 4 34 13" xfId="32344" xr:uid="{00000000-0005-0000-0000-0000347E0000}"/>
    <cellStyle name="Heading 4 34 14" xfId="32345" xr:uid="{00000000-0005-0000-0000-0000357E0000}"/>
    <cellStyle name="Heading 4 34 15" xfId="32346" xr:uid="{00000000-0005-0000-0000-0000367E0000}"/>
    <cellStyle name="Heading 4 34 2" xfId="32347" xr:uid="{00000000-0005-0000-0000-0000377E0000}"/>
    <cellStyle name="Heading 4 34 3" xfId="32348" xr:uid="{00000000-0005-0000-0000-0000387E0000}"/>
    <cellStyle name="Heading 4 34 4" xfId="32349" xr:uid="{00000000-0005-0000-0000-0000397E0000}"/>
    <cellStyle name="Heading 4 34 5" xfId="32350" xr:uid="{00000000-0005-0000-0000-00003A7E0000}"/>
    <cellStyle name="Heading 4 34 6" xfId="32351" xr:uid="{00000000-0005-0000-0000-00003B7E0000}"/>
    <cellStyle name="Heading 4 34 7" xfId="32352" xr:uid="{00000000-0005-0000-0000-00003C7E0000}"/>
    <cellStyle name="Heading 4 34 8" xfId="32353" xr:uid="{00000000-0005-0000-0000-00003D7E0000}"/>
    <cellStyle name="Heading 4 34 9" xfId="32354" xr:uid="{00000000-0005-0000-0000-00003E7E0000}"/>
    <cellStyle name="Heading 4 35" xfId="32355" xr:uid="{00000000-0005-0000-0000-00003F7E0000}"/>
    <cellStyle name="Heading 4 35 10" xfId="32356" xr:uid="{00000000-0005-0000-0000-0000407E0000}"/>
    <cellStyle name="Heading 4 35 11" xfId="32357" xr:uid="{00000000-0005-0000-0000-0000417E0000}"/>
    <cellStyle name="Heading 4 35 12" xfId="32358" xr:uid="{00000000-0005-0000-0000-0000427E0000}"/>
    <cellStyle name="Heading 4 35 13" xfId="32359" xr:uid="{00000000-0005-0000-0000-0000437E0000}"/>
    <cellStyle name="Heading 4 35 14" xfId="32360" xr:uid="{00000000-0005-0000-0000-0000447E0000}"/>
    <cellStyle name="Heading 4 35 15" xfId="32361" xr:uid="{00000000-0005-0000-0000-0000457E0000}"/>
    <cellStyle name="Heading 4 35 2" xfId="32362" xr:uid="{00000000-0005-0000-0000-0000467E0000}"/>
    <cellStyle name="Heading 4 35 3" xfId="32363" xr:uid="{00000000-0005-0000-0000-0000477E0000}"/>
    <cellStyle name="Heading 4 35 4" xfId="32364" xr:uid="{00000000-0005-0000-0000-0000487E0000}"/>
    <cellStyle name="Heading 4 35 5" xfId="32365" xr:uid="{00000000-0005-0000-0000-0000497E0000}"/>
    <cellStyle name="Heading 4 35 6" xfId="32366" xr:uid="{00000000-0005-0000-0000-00004A7E0000}"/>
    <cellStyle name="Heading 4 35 7" xfId="32367" xr:uid="{00000000-0005-0000-0000-00004B7E0000}"/>
    <cellStyle name="Heading 4 35 8" xfId="32368" xr:uid="{00000000-0005-0000-0000-00004C7E0000}"/>
    <cellStyle name="Heading 4 35 9" xfId="32369" xr:uid="{00000000-0005-0000-0000-00004D7E0000}"/>
    <cellStyle name="Heading 4 36" xfId="32370" xr:uid="{00000000-0005-0000-0000-00004E7E0000}"/>
    <cellStyle name="Heading 4 36 10" xfId="32371" xr:uid="{00000000-0005-0000-0000-00004F7E0000}"/>
    <cellStyle name="Heading 4 36 11" xfId="32372" xr:uid="{00000000-0005-0000-0000-0000507E0000}"/>
    <cellStyle name="Heading 4 36 12" xfId="32373" xr:uid="{00000000-0005-0000-0000-0000517E0000}"/>
    <cellStyle name="Heading 4 36 13" xfId="32374" xr:uid="{00000000-0005-0000-0000-0000527E0000}"/>
    <cellStyle name="Heading 4 36 14" xfId="32375" xr:uid="{00000000-0005-0000-0000-0000537E0000}"/>
    <cellStyle name="Heading 4 36 15" xfId="32376" xr:uid="{00000000-0005-0000-0000-0000547E0000}"/>
    <cellStyle name="Heading 4 36 2" xfId="32377" xr:uid="{00000000-0005-0000-0000-0000557E0000}"/>
    <cellStyle name="Heading 4 36 3" xfId="32378" xr:uid="{00000000-0005-0000-0000-0000567E0000}"/>
    <cellStyle name="Heading 4 36 4" xfId="32379" xr:uid="{00000000-0005-0000-0000-0000577E0000}"/>
    <cellStyle name="Heading 4 36 5" xfId="32380" xr:uid="{00000000-0005-0000-0000-0000587E0000}"/>
    <cellStyle name="Heading 4 36 6" xfId="32381" xr:uid="{00000000-0005-0000-0000-0000597E0000}"/>
    <cellStyle name="Heading 4 36 7" xfId="32382" xr:uid="{00000000-0005-0000-0000-00005A7E0000}"/>
    <cellStyle name="Heading 4 36 8" xfId="32383" xr:uid="{00000000-0005-0000-0000-00005B7E0000}"/>
    <cellStyle name="Heading 4 36 9" xfId="32384" xr:uid="{00000000-0005-0000-0000-00005C7E0000}"/>
    <cellStyle name="Heading 4 37" xfId="32385" xr:uid="{00000000-0005-0000-0000-00005D7E0000}"/>
    <cellStyle name="Heading 4 37 10" xfId="32386" xr:uid="{00000000-0005-0000-0000-00005E7E0000}"/>
    <cellStyle name="Heading 4 37 11" xfId="32387" xr:uid="{00000000-0005-0000-0000-00005F7E0000}"/>
    <cellStyle name="Heading 4 37 12" xfId="32388" xr:uid="{00000000-0005-0000-0000-0000607E0000}"/>
    <cellStyle name="Heading 4 37 13" xfId="32389" xr:uid="{00000000-0005-0000-0000-0000617E0000}"/>
    <cellStyle name="Heading 4 37 14" xfId="32390" xr:uid="{00000000-0005-0000-0000-0000627E0000}"/>
    <cellStyle name="Heading 4 37 15" xfId="32391" xr:uid="{00000000-0005-0000-0000-0000637E0000}"/>
    <cellStyle name="Heading 4 37 2" xfId="32392" xr:uid="{00000000-0005-0000-0000-0000647E0000}"/>
    <cellStyle name="Heading 4 37 3" xfId="32393" xr:uid="{00000000-0005-0000-0000-0000657E0000}"/>
    <cellStyle name="Heading 4 37 4" xfId="32394" xr:uid="{00000000-0005-0000-0000-0000667E0000}"/>
    <cellStyle name="Heading 4 37 5" xfId="32395" xr:uid="{00000000-0005-0000-0000-0000677E0000}"/>
    <cellStyle name="Heading 4 37 6" xfId="32396" xr:uid="{00000000-0005-0000-0000-0000687E0000}"/>
    <cellStyle name="Heading 4 37 7" xfId="32397" xr:uid="{00000000-0005-0000-0000-0000697E0000}"/>
    <cellStyle name="Heading 4 37 8" xfId="32398" xr:uid="{00000000-0005-0000-0000-00006A7E0000}"/>
    <cellStyle name="Heading 4 37 9" xfId="32399" xr:uid="{00000000-0005-0000-0000-00006B7E0000}"/>
    <cellStyle name="Heading 4 38" xfId="32400" xr:uid="{00000000-0005-0000-0000-00006C7E0000}"/>
    <cellStyle name="Heading 4 38 10" xfId="32401" xr:uid="{00000000-0005-0000-0000-00006D7E0000}"/>
    <cellStyle name="Heading 4 38 11" xfId="32402" xr:uid="{00000000-0005-0000-0000-00006E7E0000}"/>
    <cellStyle name="Heading 4 38 12" xfId="32403" xr:uid="{00000000-0005-0000-0000-00006F7E0000}"/>
    <cellStyle name="Heading 4 38 13" xfId="32404" xr:uid="{00000000-0005-0000-0000-0000707E0000}"/>
    <cellStyle name="Heading 4 38 14" xfId="32405" xr:uid="{00000000-0005-0000-0000-0000717E0000}"/>
    <cellStyle name="Heading 4 38 15" xfId="32406" xr:uid="{00000000-0005-0000-0000-0000727E0000}"/>
    <cellStyle name="Heading 4 38 2" xfId="32407" xr:uid="{00000000-0005-0000-0000-0000737E0000}"/>
    <cellStyle name="Heading 4 38 3" xfId="32408" xr:uid="{00000000-0005-0000-0000-0000747E0000}"/>
    <cellStyle name="Heading 4 38 4" xfId="32409" xr:uid="{00000000-0005-0000-0000-0000757E0000}"/>
    <cellStyle name="Heading 4 38 5" xfId="32410" xr:uid="{00000000-0005-0000-0000-0000767E0000}"/>
    <cellStyle name="Heading 4 38 6" xfId="32411" xr:uid="{00000000-0005-0000-0000-0000777E0000}"/>
    <cellStyle name="Heading 4 38 7" xfId="32412" xr:uid="{00000000-0005-0000-0000-0000787E0000}"/>
    <cellStyle name="Heading 4 38 8" xfId="32413" xr:uid="{00000000-0005-0000-0000-0000797E0000}"/>
    <cellStyle name="Heading 4 38 9" xfId="32414" xr:uid="{00000000-0005-0000-0000-00007A7E0000}"/>
    <cellStyle name="Heading 4 39" xfId="32415" xr:uid="{00000000-0005-0000-0000-00007B7E0000}"/>
    <cellStyle name="Heading 4 39 10" xfId="32416" xr:uid="{00000000-0005-0000-0000-00007C7E0000}"/>
    <cellStyle name="Heading 4 39 11" xfId="32417" xr:uid="{00000000-0005-0000-0000-00007D7E0000}"/>
    <cellStyle name="Heading 4 39 12" xfId="32418" xr:uid="{00000000-0005-0000-0000-00007E7E0000}"/>
    <cellStyle name="Heading 4 39 13" xfId="32419" xr:uid="{00000000-0005-0000-0000-00007F7E0000}"/>
    <cellStyle name="Heading 4 39 14" xfId="32420" xr:uid="{00000000-0005-0000-0000-0000807E0000}"/>
    <cellStyle name="Heading 4 39 15" xfId="32421" xr:uid="{00000000-0005-0000-0000-0000817E0000}"/>
    <cellStyle name="Heading 4 39 2" xfId="32422" xr:uid="{00000000-0005-0000-0000-0000827E0000}"/>
    <cellStyle name="Heading 4 39 3" xfId="32423" xr:uid="{00000000-0005-0000-0000-0000837E0000}"/>
    <cellStyle name="Heading 4 39 4" xfId="32424" xr:uid="{00000000-0005-0000-0000-0000847E0000}"/>
    <cellStyle name="Heading 4 39 5" xfId="32425" xr:uid="{00000000-0005-0000-0000-0000857E0000}"/>
    <cellStyle name="Heading 4 39 6" xfId="32426" xr:uid="{00000000-0005-0000-0000-0000867E0000}"/>
    <cellStyle name="Heading 4 39 7" xfId="32427" xr:uid="{00000000-0005-0000-0000-0000877E0000}"/>
    <cellStyle name="Heading 4 39 8" xfId="32428" xr:uid="{00000000-0005-0000-0000-0000887E0000}"/>
    <cellStyle name="Heading 4 39 9" xfId="32429" xr:uid="{00000000-0005-0000-0000-0000897E0000}"/>
    <cellStyle name="Heading 4 4" xfId="32430" xr:uid="{00000000-0005-0000-0000-00008A7E0000}"/>
    <cellStyle name="Heading 4 4 2" xfId="32431" xr:uid="{00000000-0005-0000-0000-00008B7E0000}"/>
    <cellStyle name="Heading 4 4 2 2" xfId="32432" xr:uid="{00000000-0005-0000-0000-00008C7E0000}"/>
    <cellStyle name="Heading 4 4 3" xfId="32433" xr:uid="{00000000-0005-0000-0000-00008D7E0000}"/>
    <cellStyle name="Heading 4 4 3 2" xfId="32434" xr:uid="{00000000-0005-0000-0000-00008E7E0000}"/>
    <cellStyle name="Heading 4 4 4" xfId="32435" xr:uid="{00000000-0005-0000-0000-00008F7E0000}"/>
    <cellStyle name="Heading 4 4 4 2" xfId="32436" xr:uid="{00000000-0005-0000-0000-0000907E0000}"/>
    <cellStyle name="Heading 4 4 5" xfId="32437" xr:uid="{00000000-0005-0000-0000-0000917E0000}"/>
    <cellStyle name="Heading 4 4 5 2" xfId="32438" xr:uid="{00000000-0005-0000-0000-0000927E0000}"/>
    <cellStyle name="Heading 4 4 6" xfId="32439" xr:uid="{00000000-0005-0000-0000-0000937E0000}"/>
    <cellStyle name="Heading 4 4 6 2" xfId="32440" xr:uid="{00000000-0005-0000-0000-0000947E0000}"/>
    <cellStyle name="Heading 4 4 7" xfId="32441" xr:uid="{00000000-0005-0000-0000-0000957E0000}"/>
    <cellStyle name="Heading 4 40" xfId="32442" xr:uid="{00000000-0005-0000-0000-0000967E0000}"/>
    <cellStyle name="Heading 4 41" xfId="32443" xr:uid="{00000000-0005-0000-0000-0000977E0000}"/>
    <cellStyle name="Heading 4 42" xfId="32444" xr:uid="{00000000-0005-0000-0000-0000987E0000}"/>
    <cellStyle name="Heading 4 43" xfId="32445" xr:uid="{00000000-0005-0000-0000-0000997E0000}"/>
    <cellStyle name="Heading 4 44" xfId="32446" xr:uid="{00000000-0005-0000-0000-00009A7E0000}"/>
    <cellStyle name="Heading 4 45" xfId="32447" xr:uid="{00000000-0005-0000-0000-00009B7E0000}"/>
    <cellStyle name="Heading 4 46" xfId="32448" xr:uid="{00000000-0005-0000-0000-00009C7E0000}"/>
    <cellStyle name="Heading 4 47" xfId="32449" xr:uid="{00000000-0005-0000-0000-00009D7E0000}"/>
    <cellStyle name="Heading 4 48" xfId="32450" xr:uid="{00000000-0005-0000-0000-00009E7E0000}"/>
    <cellStyle name="Heading 4 49" xfId="32451" xr:uid="{00000000-0005-0000-0000-00009F7E0000}"/>
    <cellStyle name="Heading 4 5" xfId="32452" xr:uid="{00000000-0005-0000-0000-0000A07E0000}"/>
    <cellStyle name="Heading 4 5 2" xfId="32453" xr:uid="{00000000-0005-0000-0000-0000A17E0000}"/>
    <cellStyle name="Heading 4 5 2 2" xfId="32454" xr:uid="{00000000-0005-0000-0000-0000A27E0000}"/>
    <cellStyle name="Heading 4 5 2 3" xfId="32455" xr:uid="{00000000-0005-0000-0000-0000A37E0000}"/>
    <cellStyle name="Heading 4 5 2 4" xfId="32456" xr:uid="{00000000-0005-0000-0000-0000A47E0000}"/>
    <cellStyle name="Heading 4 5 3" xfId="32457" xr:uid="{00000000-0005-0000-0000-0000A57E0000}"/>
    <cellStyle name="Heading 4 5 3 2" xfId="32458" xr:uid="{00000000-0005-0000-0000-0000A67E0000}"/>
    <cellStyle name="Heading 4 5 3 3" xfId="32459" xr:uid="{00000000-0005-0000-0000-0000A77E0000}"/>
    <cellStyle name="Heading 4 5 4" xfId="32460" xr:uid="{00000000-0005-0000-0000-0000A87E0000}"/>
    <cellStyle name="Heading 4 50" xfId="32461" xr:uid="{00000000-0005-0000-0000-0000A97E0000}"/>
    <cellStyle name="Heading 4 51" xfId="32462" xr:uid="{00000000-0005-0000-0000-0000AA7E0000}"/>
    <cellStyle name="Heading 4 52" xfId="32463" xr:uid="{00000000-0005-0000-0000-0000AB7E0000}"/>
    <cellStyle name="Heading 4 53" xfId="32464" xr:uid="{00000000-0005-0000-0000-0000AC7E0000}"/>
    <cellStyle name="Heading 4 54" xfId="32465" xr:uid="{00000000-0005-0000-0000-0000AD7E0000}"/>
    <cellStyle name="Heading 4 55" xfId="32466" xr:uid="{00000000-0005-0000-0000-0000AE7E0000}"/>
    <cellStyle name="Heading 4 56" xfId="32467" xr:uid="{00000000-0005-0000-0000-0000AF7E0000}"/>
    <cellStyle name="Heading 4 57" xfId="32468" xr:uid="{00000000-0005-0000-0000-0000B07E0000}"/>
    <cellStyle name="Heading 4 58" xfId="32469" xr:uid="{00000000-0005-0000-0000-0000B17E0000}"/>
    <cellStyle name="Heading 4 59" xfId="32470" xr:uid="{00000000-0005-0000-0000-0000B27E0000}"/>
    <cellStyle name="Heading 4 6" xfId="32471" xr:uid="{00000000-0005-0000-0000-0000B37E0000}"/>
    <cellStyle name="Heading 4 6 2" xfId="32472" xr:uid="{00000000-0005-0000-0000-0000B47E0000}"/>
    <cellStyle name="Heading 4 60" xfId="32473" xr:uid="{00000000-0005-0000-0000-0000B57E0000}"/>
    <cellStyle name="Heading 4 61" xfId="32474" xr:uid="{00000000-0005-0000-0000-0000B67E0000}"/>
    <cellStyle name="Heading 4 62" xfId="32475" xr:uid="{00000000-0005-0000-0000-0000B77E0000}"/>
    <cellStyle name="Heading 4 63" xfId="32476" xr:uid="{00000000-0005-0000-0000-0000B87E0000}"/>
    <cellStyle name="Heading 4 64" xfId="32477" xr:uid="{00000000-0005-0000-0000-0000B97E0000}"/>
    <cellStyle name="Heading 4 65" xfId="32478" xr:uid="{00000000-0005-0000-0000-0000BA7E0000}"/>
    <cellStyle name="Heading 4 66" xfId="32479" xr:uid="{00000000-0005-0000-0000-0000BB7E0000}"/>
    <cellStyle name="Heading 4 67" xfId="32480" xr:uid="{00000000-0005-0000-0000-0000BC7E0000}"/>
    <cellStyle name="Heading 4 68" xfId="32481" xr:uid="{00000000-0005-0000-0000-0000BD7E0000}"/>
    <cellStyle name="Heading 4 69" xfId="32482" xr:uid="{00000000-0005-0000-0000-0000BE7E0000}"/>
    <cellStyle name="Heading 4 7" xfId="32483" xr:uid="{00000000-0005-0000-0000-0000BF7E0000}"/>
    <cellStyle name="Heading 4 7 2" xfId="32484" xr:uid="{00000000-0005-0000-0000-0000C07E0000}"/>
    <cellStyle name="Heading 4 70" xfId="32485" xr:uid="{00000000-0005-0000-0000-0000C17E0000}"/>
    <cellStyle name="Heading 4 71" xfId="32486" xr:uid="{00000000-0005-0000-0000-0000C27E0000}"/>
    <cellStyle name="Heading 4 72" xfId="32487" xr:uid="{00000000-0005-0000-0000-0000C37E0000}"/>
    <cellStyle name="Heading 4 73" xfId="32488" xr:uid="{00000000-0005-0000-0000-0000C47E0000}"/>
    <cellStyle name="Heading 4 74" xfId="32489" xr:uid="{00000000-0005-0000-0000-0000C57E0000}"/>
    <cellStyle name="Heading 4 75" xfId="32490" xr:uid="{00000000-0005-0000-0000-0000C67E0000}"/>
    <cellStyle name="Heading 4 76" xfId="32491" xr:uid="{00000000-0005-0000-0000-0000C77E0000}"/>
    <cellStyle name="Heading 4 77" xfId="32492" xr:uid="{00000000-0005-0000-0000-0000C87E0000}"/>
    <cellStyle name="Heading 4 78" xfId="32493" xr:uid="{00000000-0005-0000-0000-0000C97E0000}"/>
    <cellStyle name="Heading 4 79" xfId="32494" xr:uid="{00000000-0005-0000-0000-0000CA7E0000}"/>
    <cellStyle name="Heading 4 79 2" xfId="32495" xr:uid="{00000000-0005-0000-0000-0000CB7E0000}"/>
    <cellStyle name="Heading 4 8" xfId="32496" xr:uid="{00000000-0005-0000-0000-0000CC7E0000}"/>
    <cellStyle name="Heading 4 8 2" xfId="32497" xr:uid="{00000000-0005-0000-0000-0000CD7E0000}"/>
    <cellStyle name="Heading 4 80" xfId="32498" xr:uid="{00000000-0005-0000-0000-0000CE7E0000}"/>
    <cellStyle name="Heading 4 80 2" xfId="32499" xr:uid="{00000000-0005-0000-0000-0000CF7E0000}"/>
    <cellStyle name="Heading 4 81" xfId="32500" xr:uid="{00000000-0005-0000-0000-0000D07E0000}"/>
    <cellStyle name="Heading 4 81 2" xfId="32501" xr:uid="{00000000-0005-0000-0000-0000D17E0000}"/>
    <cellStyle name="Heading 4 82" xfId="32502" xr:uid="{00000000-0005-0000-0000-0000D27E0000}"/>
    <cellStyle name="Heading 4 82 2" xfId="32503" xr:uid="{00000000-0005-0000-0000-0000D37E0000}"/>
    <cellStyle name="Heading 4 83" xfId="32504" xr:uid="{00000000-0005-0000-0000-0000D47E0000}"/>
    <cellStyle name="Heading 4 83 2" xfId="32505" xr:uid="{00000000-0005-0000-0000-0000D57E0000}"/>
    <cellStyle name="Heading 4 84" xfId="32506" xr:uid="{00000000-0005-0000-0000-0000D67E0000}"/>
    <cellStyle name="Heading 4 84 2" xfId="32507" xr:uid="{00000000-0005-0000-0000-0000D77E0000}"/>
    <cellStyle name="Heading 4 85" xfId="32508" xr:uid="{00000000-0005-0000-0000-0000D87E0000}"/>
    <cellStyle name="Heading 4 85 2" xfId="32509" xr:uid="{00000000-0005-0000-0000-0000D97E0000}"/>
    <cellStyle name="Heading 4 86" xfId="32510" xr:uid="{00000000-0005-0000-0000-0000DA7E0000}"/>
    <cellStyle name="Heading 4 86 2" xfId="32511" xr:uid="{00000000-0005-0000-0000-0000DB7E0000}"/>
    <cellStyle name="Heading 4 87" xfId="32512" xr:uid="{00000000-0005-0000-0000-0000DC7E0000}"/>
    <cellStyle name="Heading 4 87 2" xfId="32513" xr:uid="{00000000-0005-0000-0000-0000DD7E0000}"/>
    <cellStyle name="Heading 4 88" xfId="32514" xr:uid="{00000000-0005-0000-0000-0000DE7E0000}"/>
    <cellStyle name="Heading 4 88 2" xfId="32515" xr:uid="{00000000-0005-0000-0000-0000DF7E0000}"/>
    <cellStyle name="Heading 4 89" xfId="32516" xr:uid="{00000000-0005-0000-0000-0000E07E0000}"/>
    <cellStyle name="Heading 4 89 2" xfId="32517" xr:uid="{00000000-0005-0000-0000-0000E17E0000}"/>
    <cellStyle name="Heading 4 9" xfId="32518" xr:uid="{00000000-0005-0000-0000-0000E27E0000}"/>
    <cellStyle name="Heading 4 9 2" xfId="32519" xr:uid="{00000000-0005-0000-0000-0000E37E0000}"/>
    <cellStyle name="Heading 4 90" xfId="32520" xr:uid="{00000000-0005-0000-0000-0000E47E0000}"/>
    <cellStyle name="Heading 4 91" xfId="32521" xr:uid="{00000000-0005-0000-0000-0000E57E0000}"/>
    <cellStyle name="Heading 4 92" xfId="32522" xr:uid="{00000000-0005-0000-0000-0000E67E0000}"/>
    <cellStyle name="Heading 4 93" xfId="32523" xr:uid="{00000000-0005-0000-0000-0000E77E0000}"/>
    <cellStyle name="Heading 4 94" xfId="32524" xr:uid="{00000000-0005-0000-0000-0000E87E0000}"/>
    <cellStyle name="Heading 4 95" xfId="32525" xr:uid="{00000000-0005-0000-0000-0000E97E0000}"/>
    <cellStyle name="Heading 4 96" xfId="32526" xr:uid="{00000000-0005-0000-0000-0000EA7E0000}"/>
    <cellStyle name="Heading 4 97" xfId="32527" xr:uid="{00000000-0005-0000-0000-0000EB7E0000}"/>
    <cellStyle name="Heading 4 98" xfId="32528" xr:uid="{00000000-0005-0000-0000-0000EC7E0000}"/>
    <cellStyle name="Heading 4 99" xfId="32529" xr:uid="{00000000-0005-0000-0000-0000ED7E0000}"/>
    <cellStyle name="Heading3" xfId="32530" xr:uid="{00000000-0005-0000-0000-0000EE7E0000}"/>
    <cellStyle name="HeadLine" xfId="32531" xr:uid="{00000000-0005-0000-0000-0000EF7E0000}"/>
    <cellStyle name="Headline1" xfId="32532" xr:uid="{00000000-0005-0000-0000-0000F07E0000}"/>
    <cellStyle name="Headline2" xfId="32533" xr:uid="{00000000-0005-0000-0000-0000F17E0000}"/>
    <cellStyle name="Headline3" xfId="32534" xr:uid="{00000000-0005-0000-0000-0000F27E0000}"/>
    <cellStyle name="Hidden" xfId="32535" xr:uid="{00000000-0005-0000-0000-0000F37E0000}"/>
    <cellStyle name="Hyperlink" xfId="45" builtinId="8" hidden="1"/>
    <cellStyle name="Hyperlink" xfId="47" builtinId="8" hidden="1"/>
    <cellStyle name="Hyperlink" xfId="87" builtinId="8" hidden="1"/>
    <cellStyle name="Hyperlink" xfId="65" builtinId="8" hidden="1"/>
    <cellStyle name="Hyperlink" xfId="90" builtinId="8" hidden="1"/>
    <cellStyle name="Hyperlink" xfId="92" builtinId="8" hidden="1"/>
    <cellStyle name="Hyperlink" xfId="94" builtinId="8" hidden="1"/>
    <cellStyle name="Hyperlink" xfId="47085" builtinId="8"/>
    <cellStyle name="Hyperlink 2" xfId="32536" xr:uid="{00000000-0005-0000-0000-0000FC7E0000}"/>
    <cellStyle name="Hyperlink 2 2" xfId="32537" xr:uid="{00000000-0005-0000-0000-0000FD7E0000}"/>
    <cellStyle name="Hyperlink 2 2 2" xfId="32538" xr:uid="{00000000-0005-0000-0000-0000FE7E0000}"/>
    <cellStyle name="Hyperlink 2 2 2 2" xfId="32539" xr:uid="{00000000-0005-0000-0000-0000FF7E0000}"/>
    <cellStyle name="Hyperlink 2 2 2 3" xfId="32540" xr:uid="{00000000-0005-0000-0000-0000007F0000}"/>
    <cellStyle name="Hyperlink 2 2 2 4" xfId="32541" xr:uid="{00000000-0005-0000-0000-0000017F0000}"/>
    <cellStyle name="Hyperlink 2 2 3" xfId="32542" xr:uid="{00000000-0005-0000-0000-0000027F0000}"/>
    <cellStyle name="Hyperlink 2 2 4" xfId="32543" xr:uid="{00000000-0005-0000-0000-0000037F0000}"/>
    <cellStyle name="Hyperlink 2 2 5" xfId="32544" xr:uid="{00000000-0005-0000-0000-0000047F0000}"/>
    <cellStyle name="Hyperlink 2 3" xfId="32545" xr:uid="{00000000-0005-0000-0000-0000057F0000}"/>
    <cellStyle name="Hyperlink 2 3 2" xfId="32546" xr:uid="{00000000-0005-0000-0000-0000067F0000}"/>
    <cellStyle name="Hyperlink 2 3 3" xfId="32547" xr:uid="{00000000-0005-0000-0000-0000077F0000}"/>
    <cellStyle name="Hyperlink 2 3 4" xfId="32548" xr:uid="{00000000-0005-0000-0000-0000087F0000}"/>
    <cellStyle name="Hyperlink 2 4" xfId="32549" xr:uid="{00000000-0005-0000-0000-0000097F0000}"/>
    <cellStyle name="Hyperlink 2 5" xfId="32550" xr:uid="{00000000-0005-0000-0000-00000A7F0000}"/>
    <cellStyle name="Hyperlink 2 6" xfId="32551" xr:uid="{00000000-0005-0000-0000-00000B7F0000}"/>
    <cellStyle name="Hyperlink 2 7" xfId="32552" xr:uid="{00000000-0005-0000-0000-00000C7F0000}"/>
    <cellStyle name="Hyperlink 2 8" xfId="32553" xr:uid="{00000000-0005-0000-0000-00000D7F0000}"/>
    <cellStyle name="Hyperlink 2 9" xfId="32554" xr:uid="{00000000-0005-0000-0000-00000E7F0000}"/>
    <cellStyle name="Hyperlink 3" xfId="32555" xr:uid="{00000000-0005-0000-0000-00000F7F0000}"/>
    <cellStyle name="Hyperlink 3 2" xfId="32556" xr:uid="{00000000-0005-0000-0000-0000107F0000}"/>
    <cellStyle name="Hyperlink 3 3" xfId="32557" xr:uid="{00000000-0005-0000-0000-0000117F0000}"/>
    <cellStyle name="Hyperlink 3 4" xfId="32558" xr:uid="{00000000-0005-0000-0000-0000127F0000}"/>
    <cellStyle name="Hyperlink 3 5" xfId="32559" xr:uid="{00000000-0005-0000-0000-0000137F0000}"/>
    <cellStyle name="Hyperlink 3 6" xfId="32560" xr:uid="{00000000-0005-0000-0000-0000147F0000}"/>
    <cellStyle name="Hyperlink 4" xfId="32561" xr:uid="{00000000-0005-0000-0000-0000157F0000}"/>
    <cellStyle name="Hyperlink 4 2" xfId="32562" xr:uid="{00000000-0005-0000-0000-0000167F0000}"/>
    <cellStyle name="Hyperlink 4 3" xfId="32563" xr:uid="{00000000-0005-0000-0000-0000177F0000}"/>
    <cellStyle name="Hyperlink 4 4" xfId="32564" xr:uid="{00000000-0005-0000-0000-0000187F0000}"/>
    <cellStyle name="Hyperlink 4 5" xfId="32565" xr:uid="{00000000-0005-0000-0000-0000197F0000}"/>
    <cellStyle name="Hyperlink 4 6" xfId="32566" xr:uid="{00000000-0005-0000-0000-00001A7F0000}"/>
    <cellStyle name="Hyperlink 5" xfId="32567" xr:uid="{00000000-0005-0000-0000-00001B7F0000}"/>
    <cellStyle name="Hyperlink 5 2" xfId="32568" xr:uid="{00000000-0005-0000-0000-00001C7F0000}"/>
    <cellStyle name="Hyperlink 5 3" xfId="32569" xr:uid="{00000000-0005-0000-0000-00001D7F0000}"/>
    <cellStyle name="Hyperlink 5 4" xfId="32570" xr:uid="{00000000-0005-0000-0000-00001E7F0000}"/>
    <cellStyle name="Hyperlink 6" xfId="32571" xr:uid="{00000000-0005-0000-0000-00001F7F0000}"/>
    <cellStyle name="Hyperlink 7" xfId="47083" xr:uid="{00000000-0005-0000-0000-0000207F0000}"/>
    <cellStyle name="Input" xfId="9" builtinId="20" hidden="1" customBuiltin="1"/>
    <cellStyle name="Input" xfId="56" builtinId="20" hidden="1" customBuiltin="1"/>
    <cellStyle name="Input" xfId="78" builtinId="20" hidden="1" customBuiltin="1"/>
    <cellStyle name="Input [yellow]" xfId="32572" xr:uid="{00000000-0005-0000-0000-0000247F0000}"/>
    <cellStyle name="Input 10" xfId="32573" xr:uid="{00000000-0005-0000-0000-0000257F0000}"/>
    <cellStyle name="Input 10 2" xfId="32574" xr:uid="{00000000-0005-0000-0000-0000267F0000}"/>
    <cellStyle name="Input 100" xfId="32575" xr:uid="{00000000-0005-0000-0000-0000277F0000}"/>
    <cellStyle name="Input 101" xfId="32576" xr:uid="{00000000-0005-0000-0000-0000287F0000}"/>
    <cellStyle name="Input 102" xfId="32577" xr:uid="{00000000-0005-0000-0000-0000297F0000}"/>
    <cellStyle name="Input 103" xfId="32578" xr:uid="{00000000-0005-0000-0000-00002A7F0000}"/>
    <cellStyle name="Input 104" xfId="32579" xr:uid="{00000000-0005-0000-0000-00002B7F0000}"/>
    <cellStyle name="Input 105" xfId="32580" xr:uid="{00000000-0005-0000-0000-00002C7F0000}"/>
    <cellStyle name="Input 106" xfId="32581" xr:uid="{00000000-0005-0000-0000-00002D7F0000}"/>
    <cellStyle name="Input 107" xfId="32582" xr:uid="{00000000-0005-0000-0000-00002E7F0000}"/>
    <cellStyle name="Input 108" xfId="32583" xr:uid="{00000000-0005-0000-0000-00002F7F0000}"/>
    <cellStyle name="Input 109" xfId="32584" xr:uid="{00000000-0005-0000-0000-0000307F0000}"/>
    <cellStyle name="Input 11" xfId="32585" xr:uid="{00000000-0005-0000-0000-0000317F0000}"/>
    <cellStyle name="Input 11 2" xfId="32586" xr:uid="{00000000-0005-0000-0000-0000327F0000}"/>
    <cellStyle name="Input 110" xfId="32587" xr:uid="{00000000-0005-0000-0000-0000337F0000}"/>
    <cellStyle name="Input 111" xfId="32588" xr:uid="{00000000-0005-0000-0000-0000347F0000}"/>
    <cellStyle name="Input 112" xfId="32589" xr:uid="{00000000-0005-0000-0000-0000357F0000}"/>
    <cellStyle name="Input 113" xfId="32590" xr:uid="{00000000-0005-0000-0000-0000367F0000}"/>
    <cellStyle name="Input 114" xfId="32591" xr:uid="{00000000-0005-0000-0000-0000377F0000}"/>
    <cellStyle name="Input 115" xfId="32592" xr:uid="{00000000-0005-0000-0000-0000387F0000}"/>
    <cellStyle name="Input 116" xfId="32593" xr:uid="{00000000-0005-0000-0000-0000397F0000}"/>
    <cellStyle name="Input 117" xfId="32594" xr:uid="{00000000-0005-0000-0000-00003A7F0000}"/>
    <cellStyle name="Input 118" xfId="32595" xr:uid="{00000000-0005-0000-0000-00003B7F0000}"/>
    <cellStyle name="Input 119" xfId="32596" xr:uid="{00000000-0005-0000-0000-00003C7F0000}"/>
    <cellStyle name="Input 12" xfId="32597" xr:uid="{00000000-0005-0000-0000-00003D7F0000}"/>
    <cellStyle name="Input 12 2" xfId="32598" xr:uid="{00000000-0005-0000-0000-00003E7F0000}"/>
    <cellStyle name="Input 120" xfId="32599" xr:uid="{00000000-0005-0000-0000-00003F7F0000}"/>
    <cellStyle name="Input 121" xfId="32600" xr:uid="{00000000-0005-0000-0000-0000407F0000}"/>
    <cellStyle name="Input 122" xfId="32601" xr:uid="{00000000-0005-0000-0000-0000417F0000}"/>
    <cellStyle name="Input 123" xfId="32602" xr:uid="{00000000-0005-0000-0000-0000427F0000}"/>
    <cellStyle name="Input 124" xfId="32603" xr:uid="{00000000-0005-0000-0000-0000437F0000}"/>
    <cellStyle name="Input 125" xfId="32604" xr:uid="{00000000-0005-0000-0000-0000447F0000}"/>
    <cellStyle name="Input 126" xfId="32605" xr:uid="{00000000-0005-0000-0000-0000457F0000}"/>
    <cellStyle name="Input 127" xfId="32606" xr:uid="{00000000-0005-0000-0000-0000467F0000}"/>
    <cellStyle name="Input 128" xfId="32607" xr:uid="{00000000-0005-0000-0000-0000477F0000}"/>
    <cellStyle name="Input 129" xfId="32608" xr:uid="{00000000-0005-0000-0000-0000487F0000}"/>
    <cellStyle name="Input 13" xfId="32609" xr:uid="{00000000-0005-0000-0000-0000497F0000}"/>
    <cellStyle name="Input 13 2" xfId="32610" xr:uid="{00000000-0005-0000-0000-00004A7F0000}"/>
    <cellStyle name="Input 130" xfId="32611" xr:uid="{00000000-0005-0000-0000-00004B7F0000}"/>
    <cellStyle name="Input 131" xfId="32612" xr:uid="{00000000-0005-0000-0000-00004C7F0000}"/>
    <cellStyle name="Input 132" xfId="32613" xr:uid="{00000000-0005-0000-0000-00004D7F0000}"/>
    <cellStyle name="Input 133" xfId="32614" xr:uid="{00000000-0005-0000-0000-00004E7F0000}"/>
    <cellStyle name="Input 134" xfId="32615" xr:uid="{00000000-0005-0000-0000-00004F7F0000}"/>
    <cellStyle name="Input 135" xfId="32616" xr:uid="{00000000-0005-0000-0000-0000507F0000}"/>
    <cellStyle name="Input 136" xfId="32617" xr:uid="{00000000-0005-0000-0000-0000517F0000}"/>
    <cellStyle name="Input 137" xfId="32618" xr:uid="{00000000-0005-0000-0000-0000527F0000}"/>
    <cellStyle name="Input 138" xfId="32619" xr:uid="{00000000-0005-0000-0000-0000537F0000}"/>
    <cellStyle name="Input 139" xfId="32620" xr:uid="{00000000-0005-0000-0000-0000547F0000}"/>
    <cellStyle name="Input 14" xfId="32621" xr:uid="{00000000-0005-0000-0000-0000557F0000}"/>
    <cellStyle name="Input 14 2" xfId="32622" xr:uid="{00000000-0005-0000-0000-0000567F0000}"/>
    <cellStyle name="Input 140" xfId="32623" xr:uid="{00000000-0005-0000-0000-0000577F0000}"/>
    <cellStyle name="Input 141" xfId="32624" xr:uid="{00000000-0005-0000-0000-0000587F0000}"/>
    <cellStyle name="Input 142" xfId="32625" xr:uid="{00000000-0005-0000-0000-0000597F0000}"/>
    <cellStyle name="Input 143" xfId="32626" xr:uid="{00000000-0005-0000-0000-00005A7F0000}"/>
    <cellStyle name="Input 144" xfId="32627" xr:uid="{00000000-0005-0000-0000-00005B7F0000}"/>
    <cellStyle name="Input 145" xfId="32628" xr:uid="{00000000-0005-0000-0000-00005C7F0000}"/>
    <cellStyle name="Input 146" xfId="32629" xr:uid="{00000000-0005-0000-0000-00005D7F0000}"/>
    <cellStyle name="Input 147" xfId="32630" xr:uid="{00000000-0005-0000-0000-00005E7F0000}"/>
    <cellStyle name="Input 148" xfId="32631" xr:uid="{00000000-0005-0000-0000-00005F7F0000}"/>
    <cellStyle name="Input 149" xfId="32632" xr:uid="{00000000-0005-0000-0000-0000607F0000}"/>
    <cellStyle name="Input 15" xfId="32633" xr:uid="{00000000-0005-0000-0000-0000617F0000}"/>
    <cellStyle name="Input 15 2" xfId="32634" xr:uid="{00000000-0005-0000-0000-0000627F0000}"/>
    <cellStyle name="Input 150" xfId="32635" xr:uid="{00000000-0005-0000-0000-0000637F0000}"/>
    <cellStyle name="Input 151" xfId="32636" xr:uid="{00000000-0005-0000-0000-0000647F0000}"/>
    <cellStyle name="Input 152" xfId="32637" xr:uid="{00000000-0005-0000-0000-0000657F0000}"/>
    <cellStyle name="Input 153" xfId="32638" xr:uid="{00000000-0005-0000-0000-0000667F0000}"/>
    <cellStyle name="Input 154" xfId="32639" xr:uid="{00000000-0005-0000-0000-0000677F0000}"/>
    <cellStyle name="Input 155" xfId="32640" xr:uid="{00000000-0005-0000-0000-0000687F0000}"/>
    <cellStyle name="Input 156" xfId="32641" xr:uid="{00000000-0005-0000-0000-0000697F0000}"/>
    <cellStyle name="Input 157" xfId="32642" xr:uid="{00000000-0005-0000-0000-00006A7F0000}"/>
    <cellStyle name="Input 158" xfId="32643" xr:uid="{00000000-0005-0000-0000-00006B7F0000}"/>
    <cellStyle name="Input 159" xfId="32644" xr:uid="{00000000-0005-0000-0000-00006C7F0000}"/>
    <cellStyle name="Input 16" xfId="32645" xr:uid="{00000000-0005-0000-0000-00006D7F0000}"/>
    <cellStyle name="Input 160" xfId="32646" xr:uid="{00000000-0005-0000-0000-00006E7F0000}"/>
    <cellStyle name="Input 161" xfId="32647" xr:uid="{00000000-0005-0000-0000-00006F7F0000}"/>
    <cellStyle name="Input 162" xfId="32648" xr:uid="{00000000-0005-0000-0000-0000707F0000}"/>
    <cellStyle name="Input 163" xfId="32649" xr:uid="{00000000-0005-0000-0000-0000717F0000}"/>
    <cellStyle name="Input 164" xfId="32650" xr:uid="{00000000-0005-0000-0000-0000727F0000}"/>
    <cellStyle name="Input 165" xfId="32651" xr:uid="{00000000-0005-0000-0000-0000737F0000}"/>
    <cellStyle name="Input 166" xfId="32652" xr:uid="{00000000-0005-0000-0000-0000747F0000}"/>
    <cellStyle name="Input 167" xfId="32653" xr:uid="{00000000-0005-0000-0000-0000757F0000}"/>
    <cellStyle name="Input 17" xfId="32654" xr:uid="{00000000-0005-0000-0000-0000767F0000}"/>
    <cellStyle name="Input 18" xfId="32655" xr:uid="{00000000-0005-0000-0000-0000777F0000}"/>
    <cellStyle name="Input 19" xfId="32656" xr:uid="{00000000-0005-0000-0000-0000787F0000}"/>
    <cellStyle name="Input 2" xfId="32657" xr:uid="{00000000-0005-0000-0000-0000797F0000}"/>
    <cellStyle name="Input 2 10" xfId="32658" xr:uid="{00000000-0005-0000-0000-00007A7F0000}"/>
    <cellStyle name="Input 2 11" xfId="32659" xr:uid="{00000000-0005-0000-0000-00007B7F0000}"/>
    <cellStyle name="Input 2 12" xfId="32660" xr:uid="{00000000-0005-0000-0000-00007C7F0000}"/>
    <cellStyle name="Input 2 13" xfId="32661" xr:uid="{00000000-0005-0000-0000-00007D7F0000}"/>
    <cellStyle name="Input 2 14" xfId="32662" xr:uid="{00000000-0005-0000-0000-00007E7F0000}"/>
    <cellStyle name="Input 2 15" xfId="32663" xr:uid="{00000000-0005-0000-0000-00007F7F0000}"/>
    <cellStyle name="Input 2 16" xfId="32664" xr:uid="{00000000-0005-0000-0000-0000807F0000}"/>
    <cellStyle name="Input 2 17" xfId="32665" xr:uid="{00000000-0005-0000-0000-0000817F0000}"/>
    <cellStyle name="Input 2 18" xfId="32666" xr:uid="{00000000-0005-0000-0000-0000827F0000}"/>
    <cellStyle name="Input 2 19" xfId="32667" xr:uid="{00000000-0005-0000-0000-0000837F0000}"/>
    <cellStyle name="Input 2 2" xfId="32668" xr:uid="{00000000-0005-0000-0000-0000847F0000}"/>
    <cellStyle name="Input 2 2 10" xfId="32669" xr:uid="{00000000-0005-0000-0000-0000857F0000}"/>
    <cellStyle name="Input 2 2 11" xfId="32670" xr:uid="{00000000-0005-0000-0000-0000867F0000}"/>
    <cellStyle name="Input 2 2 12" xfId="32671" xr:uid="{00000000-0005-0000-0000-0000877F0000}"/>
    <cellStyle name="Input 2 2 13" xfId="32672" xr:uid="{00000000-0005-0000-0000-0000887F0000}"/>
    <cellStyle name="Input 2 2 14" xfId="32673" xr:uid="{00000000-0005-0000-0000-0000897F0000}"/>
    <cellStyle name="Input 2 2 2" xfId="32674" xr:uid="{00000000-0005-0000-0000-00008A7F0000}"/>
    <cellStyle name="Input 2 2 3" xfId="32675" xr:uid="{00000000-0005-0000-0000-00008B7F0000}"/>
    <cellStyle name="Input 2 2 4" xfId="32676" xr:uid="{00000000-0005-0000-0000-00008C7F0000}"/>
    <cellStyle name="Input 2 2 5" xfId="32677" xr:uid="{00000000-0005-0000-0000-00008D7F0000}"/>
    <cellStyle name="Input 2 2 6" xfId="32678" xr:uid="{00000000-0005-0000-0000-00008E7F0000}"/>
    <cellStyle name="Input 2 2 7" xfId="32679" xr:uid="{00000000-0005-0000-0000-00008F7F0000}"/>
    <cellStyle name="Input 2 2 8" xfId="32680" xr:uid="{00000000-0005-0000-0000-0000907F0000}"/>
    <cellStyle name="Input 2 2 9" xfId="32681" xr:uid="{00000000-0005-0000-0000-0000917F0000}"/>
    <cellStyle name="Input 2 20" xfId="32682" xr:uid="{00000000-0005-0000-0000-0000927F0000}"/>
    <cellStyle name="Input 2 21" xfId="32683" xr:uid="{00000000-0005-0000-0000-0000937F0000}"/>
    <cellStyle name="Input 2 22" xfId="32684" xr:uid="{00000000-0005-0000-0000-0000947F0000}"/>
    <cellStyle name="Input 2 23" xfId="32685" xr:uid="{00000000-0005-0000-0000-0000957F0000}"/>
    <cellStyle name="Input 2 24" xfId="32686" xr:uid="{00000000-0005-0000-0000-0000967F0000}"/>
    <cellStyle name="Input 2 25" xfId="32687" xr:uid="{00000000-0005-0000-0000-0000977F0000}"/>
    <cellStyle name="Input 2 26" xfId="32688" xr:uid="{00000000-0005-0000-0000-0000987F0000}"/>
    <cellStyle name="Input 2 27" xfId="32689" xr:uid="{00000000-0005-0000-0000-0000997F0000}"/>
    <cellStyle name="Input 2 28" xfId="32690" xr:uid="{00000000-0005-0000-0000-00009A7F0000}"/>
    <cellStyle name="Input 2 29" xfId="32691" xr:uid="{00000000-0005-0000-0000-00009B7F0000}"/>
    <cellStyle name="Input 2 3" xfId="32692" xr:uid="{00000000-0005-0000-0000-00009C7F0000}"/>
    <cellStyle name="Input 2 3 10" xfId="32693" xr:uid="{00000000-0005-0000-0000-00009D7F0000}"/>
    <cellStyle name="Input 2 3 11" xfId="32694" xr:uid="{00000000-0005-0000-0000-00009E7F0000}"/>
    <cellStyle name="Input 2 3 12" xfId="32695" xr:uid="{00000000-0005-0000-0000-00009F7F0000}"/>
    <cellStyle name="Input 2 3 13" xfId="32696" xr:uid="{00000000-0005-0000-0000-0000A07F0000}"/>
    <cellStyle name="Input 2 3 14" xfId="32697" xr:uid="{00000000-0005-0000-0000-0000A17F0000}"/>
    <cellStyle name="Input 2 3 2" xfId="32698" xr:uid="{00000000-0005-0000-0000-0000A27F0000}"/>
    <cellStyle name="Input 2 3 3" xfId="32699" xr:uid="{00000000-0005-0000-0000-0000A37F0000}"/>
    <cellStyle name="Input 2 3 4" xfId="32700" xr:uid="{00000000-0005-0000-0000-0000A47F0000}"/>
    <cellStyle name="Input 2 3 5" xfId="32701" xr:uid="{00000000-0005-0000-0000-0000A57F0000}"/>
    <cellStyle name="Input 2 3 6" xfId="32702" xr:uid="{00000000-0005-0000-0000-0000A67F0000}"/>
    <cellStyle name="Input 2 3 7" xfId="32703" xr:uid="{00000000-0005-0000-0000-0000A77F0000}"/>
    <cellStyle name="Input 2 3 8" xfId="32704" xr:uid="{00000000-0005-0000-0000-0000A87F0000}"/>
    <cellStyle name="Input 2 3 9" xfId="32705" xr:uid="{00000000-0005-0000-0000-0000A97F0000}"/>
    <cellStyle name="Input 2 30" xfId="32706" xr:uid="{00000000-0005-0000-0000-0000AA7F0000}"/>
    <cellStyle name="Input 2 31" xfId="32707" xr:uid="{00000000-0005-0000-0000-0000AB7F0000}"/>
    <cellStyle name="Input 2 32" xfId="32708" xr:uid="{00000000-0005-0000-0000-0000AC7F0000}"/>
    <cellStyle name="Input 2 33" xfId="32709" xr:uid="{00000000-0005-0000-0000-0000AD7F0000}"/>
    <cellStyle name="Input 2 34" xfId="32710" xr:uid="{00000000-0005-0000-0000-0000AE7F0000}"/>
    <cellStyle name="Input 2 35" xfId="32711" xr:uid="{00000000-0005-0000-0000-0000AF7F0000}"/>
    <cellStyle name="Input 2 4" xfId="32712" xr:uid="{00000000-0005-0000-0000-0000B07F0000}"/>
    <cellStyle name="Input 2 5" xfId="32713" xr:uid="{00000000-0005-0000-0000-0000B17F0000}"/>
    <cellStyle name="Input 2 6" xfId="32714" xr:uid="{00000000-0005-0000-0000-0000B27F0000}"/>
    <cellStyle name="Input 2 7" xfId="32715" xr:uid="{00000000-0005-0000-0000-0000B37F0000}"/>
    <cellStyle name="Input 2 8" xfId="32716" xr:uid="{00000000-0005-0000-0000-0000B47F0000}"/>
    <cellStyle name="Input 2 9" xfId="32717" xr:uid="{00000000-0005-0000-0000-0000B57F0000}"/>
    <cellStyle name="Input 2_Belker-InternalTrade" xfId="32718" xr:uid="{00000000-0005-0000-0000-0000B67F0000}"/>
    <cellStyle name="Input 20" xfId="32719" xr:uid="{00000000-0005-0000-0000-0000B77F0000}"/>
    <cellStyle name="Input 20 10" xfId="32720" xr:uid="{00000000-0005-0000-0000-0000B87F0000}"/>
    <cellStyle name="Input 20 11" xfId="32721" xr:uid="{00000000-0005-0000-0000-0000B97F0000}"/>
    <cellStyle name="Input 20 12" xfId="32722" xr:uid="{00000000-0005-0000-0000-0000BA7F0000}"/>
    <cellStyle name="Input 20 13" xfId="32723" xr:uid="{00000000-0005-0000-0000-0000BB7F0000}"/>
    <cellStyle name="Input 20 14" xfId="32724" xr:uid="{00000000-0005-0000-0000-0000BC7F0000}"/>
    <cellStyle name="Input 20 15" xfId="32725" xr:uid="{00000000-0005-0000-0000-0000BD7F0000}"/>
    <cellStyle name="Input 20 16" xfId="32726" xr:uid="{00000000-0005-0000-0000-0000BE7F0000}"/>
    <cellStyle name="Input 20 2" xfId="32727" xr:uid="{00000000-0005-0000-0000-0000BF7F0000}"/>
    <cellStyle name="Input 20 3" xfId="32728" xr:uid="{00000000-0005-0000-0000-0000C07F0000}"/>
    <cellStyle name="Input 20 4" xfId="32729" xr:uid="{00000000-0005-0000-0000-0000C17F0000}"/>
    <cellStyle name="Input 20 5" xfId="32730" xr:uid="{00000000-0005-0000-0000-0000C27F0000}"/>
    <cellStyle name="Input 20 6" xfId="32731" xr:uid="{00000000-0005-0000-0000-0000C37F0000}"/>
    <cellStyle name="Input 20 7" xfId="32732" xr:uid="{00000000-0005-0000-0000-0000C47F0000}"/>
    <cellStyle name="Input 20 8" xfId="32733" xr:uid="{00000000-0005-0000-0000-0000C57F0000}"/>
    <cellStyle name="Input 20 9" xfId="32734" xr:uid="{00000000-0005-0000-0000-0000C67F0000}"/>
    <cellStyle name="Input 21" xfId="32735" xr:uid="{00000000-0005-0000-0000-0000C77F0000}"/>
    <cellStyle name="Input 21 2" xfId="32736" xr:uid="{00000000-0005-0000-0000-0000C87F0000}"/>
    <cellStyle name="Input 21 3" xfId="32737" xr:uid="{00000000-0005-0000-0000-0000C97F0000}"/>
    <cellStyle name="Input 22" xfId="32738" xr:uid="{00000000-0005-0000-0000-0000CA7F0000}"/>
    <cellStyle name="Input 23" xfId="32739" xr:uid="{00000000-0005-0000-0000-0000CB7F0000}"/>
    <cellStyle name="Input 24" xfId="32740" xr:uid="{00000000-0005-0000-0000-0000CC7F0000}"/>
    <cellStyle name="Input 25" xfId="32741" xr:uid="{00000000-0005-0000-0000-0000CD7F0000}"/>
    <cellStyle name="Input 26" xfId="32742" xr:uid="{00000000-0005-0000-0000-0000CE7F0000}"/>
    <cellStyle name="Input 27" xfId="32743" xr:uid="{00000000-0005-0000-0000-0000CF7F0000}"/>
    <cellStyle name="Input 28" xfId="32744" xr:uid="{00000000-0005-0000-0000-0000D07F0000}"/>
    <cellStyle name="Input 29" xfId="32745" xr:uid="{00000000-0005-0000-0000-0000D17F0000}"/>
    <cellStyle name="Input 3" xfId="32746" xr:uid="{00000000-0005-0000-0000-0000D27F0000}"/>
    <cellStyle name="Input 3 10" xfId="32747" xr:uid="{00000000-0005-0000-0000-0000D37F0000}"/>
    <cellStyle name="Input 3 10 10" xfId="32748" xr:uid="{00000000-0005-0000-0000-0000D47F0000}"/>
    <cellStyle name="Input 3 10 11" xfId="32749" xr:uid="{00000000-0005-0000-0000-0000D57F0000}"/>
    <cellStyle name="Input 3 10 12" xfId="32750" xr:uid="{00000000-0005-0000-0000-0000D67F0000}"/>
    <cellStyle name="Input 3 10 13" xfId="32751" xr:uid="{00000000-0005-0000-0000-0000D77F0000}"/>
    <cellStyle name="Input 3 10 14" xfId="32752" xr:uid="{00000000-0005-0000-0000-0000D87F0000}"/>
    <cellStyle name="Input 3 10 15" xfId="32753" xr:uid="{00000000-0005-0000-0000-0000D97F0000}"/>
    <cellStyle name="Input 3 10 2" xfId="32754" xr:uid="{00000000-0005-0000-0000-0000DA7F0000}"/>
    <cellStyle name="Input 3 10 3" xfId="32755" xr:uid="{00000000-0005-0000-0000-0000DB7F0000}"/>
    <cellStyle name="Input 3 10 4" xfId="32756" xr:uid="{00000000-0005-0000-0000-0000DC7F0000}"/>
    <cellStyle name="Input 3 10 5" xfId="32757" xr:uid="{00000000-0005-0000-0000-0000DD7F0000}"/>
    <cellStyle name="Input 3 10 6" xfId="32758" xr:uid="{00000000-0005-0000-0000-0000DE7F0000}"/>
    <cellStyle name="Input 3 10 7" xfId="32759" xr:uid="{00000000-0005-0000-0000-0000DF7F0000}"/>
    <cellStyle name="Input 3 10 8" xfId="32760" xr:uid="{00000000-0005-0000-0000-0000E07F0000}"/>
    <cellStyle name="Input 3 10 9" xfId="32761" xr:uid="{00000000-0005-0000-0000-0000E17F0000}"/>
    <cellStyle name="Input 3 11" xfId="32762" xr:uid="{00000000-0005-0000-0000-0000E27F0000}"/>
    <cellStyle name="Input 3 11 10" xfId="32763" xr:uid="{00000000-0005-0000-0000-0000E37F0000}"/>
    <cellStyle name="Input 3 11 11" xfId="32764" xr:uid="{00000000-0005-0000-0000-0000E47F0000}"/>
    <cellStyle name="Input 3 11 12" xfId="32765" xr:uid="{00000000-0005-0000-0000-0000E57F0000}"/>
    <cellStyle name="Input 3 11 13" xfId="32766" xr:uid="{00000000-0005-0000-0000-0000E67F0000}"/>
    <cellStyle name="Input 3 11 14" xfId="32767" xr:uid="{00000000-0005-0000-0000-0000E77F0000}"/>
    <cellStyle name="Input 3 11 15" xfId="32768" xr:uid="{00000000-0005-0000-0000-0000E87F0000}"/>
    <cellStyle name="Input 3 11 2" xfId="32769" xr:uid="{00000000-0005-0000-0000-0000E97F0000}"/>
    <cellStyle name="Input 3 11 3" xfId="32770" xr:uid="{00000000-0005-0000-0000-0000EA7F0000}"/>
    <cellStyle name="Input 3 11 4" xfId="32771" xr:uid="{00000000-0005-0000-0000-0000EB7F0000}"/>
    <cellStyle name="Input 3 11 5" xfId="32772" xr:uid="{00000000-0005-0000-0000-0000EC7F0000}"/>
    <cellStyle name="Input 3 11 6" xfId="32773" xr:uid="{00000000-0005-0000-0000-0000ED7F0000}"/>
    <cellStyle name="Input 3 11 7" xfId="32774" xr:uid="{00000000-0005-0000-0000-0000EE7F0000}"/>
    <cellStyle name="Input 3 11 8" xfId="32775" xr:uid="{00000000-0005-0000-0000-0000EF7F0000}"/>
    <cellStyle name="Input 3 11 9" xfId="32776" xr:uid="{00000000-0005-0000-0000-0000F07F0000}"/>
    <cellStyle name="Input 3 12" xfId="32777" xr:uid="{00000000-0005-0000-0000-0000F17F0000}"/>
    <cellStyle name="Input 3 12 10" xfId="32778" xr:uid="{00000000-0005-0000-0000-0000F27F0000}"/>
    <cellStyle name="Input 3 12 11" xfId="32779" xr:uid="{00000000-0005-0000-0000-0000F37F0000}"/>
    <cellStyle name="Input 3 12 12" xfId="32780" xr:uid="{00000000-0005-0000-0000-0000F47F0000}"/>
    <cellStyle name="Input 3 12 13" xfId="32781" xr:uid="{00000000-0005-0000-0000-0000F57F0000}"/>
    <cellStyle name="Input 3 12 14" xfId="32782" xr:uid="{00000000-0005-0000-0000-0000F67F0000}"/>
    <cellStyle name="Input 3 12 15" xfId="32783" xr:uid="{00000000-0005-0000-0000-0000F77F0000}"/>
    <cellStyle name="Input 3 12 2" xfId="32784" xr:uid="{00000000-0005-0000-0000-0000F87F0000}"/>
    <cellStyle name="Input 3 12 3" xfId="32785" xr:uid="{00000000-0005-0000-0000-0000F97F0000}"/>
    <cellStyle name="Input 3 12 4" xfId="32786" xr:uid="{00000000-0005-0000-0000-0000FA7F0000}"/>
    <cellStyle name="Input 3 12 5" xfId="32787" xr:uid="{00000000-0005-0000-0000-0000FB7F0000}"/>
    <cellStyle name="Input 3 12 6" xfId="32788" xr:uid="{00000000-0005-0000-0000-0000FC7F0000}"/>
    <cellStyle name="Input 3 12 7" xfId="32789" xr:uid="{00000000-0005-0000-0000-0000FD7F0000}"/>
    <cellStyle name="Input 3 12 8" xfId="32790" xr:uid="{00000000-0005-0000-0000-0000FE7F0000}"/>
    <cellStyle name="Input 3 12 9" xfId="32791" xr:uid="{00000000-0005-0000-0000-0000FF7F0000}"/>
    <cellStyle name="Input 3 13" xfId="32792" xr:uid="{00000000-0005-0000-0000-000000800000}"/>
    <cellStyle name="Input 3 13 10" xfId="32793" xr:uid="{00000000-0005-0000-0000-000001800000}"/>
    <cellStyle name="Input 3 13 11" xfId="32794" xr:uid="{00000000-0005-0000-0000-000002800000}"/>
    <cellStyle name="Input 3 13 12" xfId="32795" xr:uid="{00000000-0005-0000-0000-000003800000}"/>
    <cellStyle name="Input 3 13 13" xfId="32796" xr:uid="{00000000-0005-0000-0000-000004800000}"/>
    <cellStyle name="Input 3 13 14" xfId="32797" xr:uid="{00000000-0005-0000-0000-000005800000}"/>
    <cellStyle name="Input 3 13 15" xfId="32798" xr:uid="{00000000-0005-0000-0000-000006800000}"/>
    <cellStyle name="Input 3 13 2" xfId="32799" xr:uid="{00000000-0005-0000-0000-000007800000}"/>
    <cellStyle name="Input 3 13 3" xfId="32800" xr:uid="{00000000-0005-0000-0000-000008800000}"/>
    <cellStyle name="Input 3 13 4" xfId="32801" xr:uid="{00000000-0005-0000-0000-000009800000}"/>
    <cellStyle name="Input 3 13 5" xfId="32802" xr:uid="{00000000-0005-0000-0000-00000A800000}"/>
    <cellStyle name="Input 3 13 6" xfId="32803" xr:uid="{00000000-0005-0000-0000-00000B800000}"/>
    <cellStyle name="Input 3 13 7" xfId="32804" xr:uid="{00000000-0005-0000-0000-00000C800000}"/>
    <cellStyle name="Input 3 13 8" xfId="32805" xr:uid="{00000000-0005-0000-0000-00000D800000}"/>
    <cellStyle name="Input 3 13 9" xfId="32806" xr:uid="{00000000-0005-0000-0000-00000E800000}"/>
    <cellStyle name="Input 3 14" xfId="32807" xr:uid="{00000000-0005-0000-0000-00000F800000}"/>
    <cellStyle name="Input 3 14 10" xfId="32808" xr:uid="{00000000-0005-0000-0000-000010800000}"/>
    <cellStyle name="Input 3 14 11" xfId="32809" xr:uid="{00000000-0005-0000-0000-000011800000}"/>
    <cellStyle name="Input 3 14 12" xfId="32810" xr:uid="{00000000-0005-0000-0000-000012800000}"/>
    <cellStyle name="Input 3 14 13" xfId="32811" xr:uid="{00000000-0005-0000-0000-000013800000}"/>
    <cellStyle name="Input 3 14 14" xfId="32812" xr:uid="{00000000-0005-0000-0000-000014800000}"/>
    <cellStyle name="Input 3 14 15" xfId="32813" xr:uid="{00000000-0005-0000-0000-000015800000}"/>
    <cellStyle name="Input 3 14 2" xfId="32814" xr:uid="{00000000-0005-0000-0000-000016800000}"/>
    <cellStyle name="Input 3 14 3" xfId="32815" xr:uid="{00000000-0005-0000-0000-000017800000}"/>
    <cellStyle name="Input 3 14 4" xfId="32816" xr:uid="{00000000-0005-0000-0000-000018800000}"/>
    <cellStyle name="Input 3 14 5" xfId="32817" xr:uid="{00000000-0005-0000-0000-000019800000}"/>
    <cellStyle name="Input 3 14 6" xfId="32818" xr:uid="{00000000-0005-0000-0000-00001A800000}"/>
    <cellStyle name="Input 3 14 7" xfId="32819" xr:uid="{00000000-0005-0000-0000-00001B800000}"/>
    <cellStyle name="Input 3 14 8" xfId="32820" xr:uid="{00000000-0005-0000-0000-00001C800000}"/>
    <cellStyle name="Input 3 14 9" xfId="32821" xr:uid="{00000000-0005-0000-0000-00001D800000}"/>
    <cellStyle name="Input 3 15" xfId="32822" xr:uid="{00000000-0005-0000-0000-00001E800000}"/>
    <cellStyle name="Input 3 15 10" xfId="32823" xr:uid="{00000000-0005-0000-0000-00001F800000}"/>
    <cellStyle name="Input 3 15 11" xfId="32824" xr:uid="{00000000-0005-0000-0000-000020800000}"/>
    <cellStyle name="Input 3 15 12" xfId="32825" xr:uid="{00000000-0005-0000-0000-000021800000}"/>
    <cellStyle name="Input 3 15 13" xfId="32826" xr:uid="{00000000-0005-0000-0000-000022800000}"/>
    <cellStyle name="Input 3 15 14" xfId="32827" xr:uid="{00000000-0005-0000-0000-000023800000}"/>
    <cellStyle name="Input 3 15 15" xfId="32828" xr:uid="{00000000-0005-0000-0000-000024800000}"/>
    <cellStyle name="Input 3 15 2" xfId="32829" xr:uid="{00000000-0005-0000-0000-000025800000}"/>
    <cellStyle name="Input 3 15 3" xfId="32830" xr:uid="{00000000-0005-0000-0000-000026800000}"/>
    <cellStyle name="Input 3 15 4" xfId="32831" xr:uid="{00000000-0005-0000-0000-000027800000}"/>
    <cellStyle name="Input 3 15 5" xfId="32832" xr:uid="{00000000-0005-0000-0000-000028800000}"/>
    <cellStyle name="Input 3 15 6" xfId="32833" xr:uid="{00000000-0005-0000-0000-000029800000}"/>
    <cellStyle name="Input 3 15 7" xfId="32834" xr:uid="{00000000-0005-0000-0000-00002A800000}"/>
    <cellStyle name="Input 3 15 8" xfId="32835" xr:uid="{00000000-0005-0000-0000-00002B800000}"/>
    <cellStyle name="Input 3 15 9" xfId="32836" xr:uid="{00000000-0005-0000-0000-00002C800000}"/>
    <cellStyle name="Input 3 16" xfId="32837" xr:uid="{00000000-0005-0000-0000-00002D800000}"/>
    <cellStyle name="Input 3 16 10" xfId="32838" xr:uid="{00000000-0005-0000-0000-00002E800000}"/>
    <cellStyle name="Input 3 16 11" xfId="32839" xr:uid="{00000000-0005-0000-0000-00002F800000}"/>
    <cellStyle name="Input 3 16 12" xfId="32840" xr:uid="{00000000-0005-0000-0000-000030800000}"/>
    <cellStyle name="Input 3 16 13" xfId="32841" xr:uid="{00000000-0005-0000-0000-000031800000}"/>
    <cellStyle name="Input 3 16 14" xfId="32842" xr:uid="{00000000-0005-0000-0000-000032800000}"/>
    <cellStyle name="Input 3 16 15" xfId="32843" xr:uid="{00000000-0005-0000-0000-000033800000}"/>
    <cellStyle name="Input 3 16 2" xfId="32844" xr:uid="{00000000-0005-0000-0000-000034800000}"/>
    <cellStyle name="Input 3 16 3" xfId="32845" xr:uid="{00000000-0005-0000-0000-000035800000}"/>
    <cellStyle name="Input 3 16 4" xfId="32846" xr:uid="{00000000-0005-0000-0000-000036800000}"/>
    <cellStyle name="Input 3 16 5" xfId="32847" xr:uid="{00000000-0005-0000-0000-000037800000}"/>
    <cellStyle name="Input 3 16 6" xfId="32848" xr:uid="{00000000-0005-0000-0000-000038800000}"/>
    <cellStyle name="Input 3 16 7" xfId="32849" xr:uid="{00000000-0005-0000-0000-000039800000}"/>
    <cellStyle name="Input 3 16 8" xfId="32850" xr:uid="{00000000-0005-0000-0000-00003A800000}"/>
    <cellStyle name="Input 3 16 9" xfId="32851" xr:uid="{00000000-0005-0000-0000-00003B800000}"/>
    <cellStyle name="Input 3 17" xfId="32852" xr:uid="{00000000-0005-0000-0000-00003C800000}"/>
    <cellStyle name="Input 3 17 10" xfId="32853" xr:uid="{00000000-0005-0000-0000-00003D800000}"/>
    <cellStyle name="Input 3 17 11" xfId="32854" xr:uid="{00000000-0005-0000-0000-00003E800000}"/>
    <cellStyle name="Input 3 17 12" xfId="32855" xr:uid="{00000000-0005-0000-0000-00003F800000}"/>
    <cellStyle name="Input 3 17 13" xfId="32856" xr:uid="{00000000-0005-0000-0000-000040800000}"/>
    <cellStyle name="Input 3 17 14" xfId="32857" xr:uid="{00000000-0005-0000-0000-000041800000}"/>
    <cellStyle name="Input 3 17 15" xfId="32858" xr:uid="{00000000-0005-0000-0000-000042800000}"/>
    <cellStyle name="Input 3 17 2" xfId="32859" xr:uid="{00000000-0005-0000-0000-000043800000}"/>
    <cellStyle name="Input 3 17 3" xfId="32860" xr:uid="{00000000-0005-0000-0000-000044800000}"/>
    <cellStyle name="Input 3 17 4" xfId="32861" xr:uid="{00000000-0005-0000-0000-000045800000}"/>
    <cellStyle name="Input 3 17 5" xfId="32862" xr:uid="{00000000-0005-0000-0000-000046800000}"/>
    <cellStyle name="Input 3 17 6" xfId="32863" xr:uid="{00000000-0005-0000-0000-000047800000}"/>
    <cellStyle name="Input 3 17 7" xfId="32864" xr:uid="{00000000-0005-0000-0000-000048800000}"/>
    <cellStyle name="Input 3 17 8" xfId="32865" xr:uid="{00000000-0005-0000-0000-000049800000}"/>
    <cellStyle name="Input 3 17 9" xfId="32866" xr:uid="{00000000-0005-0000-0000-00004A800000}"/>
    <cellStyle name="Input 3 18" xfId="32867" xr:uid="{00000000-0005-0000-0000-00004B800000}"/>
    <cellStyle name="Input 3 18 10" xfId="32868" xr:uid="{00000000-0005-0000-0000-00004C800000}"/>
    <cellStyle name="Input 3 18 11" xfId="32869" xr:uid="{00000000-0005-0000-0000-00004D800000}"/>
    <cellStyle name="Input 3 18 12" xfId="32870" xr:uid="{00000000-0005-0000-0000-00004E800000}"/>
    <cellStyle name="Input 3 18 13" xfId="32871" xr:uid="{00000000-0005-0000-0000-00004F800000}"/>
    <cellStyle name="Input 3 18 14" xfId="32872" xr:uid="{00000000-0005-0000-0000-000050800000}"/>
    <cellStyle name="Input 3 18 15" xfId="32873" xr:uid="{00000000-0005-0000-0000-000051800000}"/>
    <cellStyle name="Input 3 18 2" xfId="32874" xr:uid="{00000000-0005-0000-0000-000052800000}"/>
    <cellStyle name="Input 3 18 3" xfId="32875" xr:uid="{00000000-0005-0000-0000-000053800000}"/>
    <cellStyle name="Input 3 18 4" xfId="32876" xr:uid="{00000000-0005-0000-0000-000054800000}"/>
    <cellStyle name="Input 3 18 5" xfId="32877" xr:uid="{00000000-0005-0000-0000-000055800000}"/>
    <cellStyle name="Input 3 18 6" xfId="32878" xr:uid="{00000000-0005-0000-0000-000056800000}"/>
    <cellStyle name="Input 3 18 7" xfId="32879" xr:uid="{00000000-0005-0000-0000-000057800000}"/>
    <cellStyle name="Input 3 18 8" xfId="32880" xr:uid="{00000000-0005-0000-0000-000058800000}"/>
    <cellStyle name="Input 3 18 9" xfId="32881" xr:uid="{00000000-0005-0000-0000-000059800000}"/>
    <cellStyle name="Input 3 19" xfId="32882" xr:uid="{00000000-0005-0000-0000-00005A800000}"/>
    <cellStyle name="Input 3 19 10" xfId="32883" xr:uid="{00000000-0005-0000-0000-00005B800000}"/>
    <cellStyle name="Input 3 19 11" xfId="32884" xr:uid="{00000000-0005-0000-0000-00005C800000}"/>
    <cellStyle name="Input 3 19 12" xfId="32885" xr:uid="{00000000-0005-0000-0000-00005D800000}"/>
    <cellStyle name="Input 3 19 13" xfId="32886" xr:uid="{00000000-0005-0000-0000-00005E800000}"/>
    <cellStyle name="Input 3 19 14" xfId="32887" xr:uid="{00000000-0005-0000-0000-00005F800000}"/>
    <cellStyle name="Input 3 19 15" xfId="32888" xr:uid="{00000000-0005-0000-0000-000060800000}"/>
    <cellStyle name="Input 3 19 2" xfId="32889" xr:uid="{00000000-0005-0000-0000-000061800000}"/>
    <cellStyle name="Input 3 19 3" xfId="32890" xr:uid="{00000000-0005-0000-0000-000062800000}"/>
    <cellStyle name="Input 3 19 4" xfId="32891" xr:uid="{00000000-0005-0000-0000-000063800000}"/>
    <cellStyle name="Input 3 19 5" xfId="32892" xr:uid="{00000000-0005-0000-0000-000064800000}"/>
    <cellStyle name="Input 3 19 6" xfId="32893" xr:uid="{00000000-0005-0000-0000-000065800000}"/>
    <cellStyle name="Input 3 19 7" xfId="32894" xr:uid="{00000000-0005-0000-0000-000066800000}"/>
    <cellStyle name="Input 3 19 8" xfId="32895" xr:uid="{00000000-0005-0000-0000-000067800000}"/>
    <cellStyle name="Input 3 19 9" xfId="32896" xr:uid="{00000000-0005-0000-0000-000068800000}"/>
    <cellStyle name="Input 3 2" xfId="32897" xr:uid="{00000000-0005-0000-0000-000069800000}"/>
    <cellStyle name="Input 3 2 10" xfId="32898" xr:uid="{00000000-0005-0000-0000-00006A800000}"/>
    <cellStyle name="Input 3 2 11" xfId="32899" xr:uid="{00000000-0005-0000-0000-00006B800000}"/>
    <cellStyle name="Input 3 2 12" xfId="32900" xr:uid="{00000000-0005-0000-0000-00006C800000}"/>
    <cellStyle name="Input 3 2 13" xfId="32901" xr:uid="{00000000-0005-0000-0000-00006D800000}"/>
    <cellStyle name="Input 3 2 14" xfId="32902" xr:uid="{00000000-0005-0000-0000-00006E800000}"/>
    <cellStyle name="Input 3 2 15" xfId="32903" xr:uid="{00000000-0005-0000-0000-00006F800000}"/>
    <cellStyle name="Input 3 2 16" xfId="32904" xr:uid="{00000000-0005-0000-0000-000070800000}"/>
    <cellStyle name="Input 3 2 17" xfId="32905" xr:uid="{00000000-0005-0000-0000-000071800000}"/>
    <cellStyle name="Input 3 2 18" xfId="32906" xr:uid="{00000000-0005-0000-0000-000072800000}"/>
    <cellStyle name="Input 3 2 19" xfId="32907" xr:uid="{00000000-0005-0000-0000-000073800000}"/>
    <cellStyle name="Input 3 2 2" xfId="32908" xr:uid="{00000000-0005-0000-0000-000074800000}"/>
    <cellStyle name="Input 3 2 20" xfId="32909" xr:uid="{00000000-0005-0000-0000-000075800000}"/>
    <cellStyle name="Input 3 2 21" xfId="32910" xr:uid="{00000000-0005-0000-0000-000076800000}"/>
    <cellStyle name="Input 3 2 22" xfId="32911" xr:uid="{00000000-0005-0000-0000-000077800000}"/>
    <cellStyle name="Input 3 2 23" xfId="32912" xr:uid="{00000000-0005-0000-0000-000078800000}"/>
    <cellStyle name="Input 3 2 24" xfId="32913" xr:uid="{00000000-0005-0000-0000-000079800000}"/>
    <cellStyle name="Input 3 2 25" xfId="32914" xr:uid="{00000000-0005-0000-0000-00007A800000}"/>
    <cellStyle name="Input 3 2 26" xfId="32915" xr:uid="{00000000-0005-0000-0000-00007B800000}"/>
    <cellStyle name="Input 3 2 27" xfId="32916" xr:uid="{00000000-0005-0000-0000-00007C800000}"/>
    <cellStyle name="Input 3 2 28" xfId="32917" xr:uid="{00000000-0005-0000-0000-00007D800000}"/>
    <cellStyle name="Input 3 2 29" xfId="32918" xr:uid="{00000000-0005-0000-0000-00007E800000}"/>
    <cellStyle name="Input 3 2 3" xfId="32919" xr:uid="{00000000-0005-0000-0000-00007F800000}"/>
    <cellStyle name="Input 3 2 30" xfId="32920" xr:uid="{00000000-0005-0000-0000-000080800000}"/>
    <cellStyle name="Input 3 2 31" xfId="32921" xr:uid="{00000000-0005-0000-0000-000081800000}"/>
    <cellStyle name="Input 3 2 32" xfId="32922" xr:uid="{00000000-0005-0000-0000-000082800000}"/>
    <cellStyle name="Input 3 2 33" xfId="32923" xr:uid="{00000000-0005-0000-0000-000083800000}"/>
    <cellStyle name="Input 3 2 34" xfId="32924" xr:uid="{00000000-0005-0000-0000-000084800000}"/>
    <cellStyle name="Input 3 2 35" xfId="32925" xr:uid="{00000000-0005-0000-0000-000085800000}"/>
    <cellStyle name="Input 3 2 36" xfId="32926" xr:uid="{00000000-0005-0000-0000-000086800000}"/>
    <cellStyle name="Input 3 2 37" xfId="32927" xr:uid="{00000000-0005-0000-0000-000087800000}"/>
    <cellStyle name="Input 3 2 38" xfId="32928" xr:uid="{00000000-0005-0000-0000-000088800000}"/>
    <cellStyle name="Input 3 2 39" xfId="32929" xr:uid="{00000000-0005-0000-0000-000089800000}"/>
    <cellStyle name="Input 3 2 4" xfId="32930" xr:uid="{00000000-0005-0000-0000-00008A800000}"/>
    <cellStyle name="Input 3 2 40" xfId="32931" xr:uid="{00000000-0005-0000-0000-00008B800000}"/>
    <cellStyle name="Input 3 2 41" xfId="32932" xr:uid="{00000000-0005-0000-0000-00008C800000}"/>
    <cellStyle name="Input 3 2 42" xfId="32933" xr:uid="{00000000-0005-0000-0000-00008D800000}"/>
    <cellStyle name="Input 3 2 43" xfId="32934" xr:uid="{00000000-0005-0000-0000-00008E800000}"/>
    <cellStyle name="Input 3 2 44" xfId="32935" xr:uid="{00000000-0005-0000-0000-00008F800000}"/>
    <cellStyle name="Input 3 2 45" xfId="32936" xr:uid="{00000000-0005-0000-0000-000090800000}"/>
    <cellStyle name="Input 3 2 46" xfId="32937" xr:uid="{00000000-0005-0000-0000-000091800000}"/>
    <cellStyle name="Input 3 2 47" xfId="32938" xr:uid="{00000000-0005-0000-0000-000092800000}"/>
    <cellStyle name="Input 3 2 48" xfId="32939" xr:uid="{00000000-0005-0000-0000-000093800000}"/>
    <cellStyle name="Input 3 2 49" xfId="32940" xr:uid="{00000000-0005-0000-0000-000094800000}"/>
    <cellStyle name="Input 3 2 5" xfId="32941" xr:uid="{00000000-0005-0000-0000-000095800000}"/>
    <cellStyle name="Input 3 2 50" xfId="32942" xr:uid="{00000000-0005-0000-0000-000096800000}"/>
    <cellStyle name="Input 3 2 51" xfId="32943" xr:uid="{00000000-0005-0000-0000-000097800000}"/>
    <cellStyle name="Input 3 2 52" xfId="32944" xr:uid="{00000000-0005-0000-0000-000098800000}"/>
    <cellStyle name="Input 3 2 53" xfId="32945" xr:uid="{00000000-0005-0000-0000-000099800000}"/>
    <cellStyle name="Input 3 2 6" xfId="32946" xr:uid="{00000000-0005-0000-0000-00009A800000}"/>
    <cellStyle name="Input 3 2 7" xfId="32947" xr:uid="{00000000-0005-0000-0000-00009B800000}"/>
    <cellStyle name="Input 3 2 8" xfId="32948" xr:uid="{00000000-0005-0000-0000-00009C800000}"/>
    <cellStyle name="Input 3 2 9" xfId="32949" xr:uid="{00000000-0005-0000-0000-00009D800000}"/>
    <cellStyle name="Input 3 20" xfId="32950" xr:uid="{00000000-0005-0000-0000-00009E800000}"/>
    <cellStyle name="Input 3 20 10" xfId="32951" xr:uid="{00000000-0005-0000-0000-00009F800000}"/>
    <cellStyle name="Input 3 20 11" xfId="32952" xr:uid="{00000000-0005-0000-0000-0000A0800000}"/>
    <cellStyle name="Input 3 20 12" xfId="32953" xr:uid="{00000000-0005-0000-0000-0000A1800000}"/>
    <cellStyle name="Input 3 20 13" xfId="32954" xr:uid="{00000000-0005-0000-0000-0000A2800000}"/>
    <cellStyle name="Input 3 20 14" xfId="32955" xr:uid="{00000000-0005-0000-0000-0000A3800000}"/>
    <cellStyle name="Input 3 20 15" xfId="32956" xr:uid="{00000000-0005-0000-0000-0000A4800000}"/>
    <cellStyle name="Input 3 20 2" xfId="32957" xr:uid="{00000000-0005-0000-0000-0000A5800000}"/>
    <cellStyle name="Input 3 20 3" xfId="32958" xr:uid="{00000000-0005-0000-0000-0000A6800000}"/>
    <cellStyle name="Input 3 20 4" xfId="32959" xr:uid="{00000000-0005-0000-0000-0000A7800000}"/>
    <cellStyle name="Input 3 20 5" xfId="32960" xr:uid="{00000000-0005-0000-0000-0000A8800000}"/>
    <cellStyle name="Input 3 20 6" xfId="32961" xr:uid="{00000000-0005-0000-0000-0000A9800000}"/>
    <cellStyle name="Input 3 20 7" xfId="32962" xr:uid="{00000000-0005-0000-0000-0000AA800000}"/>
    <cellStyle name="Input 3 20 8" xfId="32963" xr:uid="{00000000-0005-0000-0000-0000AB800000}"/>
    <cellStyle name="Input 3 20 9" xfId="32964" xr:uid="{00000000-0005-0000-0000-0000AC800000}"/>
    <cellStyle name="Input 3 21" xfId="32965" xr:uid="{00000000-0005-0000-0000-0000AD800000}"/>
    <cellStyle name="Input 3 21 10" xfId="32966" xr:uid="{00000000-0005-0000-0000-0000AE800000}"/>
    <cellStyle name="Input 3 21 11" xfId="32967" xr:uid="{00000000-0005-0000-0000-0000AF800000}"/>
    <cellStyle name="Input 3 21 12" xfId="32968" xr:uid="{00000000-0005-0000-0000-0000B0800000}"/>
    <cellStyle name="Input 3 21 13" xfId="32969" xr:uid="{00000000-0005-0000-0000-0000B1800000}"/>
    <cellStyle name="Input 3 21 14" xfId="32970" xr:uid="{00000000-0005-0000-0000-0000B2800000}"/>
    <cellStyle name="Input 3 21 15" xfId="32971" xr:uid="{00000000-0005-0000-0000-0000B3800000}"/>
    <cellStyle name="Input 3 21 2" xfId="32972" xr:uid="{00000000-0005-0000-0000-0000B4800000}"/>
    <cellStyle name="Input 3 21 3" xfId="32973" xr:uid="{00000000-0005-0000-0000-0000B5800000}"/>
    <cellStyle name="Input 3 21 4" xfId="32974" xr:uid="{00000000-0005-0000-0000-0000B6800000}"/>
    <cellStyle name="Input 3 21 5" xfId="32975" xr:uid="{00000000-0005-0000-0000-0000B7800000}"/>
    <cellStyle name="Input 3 21 6" xfId="32976" xr:uid="{00000000-0005-0000-0000-0000B8800000}"/>
    <cellStyle name="Input 3 21 7" xfId="32977" xr:uid="{00000000-0005-0000-0000-0000B9800000}"/>
    <cellStyle name="Input 3 21 8" xfId="32978" xr:uid="{00000000-0005-0000-0000-0000BA800000}"/>
    <cellStyle name="Input 3 21 9" xfId="32979" xr:uid="{00000000-0005-0000-0000-0000BB800000}"/>
    <cellStyle name="Input 3 22" xfId="32980" xr:uid="{00000000-0005-0000-0000-0000BC800000}"/>
    <cellStyle name="Input 3 22 10" xfId="32981" xr:uid="{00000000-0005-0000-0000-0000BD800000}"/>
    <cellStyle name="Input 3 22 11" xfId="32982" xr:uid="{00000000-0005-0000-0000-0000BE800000}"/>
    <cellStyle name="Input 3 22 12" xfId="32983" xr:uid="{00000000-0005-0000-0000-0000BF800000}"/>
    <cellStyle name="Input 3 22 13" xfId="32984" xr:uid="{00000000-0005-0000-0000-0000C0800000}"/>
    <cellStyle name="Input 3 22 14" xfId="32985" xr:uid="{00000000-0005-0000-0000-0000C1800000}"/>
    <cellStyle name="Input 3 22 15" xfId="32986" xr:uid="{00000000-0005-0000-0000-0000C2800000}"/>
    <cellStyle name="Input 3 22 2" xfId="32987" xr:uid="{00000000-0005-0000-0000-0000C3800000}"/>
    <cellStyle name="Input 3 22 3" xfId="32988" xr:uid="{00000000-0005-0000-0000-0000C4800000}"/>
    <cellStyle name="Input 3 22 4" xfId="32989" xr:uid="{00000000-0005-0000-0000-0000C5800000}"/>
    <cellStyle name="Input 3 22 5" xfId="32990" xr:uid="{00000000-0005-0000-0000-0000C6800000}"/>
    <cellStyle name="Input 3 22 6" xfId="32991" xr:uid="{00000000-0005-0000-0000-0000C7800000}"/>
    <cellStyle name="Input 3 22 7" xfId="32992" xr:uid="{00000000-0005-0000-0000-0000C8800000}"/>
    <cellStyle name="Input 3 22 8" xfId="32993" xr:uid="{00000000-0005-0000-0000-0000C9800000}"/>
    <cellStyle name="Input 3 22 9" xfId="32994" xr:uid="{00000000-0005-0000-0000-0000CA800000}"/>
    <cellStyle name="Input 3 23" xfId="32995" xr:uid="{00000000-0005-0000-0000-0000CB800000}"/>
    <cellStyle name="Input 3 23 10" xfId="32996" xr:uid="{00000000-0005-0000-0000-0000CC800000}"/>
    <cellStyle name="Input 3 23 11" xfId="32997" xr:uid="{00000000-0005-0000-0000-0000CD800000}"/>
    <cellStyle name="Input 3 23 12" xfId="32998" xr:uid="{00000000-0005-0000-0000-0000CE800000}"/>
    <cellStyle name="Input 3 23 13" xfId="32999" xr:uid="{00000000-0005-0000-0000-0000CF800000}"/>
    <cellStyle name="Input 3 23 14" xfId="33000" xr:uid="{00000000-0005-0000-0000-0000D0800000}"/>
    <cellStyle name="Input 3 23 15" xfId="33001" xr:uid="{00000000-0005-0000-0000-0000D1800000}"/>
    <cellStyle name="Input 3 23 2" xfId="33002" xr:uid="{00000000-0005-0000-0000-0000D2800000}"/>
    <cellStyle name="Input 3 23 3" xfId="33003" xr:uid="{00000000-0005-0000-0000-0000D3800000}"/>
    <cellStyle name="Input 3 23 4" xfId="33004" xr:uid="{00000000-0005-0000-0000-0000D4800000}"/>
    <cellStyle name="Input 3 23 5" xfId="33005" xr:uid="{00000000-0005-0000-0000-0000D5800000}"/>
    <cellStyle name="Input 3 23 6" xfId="33006" xr:uid="{00000000-0005-0000-0000-0000D6800000}"/>
    <cellStyle name="Input 3 23 7" xfId="33007" xr:uid="{00000000-0005-0000-0000-0000D7800000}"/>
    <cellStyle name="Input 3 23 8" xfId="33008" xr:uid="{00000000-0005-0000-0000-0000D8800000}"/>
    <cellStyle name="Input 3 23 9" xfId="33009" xr:uid="{00000000-0005-0000-0000-0000D9800000}"/>
    <cellStyle name="Input 3 24" xfId="33010" xr:uid="{00000000-0005-0000-0000-0000DA800000}"/>
    <cellStyle name="Input 3 24 10" xfId="33011" xr:uid="{00000000-0005-0000-0000-0000DB800000}"/>
    <cellStyle name="Input 3 24 11" xfId="33012" xr:uid="{00000000-0005-0000-0000-0000DC800000}"/>
    <cellStyle name="Input 3 24 12" xfId="33013" xr:uid="{00000000-0005-0000-0000-0000DD800000}"/>
    <cellStyle name="Input 3 24 13" xfId="33014" xr:uid="{00000000-0005-0000-0000-0000DE800000}"/>
    <cellStyle name="Input 3 24 14" xfId="33015" xr:uid="{00000000-0005-0000-0000-0000DF800000}"/>
    <cellStyle name="Input 3 24 15" xfId="33016" xr:uid="{00000000-0005-0000-0000-0000E0800000}"/>
    <cellStyle name="Input 3 24 2" xfId="33017" xr:uid="{00000000-0005-0000-0000-0000E1800000}"/>
    <cellStyle name="Input 3 24 3" xfId="33018" xr:uid="{00000000-0005-0000-0000-0000E2800000}"/>
    <cellStyle name="Input 3 24 4" xfId="33019" xr:uid="{00000000-0005-0000-0000-0000E3800000}"/>
    <cellStyle name="Input 3 24 5" xfId="33020" xr:uid="{00000000-0005-0000-0000-0000E4800000}"/>
    <cellStyle name="Input 3 24 6" xfId="33021" xr:uid="{00000000-0005-0000-0000-0000E5800000}"/>
    <cellStyle name="Input 3 24 7" xfId="33022" xr:uid="{00000000-0005-0000-0000-0000E6800000}"/>
    <cellStyle name="Input 3 24 8" xfId="33023" xr:uid="{00000000-0005-0000-0000-0000E7800000}"/>
    <cellStyle name="Input 3 24 9" xfId="33024" xr:uid="{00000000-0005-0000-0000-0000E8800000}"/>
    <cellStyle name="Input 3 25" xfId="33025" xr:uid="{00000000-0005-0000-0000-0000E9800000}"/>
    <cellStyle name="Input 3 25 10" xfId="33026" xr:uid="{00000000-0005-0000-0000-0000EA800000}"/>
    <cellStyle name="Input 3 25 11" xfId="33027" xr:uid="{00000000-0005-0000-0000-0000EB800000}"/>
    <cellStyle name="Input 3 25 12" xfId="33028" xr:uid="{00000000-0005-0000-0000-0000EC800000}"/>
    <cellStyle name="Input 3 25 13" xfId="33029" xr:uid="{00000000-0005-0000-0000-0000ED800000}"/>
    <cellStyle name="Input 3 25 14" xfId="33030" xr:uid="{00000000-0005-0000-0000-0000EE800000}"/>
    <cellStyle name="Input 3 25 15" xfId="33031" xr:uid="{00000000-0005-0000-0000-0000EF800000}"/>
    <cellStyle name="Input 3 25 2" xfId="33032" xr:uid="{00000000-0005-0000-0000-0000F0800000}"/>
    <cellStyle name="Input 3 25 3" xfId="33033" xr:uid="{00000000-0005-0000-0000-0000F1800000}"/>
    <cellStyle name="Input 3 25 4" xfId="33034" xr:uid="{00000000-0005-0000-0000-0000F2800000}"/>
    <cellStyle name="Input 3 25 5" xfId="33035" xr:uid="{00000000-0005-0000-0000-0000F3800000}"/>
    <cellStyle name="Input 3 25 6" xfId="33036" xr:uid="{00000000-0005-0000-0000-0000F4800000}"/>
    <cellStyle name="Input 3 25 7" xfId="33037" xr:uid="{00000000-0005-0000-0000-0000F5800000}"/>
    <cellStyle name="Input 3 25 8" xfId="33038" xr:uid="{00000000-0005-0000-0000-0000F6800000}"/>
    <cellStyle name="Input 3 25 9" xfId="33039" xr:uid="{00000000-0005-0000-0000-0000F7800000}"/>
    <cellStyle name="Input 3 26" xfId="33040" xr:uid="{00000000-0005-0000-0000-0000F8800000}"/>
    <cellStyle name="Input 3 26 10" xfId="33041" xr:uid="{00000000-0005-0000-0000-0000F9800000}"/>
    <cellStyle name="Input 3 26 11" xfId="33042" xr:uid="{00000000-0005-0000-0000-0000FA800000}"/>
    <cellStyle name="Input 3 26 12" xfId="33043" xr:uid="{00000000-0005-0000-0000-0000FB800000}"/>
    <cellStyle name="Input 3 26 13" xfId="33044" xr:uid="{00000000-0005-0000-0000-0000FC800000}"/>
    <cellStyle name="Input 3 26 14" xfId="33045" xr:uid="{00000000-0005-0000-0000-0000FD800000}"/>
    <cellStyle name="Input 3 26 15" xfId="33046" xr:uid="{00000000-0005-0000-0000-0000FE800000}"/>
    <cellStyle name="Input 3 26 2" xfId="33047" xr:uid="{00000000-0005-0000-0000-0000FF800000}"/>
    <cellStyle name="Input 3 26 3" xfId="33048" xr:uid="{00000000-0005-0000-0000-000000810000}"/>
    <cellStyle name="Input 3 26 4" xfId="33049" xr:uid="{00000000-0005-0000-0000-000001810000}"/>
    <cellStyle name="Input 3 26 5" xfId="33050" xr:uid="{00000000-0005-0000-0000-000002810000}"/>
    <cellStyle name="Input 3 26 6" xfId="33051" xr:uid="{00000000-0005-0000-0000-000003810000}"/>
    <cellStyle name="Input 3 26 7" xfId="33052" xr:uid="{00000000-0005-0000-0000-000004810000}"/>
    <cellStyle name="Input 3 26 8" xfId="33053" xr:uid="{00000000-0005-0000-0000-000005810000}"/>
    <cellStyle name="Input 3 26 9" xfId="33054" xr:uid="{00000000-0005-0000-0000-000006810000}"/>
    <cellStyle name="Input 3 27" xfId="33055" xr:uid="{00000000-0005-0000-0000-000007810000}"/>
    <cellStyle name="Input 3 27 10" xfId="33056" xr:uid="{00000000-0005-0000-0000-000008810000}"/>
    <cellStyle name="Input 3 27 11" xfId="33057" xr:uid="{00000000-0005-0000-0000-000009810000}"/>
    <cellStyle name="Input 3 27 12" xfId="33058" xr:uid="{00000000-0005-0000-0000-00000A810000}"/>
    <cellStyle name="Input 3 27 13" xfId="33059" xr:uid="{00000000-0005-0000-0000-00000B810000}"/>
    <cellStyle name="Input 3 27 14" xfId="33060" xr:uid="{00000000-0005-0000-0000-00000C810000}"/>
    <cellStyle name="Input 3 27 15" xfId="33061" xr:uid="{00000000-0005-0000-0000-00000D810000}"/>
    <cellStyle name="Input 3 27 2" xfId="33062" xr:uid="{00000000-0005-0000-0000-00000E810000}"/>
    <cellStyle name="Input 3 27 3" xfId="33063" xr:uid="{00000000-0005-0000-0000-00000F810000}"/>
    <cellStyle name="Input 3 27 4" xfId="33064" xr:uid="{00000000-0005-0000-0000-000010810000}"/>
    <cellStyle name="Input 3 27 5" xfId="33065" xr:uid="{00000000-0005-0000-0000-000011810000}"/>
    <cellStyle name="Input 3 27 6" xfId="33066" xr:uid="{00000000-0005-0000-0000-000012810000}"/>
    <cellStyle name="Input 3 27 7" xfId="33067" xr:uid="{00000000-0005-0000-0000-000013810000}"/>
    <cellStyle name="Input 3 27 8" xfId="33068" xr:uid="{00000000-0005-0000-0000-000014810000}"/>
    <cellStyle name="Input 3 27 9" xfId="33069" xr:uid="{00000000-0005-0000-0000-000015810000}"/>
    <cellStyle name="Input 3 28" xfId="33070" xr:uid="{00000000-0005-0000-0000-000016810000}"/>
    <cellStyle name="Input 3 28 10" xfId="33071" xr:uid="{00000000-0005-0000-0000-000017810000}"/>
    <cellStyle name="Input 3 28 11" xfId="33072" xr:uid="{00000000-0005-0000-0000-000018810000}"/>
    <cellStyle name="Input 3 28 12" xfId="33073" xr:uid="{00000000-0005-0000-0000-000019810000}"/>
    <cellStyle name="Input 3 28 13" xfId="33074" xr:uid="{00000000-0005-0000-0000-00001A810000}"/>
    <cellStyle name="Input 3 28 14" xfId="33075" xr:uid="{00000000-0005-0000-0000-00001B810000}"/>
    <cellStyle name="Input 3 28 15" xfId="33076" xr:uid="{00000000-0005-0000-0000-00001C810000}"/>
    <cellStyle name="Input 3 28 2" xfId="33077" xr:uid="{00000000-0005-0000-0000-00001D810000}"/>
    <cellStyle name="Input 3 28 3" xfId="33078" xr:uid="{00000000-0005-0000-0000-00001E810000}"/>
    <cellStyle name="Input 3 28 4" xfId="33079" xr:uid="{00000000-0005-0000-0000-00001F810000}"/>
    <cellStyle name="Input 3 28 5" xfId="33080" xr:uid="{00000000-0005-0000-0000-000020810000}"/>
    <cellStyle name="Input 3 28 6" xfId="33081" xr:uid="{00000000-0005-0000-0000-000021810000}"/>
    <cellStyle name="Input 3 28 7" xfId="33082" xr:uid="{00000000-0005-0000-0000-000022810000}"/>
    <cellStyle name="Input 3 28 8" xfId="33083" xr:uid="{00000000-0005-0000-0000-000023810000}"/>
    <cellStyle name="Input 3 28 9" xfId="33084" xr:uid="{00000000-0005-0000-0000-000024810000}"/>
    <cellStyle name="Input 3 29" xfId="33085" xr:uid="{00000000-0005-0000-0000-000025810000}"/>
    <cellStyle name="Input 3 29 10" xfId="33086" xr:uid="{00000000-0005-0000-0000-000026810000}"/>
    <cellStyle name="Input 3 29 11" xfId="33087" xr:uid="{00000000-0005-0000-0000-000027810000}"/>
    <cellStyle name="Input 3 29 12" xfId="33088" xr:uid="{00000000-0005-0000-0000-000028810000}"/>
    <cellStyle name="Input 3 29 13" xfId="33089" xr:uid="{00000000-0005-0000-0000-000029810000}"/>
    <cellStyle name="Input 3 29 14" xfId="33090" xr:uid="{00000000-0005-0000-0000-00002A810000}"/>
    <cellStyle name="Input 3 29 15" xfId="33091" xr:uid="{00000000-0005-0000-0000-00002B810000}"/>
    <cellStyle name="Input 3 29 2" xfId="33092" xr:uid="{00000000-0005-0000-0000-00002C810000}"/>
    <cellStyle name="Input 3 29 3" xfId="33093" xr:uid="{00000000-0005-0000-0000-00002D810000}"/>
    <cellStyle name="Input 3 29 4" xfId="33094" xr:uid="{00000000-0005-0000-0000-00002E810000}"/>
    <cellStyle name="Input 3 29 5" xfId="33095" xr:uid="{00000000-0005-0000-0000-00002F810000}"/>
    <cellStyle name="Input 3 29 6" xfId="33096" xr:uid="{00000000-0005-0000-0000-000030810000}"/>
    <cellStyle name="Input 3 29 7" xfId="33097" xr:uid="{00000000-0005-0000-0000-000031810000}"/>
    <cellStyle name="Input 3 29 8" xfId="33098" xr:uid="{00000000-0005-0000-0000-000032810000}"/>
    <cellStyle name="Input 3 29 9" xfId="33099" xr:uid="{00000000-0005-0000-0000-000033810000}"/>
    <cellStyle name="Input 3 3" xfId="33100" xr:uid="{00000000-0005-0000-0000-000034810000}"/>
    <cellStyle name="Input 3 3 10" xfId="33101" xr:uid="{00000000-0005-0000-0000-000035810000}"/>
    <cellStyle name="Input 3 3 11" xfId="33102" xr:uid="{00000000-0005-0000-0000-000036810000}"/>
    <cellStyle name="Input 3 3 12" xfId="33103" xr:uid="{00000000-0005-0000-0000-000037810000}"/>
    <cellStyle name="Input 3 3 13" xfId="33104" xr:uid="{00000000-0005-0000-0000-000038810000}"/>
    <cellStyle name="Input 3 3 14" xfId="33105" xr:uid="{00000000-0005-0000-0000-000039810000}"/>
    <cellStyle name="Input 3 3 15" xfId="33106" xr:uid="{00000000-0005-0000-0000-00003A810000}"/>
    <cellStyle name="Input 3 3 16" xfId="33107" xr:uid="{00000000-0005-0000-0000-00003B810000}"/>
    <cellStyle name="Input 3 3 2" xfId="33108" xr:uid="{00000000-0005-0000-0000-00003C810000}"/>
    <cellStyle name="Input 3 3 3" xfId="33109" xr:uid="{00000000-0005-0000-0000-00003D810000}"/>
    <cellStyle name="Input 3 3 4" xfId="33110" xr:uid="{00000000-0005-0000-0000-00003E810000}"/>
    <cellStyle name="Input 3 3 5" xfId="33111" xr:uid="{00000000-0005-0000-0000-00003F810000}"/>
    <cellStyle name="Input 3 3 6" xfId="33112" xr:uid="{00000000-0005-0000-0000-000040810000}"/>
    <cellStyle name="Input 3 3 7" xfId="33113" xr:uid="{00000000-0005-0000-0000-000041810000}"/>
    <cellStyle name="Input 3 3 8" xfId="33114" xr:uid="{00000000-0005-0000-0000-000042810000}"/>
    <cellStyle name="Input 3 3 9" xfId="33115" xr:uid="{00000000-0005-0000-0000-000043810000}"/>
    <cellStyle name="Input 3 30" xfId="33116" xr:uid="{00000000-0005-0000-0000-000044810000}"/>
    <cellStyle name="Input 3 30 10" xfId="33117" xr:uid="{00000000-0005-0000-0000-000045810000}"/>
    <cellStyle name="Input 3 30 11" xfId="33118" xr:uid="{00000000-0005-0000-0000-000046810000}"/>
    <cellStyle name="Input 3 30 12" xfId="33119" xr:uid="{00000000-0005-0000-0000-000047810000}"/>
    <cellStyle name="Input 3 30 13" xfId="33120" xr:uid="{00000000-0005-0000-0000-000048810000}"/>
    <cellStyle name="Input 3 30 14" xfId="33121" xr:uid="{00000000-0005-0000-0000-000049810000}"/>
    <cellStyle name="Input 3 30 15" xfId="33122" xr:uid="{00000000-0005-0000-0000-00004A810000}"/>
    <cellStyle name="Input 3 30 2" xfId="33123" xr:uid="{00000000-0005-0000-0000-00004B810000}"/>
    <cellStyle name="Input 3 30 3" xfId="33124" xr:uid="{00000000-0005-0000-0000-00004C810000}"/>
    <cellStyle name="Input 3 30 4" xfId="33125" xr:uid="{00000000-0005-0000-0000-00004D810000}"/>
    <cellStyle name="Input 3 30 5" xfId="33126" xr:uid="{00000000-0005-0000-0000-00004E810000}"/>
    <cellStyle name="Input 3 30 6" xfId="33127" xr:uid="{00000000-0005-0000-0000-00004F810000}"/>
    <cellStyle name="Input 3 30 7" xfId="33128" xr:uid="{00000000-0005-0000-0000-000050810000}"/>
    <cellStyle name="Input 3 30 8" xfId="33129" xr:uid="{00000000-0005-0000-0000-000051810000}"/>
    <cellStyle name="Input 3 30 9" xfId="33130" xr:uid="{00000000-0005-0000-0000-000052810000}"/>
    <cellStyle name="Input 3 31" xfId="33131" xr:uid="{00000000-0005-0000-0000-000053810000}"/>
    <cellStyle name="Input 3 31 10" xfId="33132" xr:uid="{00000000-0005-0000-0000-000054810000}"/>
    <cellStyle name="Input 3 31 11" xfId="33133" xr:uid="{00000000-0005-0000-0000-000055810000}"/>
    <cellStyle name="Input 3 31 12" xfId="33134" xr:uid="{00000000-0005-0000-0000-000056810000}"/>
    <cellStyle name="Input 3 31 13" xfId="33135" xr:uid="{00000000-0005-0000-0000-000057810000}"/>
    <cellStyle name="Input 3 31 14" xfId="33136" xr:uid="{00000000-0005-0000-0000-000058810000}"/>
    <cellStyle name="Input 3 31 15" xfId="33137" xr:uid="{00000000-0005-0000-0000-000059810000}"/>
    <cellStyle name="Input 3 31 2" xfId="33138" xr:uid="{00000000-0005-0000-0000-00005A810000}"/>
    <cellStyle name="Input 3 31 3" xfId="33139" xr:uid="{00000000-0005-0000-0000-00005B810000}"/>
    <cellStyle name="Input 3 31 4" xfId="33140" xr:uid="{00000000-0005-0000-0000-00005C810000}"/>
    <cellStyle name="Input 3 31 5" xfId="33141" xr:uid="{00000000-0005-0000-0000-00005D810000}"/>
    <cellStyle name="Input 3 31 6" xfId="33142" xr:uid="{00000000-0005-0000-0000-00005E810000}"/>
    <cellStyle name="Input 3 31 7" xfId="33143" xr:uid="{00000000-0005-0000-0000-00005F810000}"/>
    <cellStyle name="Input 3 31 8" xfId="33144" xr:uid="{00000000-0005-0000-0000-000060810000}"/>
    <cellStyle name="Input 3 31 9" xfId="33145" xr:uid="{00000000-0005-0000-0000-000061810000}"/>
    <cellStyle name="Input 3 32" xfId="33146" xr:uid="{00000000-0005-0000-0000-000062810000}"/>
    <cellStyle name="Input 3 32 10" xfId="33147" xr:uid="{00000000-0005-0000-0000-000063810000}"/>
    <cellStyle name="Input 3 32 11" xfId="33148" xr:uid="{00000000-0005-0000-0000-000064810000}"/>
    <cellStyle name="Input 3 32 12" xfId="33149" xr:uid="{00000000-0005-0000-0000-000065810000}"/>
    <cellStyle name="Input 3 32 13" xfId="33150" xr:uid="{00000000-0005-0000-0000-000066810000}"/>
    <cellStyle name="Input 3 32 14" xfId="33151" xr:uid="{00000000-0005-0000-0000-000067810000}"/>
    <cellStyle name="Input 3 32 15" xfId="33152" xr:uid="{00000000-0005-0000-0000-000068810000}"/>
    <cellStyle name="Input 3 32 2" xfId="33153" xr:uid="{00000000-0005-0000-0000-000069810000}"/>
    <cellStyle name="Input 3 32 3" xfId="33154" xr:uid="{00000000-0005-0000-0000-00006A810000}"/>
    <cellStyle name="Input 3 32 4" xfId="33155" xr:uid="{00000000-0005-0000-0000-00006B810000}"/>
    <cellStyle name="Input 3 32 5" xfId="33156" xr:uid="{00000000-0005-0000-0000-00006C810000}"/>
    <cellStyle name="Input 3 32 6" xfId="33157" xr:uid="{00000000-0005-0000-0000-00006D810000}"/>
    <cellStyle name="Input 3 32 7" xfId="33158" xr:uid="{00000000-0005-0000-0000-00006E810000}"/>
    <cellStyle name="Input 3 32 8" xfId="33159" xr:uid="{00000000-0005-0000-0000-00006F810000}"/>
    <cellStyle name="Input 3 32 9" xfId="33160" xr:uid="{00000000-0005-0000-0000-000070810000}"/>
    <cellStyle name="Input 3 33" xfId="33161" xr:uid="{00000000-0005-0000-0000-000071810000}"/>
    <cellStyle name="Input 3 34" xfId="33162" xr:uid="{00000000-0005-0000-0000-000072810000}"/>
    <cellStyle name="Input 3 35" xfId="33163" xr:uid="{00000000-0005-0000-0000-000073810000}"/>
    <cellStyle name="Input 3 36" xfId="33164" xr:uid="{00000000-0005-0000-0000-000074810000}"/>
    <cellStyle name="Input 3 37" xfId="33165" xr:uid="{00000000-0005-0000-0000-000075810000}"/>
    <cellStyle name="Input 3 38" xfId="33166" xr:uid="{00000000-0005-0000-0000-000076810000}"/>
    <cellStyle name="Input 3 39" xfId="33167" xr:uid="{00000000-0005-0000-0000-000077810000}"/>
    <cellStyle name="Input 3 4" xfId="33168" xr:uid="{00000000-0005-0000-0000-000078810000}"/>
    <cellStyle name="Input 3 4 10" xfId="33169" xr:uid="{00000000-0005-0000-0000-000079810000}"/>
    <cellStyle name="Input 3 4 11" xfId="33170" xr:uid="{00000000-0005-0000-0000-00007A810000}"/>
    <cellStyle name="Input 3 4 12" xfId="33171" xr:uid="{00000000-0005-0000-0000-00007B810000}"/>
    <cellStyle name="Input 3 4 13" xfId="33172" xr:uid="{00000000-0005-0000-0000-00007C810000}"/>
    <cellStyle name="Input 3 4 14" xfId="33173" xr:uid="{00000000-0005-0000-0000-00007D810000}"/>
    <cellStyle name="Input 3 4 15" xfId="33174" xr:uid="{00000000-0005-0000-0000-00007E810000}"/>
    <cellStyle name="Input 3 4 2" xfId="33175" xr:uid="{00000000-0005-0000-0000-00007F810000}"/>
    <cellStyle name="Input 3 4 3" xfId="33176" xr:uid="{00000000-0005-0000-0000-000080810000}"/>
    <cellStyle name="Input 3 4 4" xfId="33177" xr:uid="{00000000-0005-0000-0000-000081810000}"/>
    <cellStyle name="Input 3 4 5" xfId="33178" xr:uid="{00000000-0005-0000-0000-000082810000}"/>
    <cellStyle name="Input 3 4 6" xfId="33179" xr:uid="{00000000-0005-0000-0000-000083810000}"/>
    <cellStyle name="Input 3 4 7" xfId="33180" xr:uid="{00000000-0005-0000-0000-000084810000}"/>
    <cellStyle name="Input 3 4 8" xfId="33181" xr:uid="{00000000-0005-0000-0000-000085810000}"/>
    <cellStyle name="Input 3 4 9" xfId="33182" xr:uid="{00000000-0005-0000-0000-000086810000}"/>
    <cellStyle name="Input 3 40" xfId="33183" xr:uid="{00000000-0005-0000-0000-000087810000}"/>
    <cellStyle name="Input 3 41" xfId="33184" xr:uid="{00000000-0005-0000-0000-000088810000}"/>
    <cellStyle name="Input 3 42" xfId="33185" xr:uid="{00000000-0005-0000-0000-000089810000}"/>
    <cellStyle name="Input 3 43" xfId="33186" xr:uid="{00000000-0005-0000-0000-00008A810000}"/>
    <cellStyle name="Input 3 44" xfId="33187" xr:uid="{00000000-0005-0000-0000-00008B810000}"/>
    <cellStyle name="Input 3 45" xfId="33188" xr:uid="{00000000-0005-0000-0000-00008C810000}"/>
    <cellStyle name="Input 3 46" xfId="33189" xr:uid="{00000000-0005-0000-0000-00008D810000}"/>
    <cellStyle name="Input 3 47" xfId="33190" xr:uid="{00000000-0005-0000-0000-00008E810000}"/>
    <cellStyle name="Input 3 48" xfId="33191" xr:uid="{00000000-0005-0000-0000-00008F810000}"/>
    <cellStyle name="Input 3 49" xfId="33192" xr:uid="{00000000-0005-0000-0000-000090810000}"/>
    <cellStyle name="Input 3 5" xfId="33193" xr:uid="{00000000-0005-0000-0000-000091810000}"/>
    <cellStyle name="Input 3 5 10" xfId="33194" xr:uid="{00000000-0005-0000-0000-000092810000}"/>
    <cellStyle name="Input 3 5 11" xfId="33195" xr:uid="{00000000-0005-0000-0000-000093810000}"/>
    <cellStyle name="Input 3 5 12" xfId="33196" xr:uid="{00000000-0005-0000-0000-000094810000}"/>
    <cellStyle name="Input 3 5 13" xfId="33197" xr:uid="{00000000-0005-0000-0000-000095810000}"/>
    <cellStyle name="Input 3 5 14" xfId="33198" xr:uid="{00000000-0005-0000-0000-000096810000}"/>
    <cellStyle name="Input 3 5 15" xfId="33199" xr:uid="{00000000-0005-0000-0000-000097810000}"/>
    <cellStyle name="Input 3 5 2" xfId="33200" xr:uid="{00000000-0005-0000-0000-000098810000}"/>
    <cellStyle name="Input 3 5 3" xfId="33201" xr:uid="{00000000-0005-0000-0000-000099810000}"/>
    <cellStyle name="Input 3 5 4" xfId="33202" xr:uid="{00000000-0005-0000-0000-00009A810000}"/>
    <cellStyle name="Input 3 5 5" xfId="33203" xr:uid="{00000000-0005-0000-0000-00009B810000}"/>
    <cellStyle name="Input 3 5 6" xfId="33204" xr:uid="{00000000-0005-0000-0000-00009C810000}"/>
    <cellStyle name="Input 3 5 7" xfId="33205" xr:uid="{00000000-0005-0000-0000-00009D810000}"/>
    <cellStyle name="Input 3 5 8" xfId="33206" xr:uid="{00000000-0005-0000-0000-00009E810000}"/>
    <cellStyle name="Input 3 5 9" xfId="33207" xr:uid="{00000000-0005-0000-0000-00009F810000}"/>
    <cellStyle name="Input 3 50" xfId="33208" xr:uid="{00000000-0005-0000-0000-0000A0810000}"/>
    <cellStyle name="Input 3 51" xfId="33209" xr:uid="{00000000-0005-0000-0000-0000A1810000}"/>
    <cellStyle name="Input 3 52" xfId="33210" xr:uid="{00000000-0005-0000-0000-0000A2810000}"/>
    <cellStyle name="Input 3 53" xfId="33211" xr:uid="{00000000-0005-0000-0000-0000A3810000}"/>
    <cellStyle name="Input 3 6" xfId="33212" xr:uid="{00000000-0005-0000-0000-0000A4810000}"/>
    <cellStyle name="Input 3 6 10" xfId="33213" xr:uid="{00000000-0005-0000-0000-0000A5810000}"/>
    <cellStyle name="Input 3 6 11" xfId="33214" xr:uid="{00000000-0005-0000-0000-0000A6810000}"/>
    <cellStyle name="Input 3 6 12" xfId="33215" xr:uid="{00000000-0005-0000-0000-0000A7810000}"/>
    <cellStyle name="Input 3 6 13" xfId="33216" xr:uid="{00000000-0005-0000-0000-0000A8810000}"/>
    <cellStyle name="Input 3 6 14" xfId="33217" xr:uid="{00000000-0005-0000-0000-0000A9810000}"/>
    <cellStyle name="Input 3 6 15" xfId="33218" xr:uid="{00000000-0005-0000-0000-0000AA810000}"/>
    <cellStyle name="Input 3 6 2" xfId="33219" xr:uid="{00000000-0005-0000-0000-0000AB810000}"/>
    <cellStyle name="Input 3 6 3" xfId="33220" xr:uid="{00000000-0005-0000-0000-0000AC810000}"/>
    <cellStyle name="Input 3 6 4" xfId="33221" xr:uid="{00000000-0005-0000-0000-0000AD810000}"/>
    <cellStyle name="Input 3 6 5" xfId="33222" xr:uid="{00000000-0005-0000-0000-0000AE810000}"/>
    <cellStyle name="Input 3 6 6" xfId="33223" xr:uid="{00000000-0005-0000-0000-0000AF810000}"/>
    <cellStyle name="Input 3 6 7" xfId="33224" xr:uid="{00000000-0005-0000-0000-0000B0810000}"/>
    <cellStyle name="Input 3 6 8" xfId="33225" xr:uid="{00000000-0005-0000-0000-0000B1810000}"/>
    <cellStyle name="Input 3 6 9" xfId="33226" xr:uid="{00000000-0005-0000-0000-0000B2810000}"/>
    <cellStyle name="Input 3 7" xfId="33227" xr:uid="{00000000-0005-0000-0000-0000B3810000}"/>
    <cellStyle name="Input 3 7 10" xfId="33228" xr:uid="{00000000-0005-0000-0000-0000B4810000}"/>
    <cellStyle name="Input 3 7 11" xfId="33229" xr:uid="{00000000-0005-0000-0000-0000B5810000}"/>
    <cellStyle name="Input 3 7 12" xfId="33230" xr:uid="{00000000-0005-0000-0000-0000B6810000}"/>
    <cellStyle name="Input 3 7 13" xfId="33231" xr:uid="{00000000-0005-0000-0000-0000B7810000}"/>
    <cellStyle name="Input 3 7 14" xfId="33232" xr:uid="{00000000-0005-0000-0000-0000B8810000}"/>
    <cellStyle name="Input 3 7 15" xfId="33233" xr:uid="{00000000-0005-0000-0000-0000B9810000}"/>
    <cellStyle name="Input 3 7 2" xfId="33234" xr:uid="{00000000-0005-0000-0000-0000BA810000}"/>
    <cellStyle name="Input 3 7 3" xfId="33235" xr:uid="{00000000-0005-0000-0000-0000BB810000}"/>
    <cellStyle name="Input 3 7 4" xfId="33236" xr:uid="{00000000-0005-0000-0000-0000BC810000}"/>
    <cellStyle name="Input 3 7 5" xfId="33237" xr:uid="{00000000-0005-0000-0000-0000BD810000}"/>
    <cellStyle name="Input 3 7 6" xfId="33238" xr:uid="{00000000-0005-0000-0000-0000BE810000}"/>
    <cellStyle name="Input 3 7 7" xfId="33239" xr:uid="{00000000-0005-0000-0000-0000BF810000}"/>
    <cellStyle name="Input 3 7 8" xfId="33240" xr:uid="{00000000-0005-0000-0000-0000C0810000}"/>
    <cellStyle name="Input 3 7 9" xfId="33241" xr:uid="{00000000-0005-0000-0000-0000C1810000}"/>
    <cellStyle name="Input 3 8" xfId="33242" xr:uid="{00000000-0005-0000-0000-0000C2810000}"/>
    <cellStyle name="Input 3 8 10" xfId="33243" xr:uid="{00000000-0005-0000-0000-0000C3810000}"/>
    <cellStyle name="Input 3 8 11" xfId="33244" xr:uid="{00000000-0005-0000-0000-0000C4810000}"/>
    <cellStyle name="Input 3 8 12" xfId="33245" xr:uid="{00000000-0005-0000-0000-0000C5810000}"/>
    <cellStyle name="Input 3 8 13" xfId="33246" xr:uid="{00000000-0005-0000-0000-0000C6810000}"/>
    <cellStyle name="Input 3 8 14" xfId="33247" xr:uid="{00000000-0005-0000-0000-0000C7810000}"/>
    <cellStyle name="Input 3 8 15" xfId="33248" xr:uid="{00000000-0005-0000-0000-0000C8810000}"/>
    <cellStyle name="Input 3 8 2" xfId="33249" xr:uid="{00000000-0005-0000-0000-0000C9810000}"/>
    <cellStyle name="Input 3 8 3" xfId="33250" xr:uid="{00000000-0005-0000-0000-0000CA810000}"/>
    <cellStyle name="Input 3 8 4" xfId="33251" xr:uid="{00000000-0005-0000-0000-0000CB810000}"/>
    <cellStyle name="Input 3 8 5" xfId="33252" xr:uid="{00000000-0005-0000-0000-0000CC810000}"/>
    <cellStyle name="Input 3 8 6" xfId="33253" xr:uid="{00000000-0005-0000-0000-0000CD810000}"/>
    <cellStyle name="Input 3 8 7" xfId="33254" xr:uid="{00000000-0005-0000-0000-0000CE810000}"/>
    <cellStyle name="Input 3 8 8" xfId="33255" xr:uid="{00000000-0005-0000-0000-0000CF810000}"/>
    <cellStyle name="Input 3 8 9" xfId="33256" xr:uid="{00000000-0005-0000-0000-0000D0810000}"/>
    <cellStyle name="Input 3 9" xfId="33257" xr:uid="{00000000-0005-0000-0000-0000D1810000}"/>
    <cellStyle name="Input 3 9 10" xfId="33258" xr:uid="{00000000-0005-0000-0000-0000D2810000}"/>
    <cellStyle name="Input 3 9 11" xfId="33259" xr:uid="{00000000-0005-0000-0000-0000D3810000}"/>
    <cellStyle name="Input 3 9 12" xfId="33260" xr:uid="{00000000-0005-0000-0000-0000D4810000}"/>
    <cellStyle name="Input 3 9 13" xfId="33261" xr:uid="{00000000-0005-0000-0000-0000D5810000}"/>
    <cellStyle name="Input 3 9 14" xfId="33262" xr:uid="{00000000-0005-0000-0000-0000D6810000}"/>
    <cellStyle name="Input 3 9 15" xfId="33263" xr:uid="{00000000-0005-0000-0000-0000D7810000}"/>
    <cellStyle name="Input 3 9 2" xfId="33264" xr:uid="{00000000-0005-0000-0000-0000D8810000}"/>
    <cellStyle name="Input 3 9 3" xfId="33265" xr:uid="{00000000-0005-0000-0000-0000D9810000}"/>
    <cellStyle name="Input 3 9 4" xfId="33266" xr:uid="{00000000-0005-0000-0000-0000DA810000}"/>
    <cellStyle name="Input 3 9 5" xfId="33267" xr:uid="{00000000-0005-0000-0000-0000DB810000}"/>
    <cellStyle name="Input 3 9 6" xfId="33268" xr:uid="{00000000-0005-0000-0000-0000DC810000}"/>
    <cellStyle name="Input 3 9 7" xfId="33269" xr:uid="{00000000-0005-0000-0000-0000DD810000}"/>
    <cellStyle name="Input 3 9 8" xfId="33270" xr:uid="{00000000-0005-0000-0000-0000DE810000}"/>
    <cellStyle name="Input 3 9 9" xfId="33271" xr:uid="{00000000-0005-0000-0000-0000DF810000}"/>
    <cellStyle name="Input 30" xfId="33272" xr:uid="{00000000-0005-0000-0000-0000E0810000}"/>
    <cellStyle name="Input 30 10" xfId="33273" xr:uid="{00000000-0005-0000-0000-0000E1810000}"/>
    <cellStyle name="Input 30 11" xfId="33274" xr:uid="{00000000-0005-0000-0000-0000E2810000}"/>
    <cellStyle name="Input 30 12" xfId="33275" xr:uid="{00000000-0005-0000-0000-0000E3810000}"/>
    <cellStyle name="Input 30 13" xfId="33276" xr:uid="{00000000-0005-0000-0000-0000E4810000}"/>
    <cellStyle name="Input 30 14" xfId="33277" xr:uid="{00000000-0005-0000-0000-0000E5810000}"/>
    <cellStyle name="Input 30 15" xfId="33278" xr:uid="{00000000-0005-0000-0000-0000E6810000}"/>
    <cellStyle name="Input 30 2" xfId="33279" xr:uid="{00000000-0005-0000-0000-0000E7810000}"/>
    <cellStyle name="Input 30 3" xfId="33280" xr:uid="{00000000-0005-0000-0000-0000E8810000}"/>
    <cellStyle name="Input 30 4" xfId="33281" xr:uid="{00000000-0005-0000-0000-0000E9810000}"/>
    <cellStyle name="Input 30 5" xfId="33282" xr:uid="{00000000-0005-0000-0000-0000EA810000}"/>
    <cellStyle name="Input 30 6" xfId="33283" xr:uid="{00000000-0005-0000-0000-0000EB810000}"/>
    <cellStyle name="Input 30 7" xfId="33284" xr:uid="{00000000-0005-0000-0000-0000EC810000}"/>
    <cellStyle name="Input 30 8" xfId="33285" xr:uid="{00000000-0005-0000-0000-0000ED810000}"/>
    <cellStyle name="Input 30 9" xfId="33286" xr:uid="{00000000-0005-0000-0000-0000EE810000}"/>
    <cellStyle name="Input 31" xfId="33287" xr:uid="{00000000-0005-0000-0000-0000EF810000}"/>
    <cellStyle name="Input 31 10" xfId="33288" xr:uid="{00000000-0005-0000-0000-0000F0810000}"/>
    <cellStyle name="Input 31 11" xfId="33289" xr:uid="{00000000-0005-0000-0000-0000F1810000}"/>
    <cellStyle name="Input 31 12" xfId="33290" xr:uid="{00000000-0005-0000-0000-0000F2810000}"/>
    <cellStyle name="Input 31 13" xfId="33291" xr:uid="{00000000-0005-0000-0000-0000F3810000}"/>
    <cellStyle name="Input 31 14" xfId="33292" xr:uid="{00000000-0005-0000-0000-0000F4810000}"/>
    <cellStyle name="Input 31 15" xfId="33293" xr:uid="{00000000-0005-0000-0000-0000F5810000}"/>
    <cellStyle name="Input 31 2" xfId="33294" xr:uid="{00000000-0005-0000-0000-0000F6810000}"/>
    <cellStyle name="Input 31 3" xfId="33295" xr:uid="{00000000-0005-0000-0000-0000F7810000}"/>
    <cellStyle name="Input 31 4" xfId="33296" xr:uid="{00000000-0005-0000-0000-0000F8810000}"/>
    <cellStyle name="Input 31 5" xfId="33297" xr:uid="{00000000-0005-0000-0000-0000F9810000}"/>
    <cellStyle name="Input 31 6" xfId="33298" xr:uid="{00000000-0005-0000-0000-0000FA810000}"/>
    <cellStyle name="Input 31 7" xfId="33299" xr:uid="{00000000-0005-0000-0000-0000FB810000}"/>
    <cellStyle name="Input 31 8" xfId="33300" xr:uid="{00000000-0005-0000-0000-0000FC810000}"/>
    <cellStyle name="Input 31 9" xfId="33301" xr:uid="{00000000-0005-0000-0000-0000FD810000}"/>
    <cellStyle name="Input 32" xfId="33302" xr:uid="{00000000-0005-0000-0000-0000FE810000}"/>
    <cellStyle name="Input 32 10" xfId="33303" xr:uid="{00000000-0005-0000-0000-0000FF810000}"/>
    <cellStyle name="Input 32 11" xfId="33304" xr:uid="{00000000-0005-0000-0000-000000820000}"/>
    <cellStyle name="Input 32 12" xfId="33305" xr:uid="{00000000-0005-0000-0000-000001820000}"/>
    <cellStyle name="Input 32 13" xfId="33306" xr:uid="{00000000-0005-0000-0000-000002820000}"/>
    <cellStyle name="Input 32 14" xfId="33307" xr:uid="{00000000-0005-0000-0000-000003820000}"/>
    <cellStyle name="Input 32 15" xfId="33308" xr:uid="{00000000-0005-0000-0000-000004820000}"/>
    <cellStyle name="Input 32 2" xfId="33309" xr:uid="{00000000-0005-0000-0000-000005820000}"/>
    <cellStyle name="Input 32 3" xfId="33310" xr:uid="{00000000-0005-0000-0000-000006820000}"/>
    <cellStyle name="Input 32 4" xfId="33311" xr:uid="{00000000-0005-0000-0000-000007820000}"/>
    <cellStyle name="Input 32 5" xfId="33312" xr:uid="{00000000-0005-0000-0000-000008820000}"/>
    <cellStyle name="Input 32 6" xfId="33313" xr:uid="{00000000-0005-0000-0000-000009820000}"/>
    <cellStyle name="Input 32 7" xfId="33314" xr:uid="{00000000-0005-0000-0000-00000A820000}"/>
    <cellStyle name="Input 32 8" xfId="33315" xr:uid="{00000000-0005-0000-0000-00000B820000}"/>
    <cellStyle name="Input 32 9" xfId="33316" xr:uid="{00000000-0005-0000-0000-00000C820000}"/>
    <cellStyle name="Input 33" xfId="33317" xr:uid="{00000000-0005-0000-0000-00000D820000}"/>
    <cellStyle name="Input 33 10" xfId="33318" xr:uid="{00000000-0005-0000-0000-00000E820000}"/>
    <cellStyle name="Input 33 11" xfId="33319" xr:uid="{00000000-0005-0000-0000-00000F820000}"/>
    <cellStyle name="Input 33 12" xfId="33320" xr:uid="{00000000-0005-0000-0000-000010820000}"/>
    <cellStyle name="Input 33 13" xfId="33321" xr:uid="{00000000-0005-0000-0000-000011820000}"/>
    <cellStyle name="Input 33 14" xfId="33322" xr:uid="{00000000-0005-0000-0000-000012820000}"/>
    <cellStyle name="Input 33 15" xfId="33323" xr:uid="{00000000-0005-0000-0000-000013820000}"/>
    <cellStyle name="Input 33 2" xfId="33324" xr:uid="{00000000-0005-0000-0000-000014820000}"/>
    <cellStyle name="Input 33 3" xfId="33325" xr:uid="{00000000-0005-0000-0000-000015820000}"/>
    <cellStyle name="Input 33 4" xfId="33326" xr:uid="{00000000-0005-0000-0000-000016820000}"/>
    <cellStyle name="Input 33 5" xfId="33327" xr:uid="{00000000-0005-0000-0000-000017820000}"/>
    <cellStyle name="Input 33 6" xfId="33328" xr:uid="{00000000-0005-0000-0000-000018820000}"/>
    <cellStyle name="Input 33 7" xfId="33329" xr:uid="{00000000-0005-0000-0000-000019820000}"/>
    <cellStyle name="Input 33 8" xfId="33330" xr:uid="{00000000-0005-0000-0000-00001A820000}"/>
    <cellStyle name="Input 33 9" xfId="33331" xr:uid="{00000000-0005-0000-0000-00001B820000}"/>
    <cellStyle name="Input 34" xfId="33332" xr:uid="{00000000-0005-0000-0000-00001C820000}"/>
    <cellStyle name="Input 34 10" xfId="33333" xr:uid="{00000000-0005-0000-0000-00001D820000}"/>
    <cellStyle name="Input 34 11" xfId="33334" xr:uid="{00000000-0005-0000-0000-00001E820000}"/>
    <cellStyle name="Input 34 12" xfId="33335" xr:uid="{00000000-0005-0000-0000-00001F820000}"/>
    <cellStyle name="Input 34 13" xfId="33336" xr:uid="{00000000-0005-0000-0000-000020820000}"/>
    <cellStyle name="Input 34 14" xfId="33337" xr:uid="{00000000-0005-0000-0000-000021820000}"/>
    <cellStyle name="Input 34 15" xfId="33338" xr:uid="{00000000-0005-0000-0000-000022820000}"/>
    <cellStyle name="Input 34 2" xfId="33339" xr:uid="{00000000-0005-0000-0000-000023820000}"/>
    <cellStyle name="Input 34 3" xfId="33340" xr:uid="{00000000-0005-0000-0000-000024820000}"/>
    <cellStyle name="Input 34 4" xfId="33341" xr:uid="{00000000-0005-0000-0000-000025820000}"/>
    <cellStyle name="Input 34 5" xfId="33342" xr:uid="{00000000-0005-0000-0000-000026820000}"/>
    <cellStyle name="Input 34 6" xfId="33343" xr:uid="{00000000-0005-0000-0000-000027820000}"/>
    <cellStyle name="Input 34 7" xfId="33344" xr:uid="{00000000-0005-0000-0000-000028820000}"/>
    <cellStyle name="Input 34 8" xfId="33345" xr:uid="{00000000-0005-0000-0000-000029820000}"/>
    <cellStyle name="Input 34 9" xfId="33346" xr:uid="{00000000-0005-0000-0000-00002A820000}"/>
    <cellStyle name="Input 35" xfId="33347" xr:uid="{00000000-0005-0000-0000-00002B820000}"/>
    <cellStyle name="Input 35 10" xfId="33348" xr:uid="{00000000-0005-0000-0000-00002C820000}"/>
    <cellStyle name="Input 35 11" xfId="33349" xr:uid="{00000000-0005-0000-0000-00002D820000}"/>
    <cellStyle name="Input 35 12" xfId="33350" xr:uid="{00000000-0005-0000-0000-00002E820000}"/>
    <cellStyle name="Input 35 13" xfId="33351" xr:uid="{00000000-0005-0000-0000-00002F820000}"/>
    <cellStyle name="Input 35 14" xfId="33352" xr:uid="{00000000-0005-0000-0000-000030820000}"/>
    <cellStyle name="Input 35 15" xfId="33353" xr:uid="{00000000-0005-0000-0000-000031820000}"/>
    <cellStyle name="Input 35 2" xfId="33354" xr:uid="{00000000-0005-0000-0000-000032820000}"/>
    <cellStyle name="Input 35 3" xfId="33355" xr:uid="{00000000-0005-0000-0000-000033820000}"/>
    <cellStyle name="Input 35 4" xfId="33356" xr:uid="{00000000-0005-0000-0000-000034820000}"/>
    <cellStyle name="Input 35 5" xfId="33357" xr:uid="{00000000-0005-0000-0000-000035820000}"/>
    <cellStyle name="Input 35 6" xfId="33358" xr:uid="{00000000-0005-0000-0000-000036820000}"/>
    <cellStyle name="Input 35 7" xfId="33359" xr:uid="{00000000-0005-0000-0000-000037820000}"/>
    <cellStyle name="Input 35 8" xfId="33360" xr:uid="{00000000-0005-0000-0000-000038820000}"/>
    <cellStyle name="Input 35 9" xfId="33361" xr:uid="{00000000-0005-0000-0000-000039820000}"/>
    <cellStyle name="Input 36" xfId="33362" xr:uid="{00000000-0005-0000-0000-00003A820000}"/>
    <cellStyle name="Input 36 10" xfId="33363" xr:uid="{00000000-0005-0000-0000-00003B820000}"/>
    <cellStyle name="Input 36 11" xfId="33364" xr:uid="{00000000-0005-0000-0000-00003C820000}"/>
    <cellStyle name="Input 36 12" xfId="33365" xr:uid="{00000000-0005-0000-0000-00003D820000}"/>
    <cellStyle name="Input 36 13" xfId="33366" xr:uid="{00000000-0005-0000-0000-00003E820000}"/>
    <cellStyle name="Input 36 14" xfId="33367" xr:uid="{00000000-0005-0000-0000-00003F820000}"/>
    <cellStyle name="Input 36 15" xfId="33368" xr:uid="{00000000-0005-0000-0000-000040820000}"/>
    <cellStyle name="Input 36 2" xfId="33369" xr:uid="{00000000-0005-0000-0000-000041820000}"/>
    <cellStyle name="Input 36 3" xfId="33370" xr:uid="{00000000-0005-0000-0000-000042820000}"/>
    <cellStyle name="Input 36 4" xfId="33371" xr:uid="{00000000-0005-0000-0000-000043820000}"/>
    <cellStyle name="Input 36 5" xfId="33372" xr:uid="{00000000-0005-0000-0000-000044820000}"/>
    <cellStyle name="Input 36 6" xfId="33373" xr:uid="{00000000-0005-0000-0000-000045820000}"/>
    <cellStyle name="Input 36 7" xfId="33374" xr:uid="{00000000-0005-0000-0000-000046820000}"/>
    <cellStyle name="Input 36 8" xfId="33375" xr:uid="{00000000-0005-0000-0000-000047820000}"/>
    <cellStyle name="Input 36 9" xfId="33376" xr:uid="{00000000-0005-0000-0000-000048820000}"/>
    <cellStyle name="Input 37" xfId="33377" xr:uid="{00000000-0005-0000-0000-000049820000}"/>
    <cellStyle name="Input 37 10" xfId="33378" xr:uid="{00000000-0005-0000-0000-00004A820000}"/>
    <cellStyle name="Input 37 11" xfId="33379" xr:uid="{00000000-0005-0000-0000-00004B820000}"/>
    <cellStyle name="Input 37 12" xfId="33380" xr:uid="{00000000-0005-0000-0000-00004C820000}"/>
    <cellStyle name="Input 37 13" xfId="33381" xr:uid="{00000000-0005-0000-0000-00004D820000}"/>
    <cellStyle name="Input 37 14" xfId="33382" xr:uid="{00000000-0005-0000-0000-00004E820000}"/>
    <cellStyle name="Input 37 15" xfId="33383" xr:uid="{00000000-0005-0000-0000-00004F820000}"/>
    <cellStyle name="Input 37 2" xfId="33384" xr:uid="{00000000-0005-0000-0000-000050820000}"/>
    <cellStyle name="Input 37 3" xfId="33385" xr:uid="{00000000-0005-0000-0000-000051820000}"/>
    <cellStyle name="Input 37 4" xfId="33386" xr:uid="{00000000-0005-0000-0000-000052820000}"/>
    <cellStyle name="Input 37 5" xfId="33387" xr:uid="{00000000-0005-0000-0000-000053820000}"/>
    <cellStyle name="Input 37 6" xfId="33388" xr:uid="{00000000-0005-0000-0000-000054820000}"/>
    <cellStyle name="Input 37 7" xfId="33389" xr:uid="{00000000-0005-0000-0000-000055820000}"/>
    <cellStyle name="Input 37 8" xfId="33390" xr:uid="{00000000-0005-0000-0000-000056820000}"/>
    <cellStyle name="Input 37 9" xfId="33391" xr:uid="{00000000-0005-0000-0000-000057820000}"/>
    <cellStyle name="Input 38" xfId="33392" xr:uid="{00000000-0005-0000-0000-000058820000}"/>
    <cellStyle name="Input 38 10" xfId="33393" xr:uid="{00000000-0005-0000-0000-000059820000}"/>
    <cellStyle name="Input 38 11" xfId="33394" xr:uid="{00000000-0005-0000-0000-00005A820000}"/>
    <cellStyle name="Input 38 12" xfId="33395" xr:uid="{00000000-0005-0000-0000-00005B820000}"/>
    <cellStyle name="Input 38 13" xfId="33396" xr:uid="{00000000-0005-0000-0000-00005C820000}"/>
    <cellStyle name="Input 38 14" xfId="33397" xr:uid="{00000000-0005-0000-0000-00005D820000}"/>
    <cellStyle name="Input 38 15" xfId="33398" xr:uid="{00000000-0005-0000-0000-00005E820000}"/>
    <cellStyle name="Input 38 2" xfId="33399" xr:uid="{00000000-0005-0000-0000-00005F820000}"/>
    <cellStyle name="Input 38 3" xfId="33400" xr:uid="{00000000-0005-0000-0000-000060820000}"/>
    <cellStyle name="Input 38 4" xfId="33401" xr:uid="{00000000-0005-0000-0000-000061820000}"/>
    <cellStyle name="Input 38 5" xfId="33402" xr:uid="{00000000-0005-0000-0000-000062820000}"/>
    <cellStyle name="Input 38 6" xfId="33403" xr:uid="{00000000-0005-0000-0000-000063820000}"/>
    <cellStyle name="Input 38 7" xfId="33404" xr:uid="{00000000-0005-0000-0000-000064820000}"/>
    <cellStyle name="Input 38 8" xfId="33405" xr:uid="{00000000-0005-0000-0000-000065820000}"/>
    <cellStyle name="Input 38 9" xfId="33406" xr:uid="{00000000-0005-0000-0000-000066820000}"/>
    <cellStyle name="Input 39" xfId="33407" xr:uid="{00000000-0005-0000-0000-000067820000}"/>
    <cellStyle name="Input 39 10" xfId="33408" xr:uid="{00000000-0005-0000-0000-000068820000}"/>
    <cellStyle name="Input 39 11" xfId="33409" xr:uid="{00000000-0005-0000-0000-000069820000}"/>
    <cellStyle name="Input 39 12" xfId="33410" xr:uid="{00000000-0005-0000-0000-00006A820000}"/>
    <cellStyle name="Input 39 13" xfId="33411" xr:uid="{00000000-0005-0000-0000-00006B820000}"/>
    <cellStyle name="Input 39 14" xfId="33412" xr:uid="{00000000-0005-0000-0000-00006C820000}"/>
    <cellStyle name="Input 39 15" xfId="33413" xr:uid="{00000000-0005-0000-0000-00006D820000}"/>
    <cellStyle name="Input 39 2" xfId="33414" xr:uid="{00000000-0005-0000-0000-00006E820000}"/>
    <cellStyle name="Input 39 3" xfId="33415" xr:uid="{00000000-0005-0000-0000-00006F820000}"/>
    <cellStyle name="Input 39 4" xfId="33416" xr:uid="{00000000-0005-0000-0000-000070820000}"/>
    <cellStyle name="Input 39 5" xfId="33417" xr:uid="{00000000-0005-0000-0000-000071820000}"/>
    <cellStyle name="Input 39 6" xfId="33418" xr:uid="{00000000-0005-0000-0000-000072820000}"/>
    <cellStyle name="Input 39 7" xfId="33419" xr:uid="{00000000-0005-0000-0000-000073820000}"/>
    <cellStyle name="Input 39 8" xfId="33420" xr:uid="{00000000-0005-0000-0000-000074820000}"/>
    <cellStyle name="Input 39 9" xfId="33421" xr:uid="{00000000-0005-0000-0000-000075820000}"/>
    <cellStyle name="Input 4" xfId="33422" xr:uid="{00000000-0005-0000-0000-000076820000}"/>
    <cellStyle name="Input 4 2" xfId="33423" xr:uid="{00000000-0005-0000-0000-000077820000}"/>
    <cellStyle name="Input 4 3" xfId="33424" xr:uid="{00000000-0005-0000-0000-000078820000}"/>
    <cellStyle name="Input 4 4" xfId="33425" xr:uid="{00000000-0005-0000-0000-000079820000}"/>
    <cellStyle name="Input 40" xfId="33426" xr:uid="{00000000-0005-0000-0000-00007A820000}"/>
    <cellStyle name="Input 41" xfId="33427" xr:uid="{00000000-0005-0000-0000-00007B820000}"/>
    <cellStyle name="Input 42" xfId="33428" xr:uid="{00000000-0005-0000-0000-00007C820000}"/>
    <cellStyle name="Input 43" xfId="33429" xr:uid="{00000000-0005-0000-0000-00007D820000}"/>
    <cellStyle name="Input 44" xfId="33430" xr:uid="{00000000-0005-0000-0000-00007E820000}"/>
    <cellStyle name="Input 45" xfId="33431" xr:uid="{00000000-0005-0000-0000-00007F820000}"/>
    <cellStyle name="Input 46" xfId="33432" xr:uid="{00000000-0005-0000-0000-000080820000}"/>
    <cellStyle name="Input 47" xfId="33433" xr:uid="{00000000-0005-0000-0000-000081820000}"/>
    <cellStyle name="Input 48" xfId="33434" xr:uid="{00000000-0005-0000-0000-000082820000}"/>
    <cellStyle name="Input 49" xfId="33435" xr:uid="{00000000-0005-0000-0000-000083820000}"/>
    <cellStyle name="Input 5" xfId="33436" xr:uid="{00000000-0005-0000-0000-000084820000}"/>
    <cellStyle name="Input 5 2" xfId="33437" xr:uid="{00000000-0005-0000-0000-000085820000}"/>
    <cellStyle name="Input 5 2 2" xfId="33438" xr:uid="{00000000-0005-0000-0000-000086820000}"/>
    <cellStyle name="Input 5 2 3" xfId="33439" xr:uid="{00000000-0005-0000-0000-000087820000}"/>
    <cellStyle name="Input 5 2 4" xfId="33440" xr:uid="{00000000-0005-0000-0000-000088820000}"/>
    <cellStyle name="Input 5 3" xfId="33441" xr:uid="{00000000-0005-0000-0000-000089820000}"/>
    <cellStyle name="Input 5 3 2" xfId="33442" xr:uid="{00000000-0005-0000-0000-00008A820000}"/>
    <cellStyle name="Input 5 3 3" xfId="33443" xr:uid="{00000000-0005-0000-0000-00008B820000}"/>
    <cellStyle name="Input 5 4" xfId="33444" xr:uid="{00000000-0005-0000-0000-00008C820000}"/>
    <cellStyle name="Input 5 4 2" xfId="33445" xr:uid="{00000000-0005-0000-0000-00008D820000}"/>
    <cellStyle name="Input 5 5" xfId="33446" xr:uid="{00000000-0005-0000-0000-00008E820000}"/>
    <cellStyle name="Input 5 5 2" xfId="33447" xr:uid="{00000000-0005-0000-0000-00008F820000}"/>
    <cellStyle name="Input 5 6" xfId="33448" xr:uid="{00000000-0005-0000-0000-000090820000}"/>
    <cellStyle name="Input 5 6 2" xfId="33449" xr:uid="{00000000-0005-0000-0000-000091820000}"/>
    <cellStyle name="Input 5 7" xfId="33450" xr:uid="{00000000-0005-0000-0000-000092820000}"/>
    <cellStyle name="Input 50" xfId="33451" xr:uid="{00000000-0005-0000-0000-000093820000}"/>
    <cellStyle name="Input 51" xfId="33452" xr:uid="{00000000-0005-0000-0000-000094820000}"/>
    <cellStyle name="Input 52" xfId="33453" xr:uid="{00000000-0005-0000-0000-000095820000}"/>
    <cellStyle name="Input 53" xfId="33454" xr:uid="{00000000-0005-0000-0000-000096820000}"/>
    <cellStyle name="Input 54" xfId="33455" xr:uid="{00000000-0005-0000-0000-000097820000}"/>
    <cellStyle name="Input 55" xfId="33456" xr:uid="{00000000-0005-0000-0000-000098820000}"/>
    <cellStyle name="Input 56" xfId="33457" xr:uid="{00000000-0005-0000-0000-000099820000}"/>
    <cellStyle name="Input 57" xfId="33458" xr:uid="{00000000-0005-0000-0000-00009A820000}"/>
    <cellStyle name="Input 58" xfId="33459" xr:uid="{00000000-0005-0000-0000-00009B820000}"/>
    <cellStyle name="Input 59" xfId="33460" xr:uid="{00000000-0005-0000-0000-00009C820000}"/>
    <cellStyle name="Input 6" xfId="33461" xr:uid="{00000000-0005-0000-0000-00009D820000}"/>
    <cellStyle name="Input 6 2" xfId="33462" xr:uid="{00000000-0005-0000-0000-00009E820000}"/>
    <cellStyle name="Input 6 2 2" xfId="33463" xr:uid="{00000000-0005-0000-0000-00009F820000}"/>
    <cellStyle name="Input 6 3" xfId="33464" xr:uid="{00000000-0005-0000-0000-0000A0820000}"/>
    <cellStyle name="Input 6 3 2" xfId="33465" xr:uid="{00000000-0005-0000-0000-0000A1820000}"/>
    <cellStyle name="Input 6 4" xfId="33466" xr:uid="{00000000-0005-0000-0000-0000A2820000}"/>
    <cellStyle name="Input 6 4 2" xfId="33467" xr:uid="{00000000-0005-0000-0000-0000A3820000}"/>
    <cellStyle name="Input 6 5" xfId="33468" xr:uid="{00000000-0005-0000-0000-0000A4820000}"/>
    <cellStyle name="Input 6 5 2" xfId="33469" xr:uid="{00000000-0005-0000-0000-0000A5820000}"/>
    <cellStyle name="Input 6 6" xfId="33470" xr:uid="{00000000-0005-0000-0000-0000A6820000}"/>
    <cellStyle name="Input 6 6 2" xfId="33471" xr:uid="{00000000-0005-0000-0000-0000A7820000}"/>
    <cellStyle name="Input 6 7" xfId="33472" xr:uid="{00000000-0005-0000-0000-0000A8820000}"/>
    <cellStyle name="Input 60" xfId="33473" xr:uid="{00000000-0005-0000-0000-0000A9820000}"/>
    <cellStyle name="Input 61" xfId="33474" xr:uid="{00000000-0005-0000-0000-0000AA820000}"/>
    <cellStyle name="Input 62" xfId="33475" xr:uid="{00000000-0005-0000-0000-0000AB820000}"/>
    <cellStyle name="Input 63" xfId="33476" xr:uid="{00000000-0005-0000-0000-0000AC820000}"/>
    <cellStyle name="Input 64" xfId="33477" xr:uid="{00000000-0005-0000-0000-0000AD820000}"/>
    <cellStyle name="Input 65" xfId="33478" xr:uid="{00000000-0005-0000-0000-0000AE820000}"/>
    <cellStyle name="Input 66" xfId="33479" xr:uid="{00000000-0005-0000-0000-0000AF820000}"/>
    <cellStyle name="Input 67" xfId="33480" xr:uid="{00000000-0005-0000-0000-0000B0820000}"/>
    <cellStyle name="Input 68" xfId="33481" xr:uid="{00000000-0005-0000-0000-0000B1820000}"/>
    <cellStyle name="Input 69" xfId="33482" xr:uid="{00000000-0005-0000-0000-0000B2820000}"/>
    <cellStyle name="Input 7" xfId="33483" xr:uid="{00000000-0005-0000-0000-0000B3820000}"/>
    <cellStyle name="Input 7 2" xfId="33484" xr:uid="{00000000-0005-0000-0000-0000B4820000}"/>
    <cellStyle name="Input 70" xfId="33485" xr:uid="{00000000-0005-0000-0000-0000B5820000}"/>
    <cellStyle name="Input 71" xfId="33486" xr:uid="{00000000-0005-0000-0000-0000B6820000}"/>
    <cellStyle name="Input 72" xfId="33487" xr:uid="{00000000-0005-0000-0000-0000B7820000}"/>
    <cellStyle name="Input 73" xfId="33488" xr:uid="{00000000-0005-0000-0000-0000B8820000}"/>
    <cellStyle name="Input 74" xfId="33489" xr:uid="{00000000-0005-0000-0000-0000B9820000}"/>
    <cellStyle name="Input 75" xfId="33490" xr:uid="{00000000-0005-0000-0000-0000BA820000}"/>
    <cellStyle name="Input 76" xfId="33491" xr:uid="{00000000-0005-0000-0000-0000BB820000}"/>
    <cellStyle name="Input 77" xfId="33492" xr:uid="{00000000-0005-0000-0000-0000BC820000}"/>
    <cellStyle name="Input 78" xfId="33493" xr:uid="{00000000-0005-0000-0000-0000BD820000}"/>
    <cellStyle name="Input 79" xfId="33494" xr:uid="{00000000-0005-0000-0000-0000BE820000}"/>
    <cellStyle name="Input 79 2" xfId="33495" xr:uid="{00000000-0005-0000-0000-0000BF820000}"/>
    <cellStyle name="Input 8" xfId="33496" xr:uid="{00000000-0005-0000-0000-0000C0820000}"/>
    <cellStyle name="Input 8 2" xfId="33497" xr:uid="{00000000-0005-0000-0000-0000C1820000}"/>
    <cellStyle name="Input 80" xfId="33498" xr:uid="{00000000-0005-0000-0000-0000C2820000}"/>
    <cellStyle name="Input 80 2" xfId="33499" xr:uid="{00000000-0005-0000-0000-0000C3820000}"/>
    <cellStyle name="Input 81" xfId="33500" xr:uid="{00000000-0005-0000-0000-0000C4820000}"/>
    <cellStyle name="Input 81 2" xfId="33501" xr:uid="{00000000-0005-0000-0000-0000C5820000}"/>
    <cellStyle name="Input 82" xfId="33502" xr:uid="{00000000-0005-0000-0000-0000C6820000}"/>
    <cellStyle name="Input 82 2" xfId="33503" xr:uid="{00000000-0005-0000-0000-0000C7820000}"/>
    <cellStyle name="Input 83" xfId="33504" xr:uid="{00000000-0005-0000-0000-0000C8820000}"/>
    <cellStyle name="Input 83 2" xfId="33505" xr:uid="{00000000-0005-0000-0000-0000C9820000}"/>
    <cellStyle name="Input 84" xfId="33506" xr:uid="{00000000-0005-0000-0000-0000CA820000}"/>
    <cellStyle name="Input 84 2" xfId="33507" xr:uid="{00000000-0005-0000-0000-0000CB820000}"/>
    <cellStyle name="Input 85" xfId="33508" xr:uid="{00000000-0005-0000-0000-0000CC820000}"/>
    <cellStyle name="Input 85 2" xfId="33509" xr:uid="{00000000-0005-0000-0000-0000CD820000}"/>
    <cellStyle name="Input 86" xfId="33510" xr:uid="{00000000-0005-0000-0000-0000CE820000}"/>
    <cellStyle name="Input 86 2" xfId="33511" xr:uid="{00000000-0005-0000-0000-0000CF820000}"/>
    <cellStyle name="Input 87" xfId="33512" xr:uid="{00000000-0005-0000-0000-0000D0820000}"/>
    <cellStyle name="Input 87 2" xfId="33513" xr:uid="{00000000-0005-0000-0000-0000D1820000}"/>
    <cellStyle name="Input 88" xfId="33514" xr:uid="{00000000-0005-0000-0000-0000D2820000}"/>
    <cellStyle name="Input 88 2" xfId="33515" xr:uid="{00000000-0005-0000-0000-0000D3820000}"/>
    <cellStyle name="Input 89" xfId="33516" xr:uid="{00000000-0005-0000-0000-0000D4820000}"/>
    <cellStyle name="Input 89 2" xfId="33517" xr:uid="{00000000-0005-0000-0000-0000D5820000}"/>
    <cellStyle name="Input 9" xfId="33518" xr:uid="{00000000-0005-0000-0000-0000D6820000}"/>
    <cellStyle name="Input 9 2" xfId="33519" xr:uid="{00000000-0005-0000-0000-0000D7820000}"/>
    <cellStyle name="Input 90" xfId="33520" xr:uid="{00000000-0005-0000-0000-0000D8820000}"/>
    <cellStyle name="Input 91" xfId="33521" xr:uid="{00000000-0005-0000-0000-0000D9820000}"/>
    <cellStyle name="Input 92" xfId="33522" xr:uid="{00000000-0005-0000-0000-0000DA820000}"/>
    <cellStyle name="Input 93" xfId="33523" xr:uid="{00000000-0005-0000-0000-0000DB820000}"/>
    <cellStyle name="Input 94" xfId="33524" xr:uid="{00000000-0005-0000-0000-0000DC820000}"/>
    <cellStyle name="Input 95" xfId="33525" xr:uid="{00000000-0005-0000-0000-0000DD820000}"/>
    <cellStyle name="Input 96" xfId="33526" xr:uid="{00000000-0005-0000-0000-0000DE820000}"/>
    <cellStyle name="Input 97" xfId="33527" xr:uid="{00000000-0005-0000-0000-0000DF820000}"/>
    <cellStyle name="Input 98" xfId="33528" xr:uid="{00000000-0005-0000-0000-0000E0820000}"/>
    <cellStyle name="Input 99" xfId="33529" xr:uid="{00000000-0005-0000-0000-0000E1820000}"/>
    <cellStyle name="Insatisfaisant" xfId="33530" xr:uid="{00000000-0005-0000-0000-0000E2820000}"/>
    <cellStyle name="Integer" xfId="33531" xr:uid="{00000000-0005-0000-0000-0000E3820000}"/>
    <cellStyle name="jhas" xfId="33532" xr:uid="{00000000-0005-0000-0000-0000E4820000}"/>
    <cellStyle name="jhas 2" xfId="33533" xr:uid="{00000000-0005-0000-0000-0000E5820000}"/>
    <cellStyle name="KF" xfId="33534" xr:uid="{00000000-0005-0000-0000-0000E6820000}"/>
    <cellStyle name="Komórka połączona" xfId="33535" xr:uid="{00000000-0005-0000-0000-0000E7820000}"/>
    <cellStyle name="Komórka zaznaczona" xfId="33536" xr:uid="{00000000-0005-0000-0000-0000E8820000}"/>
    <cellStyle name="Kw" xfId="33537" xr:uid="{00000000-0005-0000-0000-0000E9820000}"/>
    <cellStyle name="Kwh" xfId="33538" xr:uid="{00000000-0005-0000-0000-0000EA820000}"/>
    <cellStyle name="Linked Cell" xfId="12" builtinId="24" hidden="1" customBuiltin="1"/>
    <cellStyle name="Linked Cell" xfId="59" builtinId="24" hidden="1" customBuiltin="1"/>
    <cellStyle name="Linked Cell" xfId="81" builtinId="24" hidden="1" customBuiltin="1"/>
    <cellStyle name="Linked Cell 10" xfId="33539" xr:uid="{00000000-0005-0000-0000-0000EE820000}"/>
    <cellStyle name="Linked Cell 10 2" xfId="33540" xr:uid="{00000000-0005-0000-0000-0000EF820000}"/>
    <cellStyle name="Linked Cell 100" xfId="33541" xr:uid="{00000000-0005-0000-0000-0000F0820000}"/>
    <cellStyle name="Linked Cell 101" xfId="33542" xr:uid="{00000000-0005-0000-0000-0000F1820000}"/>
    <cellStyle name="Linked Cell 102" xfId="33543" xr:uid="{00000000-0005-0000-0000-0000F2820000}"/>
    <cellStyle name="Linked Cell 103" xfId="33544" xr:uid="{00000000-0005-0000-0000-0000F3820000}"/>
    <cellStyle name="Linked Cell 104" xfId="33545" xr:uid="{00000000-0005-0000-0000-0000F4820000}"/>
    <cellStyle name="Linked Cell 105" xfId="33546" xr:uid="{00000000-0005-0000-0000-0000F5820000}"/>
    <cellStyle name="Linked Cell 106" xfId="33547" xr:uid="{00000000-0005-0000-0000-0000F6820000}"/>
    <cellStyle name="Linked Cell 107" xfId="33548" xr:uid="{00000000-0005-0000-0000-0000F7820000}"/>
    <cellStyle name="Linked Cell 108" xfId="33549" xr:uid="{00000000-0005-0000-0000-0000F8820000}"/>
    <cellStyle name="Linked Cell 109" xfId="33550" xr:uid="{00000000-0005-0000-0000-0000F9820000}"/>
    <cellStyle name="Linked Cell 11" xfId="33551" xr:uid="{00000000-0005-0000-0000-0000FA820000}"/>
    <cellStyle name="Linked Cell 11 2" xfId="33552" xr:uid="{00000000-0005-0000-0000-0000FB820000}"/>
    <cellStyle name="Linked Cell 110" xfId="33553" xr:uid="{00000000-0005-0000-0000-0000FC820000}"/>
    <cellStyle name="Linked Cell 111" xfId="33554" xr:uid="{00000000-0005-0000-0000-0000FD820000}"/>
    <cellStyle name="Linked Cell 112" xfId="33555" xr:uid="{00000000-0005-0000-0000-0000FE820000}"/>
    <cellStyle name="Linked Cell 113" xfId="33556" xr:uid="{00000000-0005-0000-0000-0000FF820000}"/>
    <cellStyle name="Linked Cell 114" xfId="33557" xr:uid="{00000000-0005-0000-0000-000000830000}"/>
    <cellStyle name="Linked Cell 115" xfId="33558" xr:uid="{00000000-0005-0000-0000-000001830000}"/>
    <cellStyle name="Linked Cell 116" xfId="33559" xr:uid="{00000000-0005-0000-0000-000002830000}"/>
    <cellStyle name="Linked Cell 117" xfId="33560" xr:uid="{00000000-0005-0000-0000-000003830000}"/>
    <cellStyle name="Linked Cell 118" xfId="33561" xr:uid="{00000000-0005-0000-0000-000004830000}"/>
    <cellStyle name="Linked Cell 119" xfId="33562" xr:uid="{00000000-0005-0000-0000-000005830000}"/>
    <cellStyle name="Linked Cell 12" xfId="33563" xr:uid="{00000000-0005-0000-0000-000006830000}"/>
    <cellStyle name="Linked Cell 12 2" xfId="33564" xr:uid="{00000000-0005-0000-0000-000007830000}"/>
    <cellStyle name="Linked Cell 120" xfId="33565" xr:uid="{00000000-0005-0000-0000-000008830000}"/>
    <cellStyle name="Linked Cell 121" xfId="33566" xr:uid="{00000000-0005-0000-0000-000009830000}"/>
    <cellStyle name="Linked Cell 122" xfId="33567" xr:uid="{00000000-0005-0000-0000-00000A830000}"/>
    <cellStyle name="Linked Cell 123" xfId="33568" xr:uid="{00000000-0005-0000-0000-00000B830000}"/>
    <cellStyle name="Linked Cell 124" xfId="33569" xr:uid="{00000000-0005-0000-0000-00000C830000}"/>
    <cellStyle name="Linked Cell 125" xfId="33570" xr:uid="{00000000-0005-0000-0000-00000D830000}"/>
    <cellStyle name="Linked Cell 126" xfId="33571" xr:uid="{00000000-0005-0000-0000-00000E830000}"/>
    <cellStyle name="Linked Cell 127" xfId="33572" xr:uid="{00000000-0005-0000-0000-00000F830000}"/>
    <cellStyle name="Linked Cell 128" xfId="33573" xr:uid="{00000000-0005-0000-0000-000010830000}"/>
    <cellStyle name="Linked Cell 129" xfId="33574" xr:uid="{00000000-0005-0000-0000-000011830000}"/>
    <cellStyle name="Linked Cell 13" xfId="33575" xr:uid="{00000000-0005-0000-0000-000012830000}"/>
    <cellStyle name="Linked Cell 13 2" xfId="33576" xr:uid="{00000000-0005-0000-0000-000013830000}"/>
    <cellStyle name="Linked Cell 130" xfId="33577" xr:uid="{00000000-0005-0000-0000-000014830000}"/>
    <cellStyle name="Linked Cell 131" xfId="33578" xr:uid="{00000000-0005-0000-0000-000015830000}"/>
    <cellStyle name="Linked Cell 132" xfId="33579" xr:uid="{00000000-0005-0000-0000-000016830000}"/>
    <cellStyle name="Linked Cell 133" xfId="33580" xr:uid="{00000000-0005-0000-0000-000017830000}"/>
    <cellStyle name="Linked Cell 134" xfId="33581" xr:uid="{00000000-0005-0000-0000-000018830000}"/>
    <cellStyle name="Linked Cell 135" xfId="33582" xr:uid="{00000000-0005-0000-0000-000019830000}"/>
    <cellStyle name="Linked Cell 136" xfId="33583" xr:uid="{00000000-0005-0000-0000-00001A830000}"/>
    <cellStyle name="Linked Cell 137" xfId="33584" xr:uid="{00000000-0005-0000-0000-00001B830000}"/>
    <cellStyle name="Linked Cell 138" xfId="33585" xr:uid="{00000000-0005-0000-0000-00001C830000}"/>
    <cellStyle name="Linked Cell 139" xfId="33586" xr:uid="{00000000-0005-0000-0000-00001D830000}"/>
    <cellStyle name="Linked Cell 14" xfId="33587" xr:uid="{00000000-0005-0000-0000-00001E830000}"/>
    <cellStyle name="Linked Cell 14 2" xfId="33588" xr:uid="{00000000-0005-0000-0000-00001F830000}"/>
    <cellStyle name="Linked Cell 140" xfId="33589" xr:uid="{00000000-0005-0000-0000-000020830000}"/>
    <cellStyle name="Linked Cell 141" xfId="33590" xr:uid="{00000000-0005-0000-0000-000021830000}"/>
    <cellStyle name="Linked Cell 142" xfId="33591" xr:uid="{00000000-0005-0000-0000-000022830000}"/>
    <cellStyle name="Linked Cell 143" xfId="33592" xr:uid="{00000000-0005-0000-0000-000023830000}"/>
    <cellStyle name="Linked Cell 144" xfId="33593" xr:uid="{00000000-0005-0000-0000-000024830000}"/>
    <cellStyle name="Linked Cell 145" xfId="33594" xr:uid="{00000000-0005-0000-0000-000025830000}"/>
    <cellStyle name="Linked Cell 146" xfId="33595" xr:uid="{00000000-0005-0000-0000-000026830000}"/>
    <cellStyle name="Linked Cell 147" xfId="33596" xr:uid="{00000000-0005-0000-0000-000027830000}"/>
    <cellStyle name="Linked Cell 148" xfId="33597" xr:uid="{00000000-0005-0000-0000-000028830000}"/>
    <cellStyle name="Linked Cell 149" xfId="33598" xr:uid="{00000000-0005-0000-0000-000029830000}"/>
    <cellStyle name="Linked Cell 15" xfId="33599" xr:uid="{00000000-0005-0000-0000-00002A830000}"/>
    <cellStyle name="Linked Cell 15 2" xfId="33600" xr:uid="{00000000-0005-0000-0000-00002B830000}"/>
    <cellStyle name="Linked Cell 150" xfId="33601" xr:uid="{00000000-0005-0000-0000-00002C830000}"/>
    <cellStyle name="Linked Cell 151" xfId="33602" xr:uid="{00000000-0005-0000-0000-00002D830000}"/>
    <cellStyle name="Linked Cell 152" xfId="33603" xr:uid="{00000000-0005-0000-0000-00002E830000}"/>
    <cellStyle name="Linked Cell 153" xfId="33604" xr:uid="{00000000-0005-0000-0000-00002F830000}"/>
    <cellStyle name="Linked Cell 154" xfId="33605" xr:uid="{00000000-0005-0000-0000-000030830000}"/>
    <cellStyle name="Linked Cell 155" xfId="33606" xr:uid="{00000000-0005-0000-0000-000031830000}"/>
    <cellStyle name="Linked Cell 156" xfId="33607" xr:uid="{00000000-0005-0000-0000-000032830000}"/>
    <cellStyle name="Linked Cell 157" xfId="33608" xr:uid="{00000000-0005-0000-0000-000033830000}"/>
    <cellStyle name="Linked Cell 158" xfId="33609" xr:uid="{00000000-0005-0000-0000-000034830000}"/>
    <cellStyle name="Linked Cell 159" xfId="33610" xr:uid="{00000000-0005-0000-0000-000035830000}"/>
    <cellStyle name="Linked Cell 16" xfId="33611" xr:uid="{00000000-0005-0000-0000-000036830000}"/>
    <cellStyle name="Linked Cell 160" xfId="33612" xr:uid="{00000000-0005-0000-0000-000037830000}"/>
    <cellStyle name="Linked Cell 161" xfId="33613" xr:uid="{00000000-0005-0000-0000-000038830000}"/>
    <cellStyle name="Linked Cell 162" xfId="33614" xr:uid="{00000000-0005-0000-0000-000039830000}"/>
    <cellStyle name="Linked Cell 163" xfId="33615" xr:uid="{00000000-0005-0000-0000-00003A830000}"/>
    <cellStyle name="Linked Cell 164" xfId="33616" xr:uid="{00000000-0005-0000-0000-00003B830000}"/>
    <cellStyle name="Linked Cell 165" xfId="33617" xr:uid="{00000000-0005-0000-0000-00003C830000}"/>
    <cellStyle name="Linked Cell 166" xfId="33618" xr:uid="{00000000-0005-0000-0000-00003D830000}"/>
    <cellStyle name="Linked Cell 167" xfId="33619" xr:uid="{00000000-0005-0000-0000-00003E830000}"/>
    <cellStyle name="Linked Cell 17" xfId="33620" xr:uid="{00000000-0005-0000-0000-00003F830000}"/>
    <cellStyle name="Linked Cell 18" xfId="33621" xr:uid="{00000000-0005-0000-0000-000040830000}"/>
    <cellStyle name="Linked Cell 19" xfId="33622" xr:uid="{00000000-0005-0000-0000-000041830000}"/>
    <cellStyle name="Linked Cell 2" xfId="33623" xr:uid="{00000000-0005-0000-0000-000042830000}"/>
    <cellStyle name="Linked Cell 2 10" xfId="33624" xr:uid="{00000000-0005-0000-0000-000043830000}"/>
    <cellStyle name="Linked Cell 2 11" xfId="33625" xr:uid="{00000000-0005-0000-0000-000044830000}"/>
    <cellStyle name="Linked Cell 2 12" xfId="33626" xr:uid="{00000000-0005-0000-0000-000045830000}"/>
    <cellStyle name="Linked Cell 2 13" xfId="33627" xr:uid="{00000000-0005-0000-0000-000046830000}"/>
    <cellStyle name="Linked Cell 2 14" xfId="33628" xr:uid="{00000000-0005-0000-0000-000047830000}"/>
    <cellStyle name="Linked Cell 2 15" xfId="33629" xr:uid="{00000000-0005-0000-0000-000048830000}"/>
    <cellStyle name="Linked Cell 2 16" xfId="33630" xr:uid="{00000000-0005-0000-0000-000049830000}"/>
    <cellStyle name="Linked Cell 2 17" xfId="33631" xr:uid="{00000000-0005-0000-0000-00004A830000}"/>
    <cellStyle name="Linked Cell 2 18" xfId="33632" xr:uid="{00000000-0005-0000-0000-00004B830000}"/>
    <cellStyle name="Linked Cell 2 19" xfId="33633" xr:uid="{00000000-0005-0000-0000-00004C830000}"/>
    <cellStyle name="Linked Cell 2 2" xfId="33634" xr:uid="{00000000-0005-0000-0000-00004D830000}"/>
    <cellStyle name="Linked Cell 2 20" xfId="33635" xr:uid="{00000000-0005-0000-0000-00004E830000}"/>
    <cellStyle name="Linked Cell 2 21" xfId="33636" xr:uid="{00000000-0005-0000-0000-00004F830000}"/>
    <cellStyle name="Linked Cell 2 22" xfId="33637" xr:uid="{00000000-0005-0000-0000-000050830000}"/>
    <cellStyle name="Linked Cell 2 23" xfId="33638" xr:uid="{00000000-0005-0000-0000-000051830000}"/>
    <cellStyle name="Linked Cell 2 24" xfId="33639" xr:uid="{00000000-0005-0000-0000-000052830000}"/>
    <cellStyle name="Linked Cell 2 25" xfId="33640" xr:uid="{00000000-0005-0000-0000-000053830000}"/>
    <cellStyle name="Linked Cell 2 26" xfId="33641" xr:uid="{00000000-0005-0000-0000-000054830000}"/>
    <cellStyle name="Linked Cell 2 27" xfId="33642" xr:uid="{00000000-0005-0000-0000-000055830000}"/>
    <cellStyle name="Linked Cell 2 28" xfId="33643" xr:uid="{00000000-0005-0000-0000-000056830000}"/>
    <cellStyle name="Linked Cell 2 29" xfId="33644" xr:uid="{00000000-0005-0000-0000-000057830000}"/>
    <cellStyle name="Linked Cell 2 3" xfId="33645" xr:uid="{00000000-0005-0000-0000-000058830000}"/>
    <cellStyle name="Linked Cell 2 30" xfId="33646" xr:uid="{00000000-0005-0000-0000-000059830000}"/>
    <cellStyle name="Linked Cell 2 31" xfId="33647" xr:uid="{00000000-0005-0000-0000-00005A830000}"/>
    <cellStyle name="Linked Cell 2 32" xfId="33648" xr:uid="{00000000-0005-0000-0000-00005B830000}"/>
    <cellStyle name="Linked Cell 2 33" xfId="33649" xr:uid="{00000000-0005-0000-0000-00005C830000}"/>
    <cellStyle name="Linked Cell 2 34" xfId="33650" xr:uid="{00000000-0005-0000-0000-00005D830000}"/>
    <cellStyle name="Linked Cell 2 35" xfId="33651" xr:uid="{00000000-0005-0000-0000-00005E830000}"/>
    <cellStyle name="Linked Cell 2 4" xfId="33652" xr:uid="{00000000-0005-0000-0000-00005F830000}"/>
    <cellStyle name="Linked Cell 2 5" xfId="33653" xr:uid="{00000000-0005-0000-0000-000060830000}"/>
    <cellStyle name="Linked Cell 2 6" xfId="33654" xr:uid="{00000000-0005-0000-0000-000061830000}"/>
    <cellStyle name="Linked Cell 2 7" xfId="33655" xr:uid="{00000000-0005-0000-0000-000062830000}"/>
    <cellStyle name="Linked Cell 2 8" xfId="33656" xr:uid="{00000000-0005-0000-0000-000063830000}"/>
    <cellStyle name="Linked Cell 2 9" xfId="33657" xr:uid="{00000000-0005-0000-0000-000064830000}"/>
    <cellStyle name="Linked Cell 2_Belker-InternalTrade" xfId="33658" xr:uid="{00000000-0005-0000-0000-000065830000}"/>
    <cellStyle name="Linked Cell 20" xfId="33659" xr:uid="{00000000-0005-0000-0000-000066830000}"/>
    <cellStyle name="Linked Cell 20 10" xfId="33660" xr:uid="{00000000-0005-0000-0000-000067830000}"/>
    <cellStyle name="Linked Cell 20 11" xfId="33661" xr:uid="{00000000-0005-0000-0000-000068830000}"/>
    <cellStyle name="Linked Cell 20 12" xfId="33662" xr:uid="{00000000-0005-0000-0000-000069830000}"/>
    <cellStyle name="Linked Cell 20 13" xfId="33663" xr:uid="{00000000-0005-0000-0000-00006A830000}"/>
    <cellStyle name="Linked Cell 20 14" xfId="33664" xr:uid="{00000000-0005-0000-0000-00006B830000}"/>
    <cellStyle name="Linked Cell 20 15" xfId="33665" xr:uid="{00000000-0005-0000-0000-00006C830000}"/>
    <cellStyle name="Linked Cell 20 16" xfId="33666" xr:uid="{00000000-0005-0000-0000-00006D830000}"/>
    <cellStyle name="Linked Cell 20 2" xfId="33667" xr:uid="{00000000-0005-0000-0000-00006E830000}"/>
    <cellStyle name="Linked Cell 20 3" xfId="33668" xr:uid="{00000000-0005-0000-0000-00006F830000}"/>
    <cellStyle name="Linked Cell 20 4" xfId="33669" xr:uid="{00000000-0005-0000-0000-000070830000}"/>
    <cellStyle name="Linked Cell 20 5" xfId="33670" xr:uid="{00000000-0005-0000-0000-000071830000}"/>
    <cellStyle name="Linked Cell 20 6" xfId="33671" xr:uid="{00000000-0005-0000-0000-000072830000}"/>
    <cellStyle name="Linked Cell 20 7" xfId="33672" xr:uid="{00000000-0005-0000-0000-000073830000}"/>
    <cellStyle name="Linked Cell 20 8" xfId="33673" xr:uid="{00000000-0005-0000-0000-000074830000}"/>
    <cellStyle name="Linked Cell 20 9" xfId="33674" xr:uid="{00000000-0005-0000-0000-000075830000}"/>
    <cellStyle name="Linked Cell 21" xfId="33675" xr:uid="{00000000-0005-0000-0000-000076830000}"/>
    <cellStyle name="Linked Cell 21 2" xfId="33676" xr:uid="{00000000-0005-0000-0000-000077830000}"/>
    <cellStyle name="Linked Cell 21 3" xfId="33677" xr:uid="{00000000-0005-0000-0000-000078830000}"/>
    <cellStyle name="Linked Cell 22" xfId="33678" xr:uid="{00000000-0005-0000-0000-000079830000}"/>
    <cellStyle name="Linked Cell 23" xfId="33679" xr:uid="{00000000-0005-0000-0000-00007A830000}"/>
    <cellStyle name="Linked Cell 24" xfId="33680" xr:uid="{00000000-0005-0000-0000-00007B830000}"/>
    <cellStyle name="Linked Cell 25" xfId="33681" xr:uid="{00000000-0005-0000-0000-00007C830000}"/>
    <cellStyle name="Linked Cell 26" xfId="33682" xr:uid="{00000000-0005-0000-0000-00007D830000}"/>
    <cellStyle name="Linked Cell 27" xfId="33683" xr:uid="{00000000-0005-0000-0000-00007E830000}"/>
    <cellStyle name="Linked Cell 28" xfId="33684" xr:uid="{00000000-0005-0000-0000-00007F830000}"/>
    <cellStyle name="Linked Cell 29" xfId="33685" xr:uid="{00000000-0005-0000-0000-000080830000}"/>
    <cellStyle name="Linked Cell 3" xfId="33686" xr:uid="{00000000-0005-0000-0000-000081830000}"/>
    <cellStyle name="Linked Cell 3 10" xfId="33687" xr:uid="{00000000-0005-0000-0000-000082830000}"/>
    <cellStyle name="Linked Cell 3 10 10" xfId="33688" xr:uid="{00000000-0005-0000-0000-000083830000}"/>
    <cellStyle name="Linked Cell 3 10 11" xfId="33689" xr:uid="{00000000-0005-0000-0000-000084830000}"/>
    <cellStyle name="Linked Cell 3 10 12" xfId="33690" xr:uid="{00000000-0005-0000-0000-000085830000}"/>
    <cellStyle name="Linked Cell 3 10 13" xfId="33691" xr:uid="{00000000-0005-0000-0000-000086830000}"/>
    <cellStyle name="Linked Cell 3 10 14" xfId="33692" xr:uid="{00000000-0005-0000-0000-000087830000}"/>
    <cellStyle name="Linked Cell 3 10 15" xfId="33693" xr:uid="{00000000-0005-0000-0000-000088830000}"/>
    <cellStyle name="Linked Cell 3 10 2" xfId="33694" xr:uid="{00000000-0005-0000-0000-000089830000}"/>
    <cellStyle name="Linked Cell 3 10 3" xfId="33695" xr:uid="{00000000-0005-0000-0000-00008A830000}"/>
    <cellStyle name="Linked Cell 3 10 4" xfId="33696" xr:uid="{00000000-0005-0000-0000-00008B830000}"/>
    <cellStyle name="Linked Cell 3 10 5" xfId="33697" xr:uid="{00000000-0005-0000-0000-00008C830000}"/>
    <cellStyle name="Linked Cell 3 10 6" xfId="33698" xr:uid="{00000000-0005-0000-0000-00008D830000}"/>
    <cellStyle name="Linked Cell 3 10 7" xfId="33699" xr:uid="{00000000-0005-0000-0000-00008E830000}"/>
    <cellStyle name="Linked Cell 3 10 8" xfId="33700" xr:uid="{00000000-0005-0000-0000-00008F830000}"/>
    <cellStyle name="Linked Cell 3 10 9" xfId="33701" xr:uid="{00000000-0005-0000-0000-000090830000}"/>
    <cellStyle name="Linked Cell 3 11" xfId="33702" xr:uid="{00000000-0005-0000-0000-000091830000}"/>
    <cellStyle name="Linked Cell 3 11 10" xfId="33703" xr:uid="{00000000-0005-0000-0000-000092830000}"/>
    <cellStyle name="Linked Cell 3 11 11" xfId="33704" xr:uid="{00000000-0005-0000-0000-000093830000}"/>
    <cellStyle name="Linked Cell 3 11 12" xfId="33705" xr:uid="{00000000-0005-0000-0000-000094830000}"/>
    <cellStyle name="Linked Cell 3 11 13" xfId="33706" xr:uid="{00000000-0005-0000-0000-000095830000}"/>
    <cellStyle name="Linked Cell 3 11 14" xfId="33707" xr:uid="{00000000-0005-0000-0000-000096830000}"/>
    <cellStyle name="Linked Cell 3 11 15" xfId="33708" xr:uid="{00000000-0005-0000-0000-000097830000}"/>
    <cellStyle name="Linked Cell 3 11 2" xfId="33709" xr:uid="{00000000-0005-0000-0000-000098830000}"/>
    <cellStyle name="Linked Cell 3 11 3" xfId="33710" xr:uid="{00000000-0005-0000-0000-000099830000}"/>
    <cellStyle name="Linked Cell 3 11 4" xfId="33711" xr:uid="{00000000-0005-0000-0000-00009A830000}"/>
    <cellStyle name="Linked Cell 3 11 5" xfId="33712" xr:uid="{00000000-0005-0000-0000-00009B830000}"/>
    <cellStyle name="Linked Cell 3 11 6" xfId="33713" xr:uid="{00000000-0005-0000-0000-00009C830000}"/>
    <cellStyle name="Linked Cell 3 11 7" xfId="33714" xr:uid="{00000000-0005-0000-0000-00009D830000}"/>
    <cellStyle name="Linked Cell 3 11 8" xfId="33715" xr:uid="{00000000-0005-0000-0000-00009E830000}"/>
    <cellStyle name="Linked Cell 3 11 9" xfId="33716" xr:uid="{00000000-0005-0000-0000-00009F830000}"/>
    <cellStyle name="Linked Cell 3 12" xfId="33717" xr:uid="{00000000-0005-0000-0000-0000A0830000}"/>
    <cellStyle name="Linked Cell 3 12 10" xfId="33718" xr:uid="{00000000-0005-0000-0000-0000A1830000}"/>
    <cellStyle name="Linked Cell 3 12 11" xfId="33719" xr:uid="{00000000-0005-0000-0000-0000A2830000}"/>
    <cellStyle name="Linked Cell 3 12 12" xfId="33720" xr:uid="{00000000-0005-0000-0000-0000A3830000}"/>
    <cellStyle name="Linked Cell 3 12 13" xfId="33721" xr:uid="{00000000-0005-0000-0000-0000A4830000}"/>
    <cellStyle name="Linked Cell 3 12 14" xfId="33722" xr:uid="{00000000-0005-0000-0000-0000A5830000}"/>
    <cellStyle name="Linked Cell 3 12 15" xfId="33723" xr:uid="{00000000-0005-0000-0000-0000A6830000}"/>
    <cellStyle name="Linked Cell 3 12 2" xfId="33724" xr:uid="{00000000-0005-0000-0000-0000A7830000}"/>
    <cellStyle name="Linked Cell 3 12 3" xfId="33725" xr:uid="{00000000-0005-0000-0000-0000A8830000}"/>
    <cellStyle name="Linked Cell 3 12 4" xfId="33726" xr:uid="{00000000-0005-0000-0000-0000A9830000}"/>
    <cellStyle name="Linked Cell 3 12 5" xfId="33727" xr:uid="{00000000-0005-0000-0000-0000AA830000}"/>
    <cellStyle name="Linked Cell 3 12 6" xfId="33728" xr:uid="{00000000-0005-0000-0000-0000AB830000}"/>
    <cellStyle name="Linked Cell 3 12 7" xfId="33729" xr:uid="{00000000-0005-0000-0000-0000AC830000}"/>
    <cellStyle name="Linked Cell 3 12 8" xfId="33730" xr:uid="{00000000-0005-0000-0000-0000AD830000}"/>
    <cellStyle name="Linked Cell 3 12 9" xfId="33731" xr:uid="{00000000-0005-0000-0000-0000AE830000}"/>
    <cellStyle name="Linked Cell 3 13" xfId="33732" xr:uid="{00000000-0005-0000-0000-0000AF830000}"/>
    <cellStyle name="Linked Cell 3 13 10" xfId="33733" xr:uid="{00000000-0005-0000-0000-0000B0830000}"/>
    <cellStyle name="Linked Cell 3 13 11" xfId="33734" xr:uid="{00000000-0005-0000-0000-0000B1830000}"/>
    <cellStyle name="Linked Cell 3 13 12" xfId="33735" xr:uid="{00000000-0005-0000-0000-0000B2830000}"/>
    <cellStyle name="Linked Cell 3 13 13" xfId="33736" xr:uid="{00000000-0005-0000-0000-0000B3830000}"/>
    <cellStyle name="Linked Cell 3 13 14" xfId="33737" xr:uid="{00000000-0005-0000-0000-0000B4830000}"/>
    <cellStyle name="Linked Cell 3 13 15" xfId="33738" xr:uid="{00000000-0005-0000-0000-0000B5830000}"/>
    <cellStyle name="Linked Cell 3 13 2" xfId="33739" xr:uid="{00000000-0005-0000-0000-0000B6830000}"/>
    <cellStyle name="Linked Cell 3 13 3" xfId="33740" xr:uid="{00000000-0005-0000-0000-0000B7830000}"/>
    <cellStyle name="Linked Cell 3 13 4" xfId="33741" xr:uid="{00000000-0005-0000-0000-0000B8830000}"/>
    <cellStyle name="Linked Cell 3 13 5" xfId="33742" xr:uid="{00000000-0005-0000-0000-0000B9830000}"/>
    <cellStyle name="Linked Cell 3 13 6" xfId="33743" xr:uid="{00000000-0005-0000-0000-0000BA830000}"/>
    <cellStyle name="Linked Cell 3 13 7" xfId="33744" xr:uid="{00000000-0005-0000-0000-0000BB830000}"/>
    <cellStyle name="Linked Cell 3 13 8" xfId="33745" xr:uid="{00000000-0005-0000-0000-0000BC830000}"/>
    <cellStyle name="Linked Cell 3 13 9" xfId="33746" xr:uid="{00000000-0005-0000-0000-0000BD830000}"/>
    <cellStyle name="Linked Cell 3 14" xfId="33747" xr:uid="{00000000-0005-0000-0000-0000BE830000}"/>
    <cellStyle name="Linked Cell 3 14 10" xfId="33748" xr:uid="{00000000-0005-0000-0000-0000BF830000}"/>
    <cellStyle name="Linked Cell 3 14 11" xfId="33749" xr:uid="{00000000-0005-0000-0000-0000C0830000}"/>
    <cellStyle name="Linked Cell 3 14 12" xfId="33750" xr:uid="{00000000-0005-0000-0000-0000C1830000}"/>
    <cellStyle name="Linked Cell 3 14 13" xfId="33751" xr:uid="{00000000-0005-0000-0000-0000C2830000}"/>
    <cellStyle name="Linked Cell 3 14 14" xfId="33752" xr:uid="{00000000-0005-0000-0000-0000C3830000}"/>
    <cellStyle name="Linked Cell 3 14 15" xfId="33753" xr:uid="{00000000-0005-0000-0000-0000C4830000}"/>
    <cellStyle name="Linked Cell 3 14 2" xfId="33754" xr:uid="{00000000-0005-0000-0000-0000C5830000}"/>
    <cellStyle name="Linked Cell 3 14 3" xfId="33755" xr:uid="{00000000-0005-0000-0000-0000C6830000}"/>
    <cellStyle name="Linked Cell 3 14 4" xfId="33756" xr:uid="{00000000-0005-0000-0000-0000C7830000}"/>
    <cellStyle name="Linked Cell 3 14 5" xfId="33757" xr:uid="{00000000-0005-0000-0000-0000C8830000}"/>
    <cellStyle name="Linked Cell 3 14 6" xfId="33758" xr:uid="{00000000-0005-0000-0000-0000C9830000}"/>
    <cellStyle name="Linked Cell 3 14 7" xfId="33759" xr:uid="{00000000-0005-0000-0000-0000CA830000}"/>
    <cellStyle name="Linked Cell 3 14 8" xfId="33760" xr:uid="{00000000-0005-0000-0000-0000CB830000}"/>
    <cellStyle name="Linked Cell 3 14 9" xfId="33761" xr:uid="{00000000-0005-0000-0000-0000CC830000}"/>
    <cellStyle name="Linked Cell 3 15" xfId="33762" xr:uid="{00000000-0005-0000-0000-0000CD830000}"/>
    <cellStyle name="Linked Cell 3 15 10" xfId="33763" xr:uid="{00000000-0005-0000-0000-0000CE830000}"/>
    <cellStyle name="Linked Cell 3 15 11" xfId="33764" xr:uid="{00000000-0005-0000-0000-0000CF830000}"/>
    <cellStyle name="Linked Cell 3 15 12" xfId="33765" xr:uid="{00000000-0005-0000-0000-0000D0830000}"/>
    <cellStyle name="Linked Cell 3 15 13" xfId="33766" xr:uid="{00000000-0005-0000-0000-0000D1830000}"/>
    <cellStyle name="Linked Cell 3 15 14" xfId="33767" xr:uid="{00000000-0005-0000-0000-0000D2830000}"/>
    <cellStyle name="Linked Cell 3 15 15" xfId="33768" xr:uid="{00000000-0005-0000-0000-0000D3830000}"/>
    <cellStyle name="Linked Cell 3 15 2" xfId="33769" xr:uid="{00000000-0005-0000-0000-0000D4830000}"/>
    <cellStyle name="Linked Cell 3 15 3" xfId="33770" xr:uid="{00000000-0005-0000-0000-0000D5830000}"/>
    <cellStyle name="Linked Cell 3 15 4" xfId="33771" xr:uid="{00000000-0005-0000-0000-0000D6830000}"/>
    <cellStyle name="Linked Cell 3 15 5" xfId="33772" xr:uid="{00000000-0005-0000-0000-0000D7830000}"/>
    <cellStyle name="Linked Cell 3 15 6" xfId="33773" xr:uid="{00000000-0005-0000-0000-0000D8830000}"/>
    <cellStyle name="Linked Cell 3 15 7" xfId="33774" xr:uid="{00000000-0005-0000-0000-0000D9830000}"/>
    <cellStyle name="Linked Cell 3 15 8" xfId="33775" xr:uid="{00000000-0005-0000-0000-0000DA830000}"/>
    <cellStyle name="Linked Cell 3 15 9" xfId="33776" xr:uid="{00000000-0005-0000-0000-0000DB830000}"/>
    <cellStyle name="Linked Cell 3 16" xfId="33777" xr:uid="{00000000-0005-0000-0000-0000DC830000}"/>
    <cellStyle name="Linked Cell 3 16 10" xfId="33778" xr:uid="{00000000-0005-0000-0000-0000DD830000}"/>
    <cellStyle name="Linked Cell 3 16 11" xfId="33779" xr:uid="{00000000-0005-0000-0000-0000DE830000}"/>
    <cellStyle name="Linked Cell 3 16 12" xfId="33780" xr:uid="{00000000-0005-0000-0000-0000DF830000}"/>
    <cellStyle name="Linked Cell 3 16 13" xfId="33781" xr:uid="{00000000-0005-0000-0000-0000E0830000}"/>
    <cellStyle name="Linked Cell 3 16 14" xfId="33782" xr:uid="{00000000-0005-0000-0000-0000E1830000}"/>
    <cellStyle name="Linked Cell 3 16 15" xfId="33783" xr:uid="{00000000-0005-0000-0000-0000E2830000}"/>
    <cellStyle name="Linked Cell 3 16 2" xfId="33784" xr:uid="{00000000-0005-0000-0000-0000E3830000}"/>
    <cellStyle name="Linked Cell 3 16 3" xfId="33785" xr:uid="{00000000-0005-0000-0000-0000E4830000}"/>
    <cellStyle name="Linked Cell 3 16 4" xfId="33786" xr:uid="{00000000-0005-0000-0000-0000E5830000}"/>
    <cellStyle name="Linked Cell 3 16 5" xfId="33787" xr:uid="{00000000-0005-0000-0000-0000E6830000}"/>
    <cellStyle name="Linked Cell 3 16 6" xfId="33788" xr:uid="{00000000-0005-0000-0000-0000E7830000}"/>
    <cellStyle name="Linked Cell 3 16 7" xfId="33789" xr:uid="{00000000-0005-0000-0000-0000E8830000}"/>
    <cellStyle name="Linked Cell 3 16 8" xfId="33790" xr:uid="{00000000-0005-0000-0000-0000E9830000}"/>
    <cellStyle name="Linked Cell 3 16 9" xfId="33791" xr:uid="{00000000-0005-0000-0000-0000EA830000}"/>
    <cellStyle name="Linked Cell 3 17" xfId="33792" xr:uid="{00000000-0005-0000-0000-0000EB830000}"/>
    <cellStyle name="Linked Cell 3 17 10" xfId="33793" xr:uid="{00000000-0005-0000-0000-0000EC830000}"/>
    <cellStyle name="Linked Cell 3 17 11" xfId="33794" xr:uid="{00000000-0005-0000-0000-0000ED830000}"/>
    <cellStyle name="Linked Cell 3 17 12" xfId="33795" xr:uid="{00000000-0005-0000-0000-0000EE830000}"/>
    <cellStyle name="Linked Cell 3 17 13" xfId="33796" xr:uid="{00000000-0005-0000-0000-0000EF830000}"/>
    <cellStyle name="Linked Cell 3 17 14" xfId="33797" xr:uid="{00000000-0005-0000-0000-0000F0830000}"/>
    <cellStyle name="Linked Cell 3 17 15" xfId="33798" xr:uid="{00000000-0005-0000-0000-0000F1830000}"/>
    <cellStyle name="Linked Cell 3 17 2" xfId="33799" xr:uid="{00000000-0005-0000-0000-0000F2830000}"/>
    <cellStyle name="Linked Cell 3 17 3" xfId="33800" xr:uid="{00000000-0005-0000-0000-0000F3830000}"/>
    <cellStyle name="Linked Cell 3 17 4" xfId="33801" xr:uid="{00000000-0005-0000-0000-0000F4830000}"/>
    <cellStyle name="Linked Cell 3 17 5" xfId="33802" xr:uid="{00000000-0005-0000-0000-0000F5830000}"/>
    <cellStyle name="Linked Cell 3 17 6" xfId="33803" xr:uid="{00000000-0005-0000-0000-0000F6830000}"/>
    <cellStyle name="Linked Cell 3 17 7" xfId="33804" xr:uid="{00000000-0005-0000-0000-0000F7830000}"/>
    <cellStyle name="Linked Cell 3 17 8" xfId="33805" xr:uid="{00000000-0005-0000-0000-0000F8830000}"/>
    <cellStyle name="Linked Cell 3 17 9" xfId="33806" xr:uid="{00000000-0005-0000-0000-0000F9830000}"/>
    <cellStyle name="Linked Cell 3 18" xfId="33807" xr:uid="{00000000-0005-0000-0000-0000FA830000}"/>
    <cellStyle name="Linked Cell 3 18 10" xfId="33808" xr:uid="{00000000-0005-0000-0000-0000FB830000}"/>
    <cellStyle name="Linked Cell 3 18 11" xfId="33809" xr:uid="{00000000-0005-0000-0000-0000FC830000}"/>
    <cellStyle name="Linked Cell 3 18 12" xfId="33810" xr:uid="{00000000-0005-0000-0000-0000FD830000}"/>
    <cellStyle name="Linked Cell 3 18 13" xfId="33811" xr:uid="{00000000-0005-0000-0000-0000FE830000}"/>
    <cellStyle name="Linked Cell 3 18 14" xfId="33812" xr:uid="{00000000-0005-0000-0000-0000FF830000}"/>
    <cellStyle name="Linked Cell 3 18 15" xfId="33813" xr:uid="{00000000-0005-0000-0000-000000840000}"/>
    <cellStyle name="Linked Cell 3 18 2" xfId="33814" xr:uid="{00000000-0005-0000-0000-000001840000}"/>
    <cellStyle name="Linked Cell 3 18 3" xfId="33815" xr:uid="{00000000-0005-0000-0000-000002840000}"/>
    <cellStyle name="Linked Cell 3 18 4" xfId="33816" xr:uid="{00000000-0005-0000-0000-000003840000}"/>
    <cellStyle name="Linked Cell 3 18 5" xfId="33817" xr:uid="{00000000-0005-0000-0000-000004840000}"/>
    <cellStyle name="Linked Cell 3 18 6" xfId="33818" xr:uid="{00000000-0005-0000-0000-000005840000}"/>
    <cellStyle name="Linked Cell 3 18 7" xfId="33819" xr:uid="{00000000-0005-0000-0000-000006840000}"/>
    <cellStyle name="Linked Cell 3 18 8" xfId="33820" xr:uid="{00000000-0005-0000-0000-000007840000}"/>
    <cellStyle name="Linked Cell 3 18 9" xfId="33821" xr:uid="{00000000-0005-0000-0000-000008840000}"/>
    <cellStyle name="Linked Cell 3 19" xfId="33822" xr:uid="{00000000-0005-0000-0000-000009840000}"/>
    <cellStyle name="Linked Cell 3 19 10" xfId="33823" xr:uid="{00000000-0005-0000-0000-00000A840000}"/>
    <cellStyle name="Linked Cell 3 19 11" xfId="33824" xr:uid="{00000000-0005-0000-0000-00000B840000}"/>
    <cellStyle name="Linked Cell 3 19 12" xfId="33825" xr:uid="{00000000-0005-0000-0000-00000C840000}"/>
    <cellStyle name="Linked Cell 3 19 13" xfId="33826" xr:uid="{00000000-0005-0000-0000-00000D840000}"/>
    <cellStyle name="Linked Cell 3 19 14" xfId="33827" xr:uid="{00000000-0005-0000-0000-00000E840000}"/>
    <cellStyle name="Linked Cell 3 19 15" xfId="33828" xr:uid="{00000000-0005-0000-0000-00000F840000}"/>
    <cellStyle name="Linked Cell 3 19 2" xfId="33829" xr:uid="{00000000-0005-0000-0000-000010840000}"/>
    <cellStyle name="Linked Cell 3 19 3" xfId="33830" xr:uid="{00000000-0005-0000-0000-000011840000}"/>
    <cellStyle name="Linked Cell 3 19 4" xfId="33831" xr:uid="{00000000-0005-0000-0000-000012840000}"/>
    <cellStyle name="Linked Cell 3 19 5" xfId="33832" xr:uid="{00000000-0005-0000-0000-000013840000}"/>
    <cellStyle name="Linked Cell 3 19 6" xfId="33833" xr:uid="{00000000-0005-0000-0000-000014840000}"/>
    <cellStyle name="Linked Cell 3 19 7" xfId="33834" xr:uid="{00000000-0005-0000-0000-000015840000}"/>
    <cellStyle name="Linked Cell 3 19 8" xfId="33835" xr:uid="{00000000-0005-0000-0000-000016840000}"/>
    <cellStyle name="Linked Cell 3 19 9" xfId="33836" xr:uid="{00000000-0005-0000-0000-000017840000}"/>
    <cellStyle name="Linked Cell 3 2" xfId="33837" xr:uid="{00000000-0005-0000-0000-000018840000}"/>
    <cellStyle name="Linked Cell 3 2 10" xfId="33838" xr:uid="{00000000-0005-0000-0000-000019840000}"/>
    <cellStyle name="Linked Cell 3 2 11" xfId="33839" xr:uid="{00000000-0005-0000-0000-00001A840000}"/>
    <cellStyle name="Linked Cell 3 2 12" xfId="33840" xr:uid="{00000000-0005-0000-0000-00001B840000}"/>
    <cellStyle name="Linked Cell 3 2 13" xfId="33841" xr:uid="{00000000-0005-0000-0000-00001C840000}"/>
    <cellStyle name="Linked Cell 3 2 14" xfId="33842" xr:uid="{00000000-0005-0000-0000-00001D840000}"/>
    <cellStyle name="Linked Cell 3 2 15" xfId="33843" xr:uid="{00000000-0005-0000-0000-00001E840000}"/>
    <cellStyle name="Linked Cell 3 2 16" xfId="33844" xr:uid="{00000000-0005-0000-0000-00001F840000}"/>
    <cellStyle name="Linked Cell 3 2 17" xfId="33845" xr:uid="{00000000-0005-0000-0000-000020840000}"/>
    <cellStyle name="Linked Cell 3 2 18" xfId="33846" xr:uid="{00000000-0005-0000-0000-000021840000}"/>
    <cellStyle name="Linked Cell 3 2 19" xfId="33847" xr:uid="{00000000-0005-0000-0000-000022840000}"/>
    <cellStyle name="Linked Cell 3 2 2" xfId="33848" xr:uid="{00000000-0005-0000-0000-000023840000}"/>
    <cellStyle name="Linked Cell 3 2 20" xfId="33849" xr:uid="{00000000-0005-0000-0000-000024840000}"/>
    <cellStyle name="Linked Cell 3 2 21" xfId="33850" xr:uid="{00000000-0005-0000-0000-000025840000}"/>
    <cellStyle name="Linked Cell 3 2 22" xfId="33851" xr:uid="{00000000-0005-0000-0000-000026840000}"/>
    <cellStyle name="Linked Cell 3 2 23" xfId="33852" xr:uid="{00000000-0005-0000-0000-000027840000}"/>
    <cellStyle name="Linked Cell 3 2 24" xfId="33853" xr:uid="{00000000-0005-0000-0000-000028840000}"/>
    <cellStyle name="Linked Cell 3 2 25" xfId="33854" xr:uid="{00000000-0005-0000-0000-000029840000}"/>
    <cellStyle name="Linked Cell 3 2 26" xfId="33855" xr:uid="{00000000-0005-0000-0000-00002A840000}"/>
    <cellStyle name="Linked Cell 3 2 27" xfId="33856" xr:uid="{00000000-0005-0000-0000-00002B840000}"/>
    <cellStyle name="Linked Cell 3 2 28" xfId="33857" xr:uid="{00000000-0005-0000-0000-00002C840000}"/>
    <cellStyle name="Linked Cell 3 2 29" xfId="33858" xr:uid="{00000000-0005-0000-0000-00002D840000}"/>
    <cellStyle name="Linked Cell 3 2 3" xfId="33859" xr:uid="{00000000-0005-0000-0000-00002E840000}"/>
    <cellStyle name="Linked Cell 3 2 30" xfId="33860" xr:uid="{00000000-0005-0000-0000-00002F840000}"/>
    <cellStyle name="Linked Cell 3 2 31" xfId="33861" xr:uid="{00000000-0005-0000-0000-000030840000}"/>
    <cellStyle name="Linked Cell 3 2 32" xfId="33862" xr:uid="{00000000-0005-0000-0000-000031840000}"/>
    <cellStyle name="Linked Cell 3 2 33" xfId="33863" xr:uid="{00000000-0005-0000-0000-000032840000}"/>
    <cellStyle name="Linked Cell 3 2 34" xfId="33864" xr:uid="{00000000-0005-0000-0000-000033840000}"/>
    <cellStyle name="Linked Cell 3 2 35" xfId="33865" xr:uid="{00000000-0005-0000-0000-000034840000}"/>
    <cellStyle name="Linked Cell 3 2 36" xfId="33866" xr:uid="{00000000-0005-0000-0000-000035840000}"/>
    <cellStyle name="Linked Cell 3 2 37" xfId="33867" xr:uid="{00000000-0005-0000-0000-000036840000}"/>
    <cellStyle name="Linked Cell 3 2 38" xfId="33868" xr:uid="{00000000-0005-0000-0000-000037840000}"/>
    <cellStyle name="Linked Cell 3 2 39" xfId="33869" xr:uid="{00000000-0005-0000-0000-000038840000}"/>
    <cellStyle name="Linked Cell 3 2 4" xfId="33870" xr:uid="{00000000-0005-0000-0000-000039840000}"/>
    <cellStyle name="Linked Cell 3 2 40" xfId="33871" xr:uid="{00000000-0005-0000-0000-00003A840000}"/>
    <cellStyle name="Linked Cell 3 2 41" xfId="33872" xr:uid="{00000000-0005-0000-0000-00003B840000}"/>
    <cellStyle name="Linked Cell 3 2 42" xfId="33873" xr:uid="{00000000-0005-0000-0000-00003C840000}"/>
    <cellStyle name="Linked Cell 3 2 43" xfId="33874" xr:uid="{00000000-0005-0000-0000-00003D840000}"/>
    <cellStyle name="Linked Cell 3 2 44" xfId="33875" xr:uid="{00000000-0005-0000-0000-00003E840000}"/>
    <cellStyle name="Linked Cell 3 2 45" xfId="33876" xr:uid="{00000000-0005-0000-0000-00003F840000}"/>
    <cellStyle name="Linked Cell 3 2 46" xfId="33877" xr:uid="{00000000-0005-0000-0000-000040840000}"/>
    <cellStyle name="Linked Cell 3 2 47" xfId="33878" xr:uid="{00000000-0005-0000-0000-000041840000}"/>
    <cellStyle name="Linked Cell 3 2 48" xfId="33879" xr:uid="{00000000-0005-0000-0000-000042840000}"/>
    <cellStyle name="Linked Cell 3 2 49" xfId="33880" xr:uid="{00000000-0005-0000-0000-000043840000}"/>
    <cellStyle name="Linked Cell 3 2 5" xfId="33881" xr:uid="{00000000-0005-0000-0000-000044840000}"/>
    <cellStyle name="Linked Cell 3 2 50" xfId="33882" xr:uid="{00000000-0005-0000-0000-000045840000}"/>
    <cellStyle name="Linked Cell 3 2 51" xfId="33883" xr:uid="{00000000-0005-0000-0000-000046840000}"/>
    <cellStyle name="Linked Cell 3 2 52" xfId="33884" xr:uid="{00000000-0005-0000-0000-000047840000}"/>
    <cellStyle name="Linked Cell 3 2 53" xfId="33885" xr:uid="{00000000-0005-0000-0000-000048840000}"/>
    <cellStyle name="Linked Cell 3 2 6" xfId="33886" xr:uid="{00000000-0005-0000-0000-000049840000}"/>
    <cellStyle name="Linked Cell 3 2 7" xfId="33887" xr:uid="{00000000-0005-0000-0000-00004A840000}"/>
    <cellStyle name="Linked Cell 3 2 8" xfId="33888" xr:uid="{00000000-0005-0000-0000-00004B840000}"/>
    <cellStyle name="Linked Cell 3 2 9" xfId="33889" xr:uid="{00000000-0005-0000-0000-00004C840000}"/>
    <cellStyle name="Linked Cell 3 20" xfId="33890" xr:uid="{00000000-0005-0000-0000-00004D840000}"/>
    <cellStyle name="Linked Cell 3 20 10" xfId="33891" xr:uid="{00000000-0005-0000-0000-00004E840000}"/>
    <cellStyle name="Linked Cell 3 20 11" xfId="33892" xr:uid="{00000000-0005-0000-0000-00004F840000}"/>
    <cellStyle name="Linked Cell 3 20 12" xfId="33893" xr:uid="{00000000-0005-0000-0000-000050840000}"/>
    <cellStyle name="Linked Cell 3 20 13" xfId="33894" xr:uid="{00000000-0005-0000-0000-000051840000}"/>
    <cellStyle name="Linked Cell 3 20 14" xfId="33895" xr:uid="{00000000-0005-0000-0000-000052840000}"/>
    <cellStyle name="Linked Cell 3 20 15" xfId="33896" xr:uid="{00000000-0005-0000-0000-000053840000}"/>
    <cellStyle name="Linked Cell 3 20 2" xfId="33897" xr:uid="{00000000-0005-0000-0000-000054840000}"/>
    <cellStyle name="Linked Cell 3 20 3" xfId="33898" xr:uid="{00000000-0005-0000-0000-000055840000}"/>
    <cellStyle name="Linked Cell 3 20 4" xfId="33899" xr:uid="{00000000-0005-0000-0000-000056840000}"/>
    <cellStyle name="Linked Cell 3 20 5" xfId="33900" xr:uid="{00000000-0005-0000-0000-000057840000}"/>
    <cellStyle name="Linked Cell 3 20 6" xfId="33901" xr:uid="{00000000-0005-0000-0000-000058840000}"/>
    <cellStyle name="Linked Cell 3 20 7" xfId="33902" xr:uid="{00000000-0005-0000-0000-000059840000}"/>
    <cellStyle name="Linked Cell 3 20 8" xfId="33903" xr:uid="{00000000-0005-0000-0000-00005A840000}"/>
    <cellStyle name="Linked Cell 3 20 9" xfId="33904" xr:uid="{00000000-0005-0000-0000-00005B840000}"/>
    <cellStyle name="Linked Cell 3 21" xfId="33905" xr:uid="{00000000-0005-0000-0000-00005C840000}"/>
    <cellStyle name="Linked Cell 3 21 10" xfId="33906" xr:uid="{00000000-0005-0000-0000-00005D840000}"/>
    <cellStyle name="Linked Cell 3 21 11" xfId="33907" xr:uid="{00000000-0005-0000-0000-00005E840000}"/>
    <cellStyle name="Linked Cell 3 21 12" xfId="33908" xr:uid="{00000000-0005-0000-0000-00005F840000}"/>
    <cellStyle name="Linked Cell 3 21 13" xfId="33909" xr:uid="{00000000-0005-0000-0000-000060840000}"/>
    <cellStyle name="Linked Cell 3 21 14" xfId="33910" xr:uid="{00000000-0005-0000-0000-000061840000}"/>
    <cellStyle name="Linked Cell 3 21 15" xfId="33911" xr:uid="{00000000-0005-0000-0000-000062840000}"/>
    <cellStyle name="Linked Cell 3 21 2" xfId="33912" xr:uid="{00000000-0005-0000-0000-000063840000}"/>
    <cellStyle name="Linked Cell 3 21 3" xfId="33913" xr:uid="{00000000-0005-0000-0000-000064840000}"/>
    <cellStyle name="Linked Cell 3 21 4" xfId="33914" xr:uid="{00000000-0005-0000-0000-000065840000}"/>
    <cellStyle name="Linked Cell 3 21 5" xfId="33915" xr:uid="{00000000-0005-0000-0000-000066840000}"/>
    <cellStyle name="Linked Cell 3 21 6" xfId="33916" xr:uid="{00000000-0005-0000-0000-000067840000}"/>
    <cellStyle name="Linked Cell 3 21 7" xfId="33917" xr:uid="{00000000-0005-0000-0000-000068840000}"/>
    <cellStyle name="Linked Cell 3 21 8" xfId="33918" xr:uid="{00000000-0005-0000-0000-000069840000}"/>
    <cellStyle name="Linked Cell 3 21 9" xfId="33919" xr:uid="{00000000-0005-0000-0000-00006A840000}"/>
    <cellStyle name="Linked Cell 3 22" xfId="33920" xr:uid="{00000000-0005-0000-0000-00006B840000}"/>
    <cellStyle name="Linked Cell 3 22 10" xfId="33921" xr:uid="{00000000-0005-0000-0000-00006C840000}"/>
    <cellStyle name="Linked Cell 3 22 11" xfId="33922" xr:uid="{00000000-0005-0000-0000-00006D840000}"/>
    <cellStyle name="Linked Cell 3 22 12" xfId="33923" xr:uid="{00000000-0005-0000-0000-00006E840000}"/>
    <cellStyle name="Linked Cell 3 22 13" xfId="33924" xr:uid="{00000000-0005-0000-0000-00006F840000}"/>
    <cellStyle name="Linked Cell 3 22 14" xfId="33925" xr:uid="{00000000-0005-0000-0000-000070840000}"/>
    <cellStyle name="Linked Cell 3 22 15" xfId="33926" xr:uid="{00000000-0005-0000-0000-000071840000}"/>
    <cellStyle name="Linked Cell 3 22 2" xfId="33927" xr:uid="{00000000-0005-0000-0000-000072840000}"/>
    <cellStyle name="Linked Cell 3 22 3" xfId="33928" xr:uid="{00000000-0005-0000-0000-000073840000}"/>
    <cellStyle name="Linked Cell 3 22 4" xfId="33929" xr:uid="{00000000-0005-0000-0000-000074840000}"/>
    <cellStyle name="Linked Cell 3 22 5" xfId="33930" xr:uid="{00000000-0005-0000-0000-000075840000}"/>
    <cellStyle name="Linked Cell 3 22 6" xfId="33931" xr:uid="{00000000-0005-0000-0000-000076840000}"/>
    <cellStyle name="Linked Cell 3 22 7" xfId="33932" xr:uid="{00000000-0005-0000-0000-000077840000}"/>
    <cellStyle name="Linked Cell 3 22 8" xfId="33933" xr:uid="{00000000-0005-0000-0000-000078840000}"/>
    <cellStyle name="Linked Cell 3 22 9" xfId="33934" xr:uid="{00000000-0005-0000-0000-000079840000}"/>
    <cellStyle name="Linked Cell 3 23" xfId="33935" xr:uid="{00000000-0005-0000-0000-00007A840000}"/>
    <cellStyle name="Linked Cell 3 23 10" xfId="33936" xr:uid="{00000000-0005-0000-0000-00007B840000}"/>
    <cellStyle name="Linked Cell 3 23 11" xfId="33937" xr:uid="{00000000-0005-0000-0000-00007C840000}"/>
    <cellStyle name="Linked Cell 3 23 12" xfId="33938" xr:uid="{00000000-0005-0000-0000-00007D840000}"/>
    <cellStyle name="Linked Cell 3 23 13" xfId="33939" xr:uid="{00000000-0005-0000-0000-00007E840000}"/>
    <cellStyle name="Linked Cell 3 23 14" xfId="33940" xr:uid="{00000000-0005-0000-0000-00007F840000}"/>
    <cellStyle name="Linked Cell 3 23 15" xfId="33941" xr:uid="{00000000-0005-0000-0000-000080840000}"/>
    <cellStyle name="Linked Cell 3 23 2" xfId="33942" xr:uid="{00000000-0005-0000-0000-000081840000}"/>
    <cellStyle name="Linked Cell 3 23 3" xfId="33943" xr:uid="{00000000-0005-0000-0000-000082840000}"/>
    <cellStyle name="Linked Cell 3 23 4" xfId="33944" xr:uid="{00000000-0005-0000-0000-000083840000}"/>
    <cellStyle name="Linked Cell 3 23 5" xfId="33945" xr:uid="{00000000-0005-0000-0000-000084840000}"/>
    <cellStyle name="Linked Cell 3 23 6" xfId="33946" xr:uid="{00000000-0005-0000-0000-000085840000}"/>
    <cellStyle name="Linked Cell 3 23 7" xfId="33947" xr:uid="{00000000-0005-0000-0000-000086840000}"/>
    <cellStyle name="Linked Cell 3 23 8" xfId="33948" xr:uid="{00000000-0005-0000-0000-000087840000}"/>
    <cellStyle name="Linked Cell 3 23 9" xfId="33949" xr:uid="{00000000-0005-0000-0000-000088840000}"/>
    <cellStyle name="Linked Cell 3 24" xfId="33950" xr:uid="{00000000-0005-0000-0000-000089840000}"/>
    <cellStyle name="Linked Cell 3 24 10" xfId="33951" xr:uid="{00000000-0005-0000-0000-00008A840000}"/>
    <cellStyle name="Linked Cell 3 24 11" xfId="33952" xr:uid="{00000000-0005-0000-0000-00008B840000}"/>
    <cellStyle name="Linked Cell 3 24 12" xfId="33953" xr:uid="{00000000-0005-0000-0000-00008C840000}"/>
    <cellStyle name="Linked Cell 3 24 13" xfId="33954" xr:uid="{00000000-0005-0000-0000-00008D840000}"/>
    <cellStyle name="Linked Cell 3 24 14" xfId="33955" xr:uid="{00000000-0005-0000-0000-00008E840000}"/>
    <cellStyle name="Linked Cell 3 24 15" xfId="33956" xr:uid="{00000000-0005-0000-0000-00008F840000}"/>
    <cellStyle name="Linked Cell 3 24 2" xfId="33957" xr:uid="{00000000-0005-0000-0000-000090840000}"/>
    <cellStyle name="Linked Cell 3 24 3" xfId="33958" xr:uid="{00000000-0005-0000-0000-000091840000}"/>
    <cellStyle name="Linked Cell 3 24 4" xfId="33959" xr:uid="{00000000-0005-0000-0000-000092840000}"/>
    <cellStyle name="Linked Cell 3 24 5" xfId="33960" xr:uid="{00000000-0005-0000-0000-000093840000}"/>
    <cellStyle name="Linked Cell 3 24 6" xfId="33961" xr:uid="{00000000-0005-0000-0000-000094840000}"/>
    <cellStyle name="Linked Cell 3 24 7" xfId="33962" xr:uid="{00000000-0005-0000-0000-000095840000}"/>
    <cellStyle name="Linked Cell 3 24 8" xfId="33963" xr:uid="{00000000-0005-0000-0000-000096840000}"/>
    <cellStyle name="Linked Cell 3 24 9" xfId="33964" xr:uid="{00000000-0005-0000-0000-000097840000}"/>
    <cellStyle name="Linked Cell 3 25" xfId="33965" xr:uid="{00000000-0005-0000-0000-000098840000}"/>
    <cellStyle name="Linked Cell 3 25 10" xfId="33966" xr:uid="{00000000-0005-0000-0000-000099840000}"/>
    <cellStyle name="Linked Cell 3 25 11" xfId="33967" xr:uid="{00000000-0005-0000-0000-00009A840000}"/>
    <cellStyle name="Linked Cell 3 25 12" xfId="33968" xr:uid="{00000000-0005-0000-0000-00009B840000}"/>
    <cellStyle name="Linked Cell 3 25 13" xfId="33969" xr:uid="{00000000-0005-0000-0000-00009C840000}"/>
    <cellStyle name="Linked Cell 3 25 14" xfId="33970" xr:uid="{00000000-0005-0000-0000-00009D840000}"/>
    <cellStyle name="Linked Cell 3 25 15" xfId="33971" xr:uid="{00000000-0005-0000-0000-00009E840000}"/>
    <cellStyle name="Linked Cell 3 25 2" xfId="33972" xr:uid="{00000000-0005-0000-0000-00009F840000}"/>
    <cellStyle name="Linked Cell 3 25 3" xfId="33973" xr:uid="{00000000-0005-0000-0000-0000A0840000}"/>
    <cellStyle name="Linked Cell 3 25 4" xfId="33974" xr:uid="{00000000-0005-0000-0000-0000A1840000}"/>
    <cellStyle name="Linked Cell 3 25 5" xfId="33975" xr:uid="{00000000-0005-0000-0000-0000A2840000}"/>
    <cellStyle name="Linked Cell 3 25 6" xfId="33976" xr:uid="{00000000-0005-0000-0000-0000A3840000}"/>
    <cellStyle name="Linked Cell 3 25 7" xfId="33977" xr:uid="{00000000-0005-0000-0000-0000A4840000}"/>
    <cellStyle name="Linked Cell 3 25 8" xfId="33978" xr:uid="{00000000-0005-0000-0000-0000A5840000}"/>
    <cellStyle name="Linked Cell 3 25 9" xfId="33979" xr:uid="{00000000-0005-0000-0000-0000A6840000}"/>
    <cellStyle name="Linked Cell 3 26" xfId="33980" xr:uid="{00000000-0005-0000-0000-0000A7840000}"/>
    <cellStyle name="Linked Cell 3 26 10" xfId="33981" xr:uid="{00000000-0005-0000-0000-0000A8840000}"/>
    <cellStyle name="Linked Cell 3 26 11" xfId="33982" xr:uid="{00000000-0005-0000-0000-0000A9840000}"/>
    <cellStyle name="Linked Cell 3 26 12" xfId="33983" xr:uid="{00000000-0005-0000-0000-0000AA840000}"/>
    <cellStyle name="Linked Cell 3 26 13" xfId="33984" xr:uid="{00000000-0005-0000-0000-0000AB840000}"/>
    <cellStyle name="Linked Cell 3 26 14" xfId="33985" xr:uid="{00000000-0005-0000-0000-0000AC840000}"/>
    <cellStyle name="Linked Cell 3 26 15" xfId="33986" xr:uid="{00000000-0005-0000-0000-0000AD840000}"/>
    <cellStyle name="Linked Cell 3 26 2" xfId="33987" xr:uid="{00000000-0005-0000-0000-0000AE840000}"/>
    <cellStyle name="Linked Cell 3 26 3" xfId="33988" xr:uid="{00000000-0005-0000-0000-0000AF840000}"/>
    <cellStyle name="Linked Cell 3 26 4" xfId="33989" xr:uid="{00000000-0005-0000-0000-0000B0840000}"/>
    <cellStyle name="Linked Cell 3 26 5" xfId="33990" xr:uid="{00000000-0005-0000-0000-0000B1840000}"/>
    <cellStyle name="Linked Cell 3 26 6" xfId="33991" xr:uid="{00000000-0005-0000-0000-0000B2840000}"/>
    <cellStyle name="Linked Cell 3 26 7" xfId="33992" xr:uid="{00000000-0005-0000-0000-0000B3840000}"/>
    <cellStyle name="Linked Cell 3 26 8" xfId="33993" xr:uid="{00000000-0005-0000-0000-0000B4840000}"/>
    <cellStyle name="Linked Cell 3 26 9" xfId="33994" xr:uid="{00000000-0005-0000-0000-0000B5840000}"/>
    <cellStyle name="Linked Cell 3 27" xfId="33995" xr:uid="{00000000-0005-0000-0000-0000B6840000}"/>
    <cellStyle name="Linked Cell 3 27 10" xfId="33996" xr:uid="{00000000-0005-0000-0000-0000B7840000}"/>
    <cellStyle name="Linked Cell 3 27 11" xfId="33997" xr:uid="{00000000-0005-0000-0000-0000B8840000}"/>
    <cellStyle name="Linked Cell 3 27 12" xfId="33998" xr:uid="{00000000-0005-0000-0000-0000B9840000}"/>
    <cellStyle name="Linked Cell 3 27 13" xfId="33999" xr:uid="{00000000-0005-0000-0000-0000BA840000}"/>
    <cellStyle name="Linked Cell 3 27 14" xfId="34000" xr:uid="{00000000-0005-0000-0000-0000BB840000}"/>
    <cellStyle name="Linked Cell 3 27 15" xfId="34001" xr:uid="{00000000-0005-0000-0000-0000BC840000}"/>
    <cellStyle name="Linked Cell 3 27 2" xfId="34002" xr:uid="{00000000-0005-0000-0000-0000BD840000}"/>
    <cellStyle name="Linked Cell 3 27 3" xfId="34003" xr:uid="{00000000-0005-0000-0000-0000BE840000}"/>
    <cellStyle name="Linked Cell 3 27 4" xfId="34004" xr:uid="{00000000-0005-0000-0000-0000BF840000}"/>
    <cellStyle name="Linked Cell 3 27 5" xfId="34005" xr:uid="{00000000-0005-0000-0000-0000C0840000}"/>
    <cellStyle name="Linked Cell 3 27 6" xfId="34006" xr:uid="{00000000-0005-0000-0000-0000C1840000}"/>
    <cellStyle name="Linked Cell 3 27 7" xfId="34007" xr:uid="{00000000-0005-0000-0000-0000C2840000}"/>
    <cellStyle name="Linked Cell 3 27 8" xfId="34008" xr:uid="{00000000-0005-0000-0000-0000C3840000}"/>
    <cellStyle name="Linked Cell 3 27 9" xfId="34009" xr:uid="{00000000-0005-0000-0000-0000C4840000}"/>
    <cellStyle name="Linked Cell 3 28" xfId="34010" xr:uid="{00000000-0005-0000-0000-0000C5840000}"/>
    <cellStyle name="Linked Cell 3 28 10" xfId="34011" xr:uid="{00000000-0005-0000-0000-0000C6840000}"/>
    <cellStyle name="Linked Cell 3 28 11" xfId="34012" xr:uid="{00000000-0005-0000-0000-0000C7840000}"/>
    <cellStyle name="Linked Cell 3 28 12" xfId="34013" xr:uid="{00000000-0005-0000-0000-0000C8840000}"/>
    <cellStyle name="Linked Cell 3 28 13" xfId="34014" xr:uid="{00000000-0005-0000-0000-0000C9840000}"/>
    <cellStyle name="Linked Cell 3 28 14" xfId="34015" xr:uid="{00000000-0005-0000-0000-0000CA840000}"/>
    <cellStyle name="Linked Cell 3 28 15" xfId="34016" xr:uid="{00000000-0005-0000-0000-0000CB840000}"/>
    <cellStyle name="Linked Cell 3 28 2" xfId="34017" xr:uid="{00000000-0005-0000-0000-0000CC840000}"/>
    <cellStyle name="Linked Cell 3 28 3" xfId="34018" xr:uid="{00000000-0005-0000-0000-0000CD840000}"/>
    <cellStyle name="Linked Cell 3 28 4" xfId="34019" xr:uid="{00000000-0005-0000-0000-0000CE840000}"/>
    <cellStyle name="Linked Cell 3 28 5" xfId="34020" xr:uid="{00000000-0005-0000-0000-0000CF840000}"/>
    <cellStyle name="Linked Cell 3 28 6" xfId="34021" xr:uid="{00000000-0005-0000-0000-0000D0840000}"/>
    <cellStyle name="Linked Cell 3 28 7" xfId="34022" xr:uid="{00000000-0005-0000-0000-0000D1840000}"/>
    <cellStyle name="Linked Cell 3 28 8" xfId="34023" xr:uid="{00000000-0005-0000-0000-0000D2840000}"/>
    <cellStyle name="Linked Cell 3 28 9" xfId="34024" xr:uid="{00000000-0005-0000-0000-0000D3840000}"/>
    <cellStyle name="Linked Cell 3 29" xfId="34025" xr:uid="{00000000-0005-0000-0000-0000D4840000}"/>
    <cellStyle name="Linked Cell 3 29 10" xfId="34026" xr:uid="{00000000-0005-0000-0000-0000D5840000}"/>
    <cellStyle name="Linked Cell 3 29 11" xfId="34027" xr:uid="{00000000-0005-0000-0000-0000D6840000}"/>
    <cellStyle name="Linked Cell 3 29 12" xfId="34028" xr:uid="{00000000-0005-0000-0000-0000D7840000}"/>
    <cellStyle name="Linked Cell 3 29 13" xfId="34029" xr:uid="{00000000-0005-0000-0000-0000D8840000}"/>
    <cellStyle name="Linked Cell 3 29 14" xfId="34030" xr:uid="{00000000-0005-0000-0000-0000D9840000}"/>
    <cellStyle name="Linked Cell 3 29 15" xfId="34031" xr:uid="{00000000-0005-0000-0000-0000DA840000}"/>
    <cellStyle name="Linked Cell 3 29 2" xfId="34032" xr:uid="{00000000-0005-0000-0000-0000DB840000}"/>
    <cellStyle name="Linked Cell 3 29 3" xfId="34033" xr:uid="{00000000-0005-0000-0000-0000DC840000}"/>
    <cellStyle name="Linked Cell 3 29 4" xfId="34034" xr:uid="{00000000-0005-0000-0000-0000DD840000}"/>
    <cellStyle name="Linked Cell 3 29 5" xfId="34035" xr:uid="{00000000-0005-0000-0000-0000DE840000}"/>
    <cellStyle name="Linked Cell 3 29 6" xfId="34036" xr:uid="{00000000-0005-0000-0000-0000DF840000}"/>
    <cellStyle name="Linked Cell 3 29 7" xfId="34037" xr:uid="{00000000-0005-0000-0000-0000E0840000}"/>
    <cellStyle name="Linked Cell 3 29 8" xfId="34038" xr:uid="{00000000-0005-0000-0000-0000E1840000}"/>
    <cellStyle name="Linked Cell 3 29 9" xfId="34039" xr:uid="{00000000-0005-0000-0000-0000E2840000}"/>
    <cellStyle name="Linked Cell 3 3" xfId="34040" xr:uid="{00000000-0005-0000-0000-0000E3840000}"/>
    <cellStyle name="Linked Cell 3 3 10" xfId="34041" xr:uid="{00000000-0005-0000-0000-0000E4840000}"/>
    <cellStyle name="Linked Cell 3 3 11" xfId="34042" xr:uid="{00000000-0005-0000-0000-0000E5840000}"/>
    <cellStyle name="Linked Cell 3 3 12" xfId="34043" xr:uid="{00000000-0005-0000-0000-0000E6840000}"/>
    <cellStyle name="Linked Cell 3 3 13" xfId="34044" xr:uid="{00000000-0005-0000-0000-0000E7840000}"/>
    <cellStyle name="Linked Cell 3 3 14" xfId="34045" xr:uid="{00000000-0005-0000-0000-0000E8840000}"/>
    <cellStyle name="Linked Cell 3 3 15" xfId="34046" xr:uid="{00000000-0005-0000-0000-0000E9840000}"/>
    <cellStyle name="Linked Cell 3 3 16" xfId="34047" xr:uid="{00000000-0005-0000-0000-0000EA840000}"/>
    <cellStyle name="Linked Cell 3 3 2" xfId="34048" xr:uid="{00000000-0005-0000-0000-0000EB840000}"/>
    <cellStyle name="Linked Cell 3 3 3" xfId="34049" xr:uid="{00000000-0005-0000-0000-0000EC840000}"/>
    <cellStyle name="Linked Cell 3 3 4" xfId="34050" xr:uid="{00000000-0005-0000-0000-0000ED840000}"/>
    <cellStyle name="Linked Cell 3 3 5" xfId="34051" xr:uid="{00000000-0005-0000-0000-0000EE840000}"/>
    <cellStyle name="Linked Cell 3 3 6" xfId="34052" xr:uid="{00000000-0005-0000-0000-0000EF840000}"/>
    <cellStyle name="Linked Cell 3 3 7" xfId="34053" xr:uid="{00000000-0005-0000-0000-0000F0840000}"/>
    <cellStyle name="Linked Cell 3 3 8" xfId="34054" xr:uid="{00000000-0005-0000-0000-0000F1840000}"/>
    <cellStyle name="Linked Cell 3 3 9" xfId="34055" xr:uid="{00000000-0005-0000-0000-0000F2840000}"/>
    <cellStyle name="Linked Cell 3 30" xfId="34056" xr:uid="{00000000-0005-0000-0000-0000F3840000}"/>
    <cellStyle name="Linked Cell 3 30 10" xfId="34057" xr:uid="{00000000-0005-0000-0000-0000F4840000}"/>
    <cellStyle name="Linked Cell 3 30 11" xfId="34058" xr:uid="{00000000-0005-0000-0000-0000F5840000}"/>
    <cellStyle name="Linked Cell 3 30 12" xfId="34059" xr:uid="{00000000-0005-0000-0000-0000F6840000}"/>
    <cellStyle name="Linked Cell 3 30 13" xfId="34060" xr:uid="{00000000-0005-0000-0000-0000F7840000}"/>
    <cellStyle name="Linked Cell 3 30 14" xfId="34061" xr:uid="{00000000-0005-0000-0000-0000F8840000}"/>
    <cellStyle name="Linked Cell 3 30 15" xfId="34062" xr:uid="{00000000-0005-0000-0000-0000F9840000}"/>
    <cellStyle name="Linked Cell 3 30 2" xfId="34063" xr:uid="{00000000-0005-0000-0000-0000FA840000}"/>
    <cellStyle name="Linked Cell 3 30 3" xfId="34064" xr:uid="{00000000-0005-0000-0000-0000FB840000}"/>
    <cellStyle name="Linked Cell 3 30 4" xfId="34065" xr:uid="{00000000-0005-0000-0000-0000FC840000}"/>
    <cellStyle name="Linked Cell 3 30 5" xfId="34066" xr:uid="{00000000-0005-0000-0000-0000FD840000}"/>
    <cellStyle name="Linked Cell 3 30 6" xfId="34067" xr:uid="{00000000-0005-0000-0000-0000FE840000}"/>
    <cellStyle name="Linked Cell 3 30 7" xfId="34068" xr:uid="{00000000-0005-0000-0000-0000FF840000}"/>
    <cellStyle name="Linked Cell 3 30 8" xfId="34069" xr:uid="{00000000-0005-0000-0000-000000850000}"/>
    <cellStyle name="Linked Cell 3 30 9" xfId="34070" xr:uid="{00000000-0005-0000-0000-000001850000}"/>
    <cellStyle name="Linked Cell 3 31" xfId="34071" xr:uid="{00000000-0005-0000-0000-000002850000}"/>
    <cellStyle name="Linked Cell 3 31 10" xfId="34072" xr:uid="{00000000-0005-0000-0000-000003850000}"/>
    <cellStyle name="Linked Cell 3 31 11" xfId="34073" xr:uid="{00000000-0005-0000-0000-000004850000}"/>
    <cellStyle name="Linked Cell 3 31 12" xfId="34074" xr:uid="{00000000-0005-0000-0000-000005850000}"/>
    <cellStyle name="Linked Cell 3 31 13" xfId="34075" xr:uid="{00000000-0005-0000-0000-000006850000}"/>
    <cellStyle name="Linked Cell 3 31 14" xfId="34076" xr:uid="{00000000-0005-0000-0000-000007850000}"/>
    <cellStyle name="Linked Cell 3 31 15" xfId="34077" xr:uid="{00000000-0005-0000-0000-000008850000}"/>
    <cellStyle name="Linked Cell 3 31 2" xfId="34078" xr:uid="{00000000-0005-0000-0000-000009850000}"/>
    <cellStyle name="Linked Cell 3 31 3" xfId="34079" xr:uid="{00000000-0005-0000-0000-00000A850000}"/>
    <cellStyle name="Linked Cell 3 31 4" xfId="34080" xr:uid="{00000000-0005-0000-0000-00000B850000}"/>
    <cellStyle name="Linked Cell 3 31 5" xfId="34081" xr:uid="{00000000-0005-0000-0000-00000C850000}"/>
    <cellStyle name="Linked Cell 3 31 6" xfId="34082" xr:uid="{00000000-0005-0000-0000-00000D850000}"/>
    <cellStyle name="Linked Cell 3 31 7" xfId="34083" xr:uid="{00000000-0005-0000-0000-00000E850000}"/>
    <cellStyle name="Linked Cell 3 31 8" xfId="34084" xr:uid="{00000000-0005-0000-0000-00000F850000}"/>
    <cellStyle name="Linked Cell 3 31 9" xfId="34085" xr:uid="{00000000-0005-0000-0000-000010850000}"/>
    <cellStyle name="Linked Cell 3 32" xfId="34086" xr:uid="{00000000-0005-0000-0000-000011850000}"/>
    <cellStyle name="Linked Cell 3 32 10" xfId="34087" xr:uid="{00000000-0005-0000-0000-000012850000}"/>
    <cellStyle name="Linked Cell 3 32 11" xfId="34088" xr:uid="{00000000-0005-0000-0000-000013850000}"/>
    <cellStyle name="Linked Cell 3 32 12" xfId="34089" xr:uid="{00000000-0005-0000-0000-000014850000}"/>
    <cellStyle name="Linked Cell 3 32 13" xfId="34090" xr:uid="{00000000-0005-0000-0000-000015850000}"/>
    <cellStyle name="Linked Cell 3 32 14" xfId="34091" xr:uid="{00000000-0005-0000-0000-000016850000}"/>
    <cellStyle name="Linked Cell 3 32 15" xfId="34092" xr:uid="{00000000-0005-0000-0000-000017850000}"/>
    <cellStyle name="Linked Cell 3 32 2" xfId="34093" xr:uid="{00000000-0005-0000-0000-000018850000}"/>
    <cellStyle name="Linked Cell 3 32 3" xfId="34094" xr:uid="{00000000-0005-0000-0000-000019850000}"/>
    <cellStyle name="Linked Cell 3 32 4" xfId="34095" xr:uid="{00000000-0005-0000-0000-00001A850000}"/>
    <cellStyle name="Linked Cell 3 32 5" xfId="34096" xr:uid="{00000000-0005-0000-0000-00001B850000}"/>
    <cellStyle name="Linked Cell 3 32 6" xfId="34097" xr:uid="{00000000-0005-0000-0000-00001C850000}"/>
    <cellStyle name="Linked Cell 3 32 7" xfId="34098" xr:uid="{00000000-0005-0000-0000-00001D850000}"/>
    <cellStyle name="Linked Cell 3 32 8" xfId="34099" xr:uid="{00000000-0005-0000-0000-00001E850000}"/>
    <cellStyle name="Linked Cell 3 32 9" xfId="34100" xr:uid="{00000000-0005-0000-0000-00001F850000}"/>
    <cellStyle name="Linked Cell 3 33" xfId="34101" xr:uid="{00000000-0005-0000-0000-000020850000}"/>
    <cellStyle name="Linked Cell 3 34" xfId="34102" xr:uid="{00000000-0005-0000-0000-000021850000}"/>
    <cellStyle name="Linked Cell 3 35" xfId="34103" xr:uid="{00000000-0005-0000-0000-000022850000}"/>
    <cellStyle name="Linked Cell 3 36" xfId="34104" xr:uid="{00000000-0005-0000-0000-000023850000}"/>
    <cellStyle name="Linked Cell 3 37" xfId="34105" xr:uid="{00000000-0005-0000-0000-000024850000}"/>
    <cellStyle name="Linked Cell 3 38" xfId="34106" xr:uid="{00000000-0005-0000-0000-000025850000}"/>
    <cellStyle name="Linked Cell 3 39" xfId="34107" xr:uid="{00000000-0005-0000-0000-000026850000}"/>
    <cellStyle name="Linked Cell 3 4" xfId="34108" xr:uid="{00000000-0005-0000-0000-000027850000}"/>
    <cellStyle name="Linked Cell 3 4 10" xfId="34109" xr:uid="{00000000-0005-0000-0000-000028850000}"/>
    <cellStyle name="Linked Cell 3 4 11" xfId="34110" xr:uid="{00000000-0005-0000-0000-000029850000}"/>
    <cellStyle name="Linked Cell 3 4 12" xfId="34111" xr:uid="{00000000-0005-0000-0000-00002A850000}"/>
    <cellStyle name="Linked Cell 3 4 13" xfId="34112" xr:uid="{00000000-0005-0000-0000-00002B850000}"/>
    <cellStyle name="Linked Cell 3 4 14" xfId="34113" xr:uid="{00000000-0005-0000-0000-00002C850000}"/>
    <cellStyle name="Linked Cell 3 4 15" xfId="34114" xr:uid="{00000000-0005-0000-0000-00002D850000}"/>
    <cellStyle name="Linked Cell 3 4 2" xfId="34115" xr:uid="{00000000-0005-0000-0000-00002E850000}"/>
    <cellStyle name="Linked Cell 3 4 3" xfId="34116" xr:uid="{00000000-0005-0000-0000-00002F850000}"/>
    <cellStyle name="Linked Cell 3 4 4" xfId="34117" xr:uid="{00000000-0005-0000-0000-000030850000}"/>
    <cellStyle name="Linked Cell 3 4 5" xfId="34118" xr:uid="{00000000-0005-0000-0000-000031850000}"/>
    <cellStyle name="Linked Cell 3 4 6" xfId="34119" xr:uid="{00000000-0005-0000-0000-000032850000}"/>
    <cellStyle name="Linked Cell 3 4 7" xfId="34120" xr:uid="{00000000-0005-0000-0000-000033850000}"/>
    <cellStyle name="Linked Cell 3 4 8" xfId="34121" xr:uid="{00000000-0005-0000-0000-000034850000}"/>
    <cellStyle name="Linked Cell 3 4 9" xfId="34122" xr:uid="{00000000-0005-0000-0000-000035850000}"/>
    <cellStyle name="Linked Cell 3 40" xfId="34123" xr:uid="{00000000-0005-0000-0000-000036850000}"/>
    <cellStyle name="Linked Cell 3 41" xfId="34124" xr:uid="{00000000-0005-0000-0000-000037850000}"/>
    <cellStyle name="Linked Cell 3 42" xfId="34125" xr:uid="{00000000-0005-0000-0000-000038850000}"/>
    <cellStyle name="Linked Cell 3 43" xfId="34126" xr:uid="{00000000-0005-0000-0000-000039850000}"/>
    <cellStyle name="Linked Cell 3 44" xfId="34127" xr:uid="{00000000-0005-0000-0000-00003A850000}"/>
    <cellStyle name="Linked Cell 3 45" xfId="34128" xr:uid="{00000000-0005-0000-0000-00003B850000}"/>
    <cellStyle name="Linked Cell 3 46" xfId="34129" xr:uid="{00000000-0005-0000-0000-00003C850000}"/>
    <cellStyle name="Linked Cell 3 47" xfId="34130" xr:uid="{00000000-0005-0000-0000-00003D850000}"/>
    <cellStyle name="Linked Cell 3 48" xfId="34131" xr:uid="{00000000-0005-0000-0000-00003E850000}"/>
    <cellStyle name="Linked Cell 3 49" xfId="34132" xr:uid="{00000000-0005-0000-0000-00003F850000}"/>
    <cellStyle name="Linked Cell 3 5" xfId="34133" xr:uid="{00000000-0005-0000-0000-000040850000}"/>
    <cellStyle name="Linked Cell 3 5 10" xfId="34134" xr:uid="{00000000-0005-0000-0000-000041850000}"/>
    <cellStyle name="Linked Cell 3 5 11" xfId="34135" xr:uid="{00000000-0005-0000-0000-000042850000}"/>
    <cellStyle name="Linked Cell 3 5 12" xfId="34136" xr:uid="{00000000-0005-0000-0000-000043850000}"/>
    <cellStyle name="Linked Cell 3 5 13" xfId="34137" xr:uid="{00000000-0005-0000-0000-000044850000}"/>
    <cellStyle name="Linked Cell 3 5 14" xfId="34138" xr:uid="{00000000-0005-0000-0000-000045850000}"/>
    <cellStyle name="Linked Cell 3 5 15" xfId="34139" xr:uid="{00000000-0005-0000-0000-000046850000}"/>
    <cellStyle name="Linked Cell 3 5 2" xfId="34140" xr:uid="{00000000-0005-0000-0000-000047850000}"/>
    <cellStyle name="Linked Cell 3 5 3" xfId="34141" xr:uid="{00000000-0005-0000-0000-000048850000}"/>
    <cellStyle name="Linked Cell 3 5 4" xfId="34142" xr:uid="{00000000-0005-0000-0000-000049850000}"/>
    <cellStyle name="Linked Cell 3 5 5" xfId="34143" xr:uid="{00000000-0005-0000-0000-00004A850000}"/>
    <cellStyle name="Linked Cell 3 5 6" xfId="34144" xr:uid="{00000000-0005-0000-0000-00004B850000}"/>
    <cellStyle name="Linked Cell 3 5 7" xfId="34145" xr:uid="{00000000-0005-0000-0000-00004C850000}"/>
    <cellStyle name="Linked Cell 3 5 8" xfId="34146" xr:uid="{00000000-0005-0000-0000-00004D850000}"/>
    <cellStyle name="Linked Cell 3 5 9" xfId="34147" xr:uid="{00000000-0005-0000-0000-00004E850000}"/>
    <cellStyle name="Linked Cell 3 50" xfId="34148" xr:uid="{00000000-0005-0000-0000-00004F850000}"/>
    <cellStyle name="Linked Cell 3 51" xfId="34149" xr:uid="{00000000-0005-0000-0000-000050850000}"/>
    <cellStyle name="Linked Cell 3 52" xfId="34150" xr:uid="{00000000-0005-0000-0000-000051850000}"/>
    <cellStyle name="Linked Cell 3 53" xfId="34151" xr:uid="{00000000-0005-0000-0000-000052850000}"/>
    <cellStyle name="Linked Cell 3 6" xfId="34152" xr:uid="{00000000-0005-0000-0000-000053850000}"/>
    <cellStyle name="Linked Cell 3 6 10" xfId="34153" xr:uid="{00000000-0005-0000-0000-000054850000}"/>
    <cellStyle name="Linked Cell 3 6 11" xfId="34154" xr:uid="{00000000-0005-0000-0000-000055850000}"/>
    <cellStyle name="Linked Cell 3 6 12" xfId="34155" xr:uid="{00000000-0005-0000-0000-000056850000}"/>
    <cellStyle name="Linked Cell 3 6 13" xfId="34156" xr:uid="{00000000-0005-0000-0000-000057850000}"/>
    <cellStyle name="Linked Cell 3 6 14" xfId="34157" xr:uid="{00000000-0005-0000-0000-000058850000}"/>
    <cellStyle name="Linked Cell 3 6 15" xfId="34158" xr:uid="{00000000-0005-0000-0000-000059850000}"/>
    <cellStyle name="Linked Cell 3 6 2" xfId="34159" xr:uid="{00000000-0005-0000-0000-00005A850000}"/>
    <cellStyle name="Linked Cell 3 6 3" xfId="34160" xr:uid="{00000000-0005-0000-0000-00005B850000}"/>
    <cellStyle name="Linked Cell 3 6 4" xfId="34161" xr:uid="{00000000-0005-0000-0000-00005C850000}"/>
    <cellStyle name="Linked Cell 3 6 5" xfId="34162" xr:uid="{00000000-0005-0000-0000-00005D850000}"/>
    <cellStyle name="Linked Cell 3 6 6" xfId="34163" xr:uid="{00000000-0005-0000-0000-00005E850000}"/>
    <cellStyle name="Linked Cell 3 6 7" xfId="34164" xr:uid="{00000000-0005-0000-0000-00005F850000}"/>
    <cellStyle name="Linked Cell 3 6 8" xfId="34165" xr:uid="{00000000-0005-0000-0000-000060850000}"/>
    <cellStyle name="Linked Cell 3 6 9" xfId="34166" xr:uid="{00000000-0005-0000-0000-000061850000}"/>
    <cellStyle name="Linked Cell 3 7" xfId="34167" xr:uid="{00000000-0005-0000-0000-000062850000}"/>
    <cellStyle name="Linked Cell 3 7 10" xfId="34168" xr:uid="{00000000-0005-0000-0000-000063850000}"/>
    <cellStyle name="Linked Cell 3 7 11" xfId="34169" xr:uid="{00000000-0005-0000-0000-000064850000}"/>
    <cellStyle name="Linked Cell 3 7 12" xfId="34170" xr:uid="{00000000-0005-0000-0000-000065850000}"/>
    <cellStyle name="Linked Cell 3 7 13" xfId="34171" xr:uid="{00000000-0005-0000-0000-000066850000}"/>
    <cellStyle name="Linked Cell 3 7 14" xfId="34172" xr:uid="{00000000-0005-0000-0000-000067850000}"/>
    <cellStyle name="Linked Cell 3 7 15" xfId="34173" xr:uid="{00000000-0005-0000-0000-000068850000}"/>
    <cellStyle name="Linked Cell 3 7 2" xfId="34174" xr:uid="{00000000-0005-0000-0000-000069850000}"/>
    <cellStyle name="Linked Cell 3 7 3" xfId="34175" xr:uid="{00000000-0005-0000-0000-00006A850000}"/>
    <cellStyle name="Linked Cell 3 7 4" xfId="34176" xr:uid="{00000000-0005-0000-0000-00006B850000}"/>
    <cellStyle name="Linked Cell 3 7 5" xfId="34177" xr:uid="{00000000-0005-0000-0000-00006C850000}"/>
    <cellStyle name="Linked Cell 3 7 6" xfId="34178" xr:uid="{00000000-0005-0000-0000-00006D850000}"/>
    <cellStyle name="Linked Cell 3 7 7" xfId="34179" xr:uid="{00000000-0005-0000-0000-00006E850000}"/>
    <cellStyle name="Linked Cell 3 7 8" xfId="34180" xr:uid="{00000000-0005-0000-0000-00006F850000}"/>
    <cellStyle name="Linked Cell 3 7 9" xfId="34181" xr:uid="{00000000-0005-0000-0000-000070850000}"/>
    <cellStyle name="Linked Cell 3 8" xfId="34182" xr:uid="{00000000-0005-0000-0000-000071850000}"/>
    <cellStyle name="Linked Cell 3 8 10" xfId="34183" xr:uid="{00000000-0005-0000-0000-000072850000}"/>
    <cellStyle name="Linked Cell 3 8 11" xfId="34184" xr:uid="{00000000-0005-0000-0000-000073850000}"/>
    <cellStyle name="Linked Cell 3 8 12" xfId="34185" xr:uid="{00000000-0005-0000-0000-000074850000}"/>
    <cellStyle name="Linked Cell 3 8 13" xfId="34186" xr:uid="{00000000-0005-0000-0000-000075850000}"/>
    <cellStyle name="Linked Cell 3 8 14" xfId="34187" xr:uid="{00000000-0005-0000-0000-000076850000}"/>
    <cellStyle name="Linked Cell 3 8 15" xfId="34188" xr:uid="{00000000-0005-0000-0000-000077850000}"/>
    <cellStyle name="Linked Cell 3 8 2" xfId="34189" xr:uid="{00000000-0005-0000-0000-000078850000}"/>
    <cellStyle name="Linked Cell 3 8 3" xfId="34190" xr:uid="{00000000-0005-0000-0000-000079850000}"/>
    <cellStyle name="Linked Cell 3 8 4" xfId="34191" xr:uid="{00000000-0005-0000-0000-00007A850000}"/>
    <cellStyle name="Linked Cell 3 8 5" xfId="34192" xr:uid="{00000000-0005-0000-0000-00007B850000}"/>
    <cellStyle name="Linked Cell 3 8 6" xfId="34193" xr:uid="{00000000-0005-0000-0000-00007C850000}"/>
    <cellStyle name="Linked Cell 3 8 7" xfId="34194" xr:uid="{00000000-0005-0000-0000-00007D850000}"/>
    <cellStyle name="Linked Cell 3 8 8" xfId="34195" xr:uid="{00000000-0005-0000-0000-00007E850000}"/>
    <cellStyle name="Linked Cell 3 8 9" xfId="34196" xr:uid="{00000000-0005-0000-0000-00007F850000}"/>
    <cellStyle name="Linked Cell 3 9" xfId="34197" xr:uid="{00000000-0005-0000-0000-000080850000}"/>
    <cellStyle name="Linked Cell 3 9 10" xfId="34198" xr:uid="{00000000-0005-0000-0000-000081850000}"/>
    <cellStyle name="Linked Cell 3 9 11" xfId="34199" xr:uid="{00000000-0005-0000-0000-000082850000}"/>
    <cellStyle name="Linked Cell 3 9 12" xfId="34200" xr:uid="{00000000-0005-0000-0000-000083850000}"/>
    <cellStyle name="Linked Cell 3 9 13" xfId="34201" xr:uid="{00000000-0005-0000-0000-000084850000}"/>
    <cellStyle name="Linked Cell 3 9 14" xfId="34202" xr:uid="{00000000-0005-0000-0000-000085850000}"/>
    <cellStyle name="Linked Cell 3 9 15" xfId="34203" xr:uid="{00000000-0005-0000-0000-000086850000}"/>
    <cellStyle name="Linked Cell 3 9 2" xfId="34204" xr:uid="{00000000-0005-0000-0000-000087850000}"/>
    <cellStyle name="Linked Cell 3 9 3" xfId="34205" xr:uid="{00000000-0005-0000-0000-000088850000}"/>
    <cellStyle name="Linked Cell 3 9 4" xfId="34206" xr:uid="{00000000-0005-0000-0000-000089850000}"/>
    <cellStyle name="Linked Cell 3 9 5" xfId="34207" xr:uid="{00000000-0005-0000-0000-00008A850000}"/>
    <cellStyle name="Linked Cell 3 9 6" xfId="34208" xr:uid="{00000000-0005-0000-0000-00008B850000}"/>
    <cellStyle name="Linked Cell 3 9 7" xfId="34209" xr:uid="{00000000-0005-0000-0000-00008C850000}"/>
    <cellStyle name="Linked Cell 3 9 8" xfId="34210" xr:uid="{00000000-0005-0000-0000-00008D850000}"/>
    <cellStyle name="Linked Cell 3 9 9" xfId="34211" xr:uid="{00000000-0005-0000-0000-00008E850000}"/>
    <cellStyle name="Linked Cell 30" xfId="34212" xr:uid="{00000000-0005-0000-0000-00008F850000}"/>
    <cellStyle name="Linked Cell 30 10" xfId="34213" xr:uid="{00000000-0005-0000-0000-000090850000}"/>
    <cellStyle name="Linked Cell 30 11" xfId="34214" xr:uid="{00000000-0005-0000-0000-000091850000}"/>
    <cellStyle name="Linked Cell 30 12" xfId="34215" xr:uid="{00000000-0005-0000-0000-000092850000}"/>
    <cellStyle name="Linked Cell 30 13" xfId="34216" xr:uid="{00000000-0005-0000-0000-000093850000}"/>
    <cellStyle name="Linked Cell 30 14" xfId="34217" xr:uid="{00000000-0005-0000-0000-000094850000}"/>
    <cellStyle name="Linked Cell 30 15" xfId="34218" xr:uid="{00000000-0005-0000-0000-000095850000}"/>
    <cellStyle name="Linked Cell 30 2" xfId="34219" xr:uid="{00000000-0005-0000-0000-000096850000}"/>
    <cellStyle name="Linked Cell 30 3" xfId="34220" xr:uid="{00000000-0005-0000-0000-000097850000}"/>
    <cellStyle name="Linked Cell 30 4" xfId="34221" xr:uid="{00000000-0005-0000-0000-000098850000}"/>
    <cellStyle name="Linked Cell 30 5" xfId="34222" xr:uid="{00000000-0005-0000-0000-000099850000}"/>
    <cellStyle name="Linked Cell 30 6" xfId="34223" xr:uid="{00000000-0005-0000-0000-00009A850000}"/>
    <cellStyle name="Linked Cell 30 7" xfId="34224" xr:uid="{00000000-0005-0000-0000-00009B850000}"/>
    <cellStyle name="Linked Cell 30 8" xfId="34225" xr:uid="{00000000-0005-0000-0000-00009C850000}"/>
    <cellStyle name="Linked Cell 30 9" xfId="34226" xr:uid="{00000000-0005-0000-0000-00009D850000}"/>
    <cellStyle name="Linked Cell 31" xfId="34227" xr:uid="{00000000-0005-0000-0000-00009E850000}"/>
    <cellStyle name="Linked Cell 31 10" xfId="34228" xr:uid="{00000000-0005-0000-0000-00009F850000}"/>
    <cellStyle name="Linked Cell 31 11" xfId="34229" xr:uid="{00000000-0005-0000-0000-0000A0850000}"/>
    <cellStyle name="Linked Cell 31 12" xfId="34230" xr:uid="{00000000-0005-0000-0000-0000A1850000}"/>
    <cellStyle name="Linked Cell 31 13" xfId="34231" xr:uid="{00000000-0005-0000-0000-0000A2850000}"/>
    <cellStyle name="Linked Cell 31 14" xfId="34232" xr:uid="{00000000-0005-0000-0000-0000A3850000}"/>
    <cellStyle name="Linked Cell 31 15" xfId="34233" xr:uid="{00000000-0005-0000-0000-0000A4850000}"/>
    <cellStyle name="Linked Cell 31 2" xfId="34234" xr:uid="{00000000-0005-0000-0000-0000A5850000}"/>
    <cellStyle name="Linked Cell 31 3" xfId="34235" xr:uid="{00000000-0005-0000-0000-0000A6850000}"/>
    <cellStyle name="Linked Cell 31 4" xfId="34236" xr:uid="{00000000-0005-0000-0000-0000A7850000}"/>
    <cellStyle name="Linked Cell 31 5" xfId="34237" xr:uid="{00000000-0005-0000-0000-0000A8850000}"/>
    <cellStyle name="Linked Cell 31 6" xfId="34238" xr:uid="{00000000-0005-0000-0000-0000A9850000}"/>
    <cellStyle name="Linked Cell 31 7" xfId="34239" xr:uid="{00000000-0005-0000-0000-0000AA850000}"/>
    <cellStyle name="Linked Cell 31 8" xfId="34240" xr:uid="{00000000-0005-0000-0000-0000AB850000}"/>
    <cellStyle name="Linked Cell 31 9" xfId="34241" xr:uid="{00000000-0005-0000-0000-0000AC850000}"/>
    <cellStyle name="Linked Cell 32" xfId="34242" xr:uid="{00000000-0005-0000-0000-0000AD850000}"/>
    <cellStyle name="Linked Cell 32 10" xfId="34243" xr:uid="{00000000-0005-0000-0000-0000AE850000}"/>
    <cellStyle name="Linked Cell 32 11" xfId="34244" xr:uid="{00000000-0005-0000-0000-0000AF850000}"/>
    <cellStyle name="Linked Cell 32 12" xfId="34245" xr:uid="{00000000-0005-0000-0000-0000B0850000}"/>
    <cellStyle name="Linked Cell 32 13" xfId="34246" xr:uid="{00000000-0005-0000-0000-0000B1850000}"/>
    <cellStyle name="Linked Cell 32 14" xfId="34247" xr:uid="{00000000-0005-0000-0000-0000B2850000}"/>
    <cellStyle name="Linked Cell 32 15" xfId="34248" xr:uid="{00000000-0005-0000-0000-0000B3850000}"/>
    <cellStyle name="Linked Cell 32 2" xfId="34249" xr:uid="{00000000-0005-0000-0000-0000B4850000}"/>
    <cellStyle name="Linked Cell 32 3" xfId="34250" xr:uid="{00000000-0005-0000-0000-0000B5850000}"/>
    <cellStyle name="Linked Cell 32 4" xfId="34251" xr:uid="{00000000-0005-0000-0000-0000B6850000}"/>
    <cellStyle name="Linked Cell 32 5" xfId="34252" xr:uid="{00000000-0005-0000-0000-0000B7850000}"/>
    <cellStyle name="Linked Cell 32 6" xfId="34253" xr:uid="{00000000-0005-0000-0000-0000B8850000}"/>
    <cellStyle name="Linked Cell 32 7" xfId="34254" xr:uid="{00000000-0005-0000-0000-0000B9850000}"/>
    <cellStyle name="Linked Cell 32 8" xfId="34255" xr:uid="{00000000-0005-0000-0000-0000BA850000}"/>
    <cellStyle name="Linked Cell 32 9" xfId="34256" xr:uid="{00000000-0005-0000-0000-0000BB850000}"/>
    <cellStyle name="Linked Cell 33" xfId="34257" xr:uid="{00000000-0005-0000-0000-0000BC850000}"/>
    <cellStyle name="Linked Cell 33 10" xfId="34258" xr:uid="{00000000-0005-0000-0000-0000BD850000}"/>
    <cellStyle name="Linked Cell 33 11" xfId="34259" xr:uid="{00000000-0005-0000-0000-0000BE850000}"/>
    <cellStyle name="Linked Cell 33 12" xfId="34260" xr:uid="{00000000-0005-0000-0000-0000BF850000}"/>
    <cellStyle name="Linked Cell 33 13" xfId="34261" xr:uid="{00000000-0005-0000-0000-0000C0850000}"/>
    <cellStyle name="Linked Cell 33 14" xfId="34262" xr:uid="{00000000-0005-0000-0000-0000C1850000}"/>
    <cellStyle name="Linked Cell 33 15" xfId="34263" xr:uid="{00000000-0005-0000-0000-0000C2850000}"/>
    <cellStyle name="Linked Cell 33 2" xfId="34264" xr:uid="{00000000-0005-0000-0000-0000C3850000}"/>
    <cellStyle name="Linked Cell 33 3" xfId="34265" xr:uid="{00000000-0005-0000-0000-0000C4850000}"/>
    <cellStyle name="Linked Cell 33 4" xfId="34266" xr:uid="{00000000-0005-0000-0000-0000C5850000}"/>
    <cellStyle name="Linked Cell 33 5" xfId="34267" xr:uid="{00000000-0005-0000-0000-0000C6850000}"/>
    <cellStyle name="Linked Cell 33 6" xfId="34268" xr:uid="{00000000-0005-0000-0000-0000C7850000}"/>
    <cellStyle name="Linked Cell 33 7" xfId="34269" xr:uid="{00000000-0005-0000-0000-0000C8850000}"/>
    <cellStyle name="Linked Cell 33 8" xfId="34270" xr:uid="{00000000-0005-0000-0000-0000C9850000}"/>
    <cellStyle name="Linked Cell 33 9" xfId="34271" xr:uid="{00000000-0005-0000-0000-0000CA850000}"/>
    <cellStyle name="Linked Cell 34" xfId="34272" xr:uid="{00000000-0005-0000-0000-0000CB850000}"/>
    <cellStyle name="Linked Cell 34 10" xfId="34273" xr:uid="{00000000-0005-0000-0000-0000CC850000}"/>
    <cellStyle name="Linked Cell 34 11" xfId="34274" xr:uid="{00000000-0005-0000-0000-0000CD850000}"/>
    <cellStyle name="Linked Cell 34 12" xfId="34275" xr:uid="{00000000-0005-0000-0000-0000CE850000}"/>
    <cellStyle name="Linked Cell 34 13" xfId="34276" xr:uid="{00000000-0005-0000-0000-0000CF850000}"/>
    <cellStyle name="Linked Cell 34 14" xfId="34277" xr:uid="{00000000-0005-0000-0000-0000D0850000}"/>
    <cellStyle name="Linked Cell 34 15" xfId="34278" xr:uid="{00000000-0005-0000-0000-0000D1850000}"/>
    <cellStyle name="Linked Cell 34 2" xfId="34279" xr:uid="{00000000-0005-0000-0000-0000D2850000}"/>
    <cellStyle name="Linked Cell 34 3" xfId="34280" xr:uid="{00000000-0005-0000-0000-0000D3850000}"/>
    <cellStyle name="Linked Cell 34 4" xfId="34281" xr:uid="{00000000-0005-0000-0000-0000D4850000}"/>
    <cellStyle name="Linked Cell 34 5" xfId="34282" xr:uid="{00000000-0005-0000-0000-0000D5850000}"/>
    <cellStyle name="Linked Cell 34 6" xfId="34283" xr:uid="{00000000-0005-0000-0000-0000D6850000}"/>
    <cellStyle name="Linked Cell 34 7" xfId="34284" xr:uid="{00000000-0005-0000-0000-0000D7850000}"/>
    <cellStyle name="Linked Cell 34 8" xfId="34285" xr:uid="{00000000-0005-0000-0000-0000D8850000}"/>
    <cellStyle name="Linked Cell 34 9" xfId="34286" xr:uid="{00000000-0005-0000-0000-0000D9850000}"/>
    <cellStyle name="Linked Cell 35" xfId="34287" xr:uid="{00000000-0005-0000-0000-0000DA850000}"/>
    <cellStyle name="Linked Cell 35 10" xfId="34288" xr:uid="{00000000-0005-0000-0000-0000DB850000}"/>
    <cellStyle name="Linked Cell 35 11" xfId="34289" xr:uid="{00000000-0005-0000-0000-0000DC850000}"/>
    <cellStyle name="Linked Cell 35 12" xfId="34290" xr:uid="{00000000-0005-0000-0000-0000DD850000}"/>
    <cellStyle name="Linked Cell 35 13" xfId="34291" xr:uid="{00000000-0005-0000-0000-0000DE850000}"/>
    <cellStyle name="Linked Cell 35 14" xfId="34292" xr:uid="{00000000-0005-0000-0000-0000DF850000}"/>
    <cellStyle name="Linked Cell 35 15" xfId="34293" xr:uid="{00000000-0005-0000-0000-0000E0850000}"/>
    <cellStyle name="Linked Cell 35 2" xfId="34294" xr:uid="{00000000-0005-0000-0000-0000E1850000}"/>
    <cellStyle name="Linked Cell 35 3" xfId="34295" xr:uid="{00000000-0005-0000-0000-0000E2850000}"/>
    <cellStyle name="Linked Cell 35 4" xfId="34296" xr:uid="{00000000-0005-0000-0000-0000E3850000}"/>
    <cellStyle name="Linked Cell 35 5" xfId="34297" xr:uid="{00000000-0005-0000-0000-0000E4850000}"/>
    <cellStyle name="Linked Cell 35 6" xfId="34298" xr:uid="{00000000-0005-0000-0000-0000E5850000}"/>
    <cellStyle name="Linked Cell 35 7" xfId="34299" xr:uid="{00000000-0005-0000-0000-0000E6850000}"/>
    <cellStyle name="Linked Cell 35 8" xfId="34300" xr:uid="{00000000-0005-0000-0000-0000E7850000}"/>
    <cellStyle name="Linked Cell 35 9" xfId="34301" xr:uid="{00000000-0005-0000-0000-0000E8850000}"/>
    <cellStyle name="Linked Cell 36" xfId="34302" xr:uid="{00000000-0005-0000-0000-0000E9850000}"/>
    <cellStyle name="Linked Cell 36 10" xfId="34303" xr:uid="{00000000-0005-0000-0000-0000EA850000}"/>
    <cellStyle name="Linked Cell 36 11" xfId="34304" xr:uid="{00000000-0005-0000-0000-0000EB850000}"/>
    <cellStyle name="Linked Cell 36 12" xfId="34305" xr:uid="{00000000-0005-0000-0000-0000EC850000}"/>
    <cellStyle name="Linked Cell 36 13" xfId="34306" xr:uid="{00000000-0005-0000-0000-0000ED850000}"/>
    <cellStyle name="Linked Cell 36 14" xfId="34307" xr:uid="{00000000-0005-0000-0000-0000EE850000}"/>
    <cellStyle name="Linked Cell 36 15" xfId="34308" xr:uid="{00000000-0005-0000-0000-0000EF850000}"/>
    <cellStyle name="Linked Cell 36 2" xfId="34309" xr:uid="{00000000-0005-0000-0000-0000F0850000}"/>
    <cellStyle name="Linked Cell 36 3" xfId="34310" xr:uid="{00000000-0005-0000-0000-0000F1850000}"/>
    <cellStyle name="Linked Cell 36 4" xfId="34311" xr:uid="{00000000-0005-0000-0000-0000F2850000}"/>
    <cellStyle name="Linked Cell 36 5" xfId="34312" xr:uid="{00000000-0005-0000-0000-0000F3850000}"/>
    <cellStyle name="Linked Cell 36 6" xfId="34313" xr:uid="{00000000-0005-0000-0000-0000F4850000}"/>
    <cellStyle name="Linked Cell 36 7" xfId="34314" xr:uid="{00000000-0005-0000-0000-0000F5850000}"/>
    <cellStyle name="Linked Cell 36 8" xfId="34315" xr:uid="{00000000-0005-0000-0000-0000F6850000}"/>
    <cellStyle name="Linked Cell 36 9" xfId="34316" xr:uid="{00000000-0005-0000-0000-0000F7850000}"/>
    <cellStyle name="Linked Cell 37" xfId="34317" xr:uid="{00000000-0005-0000-0000-0000F8850000}"/>
    <cellStyle name="Linked Cell 37 10" xfId="34318" xr:uid="{00000000-0005-0000-0000-0000F9850000}"/>
    <cellStyle name="Linked Cell 37 11" xfId="34319" xr:uid="{00000000-0005-0000-0000-0000FA850000}"/>
    <cellStyle name="Linked Cell 37 12" xfId="34320" xr:uid="{00000000-0005-0000-0000-0000FB850000}"/>
    <cellStyle name="Linked Cell 37 13" xfId="34321" xr:uid="{00000000-0005-0000-0000-0000FC850000}"/>
    <cellStyle name="Linked Cell 37 14" xfId="34322" xr:uid="{00000000-0005-0000-0000-0000FD850000}"/>
    <cellStyle name="Linked Cell 37 15" xfId="34323" xr:uid="{00000000-0005-0000-0000-0000FE850000}"/>
    <cellStyle name="Linked Cell 37 2" xfId="34324" xr:uid="{00000000-0005-0000-0000-0000FF850000}"/>
    <cellStyle name="Linked Cell 37 3" xfId="34325" xr:uid="{00000000-0005-0000-0000-000000860000}"/>
    <cellStyle name="Linked Cell 37 4" xfId="34326" xr:uid="{00000000-0005-0000-0000-000001860000}"/>
    <cellStyle name="Linked Cell 37 5" xfId="34327" xr:uid="{00000000-0005-0000-0000-000002860000}"/>
    <cellStyle name="Linked Cell 37 6" xfId="34328" xr:uid="{00000000-0005-0000-0000-000003860000}"/>
    <cellStyle name="Linked Cell 37 7" xfId="34329" xr:uid="{00000000-0005-0000-0000-000004860000}"/>
    <cellStyle name="Linked Cell 37 8" xfId="34330" xr:uid="{00000000-0005-0000-0000-000005860000}"/>
    <cellStyle name="Linked Cell 37 9" xfId="34331" xr:uid="{00000000-0005-0000-0000-000006860000}"/>
    <cellStyle name="Linked Cell 38" xfId="34332" xr:uid="{00000000-0005-0000-0000-000007860000}"/>
    <cellStyle name="Linked Cell 38 10" xfId="34333" xr:uid="{00000000-0005-0000-0000-000008860000}"/>
    <cellStyle name="Linked Cell 38 11" xfId="34334" xr:uid="{00000000-0005-0000-0000-000009860000}"/>
    <cellStyle name="Linked Cell 38 12" xfId="34335" xr:uid="{00000000-0005-0000-0000-00000A860000}"/>
    <cellStyle name="Linked Cell 38 13" xfId="34336" xr:uid="{00000000-0005-0000-0000-00000B860000}"/>
    <cellStyle name="Linked Cell 38 14" xfId="34337" xr:uid="{00000000-0005-0000-0000-00000C860000}"/>
    <cellStyle name="Linked Cell 38 15" xfId="34338" xr:uid="{00000000-0005-0000-0000-00000D860000}"/>
    <cellStyle name="Linked Cell 38 2" xfId="34339" xr:uid="{00000000-0005-0000-0000-00000E860000}"/>
    <cellStyle name="Linked Cell 38 3" xfId="34340" xr:uid="{00000000-0005-0000-0000-00000F860000}"/>
    <cellStyle name="Linked Cell 38 4" xfId="34341" xr:uid="{00000000-0005-0000-0000-000010860000}"/>
    <cellStyle name="Linked Cell 38 5" xfId="34342" xr:uid="{00000000-0005-0000-0000-000011860000}"/>
    <cellStyle name="Linked Cell 38 6" xfId="34343" xr:uid="{00000000-0005-0000-0000-000012860000}"/>
    <cellStyle name="Linked Cell 38 7" xfId="34344" xr:uid="{00000000-0005-0000-0000-000013860000}"/>
    <cellStyle name="Linked Cell 38 8" xfId="34345" xr:uid="{00000000-0005-0000-0000-000014860000}"/>
    <cellStyle name="Linked Cell 38 9" xfId="34346" xr:uid="{00000000-0005-0000-0000-000015860000}"/>
    <cellStyle name="Linked Cell 39" xfId="34347" xr:uid="{00000000-0005-0000-0000-000016860000}"/>
    <cellStyle name="Linked Cell 39 10" xfId="34348" xr:uid="{00000000-0005-0000-0000-000017860000}"/>
    <cellStyle name="Linked Cell 39 11" xfId="34349" xr:uid="{00000000-0005-0000-0000-000018860000}"/>
    <cellStyle name="Linked Cell 39 12" xfId="34350" xr:uid="{00000000-0005-0000-0000-000019860000}"/>
    <cellStyle name="Linked Cell 39 13" xfId="34351" xr:uid="{00000000-0005-0000-0000-00001A860000}"/>
    <cellStyle name="Linked Cell 39 14" xfId="34352" xr:uid="{00000000-0005-0000-0000-00001B860000}"/>
    <cellStyle name="Linked Cell 39 15" xfId="34353" xr:uid="{00000000-0005-0000-0000-00001C860000}"/>
    <cellStyle name="Linked Cell 39 2" xfId="34354" xr:uid="{00000000-0005-0000-0000-00001D860000}"/>
    <cellStyle name="Linked Cell 39 3" xfId="34355" xr:uid="{00000000-0005-0000-0000-00001E860000}"/>
    <cellStyle name="Linked Cell 39 4" xfId="34356" xr:uid="{00000000-0005-0000-0000-00001F860000}"/>
    <cellStyle name="Linked Cell 39 5" xfId="34357" xr:uid="{00000000-0005-0000-0000-000020860000}"/>
    <cellStyle name="Linked Cell 39 6" xfId="34358" xr:uid="{00000000-0005-0000-0000-000021860000}"/>
    <cellStyle name="Linked Cell 39 7" xfId="34359" xr:uid="{00000000-0005-0000-0000-000022860000}"/>
    <cellStyle name="Linked Cell 39 8" xfId="34360" xr:uid="{00000000-0005-0000-0000-000023860000}"/>
    <cellStyle name="Linked Cell 39 9" xfId="34361" xr:uid="{00000000-0005-0000-0000-000024860000}"/>
    <cellStyle name="Linked Cell 4" xfId="34362" xr:uid="{00000000-0005-0000-0000-000025860000}"/>
    <cellStyle name="Linked Cell 4 2" xfId="34363" xr:uid="{00000000-0005-0000-0000-000026860000}"/>
    <cellStyle name="Linked Cell 4 2 2" xfId="34364" xr:uid="{00000000-0005-0000-0000-000027860000}"/>
    <cellStyle name="Linked Cell 4 3" xfId="34365" xr:uid="{00000000-0005-0000-0000-000028860000}"/>
    <cellStyle name="Linked Cell 4 3 2" xfId="34366" xr:uid="{00000000-0005-0000-0000-000029860000}"/>
    <cellStyle name="Linked Cell 4 4" xfId="34367" xr:uid="{00000000-0005-0000-0000-00002A860000}"/>
    <cellStyle name="Linked Cell 4 4 2" xfId="34368" xr:uid="{00000000-0005-0000-0000-00002B860000}"/>
    <cellStyle name="Linked Cell 4 5" xfId="34369" xr:uid="{00000000-0005-0000-0000-00002C860000}"/>
    <cellStyle name="Linked Cell 4 5 2" xfId="34370" xr:uid="{00000000-0005-0000-0000-00002D860000}"/>
    <cellStyle name="Linked Cell 4 6" xfId="34371" xr:uid="{00000000-0005-0000-0000-00002E860000}"/>
    <cellStyle name="Linked Cell 4 6 2" xfId="34372" xr:uid="{00000000-0005-0000-0000-00002F860000}"/>
    <cellStyle name="Linked Cell 4 7" xfId="34373" xr:uid="{00000000-0005-0000-0000-000030860000}"/>
    <cellStyle name="Linked Cell 40" xfId="34374" xr:uid="{00000000-0005-0000-0000-000031860000}"/>
    <cellStyle name="Linked Cell 41" xfId="34375" xr:uid="{00000000-0005-0000-0000-000032860000}"/>
    <cellStyle name="Linked Cell 42" xfId="34376" xr:uid="{00000000-0005-0000-0000-000033860000}"/>
    <cellStyle name="Linked Cell 43" xfId="34377" xr:uid="{00000000-0005-0000-0000-000034860000}"/>
    <cellStyle name="Linked Cell 44" xfId="34378" xr:uid="{00000000-0005-0000-0000-000035860000}"/>
    <cellStyle name="Linked Cell 45" xfId="34379" xr:uid="{00000000-0005-0000-0000-000036860000}"/>
    <cellStyle name="Linked Cell 46" xfId="34380" xr:uid="{00000000-0005-0000-0000-000037860000}"/>
    <cellStyle name="Linked Cell 47" xfId="34381" xr:uid="{00000000-0005-0000-0000-000038860000}"/>
    <cellStyle name="Linked Cell 48" xfId="34382" xr:uid="{00000000-0005-0000-0000-000039860000}"/>
    <cellStyle name="Linked Cell 49" xfId="34383" xr:uid="{00000000-0005-0000-0000-00003A860000}"/>
    <cellStyle name="Linked Cell 5" xfId="34384" xr:uid="{00000000-0005-0000-0000-00003B860000}"/>
    <cellStyle name="Linked Cell 5 2" xfId="34385" xr:uid="{00000000-0005-0000-0000-00003C860000}"/>
    <cellStyle name="Linked Cell 5 2 2" xfId="34386" xr:uid="{00000000-0005-0000-0000-00003D860000}"/>
    <cellStyle name="Linked Cell 5 2 3" xfId="34387" xr:uid="{00000000-0005-0000-0000-00003E860000}"/>
    <cellStyle name="Linked Cell 5 2 4" xfId="34388" xr:uid="{00000000-0005-0000-0000-00003F860000}"/>
    <cellStyle name="Linked Cell 5 3" xfId="34389" xr:uid="{00000000-0005-0000-0000-000040860000}"/>
    <cellStyle name="Linked Cell 5 3 2" xfId="34390" xr:uid="{00000000-0005-0000-0000-000041860000}"/>
    <cellStyle name="Linked Cell 5 3 3" xfId="34391" xr:uid="{00000000-0005-0000-0000-000042860000}"/>
    <cellStyle name="Linked Cell 5 4" xfId="34392" xr:uid="{00000000-0005-0000-0000-000043860000}"/>
    <cellStyle name="Linked Cell 50" xfId="34393" xr:uid="{00000000-0005-0000-0000-000044860000}"/>
    <cellStyle name="Linked Cell 51" xfId="34394" xr:uid="{00000000-0005-0000-0000-000045860000}"/>
    <cellStyle name="Linked Cell 52" xfId="34395" xr:uid="{00000000-0005-0000-0000-000046860000}"/>
    <cellStyle name="Linked Cell 53" xfId="34396" xr:uid="{00000000-0005-0000-0000-000047860000}"/>
    <cellStyle name="Linked Cell 54" xfId="34397" xr:uid="{00000000-0005-0000-0000-000048860000}"/>
    <cellStyle name="Linked Cell 55" xfId="34398" xr:uid="{00000000-0005-0000-0000-000049860000}"/>
    <cellStyle name="Linked Cell 56" xfId="34399" xr:uid="{00000000-0005-0000-0000-00004A860000}"/>
    <cellStyle name="Linked Cell 57" xfId="34400" xr:uid="{00000000-0005-0000-0000-00004B860000}"/>
    <cellStyle name="Linked Cell 58" xfId="34401" xr:uid="{00000000-0005-0000-0000-00004C860000}"/>
    <cellStyle name="Linked Cell 59" xfId="34402" xr:uid="{00000000-0005-0000-0000-00004D860000}"/>
    <cellStyle name="Linked Cell 6" xfId="34403" xr:uid="{00000000-0005-0000-0000-00004E860000}"/>
    <cellStyle name="Linked Cell 6 2" xfId="34404" xr:uid="{00000000-0005-0000-0000-00004F860000}"/>
    <cellStyle name="Linked Cell 60" xfId="34405" xr:uid="{00000000-0005-0000-0000-000050860000}"/>
    <cellStyle name="Linked Cell 61" xfId="34406" xr:uid="{00000000-0005-0000-0000-000051860000}"/>
    <cellStyle name="Linked Cell 62" xfId="34407" xr:uid="{00000000-0005-0000-0000-000052860000}"/>
    <cellStyle name="Linked Cell 63" xfId="34408" xr:uid="{00000000-0005-0000-0000-000053860000}"/>
    <cellStyle name="Linked Cell 64" xfId="34409" xr:uid="{00000000-0005-0000-0000-000054860000}"/>
    <cellStyle name="Linked Cell 65" xfId="34410" xr:uid="{00000000-0005-0000-0000-000055860000}"/>
    <cellStyle name="Linked Cell 66" xfId="34411" xr:uid="{00000000-0005-0000-0000-000056860000}"/>
    <cellStyle name="Linked Cell 67" xfId="34412" xr:uid="{00000000-0005-0000-0000-000057860000}"/>
    <cellStyle name="Linked Cell 68" xfId="34413" xr:uid="{00000000-0005-0000-0000-000058860000}"/>
    <cellStyle name="Linked Cell 69" xfId="34414" xr:uid="{00000000-0005-0000-0000-000059860000}"/>
    <cellStyle name="Linked Cell 7" xfId="34415" xr:uid="{00000000-0005-0000-0000-00005A860000}"/>
    <cellStyle name="Linked Cell 7 2" xfId="34416" xr:uid="{00000000-0005-0000-0000-00005B860000}"/>
    <cellStyle name="Linked Cell 70" xfId="34417" xr:uid="{00000000-0005-0000-0000-00005C860000}"/>
    <cellStyle name="Linked Cell 71" xfId="34418" xr:uid="{00000000-0005-0000-0000-00005D860000}"/>
    <cellStyle name="Linked Cell 72" xfId="34419" xr:uid="{00000000-0005-0000-0000-00005E860000}"/>
    <cellStyle name="Linked Cell 73" xfId="34420" xr:uid="{00000000-0005-0000-0000-00005F860000}"/>
    <cellStyle name="Linked Cell 74" xfId="34421" xr:uid="{00000000-0005-0000-0000-000060860000}"/>
    <cellStyle name="Linked Cell 75" xfId="34422" xr:uid="{00000000-0005-0000-0000-000061860000}"/>
    <cellStyle name="Linked Cell 76" xfId="34423" xr:uid="{00000000-0005-0000-0000-000062860000}"/>
    <cellStyle name="Linked Cell 77" xfId="34424" xr:uid="{00000000-0005-0000-0000-000063860000}"/>
    <cellStyle name="Linked Cell 78" xfId="34425" xr:uid="{00000000-0005-0000-0000-000064860000}"/>
    <cellStyle name="Linked Cell 79" xfId="34426" xr:uid="{00000000-0005-0000-0000-000065860000}"/>
    <cellStyle name="Linked Cell 79 2" xfId="34427" xr:uid="{00000000-0005-0000-0000-000066860000}"/>
    <cellStyle name="Linked Cell 8" xfId="34428" xr:uid="{00000000-0005-0000-0000-000067860000}"/>
    <cellStyle name="Linked Cell 8 2" xfId="34429" xr:uid="{00000000-0005-0000-0000-000068860000}"/>
    <cellStyle name="Linked Cell 80" xfId="34430" xr:uid="{00000000-0005-0000-0000-000069860000}"/>
    <cellStyle name="Linked Cell 80 2" xfId="34431" xr:uid="{00000000-0005-0000-0000-00006A860000}"/>
    <cellStyle name="Linked Cell 81" xfId="34432" xr:uid="{00000000-0005-0000-0000-00006B860000}"/>
    <cellStyle name="Linked Cell 81 2" xfId="34433" xr:uid="{00000000-0005-0000-0000-00006C860000}"/>
    <cellStyle name="Linked Cell 82" xfId="34434" xr:uid="{00000000-0005-0000-0000-00006D860000}"/>
    <cellStyle name="Linked Cell 82 2" xfId="34435" xr:uid="{00000000-0005-0000-0000-00006E860000}"/>
    <cellStyle name="Linked Cell 83" xfId="34436" xr:uid="{00000000-0005-0000-0000-00006F860000}"/>
    <cellStyle name="Linked Cell 83 2" xfId="34437" xr:uid="{00000000-0005-0000-0000-000070860000}"/>
    <cellStyle name="Linked Cell 84" xfId="34438" xr:uid="{00000000-0005-0000-0000-000071860000}"/>
    <cellStyle name="Linked Cell 84 2" xfId="34439" xr:uid="{00000000-0005-0000-0000-000072860000}"/>
    <cellStyle name="Linked Cell 85" xfId="34440" xr:uid="{00000000-0005-0000-0000-000073860000}"/>
    <cellStyle name="Linked Cell 85 2" xfId="34441" xr:uid="{00000000-0005-0000-0000-000074860000}"/>
    <cellStyle name="Linked Cell 86" xfId="34442" xr:uid="{00000000-0005-0000-0000-000075860000}"/>
    <cellStyle name="Linked Cell 86 2" xfId="34443" xr:uid="{00000000-0005-0000-0000-000076860000}"/>
    <cellStyle name="Linked Cell 87" xfId="34444" xr:uid="{00000000-0005-0000-0000-000077860000}"/>
    <cellStyle name="Linked Cell 87 2" xfId="34445" xr:uid="{00000000-0005-0000-0000-000078860000}"/>
    <cellStyle name="Linked Cell 88" xfId="34446" xr:uid="{00000000-0005-0000-0000-000079860000}"/>
    <cellStyle name="Linked Cell 88 2" xfId="34447" xr:uid="{00000000-0005-0000-0000-00007A860000}"/>
    <cellStyle name="Linked Cell 89" xfId="34448" xr:uid="{00000000-0005-0000-0000-00007B860000}"/>
    <cellStyle name="Linked Cell 89 2" xfId="34449" xr:uid="{00000000-0005-0000-0000-00007C860000}"/>
    <cellStyle name="Linked Cell 9" xfId="34450" xr:uid="{00000000-0005-0000-0000-00007D860000}"/>
    <cellStyle name="Linked Cell 9 2" xfId="34451" xr:uid="{00000000-0005-0000-0000-00007E860000}"/>
    <cellStyle name="Linked Cell 90" xfId="34452" xr:uid="{00000000-0005-0000-0000-00007F860000}"/>
    <cellStyle name="Linked Cell 91" xfId="34453" xr:uid="{00000000-0005-0000-0000-000080860000}"/>
    <cellStyle name="Linked Cell 92" xfId="34454" xr:uid="{00000000-0005-0000-0000-000081860000}"/>
    <cellStyle name="Linked Cell 93" xfId="34455" xr:uid="{00000000-0005-0000-0000-000082860000}"/>
    <cellStyle name="Linked Cell 94" xfId="34456" xr:uid="{00000000-0005-0000-0000-000083860000}"/>
    <cellStyle name="Linked Cell 95" xfId="34457" xr:uid="{00000000-0005-0000-0000-000084860000}"/>
    <cellStyle name="Linked Cell 96" xfId="34458" xr:uid="{00000000-0005-0000-0000-000085860000}"/>
    <cellStyle name="Linked Cell 97" xfId="34459" xr:uid="{00000000-0005-0000-0000-000086860000}"/>
    <cellStyle name="Linked Cell 98" xfId="34460" xr:uid="{00000000-0005-0000-0000-000087860000}"/>
    <cellStyle name="Linked Cell 99" xfId="34461" xr:uid="{00000000-0005-0000-0000-000088860000}"/>
    <cellStyle name="Milliers [0]_BP Laseda-Catalana" xfId="34462" xr:uid="{00000000-0005-0000-0000-000089860000}"/>
    <cellStyle name="Milliers_20 - reporting TES fr" xfId="34463" xr:uid="{00000000-0005-0000-0000-00008A860000}"/>
    <cellStyle name="Monétaire [0]_BP Laseda-Catalana" xfId="34464" xr:uid="{00000000-0005-0000-0000-00008B860000}"/>
    <cellStyle name="Monétaire_BP Laseda-Catalana" xfId="34465" xr:uid="{00000000-0005-0000-0000-00008C860000}"/>
    <cellStyle name="Mwh" xfId="34466" xr:uid="{00000000-0005-0000-0000-00008D860000}"/>
    <cellStyle name="myown" xfId="34467" xr:uid="{00000000-0005-0000-0000-00008E860000}"/>
    <cellStyle name="myown 2" xfId="34468" xr:uid="{00000000-0005-0000-0000-00008F860000}"/>
    <cellStyle name="Nagłówek 1" xfId="34469" xr:uid="{00000000-0005-0000-0000-000090860000}"/>
    <cellStyle name="Nagłówek 2" xfId="34470" xr:uid="{00000000-0005-0000-0000-000091860000}"/>
    <cellStyle name="Nagłówek 3" xfId="34471" xr:uid="{00000000-0005-0000-0000-000092860000}"/>
    <cellStyle name="Nagłówek 4" xfId="34472" xr:uid="{00000000-0005-0000-0000-000093860000}"/>
    <cellStyle name="Navadno_20040909_CBS_10YCB-SI-HR-BA-3_10YCB-JIEL-----9_001" xfId="34473" xr:uid="{00000000-0005-0000-0000-000094860000}"/>
    <cellStyle name="NB Box" xfId="34474" xr:uid="{00000000-0005-0000-0000-000095860000}"/>
    <cellStyle name="NB Box 2" xfId="34475" xr:uid="{00000000-0005-0000-0000-000096860000}"/>
    <cellStyle name="Neutral" xfId="8" builtinId="28" hidden="1" customBuiltin="1"/>
    <cellStyle name="Neutral" xfId="55" builtinId="28" hidden="1" customBuiltin="1"/>
    <cellStyle name="Neutral" xfId="77" builtinId="28" customBuiltin="1"/>
    <cellStyle name="Neutral 10" xfId="34476" xr:uid="{00000000-0005-0000-0000-00009A860000}"/>
    <cellStyle name="Neutral 10 2" xfId="34477" xr:uid="{00000000-0005-0000-0000-00009B860000}"/>
    <cellStyle name="Neutral 100" xfId="34478" xr:uid="{00000000-0005-0000-0000-00009C860000}"/>
    <cellStyle name="Neutral 101" xfId="34479" xr:uid="{00000000-0005-0000-0000-00009D860000}"/>
    <cellStyle name="Neutral 102" xfId="34480" xr:uid="{00000000-0005-0000-0000-00009E860000}"/>
    <cellStyle name="Neutral 103" xfId="34481" xr:uid="{00000000-0005-0000-0000-00009F860000}"/>
    <cellStyle name="Neutral 104" xfId="34482" xr:uid="{00000000-0005-0000-0000-0000A0860000}"/>
    <cellStyle name="Neutral 105" xfId="34483" xr:uid="{00000000-0005-0000-0000-0000A1860000}"/>
    <cellStyle name="Neutral 106" xfId="34484" xr:uid="{00000000-0005-0000-0000-0000A2860000}"/>
    <cellStyle name="Neutral 107" xfId="34485" xr:uid="{00000000-0005-0000-0000-0000A3860000}"/>
    <cellStyle name="Neutral 108" xfId="34486" xr:uid="{00000000-0005-0000-0000-0000A4860000}"/>
    <cellStyle name="Neutral 109" xfId="34487" xr:uid="{00000000-0005-0000-0000-0000A5860000}"/>
    <cellStyle name="Neutral 11" xfId="34488" xr:uid="{00000000-0005-0000-0000-0000A6860000}"/>
    <cellStyle name="Neutral 11 2" xfId="34489" xr:uid="{00000000-0005-0000-0000-0000A7860000}"/>
    <cellStyle name="Neutral 110" xfId="34490" xr:uid="{00000000-0005-0000-0000-0000A8860000}"/>
    <cellStyle name="Neutral 111" xfId="34491" xr:uid="{00000000-0005-0000-0000-0000A9860000}"/>
    <cellStyle name="Neutral 112" xfId="34492" xr:uid="{00000000-0005-0000-0000-0000AA860000}"/>
    <cellStyle name="Neutral 113" xfId="34493" xr:uid="{00000000-0005-0000-0000-0000AB860000}"/>
    <cellStyle name="Neutral 114" xfId="34494" xr:uid="{00000000-0005-0000-0000-0000AC860000}"/>
    <cellStyle name="Neutral 115" xfId="34495" xr:uid="{00000000-0005-0000-0000-0000AD860000}"/>
    <cellStyle name="Neutral 116" xfId="34496" xr:uid="{00000000-0005-0000-0000-0000AE860000}"/>
    <cellStyle name="Neutral 117" xfId="34497" xr:uid="{00000000-0005-0000-0000-0000AF860000}"/>
    <cellStyle name="Neutral 118" xfId="34498" xr:uid="{00000000-0005-0000-0000-0000B0860000}"/>
    <cellStyle name="Neutral 119" xfId="34499" xr:uid="{00000000-0005-0000-0000-0000B1860000}"/>
    <cellStyle name="Neutral 12" xfId="34500" xr:uid="{00000000-0005-0000-0000-0000B2860000}"/>
    <cellStyle name="Neutral 12 2" xfId="34501" xr:uid="{00000000-0005-0000-0000-0000B3860000}"/>
    <cellStyle name="Neutral 120" xfId="34502" xr:uid="{00000000-0005-0000-0000-0000B4860000}"/>
    <cellStyle name="Neutral 121" xfId="34503" xr:uid="{00000000-0005-0000-0000-0000B5860000}"/>
    <cellStyle name="Neutral 122" xfId="34504" xr:uid="{00000000-0005-0000-0000-0000B6860000}"/>
    <cellStyle name="Neutral 123" xfId="34505" xr:uid="{00000000-0005-0000-0000-0000B7860000}"/>
    <cellStyle name="Neutral 124" xfId="34506" xr:uid="{00000000-0005-0000-0000-0000B8860000}"/>
    <cellStyle name="Neutral 125" xfId="34507" xr:uid="{00000000-0005-0000-0000-0000B9860000}"/>
    <cellStyle name="Neutral 126" xfId="34508" xr:uid="{00000000-0005-0000-0000-0000BA860000}"/>
    <cellStyle name="Neutral 127" xfId="34509" xr:uid="{00000000-0005-0000-0000-0000BB860000}"/>
    <cellStyle name="Neutral 128" xfId="34510" xr:uid="{00000000-0005-0000-0000-0000BC860000}"/>
    <cellStyle name="Neutral 129" xfId="34511" xr:uid="{00000000-0005-0000-0000-0000BD860000}"/>
    <cellStyle name="Neutral 13" xfId="34512" xr:uid="{00000000-0005-0000-0000-0000BE860000}"/>
    <cellStyle name="Neutral 13 2" xfId="34513" xr:uid="{00000000-0005-0000-0000-0000BF860000}"/>
    <cellStyle name="Neutral 130" xfId="34514" xr:uid="{00000000-0005-0000-0000-0000C0860000}"/>
    <cellStyle name="Neutral 131" xfId="34515" xr:uid="{00000000-0005-0000-0000-0000C1860000}"/>
    <cellStyle name="Neutral 132" xfId="34516" xr:uid="{00000000-0005-0000-0000-0000C2860000}"/>
    <cellStyle name="Neutral 133" xfId="34517" xr:uid="{00000000-0005-0000-0000-0000C3860000}"/>
    <cellStyle name="Neutral 134" xfId="34518" xr:uid="{00000000-0005-0000-0000-0000C4860000}"/>
    <cellStyle name="Neutral 135" xfId="34519" xr:uid="{00000000-0005-0000-0000-0000C5860000}"/>
    <cellStyle name="Neutral 136" xfId="34520" xr:uid="{00000000-0005-0000-0000-0000C6860000}"/>
    <cellStyle name="Neutral 137" xfId="34521" xr:uid="{00000000-0005-0000-0000-0000C7860000}"/>
    <cellStyle name="Neutral 138" xfId="34522" xr:uid="{00000000-0005-0000-0000-0000C8860000}"/>
    <cellStyle name="Neutral 139" xfId="34523" xr:uid="{00000000-0005-0000-0000-0000C9860000}"/>
    <cellStyle name="Neutral 14" xfId="34524" xr:uid="{00000000-0005-0000-0000-0000CA860000}"/>
    <cellStyle name="Neutral 14 2" xfId="34525" xr:uid="{00000000-0005-0000-0000-0000CB860000}"/>
    <cellStyle name="Neutral 140" xfId="34526" xr:uid="{00000000-0005-0000-0000-0000CC860000}"/>
    <cellStyle name="Neutral 141" xfId="34527" xr:uid="{00000000-0005-0000-0000-0000CD860000}"/>
    <cellStyle name="Neutral 142" xfId="34528" xr:uid="{00000000-0005-0000-0000-0000CE860000}"/>
    <cellStyle name="Neutral 143" xfId="34529" xr:uid="{00000000-0005-0000-0000-0000CF860000}"/>
    <cellStyle name="Neutral 144" xfId="34530" xr:uid="{00000000-0005-0000-0000-0000D0860000}"/>
    <cellStyle name="Neutral 145" xfId="34531" xr:uid="{00000000-0005-0000-0000-0000D1860000}"/>
    <cellStyle name="Neutral 146" xfId="34532" xr:uid="{00000000-0005-0000-0000-0000D2860000}"/>
    <cellStyle name="Neutral 147" xfId="34533" xr:uid="{00000000-0005-0000-0000-0000D3860000}"/>
    <cellStyle name="Neutral 148" xfId="34534" xr:uid="{00000000-0005-0000-0000-0000D4860000}"/>
    <cellStyle name="Neutral 149" xfId="34535" xr:uid="{00000000-0005-0000-0000-0000D5860000}"/>
    <cellStyle name="Neutral 15" xfId="34536" xr:uid="{00000000-0005-0000-0000-0000D6860000}"/>
    <cellStyle name="Neutral 15 2" xfId="34537" xr:uid="{00000000-0005-0000-0000-0000D7860000}"/>
    <cellStyle name="Neutral 150" xfId="34538" xr:uid="{00000000-0005-0000-0000-0000D8860000}"/>
    <cellStyle name="Neutral 151" xfId="34539" xr:uid="{00000000-0005-0000-0000-0000D9860000}"/>
    <cellStyle name="Neutral 152" xfId="34540" xr:uid="{00000000-0005-0000-0000-0000DA860000}"/>
    <cellStyle name="Neutral 153" xfId="34541" xr:uid="{00000000-0005-0000-0000-0000DB860000}"/>
    <cellStyle name="Neutral 154" xfId="34542" xr:uid="{00000000-0005-0000-0000-0000DC860000}"/>
    <cellStyle name="Neutral 155" xfId="34543" xr:uid="{00000000-0005-0000-0000-0000DD860000}"/>
    <cellStyle name="Neutral 156" xfId="34544" xr:uid="{00000000-0005-0000-0000-0000DE860000}"/>
    <cellStyle name="Neutral 157" xfId="34545" xr:uid="{00000000-0005-0000-0000-0000DF860000}"/>
    <cellStyle name="Neutral 158" xfId="34546" xr:uid="{00000000-0005-0000-0000-0000E0860000}"/>
    <cellStyle name="Neutral 159" xfId="34547" xr:uid="{00000000-0005-0000-0000-0000E1860000}"/>
    <cellStyle name="Neutral 16" xfId="34548" xr:uid="{00000000-0005-0000-0000-0000E2860000}"/>
    <cellStyle name="Neutral 160" xfId="34549" xr:uid="{00000000-0005-0000-0000-0000E3860000}"/>
    <cellStyle name="Neutral 161" xfId="34550" xr:uid="{00000000-0005-0000-0000-0000E4860000}"/>
    <cellStyle name="Neutral 162" xfId="34551" xr:uid="{00000000-0005-0000-0000-0000E5860000}"/>
    <cellStyle name="Neutral 163" xfId="34552" xr:uid="{00000000-0005-0000-0000-0000E6860000}"/>
    <cellStyle name="Neutral 164" xfId="34553" xr:uid="{00000000-0005-0000-0000-0000E7860000}"/>
    <cellStyle name="Neutral 165" xfId="34554" xr:uid="{00000000-0005-0000-0000-0000E8860000}"/>
    <cellStyle name="Neutral 166" xfId="34555" xr:uid="{00000000-0005-0000-0000-0000E9860000}"/>
    <cellStyle name="Neutral 167" xfId="34556" xr:uid="{00000000-0005-0000-0000-0000EA860000}"/>
    <cellStyle name="Neutral 17" xfId="34557" xr:uid="{00000000-0005-0000-0000-0000EB860000}"/>
    <cellStyle name="Neutral 18" xfId="34558" xr:uid="{00000000-0005-0000-0000-0000EC860000}"/>
    <cellStyle name="Neutral 19" xfId="34559" xr:uid="{00000000-0005-0000-0000-0000ED860000}"/>
    <cellStyle name="Neutral 2" xfId="34560" xr:uid="{00000000-0005-0000-0000-0000EE860000}"/>
    <cellStyle name="Neutral 2 10" xfId="34561" xr:uid="{00000000-0005-0000-0000-0000EF860000}"/>
    <cellStyle name="Neutral 2 11" xfId="34562" xr:uid="{00000000-0005-0000-0000-0000F0860000}"/>
    <cellStyle name="Neutral 2 12" xfId="34563" xr:uid="{00000000-0005-0000-0000-0000F1860000}"/>
    <cellStyle name="Neutral 2 13" xfId="34564" xr:uid="{00000000-0005-0000-0000-0000F2860000}"/>
    <cellStyle name="Neutral 2 14" xfId="34565" xr:uid="{00000000-0005-0000-0000-0000F3860000}"/>
    <cellStyle name="Neutral 2 15" xfId="34566" xr:uid="{00000000-0005-0000-0000-0000F4860000}"/>
    <cellStyle name="Neutral 2 16" xfId="34567" xr:uid="{00000000-0005-0000-0000-0000F5860000}"/>
    <cellStyle name="Neutral 2 17" xfId="34568" xr:uid="{00000000-0005-0000-0000-0000F6860000}"/>
    <cellStyle name="Neutral 2 18" xfId="34569" xr:uid="{00000000-0005-0000-0000-0000F7860000}"/>
    <cellStyle name="Neutral 2 19" xfId="34570" xr:uid="{00000000-0005-0000-0000-0000F8860000}"/>
    <cellStyle name="Neutral 2 2" xfId="34571" xr:uid="{00000000-0005-0000-0000-0000F9860000}"/>
    <cellStyle name="Neutral 2 20" xfId="34572" xr:uid="{00000000-0005-0000-0000-0000FA860000}"/>
    <cellStyle name="Neutral 2 21" xfId="34573" xr:uid="{00000000-0005-0000-0000-0000FB860000}"/>
    <cellStyle name="Neutral 2 22" xfId="34574" xr:uid="{00000000-0005-0000-0000-0000FC860000}"/>
    <cellStyle name="Neutral 2 23" xfId="34575" xr:uid="{00000000-0005-0000-0000-0000FD860000}"/>
    <cellStyle name="Neutral 2 24" xfId="34576" xr:uid="{00000000-0005-0000-0000-0000FE860000}"/>
    <cellStyle name="Neutral 2 25" xfId="34577" xr:uid="{00000000-0005-0000-0000-0000FF860000}"/>
    <cellStyle name="Neutral 2 26" xfId="34578" xr:uid="{00000000-0005-0000-0000-000000870000}"/>
    <cellStyle name="Neutral 2 27" xfId="34579" xr:uid="{00000000-0005-0000-0000-000001870000}"/>
    <cellStyle name="Neutral 2 28" xfId="34580" xr:uid="{00000000-0005-0000-0000-000002870000}"/>
    <cellStyle name="Neutral 2 29" xfId="34581" xr:uid="{00000000-0005-0000-0000-000003870000}"/>
    <cellStyle name="Neutral 2 3" xfId="34582" xr:uid="{00000000-0005-0000-0000-000004870000}"/>
    <cellStyle name="Neutral 2 30" xfId="34583" xr:uid="{00000000-0005-0000-0000-000005870000}"/>
    <cellStyle name="Neutral 2 31" xfId="34584" xr:uid="{00000000-0005-0000-0000-000006870000}"/>
    <cellStyle name="Neutral 2 32" xfId="34585" xr:uid="{00000000-0005-0000-0000-000007870000}"/>
    <cellStyle name="Neutral 2 33" xfId="34586" xr:uid="{00000000-0005-0000-0000-000008870000}"/>
    <cellStyle name="Neutral 2 34" xfId="34587" xr:uid="{00000000-0005-0000-0000-000009870000}"/>
    <cellStyle name="Neutral 2 35" xfId="34588" xr:uid="{00000000-0005-0000-0000-00000A870000}"/>
    <cellStyle name="Neutral 2 4" xfId="34589" xr:uid="{00000000-0005-0000-0000-00000B870000}"/>
    <cellStyle name="Neutral 2 5" xfId="34590" xr:uid="{00000000-0005-0000-0000-00000C870000}"/>
    <cellStyle name="Neutral 2 6" xfId="34591" xr:uid="{00000000-0005-0000-0000-00000D870000}"/>
    <cellStyle name="Neutral 2 7" xfId="34592" xr:uid="{00000000-0005-0000-0000-00000E870000}"/>
    <cellStyle name="Neutral 2 8" xfId="34593" xr:uid="{00000000-0005-0000-0000-00000F870000}"/>
    <cellStyle name="Neutral 2 9" xfId="34594" xr:uid="{00000000-0005-0000-0000-000010870000}"/>
    <cellStyle name="Neutral 20" xfId="34595" xr:uid="{00000000-0005-0000-0000-000011870000}"/>
    <cellStyle name="Neutral 20 10" xfId="34596" xr:uid="{00000000-0005-0000-0000-000012870000}"/>
    <cellStyle name="Neutral 20 11" xfId="34597" xr:uid="{00000000-0005-0000-0000-000013870000}"/>
    <cellStyle name="Neutral 20 12" xfId="34598" xr:uid="{00000000-0005-0000-0000-000014870000}"/>
    <cellStyle name="Neutral 20 13" xfId="34599" xr:uid="{00000000-0005-0000-0000-000015870000}"/>
    <cellStyle name="Neutral 20 14" xfId="34600" xr:uid="{00000000-0005-0000-0000-000016870000}"/>
    <cellStyle name="Neutral 20 15" xfId="34601" xr:uid="{00000000-0005-0000-0000-000017870000}"/>
    <cellStyle name="Neutral 20 16" xfId="34602" xr:uid="{00000000-0005-0000-0000-000018870000}"/>
    <cellStyle name="Neutral 20 2" xfId="34603" xr:uid="{00000000-0005-0000-0000-000019870000}"/>
    <cellStyle name="Neutral 20 3" xfId="34604" xr:uid="{00000000-0005-0000-0000-00001A870000}"/>
    <cellStyle name="Neutral 20 4" xfId="34605" xr:uid="{00000000-0005-0000-0000-00001B870000}"/>
    <cellStyle name="Neutral 20 5" xfId="34606" xr:uid="{00000000-0005-0000-0000-00001C870000}"/>
    <cellStyle name="Neutral 20 6" xfId="34607" xr:uid="{00000000-0005-0000-0000-00001D870000}"/>
    <cellStyle name="Neutral 20 7" xfId="34608" xr:uid="{00000000-0005-0000-0000-00001E870000}"/>
    <cellStyle name="Neutral 20 8" xfId="34609" xr:uid="{00000000-0005-0000-0000-00001F870000}"/>
    <cellStyle name="Neutral 20 9" xfId="34610" xr:uid="{00000000-0005-0000-0000-000020870000}"/>
    <cellStyle name="Neutral 21" xfId="34611" xr:uid="{00000000-0005-0000-0000-000021870000}"/>
    <cellStyle name="Neutral 21 2" xfId="34612" xr:uid="{00000000-0005-0000-0000-000022870000}"/>
    <cellStyle name="Neutral 21 3" xfId="34613" xr:uid="{00000000-0005-0000-0000-000023870000}"/>
    <cellStyle name="Neutral 22" xfId="34614" xr:uid="{00000000-0005-0000-0000-000024870000}"/>
    <cellStyle name="Neutral 23" xfId="34615" xr:uid="{00000000-0005-0000-0000-000025870000}"/>
    <cellStyle name="Neutral 24" xfId="34616" xr:uid="{00000000-0005-0000-0000-000026870000}"/>
    <cellStyle name="Neutral 25" xfId="34617" xr:uid="{00000000-0005-0000-0000-000027870000}"/>
    <cellStyle name="Neutral 26" xfId="34618" xr:uid="{00000000-0005-0000-0000-000028870000}"/>
    <cellStyle name="Neutral 27" xfId="34619" xr:uid="{00000000-0005-0000-0000-000029870000}"/>
    <cellStyle name="Neutral 28" xfId="34620" xr:uid="{00000000-0005-0000-0000-00002A870000}"/>
    <cellStyle name="Neutral 29" xfId="34621" xr:uid="{00000000-0005-0000-0000-00002B870000}"/>
    <cellStyle name="Neutral 3" xfId="34622" xr:uid="{00000000-0005-0000-0000-00002C870000}"/>
    <cellStyle name="Neutral 3 10" xfId="34623" xr:uid="{00000000-0005-0000-0000-00002D870000}"/>
    <cellStyle name="Neutral 3 10 10" xfId="34624" xr:uid="{00000000-0005-0000-0000-00002E870000}"/>
    <cellStyle name="Neutral 3 10 11" xfId="34625" xr:uid="{00000000-0005-0000-0000-00002F870000}"/>
    <cellStyle name="Neutral 3 10 12" xfId="34626" xr:uid="{00000000-0005-0000-0000-000030870000}"/>
    <cellStyle name="Neutral 3 10 13" xfId="34627" xr:uid="{00000000-0005-0000-0000-000031870000}"/>
    <cellStyle name="Neutral 3 10 14" xfId="34628" xr:uid="{00000000-0005-0000-0000-000032870000}"/>
    <cellStyle name="Neutral 3 10 15" xfId="34629" xr:uid="{00000000-0005-0000-0000-000033870000}"/>
    <cellStyle name="Neutral 3 10 2" xfId="34630" xr:uid="{00000000-0005-0000-0000-000034870000}"/>
    <cellStyle name="Neutral 3 10 3" xfId="34631" xr:uid="{00000000-0005-0000-0000-000035870000}"/>
    <cellStyle name="Neutral 3 10 4" xfId="34632" xr:uid="{00000000-0005-0000-0000-000036870000}"/>
    <cellStyle name="Neutral 3 10 5" xfId="34633" xr:uid="{00000000-0005-0000-0000-000037870000}"/>
    <cellStyle name="Neutral 3 10 6" xfId="34634" xr:uid="{00000000-0005-0000-0000-000038870000}"/>
    <cellStyle name="Neutral 3 10 7" xfId="34635" xr:uid="{00000000-0005-0000-0000-000039870000}"/>
    <cellStyle name="Neutral 3 10 8" xfId="34636" xr:uid="{00000000-0005-0000-0000-00003A870000}"/>
    <cellStyle name="Neutral 3 10 9" xfId="34637" xr:uid="{00000000-0005-0000-0000-00003B870000}"/>
    <cellStyle name="Neutral 3 11" xfId="34638" xr:uid="{00000000-0005-0000-0000-00003C870000}"/>
    <cellStyle name="Neutral 3 11 10" xfId="34639" xr:uid="{00000000-0005-0000-0000-00003D870000}"/>
    <cellStyle name="Neutral 3 11 11" xfId="34640" xr:uid="{00000000-0005-0000-0000-00003E870000}"/>
    <cellStyle name="Neutral 3 11 12" xfId="34641" xr:uid="{00000000-0005-0000-0000-00003F870000}"/>
    <cellStyle name="Neutral 3 11 13" xfId="34642" xr:uid="{00000000-0005-0000-0000-000040870000}"/>
    <cellStyle name="Neutral 3 11 14" xfId="34643" xr:uid="{00000000-0005-0000-0000-000041870000}"/>
    <cellStyle name="Neutral 3 11 15" xfId="34644" xr:uid="{00000000-0005-0000-0000-000042870000}"/>
    <cellStyle name="Neutral 3 11 2" xfId="34645" xr:uid="{00000000-0005-0000-0000-000043870000}"/>
    <cellStyle name="Neutral 3 11 3" xfId="34646" xr:uid="{00000000-0005-0000-0000-000044870000}"/>
    <cellStyle name="Neutral 3 11 4" xfId="34647" xr:uid="{00000000-0005-0000-0000-000045870000}"/>
    <cellStyle name="Neutral 3 11 5" xfId="34648" xr:uid="{00000000-0005-0000-0000-000046870000}"/>
    <cellStyle name="Neutral 3 11 6" xfId="34649" xr:uid="{00000000-0005-0000-0000-000047870000}"/>
    <cellStyle name="Neutral 3 11 7" xfId="34650" xr:uid="{00000000-0005-0000-0000-000048870000}"/>
    <cellStyle name="Neutral 3 11 8" xfId="34651" xr:uid="{00000000-0005-0000-0000-000049870000}"/>
    <cellStyle name="Neutral 3 11 9" xfId="34652" xr:uid="{00000000-0005-0000-0000-00004A870000}"/>
    <cellStyle name="Neutral 3 12" xfId="34653" xr:uid="{00000000-0005-0000-0000-00004B870000}"/>
    <cellStyle name="Neutral 3 12 10" xfId="34654" xr:uid="{00000000-0005-0000-0000-00004C870000}"/>
    <cellStyle name="Neutral 3 12 11" xfId="34655" xr:uid="{00000000-0005-0000-0000-00004D870000}"/>
    <cellStyle name="Neutral 3 12 12" xfId="34656" xr:uid="{00000000-0005-0000-0000-00004E870000}"/>
    <cellStyle name="Neutral 3 12 13" xfId="34657" xr:uid="{00000000-0005-0000-0000-00004F870000}"/>
    <cellStyle name="Neutral 3 12 14" xfId="34658" xr:uid="{00000000-0005-0000-0000-000050870000}"/>
    <cellStyle name="Neutral 3 12 15" xfId="34659" xr:uid="{00000000-0005-0000-0000-000051870000}"/>
    <cellStyle name="Neutral 3 12 2" xfId="34660" xr:uid="{00000000-0005-0000-0000-000052870000}"/>
    <cellStyle name="Neutral 3 12 3" xfId="34661" xr:uid="{00000000-0005-0000-0000-000053870000}"/>
    <cellStyle name="Neutral 3 12 4" xfId="34662" xr:uid="{00000000-0005-0000-0000-000054870000}"/>
    <cellStyle name="Neutral 3 12 5" xfId="34663" xr:uid="{00000000-0005-0000-0000-000055870000}"/>
    <cellStyle name="Neutral 3 12 6" xfId="34664" xr:uid="{00000000-0005-0000-0000-000056870000}"/>
    <cellStyle name="Neutral 3 12 7" xfId="34665" xr:uid="{00000000-0005-0000-0000-000057870000}"/>
    <cellStyle name="Neutral 3 12 8" xfId="34666" xr:uid="{00000000-0005-0000-0000-000058870000}"/>
    <cellStyle name="Neutral 3 12 9" xfId="34667" xr:uid="{00000000-0005-0000-0000-000059870000}"/>
    <cellStyle name="Neutral 3 13" xfId="34668" xr:uid="{00000000-0005-0000-0000-00005A870000}"/>
    <cellStyle name="Neutral 3 13 10" xfId="34669" xr:uid="{00000000-0005-0000-0000-00005B870000}"/>
    <cellStyle name="Neutral 3 13 11" xfId="34670" xr:uid="{00000000-0005-0000-0000-00005C870000}"/>
    <cellStyle name="Neutral 3 13 12" xfId="34671" xr:uid="{00000000-0005-0000-0000-00005D870000}"/>
    <cellStyle name="Neutral 3 13 13" xfId="34672" xr:uid="{00000000-0005-0000-0000-00005E870000}"/>
    <cellStyle name="Neutral 3 13 14" xfId="34673" xr:uid="{00000000-0005-0000-0000-00005F870000}"/>
    <cellStyle name="Neutral 3 13 15" xfId="34674" xr:uid="{00000000-0005-0000-0000-000060870000}"/>
    <cellStyle name="Neutral 3 13 2" xfId="34675" xr:uid="{00000000-0005-0000-0000-000061870000}"/>
    <cellStyle name="Neutral 3 13 3" xfId="34676" xr:uid="{00000000-0005-0000-0000-000062870000}"/>
    <cellStyle name="Neutral 3 13 4" xfId="34677" xr:uid="{00000000-0005-0000-0000-000063870000}"/>
    <cellStyle name="Neutral 3 13 5" xfId="34678" xr:uid="{00000000-0005-0000-0000-000064870000}"/>
    <cellStyle name="Neutral 3 13 6" xfId="34679" xr:uid="{00000000-0005-0000-0000-000065870000}"/>
    <cellStyle name="Neutral 3 13 7" xfId="34680" xr:uid="{00000000-0005-0000-0000-000066870000}"/>
    <cellStyle name="Neutral 3 13 8" xfId="34681" xr:uid="{00000000-0005-0000-0000-000067870000}"/>
    <cellStyle name="Neutral 3 13 9" xfId="34682" xr:uid="{00000000-0005-0000-0000-000068870000}"/>
    <cellStyle name="Neutral 3 14" xfId="34683" xr:uid="{00000000-0005-0000-0000-000069870000}"/>
    <cellStyle name="Neutral 3 14 10" xfId="34684" xr:uid="{00000000-0005-0000-0000-00006A870000}"/>
    <cellStyle name="Neutral 3 14 11" xfId="34685" xr:uid="{00000000-0005-0000-0000-00006B870000}"/>
    <cellStyle name="Neutral 3 14 12" xfId="34686" xr:uid="{00000000-0005-0000-0000-00006C870000}"/>
    <cellStyle name="Neutral 3 14 13" xfId="34687" xr:uid="{00000000-0005-0000-0000-00006D870000}"/>
    <cellStyle name="Neutral 3 14 14" xfId="34688" xr:uid="{00000000-0005-0000-0000-00006E870000}"/>
    <cellStyle name="Neutral 3 14 15" xfId="34689" xr:uid="{00000000-0005-0000-0000-00006F870000}"/>
    <cellStyle name="Neutral 3 14 2" xfId="34690" xr:uid="{00000000-0005-0000-0000-000070870000}"/>
    <cellStyle name="Neutral 3 14 3" xfId="34691" xr:uid="{00000000-0005-0000-0000-000071870000}"/>
    <cellStyle name="Neutral 3 14 4" xfId="34692" xr:uid="{00000000-0005-0000-0000-000072870000}"/>
    <cellStyle name="Neutral 3 14 5" xfId="34693" xr:uid="{00000000-0005-0000-0000-000073870000}"/>
    <cellStyle name="Neutral 3 14 6" xfId="34694" xr:uid="{00000000-0005-0000-0000-000074870000}"/>
    <cellStyle name="Neutral 3 14 7" xfId="34695" xr:uid="{00000000-0005-0000-0000-000075870000}"/>
    <cellStyle name="Neutral 3 14 8" xfId="34696" xr:uid="{00000000-0005-0000-0000-000076870000}"/>
    <cellStyle name="Neutral 3 14 9" xfId="34697" xr:uid="{00000000-0005-0000-0000-000077870000}"/>
    <cellStyle name="Neutral 3 15" xfId="34698" xr:uid="{00000000-0005-0000-0000-000078870000}"/>
    <cellStyle name="Neutral 3 15 10" xfId="34699" xr:uid="{00000000-0005-0000-0000-000079870000}"/>
    <cellStyle name="Neutral 3 15 11" xfId="34700" xr:uid="{00000000-0005-0000-0000-00007A870000}"/>
    <cellStyle name="Neutral 3 15 12" xfId="34701" xr:uid="{00000000-0005-0000-0000-00007B870000}"/>
    <cellStyle name="Neutral 3 15 13" xfId="34702" xr:uid="{00000000-0005-0000-0000-00007C870000}"/>
    <cellStyle name="Neutral 3 15 14" xfId="34703" xr:uid="{00000000-0005-0000-0000-00007D870000}"/>
    <cellStyle name="Neutral 3 15 15" xfId="34704" xr:uid="{00000000-0005-0000-0000-00007E870000}"/>
    <cellStyle name="Neutral 3 15 2" xfId="34705" xr:uid="{00000000-0005-0000-0000-00007F870000}"/>
    <cellStyle name="Neutral 3 15 3" xfId="34706" xr:uid="{00000000-0005-0000-0000-000080870000}"/>
    <cellStyle name="Neutral 3 15 4" xfId="34707" xr:uid="{00000000-0005-0000-0000-000081870000}"/>
    <cellStyle name="Neutral 3 15 5" xfId="34708" xr:uid="{00000000-0005-0000-0000-000082870000}"/>
    <cellStyle name="Neutral 3 15 6" xfId="34709" xr:uid="{00000000-0005-0000-0000-000083870000}"/>
    <cellStyle name="Neutral 3 15 7" xfId="34710" xr:uid="{00000000-0005-0000-0000-000084870000}"/>
    <cellStyle name="Neutral 3 15 8" xfId="34711" xr:uid="{00000000-0005-0000-0000-000085870000}"/>
    <cellStyle name="Neutral 3 15 9" xfId="34712" xr:uid="{00000000-0005-0000-0000-000086870000}"/>
    <cellStyle name="Neutral 3 16" xfId="34713" xr:uid="{00000000-0005-0000-0000-000087870000}"/>
    <cellStyle name="Neutral 3 16 10" xfId="34714" xr:uid="{00000000-0005-0000-0000-000088870000}"/>
    <cellStyle name="Neutral 3 16 11" xfId="34715" xr:uid="{00000000-0005-0000-0000-000089870000}"/>
    <cellStyle name="Neutral 3 16 12" xfId="34716" xr:uid="{00000000-0005-0000-0000-00008A870000}"/>
    <cellStyle name="Neutral 3 16 13" xfId="34717" xr:uid="{00000000-0005-0000-0000-00008B870000}"/>
    <cellStyle name="Neutral 3 16 14" xfId="34718" xr:uid="{00000000-0005-0000-0000-00008C870000}"/>
    <cellStyle name="Neutral 3 16 15" xfId="34719" xr:uid="{00000000-0005-0000-0000-00008D870000}"/>
    <cellStyle name="Neutral 3 16 2" xfId="34720" xr:uid="{00000000-0005-0000-0000-00008E870000}"/>
    <cellStyle name="Neutral 3 16 3" xfId="34721" xr:uid="{00000000-0005-0000-0000-00008F870000}"/>
    <cellStyle name="Neutral 3 16 4" xfId="34722" xr:uid="{00000000-0005-0000-0000-000090870000}"/>
    <cellStyle name="Neutral 3 16 5" xfId="34723" xr:uid="{00000000-0005-0000-0000-000091870000}"/>
    <cellStyle name="Neutral 3 16 6" xfId="34724" xr:uid="{00000000-0005-0000-0000-000092870000}"/>
    <cellStyle name="Neutral 3 16 7" xfId="34725" xr:uid="{00000000-0005-0000-0000-000093870000}"/>
    <cellStyle name="Neutral 3 16 8" xfId="34726" xr:uid="{00000000-0005-0000-0000-000094870000}"/>
    <cellStyle name="Neutral 3 16 9" xfId="34727" xr:uid="{00000000-0005-0000-0000-000095870000}"/>
    <cellStyle name="Neutral 3 17" xfId="34728" xr:uid="{00000000-0005-0000-0000-000096870000}"/>
    <cellStyle name="Neutral 3 17 10" xfId="34729" xr:uid="{00000000-0005-0000-0000-000097870000}"/>
    <cellStyle name="Neutral 3 17 11" xfId="34730" xr:uid="{00000000-0005-0000-0000-000098870000}"/>
    <cellStyle name="Neutral 3 17 12" xfId="34731" xr:uid="{00000000-0005-0000-0000-000099870000}"/>
    <cellStyle name="Neutral 3 17 13" xfId="34732" xr:uid="{00000000-0005-0000-0000-00009A870000}"/>
    <cellStyle name="Neutral 3 17 14" xfId="34733" xr:uid="{00000000-0005-0000-0000-00009B870000}"/>
    <cellStyle name="Neutral 3 17 15" xfId="34734" xr:uid="{00000000-0005-0000-0000-00009C870000}"/>
    <cellStyle name="Neutral 3 17 2" xfId="34735" xr:uid="{00000000-0005-0000-0000-00009D870000}"/>
    <cellStyle name="Neutral 3 17 3" xfId="34736" xr:uid="{00000000-0005-0000-0000-00009E870000}"/>
    <cellStyle name="Neutral 3 17 4" xfId="34737" xr:uid="{00000000-0005-0000-0000-00009F870000}"/>
    <cellStyle name="Neutral 3 17 5" xfId="34738" xr:uid="{00000000-0005-0000-0000-0000A0870000}"/>
    <cellStyle name="Neutral 3 17 6" xfId="34739" xr:uid="{00000000-0005-0000-0000-0000A1870000}"/>
    <cellStyle name="Neutral 3 17 7" xfId="34740" xr:uid="{00000000-0005-0000-0000-0000A2870000}"/>
    <cellStyle name="Neutral 3 17 8" xfId="34741" xr:uid="{00000000-0005-0000-0000-0000A3870000}"/>
    <cellStyle name="Neutral 3 17 9" xfId="34742" xr:uid="{00000000-0005-0000-0000-0000A4870000}"/>
    <cellStyle name="Neutral 3 18" xfId="34743" xr:uid="{00000000-0005-0000-0000-0000A5870000}"/>
    <cellStyle name="Neutral 3 18 10" xfId="34744" xr:uid="{00000000-0005-0000-0000-0000A6870000}"/>
    <cellStyle name="Neutral 3 18 11" xfId="34745" xr:uid="{00000000-0005-0000-0000-0000A7870000}"/>
    <cellStyle name="Neutral 3 18 12" xfId="34746" xr:uid="{00000000-0005-0000-0000-0000A8870000}"/>
    <cellStyle name="Neutral 3 18 13" xfId="34747" xr:uid="{00000000-0005-0000-0000-0000A9870000}"/>
    <cellStyle name="Neutral 3 18 14" xfId="34748" xr:uid="{00000000-0005-0000-0000-0000AA870000}"/>
    <cellStyle name="Neutral 3 18 15" xfId="34749" xr:uid="{00000000-0005-0000-0000-0000AB870000}"/>
    <cellStyle name="Neutral 3 18 2" xfId="34750" xr:uid="{00000000-0005-0000-0000-0000AC870000}"/>
    <cellStyle name="Neutral 3 18 3" xfId="34751" xr:uid="{00000000-0005-0000-0000-0000AD870000}"/>
    <cellStyle name="Neutral 3 18 4" xfId="34752" xr:uid="{00000000-0005-0000-0000-0000AE870000}"/>
    <cellStyle name="Neutral 3 18 5" xfId="34753" xr:uid="{00000000-0005-0000-0000-0000AF870000}"/>
    <cellStyle name="Neutral 3 18 6" xfId="34754" xr:uid="{00000000-0005-0000-0000-0000B0870000}"/>
    <cellStyle name="Neutral 3 18 7" xfId="34755" xr:uid="{00000000-0005-0000-0000-0000B1870000}"/>
    <cellStyle name="Neutral 3 18 8" xfId="34756" xr:uid="{00000000-0005-0000-0000-0000B2870000}"/>
    <cellStyle name="Neutral 3 18 9" xfId="34757" xr:uid="{00000000-0005-0000-0000-0000B3870000}"/>
    <cellStyle name="Neutral 3 19" xfId="34758" xr:uid="{00000000-0005-0000-0000-0000B4870000}"/>
    <cellStyle name="Neutral 3 19 10" xfId="34759" xr:uid="{00000000-0005-0000-0000-0000B5870000}"/>
    <cellStyle name="Neutral 3 19 11" xfId="34760" xr:uid="{00000000-0005-0000-0000-0000B6870000}"/>
    <cellStyle name="Neutral 3 19 12" xfId="34761" xr:uid="{00000000-0005-0000-0000-0000B7870000}"/>
    <cellStyle name="Neutral 3 19 13" xfId="34762" xr:uid="{00000000-0005-0000-0000-0000B8870000}"/>
    <cellStyle name="Neutral 3 19 14" xfId="34763" xr:uid="{00000000-0005-0000-0000-0000B9870000}"/>
    <cellStyle name="Neutral 3 19 15" xfId="34764" xr:uid="{00000000-0005-0000-0000-0000BA870000}"/>
    <cellStyle name="Neutral 3 19 2" xfId="34765" xr:uid="{00000000-0005-0000-0000-0000BB870000}"/>
    <cellStyle name="Neutral 3 19 3" xfId="34766" xr:uid="{00000000-0005-0000-0000-0000BC870000}"/>
    <cellStyle name="Neutral 3 19 4" xfId="34767" xr:uid="{00000000-0005-0000-0000-0000BD870000}"/>
    <cellStyle name="Neutral 3 19 5" xfId="34768" xr:uid="{00000000-0005-0000-0000-0000BE870000}"/>
    <cellStyle name="Neutral 3 19 6" xfId="34769" xr:uid="{00000000-0005-0000-0000-0000BF870000}"/>
    <cellStyle name="Neutral 3 19 7" xfId="34770" xr:uid="{00000000-0005-0000-0000-0000C0870000}"/>
    <cellStyle name="Neutral 3 19 8" xfId="34771" xr:uid="{00000000-0005-0000-0000-0000C1870000}"/>
    <cellStyle name="Neutral 3 19 9" xfId="34772" xr:uid="{00000000-0005-0000-0000-0000C2870000}"/>
    <cellStyle name="Neutral 3 2" xfId="34773" xr:uid="{00000000-0005-0000-0000-0000C3870000}"/>
    <cellStyle name="Neutral 3 2 10" xfId="34774" xr:uid="{00000000-0005-0000-0000-0000C4870000}"/>
    <cellStyle name="Neutral 3 2 11" xfId="34775" xr:uid="{00000000-0005-0000-0000-0000C5870000}"/>
    <cellStyle name="Neutral 3 2 12" xfId="34776" xr:uid="{00000000-0005-0000-0000-0000C6870000}"/>
    <cellStyle name="Neutral 3 2 13" xfId="34777" xr:uid="{00000000-0005-0000-0000-0000C7870000}"/>
    <cellStyle name="Neutral 3 2 14" xfId="34778" xr:uid="{00000000-0005-0000-0000-0000C8870000}"/>
    <cellStyle name="Neutral 3 2 15" xfId="34779" xr:uid="{00000000-0005-0000-0000-0000C9870000}"/>
    <cellStyle name="Neutral 3 2 16" xfId="34780" xr:uid="{00000000-0005-0000-0000-0000CA870000}"/>
    <cellStyle name="Neutral 3 2 17" xfId="34781" xr:uid="{00000000-0005-0000-0000-0000CB870000}"/>
    <cellStyle name="Neutral 3 2 18" xfId="34782" xr:uid="{00000000-0005-0000-0000-0000CC870000}"/>
    <cellStyle name="Neutral 3 2 19" xfId="34783" xr:uid="{00000000-0005-0000-0000-0000CD870000}"/>
    <cellStyle name="Neutral 3 2 2" xfId="34784" xr:uid="{00000000-0005-0000-0000-0000CE870000}"/>
    <cellStyle name="Neutral 3 2 20" xfId="34785" xr:uid="{00000000-0005-0000-0000-0000CF870000}"/>
    <cellStyle name="Neutral 3 2 21" xfId="34786" xr:uid="{00000000-0005-0000-0000-0000D0870000}"/>
    <cellStyle name="Neutral 3 2 22" xfId="34787" xr:uid="{00000000-0005-0000-0000-0000D1870000}"/>
    <cellStyle name="Neutral 3 2 23" xfId="34788" xr:uid="{00000000-0005-0000-0000-0000D2870000}"/>
    <cellStyle name="Neutral 3 2 24" xfId="34789" xr:uid="{00000000-0005-0000-0000-0000D3870000}"/>
    <cellStyle name="Neutral 3 2 25" xfId="34790" xr:uid="{00000000-0005-0000-0000-0000D4870000}"/>
    <cellStyle name="Neutral 3 2 26" xfId="34791" xr:uid="{00000000-0005-0000-0000-0000D5870000}"/>
    <cellStyle name="Neutral 3 2 27" xfId="34792" xr:uid="{00000000-0005-0000-0000-0000D6870000}"/>
    <cellStyle name="Neutral 3 2 28" xfId="34793" xr:uid="{00000000-0005-0000-0000-0000D7870000}"/>
    <cellStyle name="Neutral 3 2 29" xfId="34794" xr:uid="{00000000-0005-0000-0000-0000D8870000}"/>
    <cellStyle name="Neutral 3 2 3" xfId="34795" xr:uid="{00000000-0005-0000-0000-0000D9870000}"/>
    <cellStyle name="Neutral 3 2 30" xfId="34796" xr:uid="{00000000-0005-0000-0000-0000DA870000}"/>
    <cellStyle name="Neutral 3 2 31" xfId="34797" xr:uid="{00000000-0005-0000-0000-0000DB870000}"/>
    <cellStyle name="Neutral 3 2 32" xfId="34798" xr:uid="{00000000-0005-0000-0000-0000DC870000}"/>
    <cellStyle name="Neutral 3 2 33" xfId="34799" xr:uid="{00000000-0005-0000-0000-0000DD870000}"/>
    <cellStyle name="Neutral 3 2 34" xfId="34800" xr:uid="{00000000-0005-0000-0000-0000DE870000}"/>
    <cellStyle name="Neutral 3 2 35" xfId="34801" xr:uid="{00000000-0005-0000-0000-0000DF870000}"/>
    <cellStyle name="Neutral 3 2 36" xfId="34802" xr:uid="{00000000-0005-0000-0000-0000E0870000}"/>
    <cellStyle name="Neutral 3 2 37" xfId="34803" xr:uid="{00000000-0005-0000-0000-0000E1870000}"/>
    <cellStyle name="Neutral 3 2 38" xfId="34804" xr:uid="{00000000-0005-0000-0000-0000E2870000}"/>
    <cellStyle name="Neutral 3 2 39" xfId="34805" xr:uid="{00000000-0005-0000-0000-0000E3870000}"/>
    <cellStyle name="Neutral 3 2 4" xfId="34806" xr:uid="{00000000-0005-0000-0000-0000E4870000}"/>
    <cellStyle name="Neutral 3 2 40" xfId="34807" xr:uid="{00000000-0005-0000-0000-0000E5870000}"/>
    <cellStyle name="Neutral 3 2 41" xfId="34808" xr:uid="{00000000-0005-0000-0000-0000E6870000}"/>
    <cellStyle name="Neutral 3 2 42" xfId="34809" xr:uid="{00000000-0005-0000-0000-0000E7870000}"/>
    <cellStyle name="Neutral 3 2 43" xfId="34810" xr:uid="{00000000-0005-0000-0000-0000E8870000}"/>
    <cellStyle name="Neutral 3 2 44" xfId="34811" xr:uid="{00000000-0005-0000-0000-0000E9870000}"/>
    <cellStyle name="Neutral 3 2 45" xfId="34812" xr:uid="{00000000-0005-0000-0000-0000EA870000}"/>
    <cellStyle name="Neutral 3 2 46" xfId="34813" xr:uid="{00000000-0005-0000-0000-0000EB870000}"/>
    <cellStyle name="Neutral 3 2 47" xfId="34814" xr:uid="{00000000-0005-0000-0000-0000EC870000}"/>
    <cellStyle name="Neutral 3 2 48" xfId="34815" xr:uid="{00000000-0005-0000-0000-0000ED870000}"/>
    <cellStyle name="Neutral 3 2 49" xfId="34816" xr:uid="{00000000-0005-0000-0000-0000EE870000}"/>
    <cellStyle name="Neutral 3 2 5" xfId="34817" xr:uid="{00000000-0005-0000-0000-0000EF870000}"/>
    <cellStyle name="Neutral 3 2 50" xfId="34818" xr:uid="{00000000-0005-0000-0000-0000F0870000}"/>
    <cellStyle name="Neutral 3 2 51" xfId="34819" xr:uid="{00000000-0005-0000-0000-0000F1870000}"/>
    <cellStyle name="Neutral 3 2 52" xfId="34820" xr:uid="{00000000-0005-0000-0000-0000F2870000}"/>
    <cellStyle name="Neutral 3 2 53" xfId="34821" xr:uid="{00000000-0005-0000-0000-0000F3870000}"/>
    <cellStyle name="Neutral 3 2 6" xfId="34822" xr:uid="{00000000-0005-0000-0000-0000F4870000}"/>
    <cellStyle name="Neutral 3 2 7" xfId="34823" xr:uid="{00000000-0005-0000-0000-0000F5870000}"/>
    <cellStyle name="Neutral 3 2 8" xfId="34824" xr:uid="{00000000-0005-0000-0000-0000F6870000}"/>
    <cellStyle name="Neutral 3 2 9" xfId="34825" xr:uid="{00000000-0005-0000-0000-0000F7870000}"/>
    <cellStyle name="Neutral 3 20" xfId="34826" xr:uid="{00000000-0005-0000-0000-0000F8870000}"/>
    <cellStyle name="Neutral 3 20 10" xfId="34827" xr:uid="{00000000-0005-0000-0000-0000F9870000}"/>
    <cellStyle name="Neutral 3 20 11" xfId="34828" xr:uid="{00000000-0005-0000-0000-0000FA870000}"/>
    <cellStyle name="Neutral 3 20 12" xfId="34829" xr:uid="{00000000-0005-0000-0000-0000FB870000}"/>
    <cellStyle name="Neutral 3 20 13" xfId="34830" xr:uid="{00000000-0005-0000-0000-0000FC870000}"/>
    <cellStyle name="Neutral 3 20 14" xfId="34831" xr:uid="{00000000-0005-0000-0000-0000FD870000}"/>
    <cellStyle name="Neutral 3 20 15" xfId="34832" xr:uid="{00000000-0005-0000-0000-0000FE870000}"/>
    <cellStyle name="Neutral 3 20 2" xfId="34833" xr:uid="{00000000-0005-0000-0000-0000FF870000}"/>
    <cellStyle name="Neutral 3 20 3" xfId="34834" xr:uid="{00000000-0005-0000-0000-000000880000}"/>
    <cellStyle name="Neutral 3 20 4" xfId="34835" xr:uid="{00000000-0005-0000-0000-000001880000}"/>
    <cellStyle name="Neutral 3 20 5" xfId="34836" xr:uid="{00000000-0005-0000-0000-000002880000}"/>
    <cellStyle name="Neutral 3 20 6" xfId="34837" xr:uid="{00000000-0005-0000-0000-000003880000}"/>
    <cellStyle name="Neutral 3 20 7" xfId="34838" xr:uid="{00000000-0005-0000-0000-000004880000}"/>
    <cellStyle name="Neutral 3 20 8" xfId="34839" xr:uid="{00000000-0005-0000-0000-000005880000}"/>
    <cellStyle name="Neutral 3 20 9" xfId="34840" xr:uid="{00000000-0005-0000-0000-000006880000}"/>
    <cellStyle name="Neutral 3 21" xfId="34841" xr:uid="{00000000-0005-0000-0000-000007880000}"/>
    <cellStyle name="Neutral 3 21 10" xfId="34842" xr:uid="{00000000-0005-0000-0000-000008880000}"/>
    <cellStyle name="Neutral 3 21 11" xfId="34843" xr:uid="{00000000-0005-0000-0000-000009880000}"/>
    <cellStyle name="Neutral 3 21 12" xfId="34844" xr:uid="{00000000-0005-0000-0000-00000A880000}"/>
    <cellStyle name="Neutral 3 21 13" xfId="34845" xr:uid="{00000000-0005-0000-0000-00000B880000}"/>
    <cellStyle name="Neutral 3 21 14" xfId="34846" xr:uid="{00000000-0005-0000-0000-00000C880000}"/>
    <cellStyle name="Neutral 3 21 15" xfId="34847" xr:uid="{00000000-0005-0000-0000-00000D880000}"/>
    <cellStyle name="Neutral 3 21 2" xfId="34848" xr:uid="{00000000-0005-0000-0000-00000E880000}"/>
    <cellStyle name="Neutral 3 21 3" xfId="34849" xr:uid="{00000000-0005-0000-0000-00000F880000}"/>
    <cellStyle name="Neutral 3 21 4" xfId="34850" xr:uid="{00000000-0005-0000-0000-000010880000}"/>
    <cellStyle name="Neutral 3 21 5" xfId="34851" xr:uid="{00000000-0005-0000-0000-000011880000}"/>
    <cellStyle name="Neutral 3 21 6" xfId="34852" xr:uid="{00000000-0005-0000-0000-000012880000}"/>
    <cellStyle name="Neutral 3 21 7" xfId="34853" xr:uid="{00000000-0005-0000-0000-000013880000}"/>
    <cellStyle name="Neutral 3 21 8" xfId="34854" xr:uid="{00000000-0005-0000-0000-000014880000}"/>
    <cellStyle name="Neutral 3 21 9" xfId="34855" xr:uid="{00000000-0005-0000-0000-000015880000}"/>
    <cellStyle name="Neutral 3 22" xfId="34856" xr:uid="{00000000-0005-0000-0000-000016880000}"/>
    <cellStyle name="Neutral 3 22 10" xfId="34857" xr:uid="{00000000-0005-0000-0000-000017880000}"/>
    <cellStyle name="Neutral 3 22 11" xfId="34858" xr:uid="{00000000-0005-0000-0000-000018880000}"/>
    <cellStyle name="Neutral 3 22 12" xfId="34859" xr:uid="{00000000-0005-0000-0000-000019880000}"/>
    <cellStyle name="Neutral 3 22 13" xfId="34860" xr:uid="{00000000-0005-0000-0000-00001A880000}"/>
    <cellStyle name="Neutral 3 22 14" xfId="34861" xr:uid="{00000000-0005-0000-0000-00001B880000}"/>
    <cellStyle name="Neutral 3 22 15" xfId="34862" xr:uid="{00000000-0005-0000-0000-00001C880000}"/>
    <cellStyle name="Neutral 3 22 2" xfId="34863" xr:uid="{00000000-0005-0000-0000-00001D880000}"/>
    <cellStyle name="Neutral 3 22 3" xfId="34864" xr:uid="{00000000-0005-0000-0000-00001E880000}"/>
    <cellStyle name="Neutral 3 22 4" xfId="34865" xr:uid="{00000000-0005-0000-0000-00001F880000}"/>
    <cellStyle name="Neutral 3 22 5" xfId="34866" xr:uid="{00000000-0005-0000-0000-000020880000}"/>
    <cellStyle name="Neutral 3 22 6" xfId="34867" xr:uid="{00000000-0005-0000-0000-000021880000}"/>
    <cellStyle name="Neutral 3 22 7" xfId="34868" xr:uid="{00000000-0005-0000-0000-000022880000}"/>
    <cellStyle name="Neutral 3 22 8" xfId="34869" xr:uid="{00000000-0005-0000-0000-000023880000}"/>
    <cellStyle name="Neutral 3 22 9" xfId="34870" xr:uid="{00000000-0005-0000-0000-000024880000}"/>
    <cellStyle name="Neutral 3 23" xfId="34871" xr:uid="{00000000-0005-0000-0000-000025880000}"/>
    <cellStyle name="Neutral 3 23 10" xfId="34872" xr:uid="{00000000-0005-0000-0000-000026880000}"/>
    <cellStyle name="Neutral 3 23 11" xfId="34873" xr:uid="{00000000-0005-0000-0000-000027880000}"/>
    <cellStyle name="Neutral 3 23 12" xfId="34874" xr:uid="{00000000-0005-0000-0000-000028880000}"/>
    <cellStyle name="Neutral 3 23 13" xfId="34875" xr:uid="{00000000-0005-0000-0000-000029880000}"/>
    <cellStyle name="Neutral 3 23 14" xfId="34876" xr:uid="{00000000-0005-0000-0000-00002A880000}"/>
    <cellStyle name="Neutral 3 23 15" xfId="34877" xr:uid="{00000000-0005-0000-0000-00002B880000}"/>
    <cellStyle name="Neutral 3 23 2" xfId="34878" xr:uid="{00000000-0005-0000-0000-00002C880000}"/>
    <cellStyle name="Neutral 3 23 3" xfId="34879" xr:uid="{00000000-0005-0000-0000-00002D880000}"/>
    <cellStyle name="Neutral 3 23 4" xfId="34880" xr:uid="{00000000-0005-0000-0000-00002E880000}"/>
    <cellStyle name="Neutral 3 23 5" xfId="34881" xr:uid="{00000000-0005-0000-0000-00002F880000}"/>
    <cellStyle name="Neutral 3 23 6" xfId="34882" xr:uid="{00000000-0005-0000-0000-000030880000}"/>
    <cellStyle name="Neutral 3 23 7" xfId="34883" xr:uid="{00000000-0005-0000-0000-000031880000}"/>
    <cellStyle name="Neutral 3 23 8" xfId="34884" xr:uid="{00000000-0005-0000-0000-000032880000}"/>
    <cellStyle name="Neutral 3 23 9" xfId="34885" xr:uid="{00000000-0005-0000-0000-000033880000}"/>
    <cellStyle name="Neutral 3 24" xfId="34886" xr:uid="{00000000-0005-0000-0000-000034880000}"/>
    <cellStyle name="Neutral 3 24 10" xfId="34887" xr:uid="{00000000-0005-0000-0000-000035880000}"/>
    <cellStyle name="Neutral 3 24 11" xfId="34888" xr:uid="{00000000-0005-0000-0000-000036880000}"/>
    <cellStyle name="Neutral 3 24 12" xfId="34889" xr:uid="{00000000-0005-0000-0000-000037880000}"/>
    <cellStyle name="Neutral 3 24 13" xfId="34890" xr:uid="{00000000-0005-0000-0000-000038880000}"/>
    <cellStyle name="Neutral 3 24 14" xfId="34891" xr:uid="{00000000-0005-0000-0000-000039880000}"/>
    <cellStyle name="Neutral 3 24 15" xfId="34892" xr:uid="{00000000-0005-0000-0000-00003A880000}"/>
    <cellStyle name="Neutral 3 24 2" xfId="34893" xr:uid="{00000000-0005-0000-0000-00003B880000}"/>
    <cellStyle name="Neutral 3 24 3" xfId="34894" xr:uid="{00000000-0005-0000-0000-00003C880000}"/>
    <cellStyle name="Neutral 3 24 4" xfId="34895" xr:uid="{00000000-0005-0000-0000-00003D880000}"/>
    <cellStyle name="Neutral 3 24 5" xfId="34896" xr:uid="{00000000-0005-0000-0000-00003E880000}"/>
    <cellStyle name="Neutral 3 24 6" xfId="34897" xr:uid="{00000000-0005-0000-0000-00003F880000}"/>
    <cellStyle name="Neutral 3 24 7" xfId="34898" xr:uid="{00000000-0005-0000-0000-000040880000}"/>
    <cellStyle name="Neutral 3 24 8" xfId="34899" xr:uid="{00000000-0005-0000-0000-000041880000}"/>
    <cellStyle name="Neutral 3 24 9" xfId="34900" xr:uid="{00000000-0005-0000-0000-000042880000}"/>
    <cellStyle name="Neutral 3 25" xfId="34901" xr:uid="{00000000-0005-0000-0000-000043880000}"/>
    <cellStyle name="Neutral 3 25 10" xfId="34902" xr:uid="{00000000-0005-0000-0000-000044880000}"/>
    <cellStyle name="Neutral 3 25 11" xfId="34903" xr:uid="{00000000-0005-0000-0000-000045880000}"/>
    <cellStyle name="Neutral 3 25 12" xfId="34904" xr:uid="{00000000-0005-0000-0000-000046880000}"/>
    <cellStyle name="Neutral 3 25 13" xfId="34905" xr:uid="{00000000-0005-0000-0000-000047880000}"/>
    <cellStyle name="Neutral 3 25 14" xfId="34906" xr:uid="{00000000-0005-0000-0000-000048880000}"/>
    <cellStyle name="Neutral 3 25 15" xfId="34907" xr:uid="{00000000-0005-0000-0000-000049880000}"/>
    <cellStyle name="Neutral 3 25 2" xfId="34908" xr:uid="{00000000-0005-0000-0000-00004A880000}"/>
    <cellStyle name="Neutral 3 25 3" xfId="34909" xr:uid="{00000000-0005-0000-0000-00004B880000}"/>
    <cellStyle name="Neutral 3 25 4" xfId="34910" xr:uid="{00000000-0005-0000-0000-00004C880000}"/>
    <cellStyle name="Neutral 3 25 5" xfId="34911" xr:uid="{00000000-0005-0000-0000-00004D880000}"/>
    <cellStyle name="Neutral 3 25 6" xfId="34912" xr:uid="{00000000-0005-0000-0000-00004E880000}"/>
    <cellStyle name="Neutral 3 25 7" xfId="34913" xr:uid="{00000000-0005-0000-0000-00004F880000}"/>
    <cellStyle name="Neutral 3 25 8" xfId="34914" xr:uid="{00000000-0005-0000-0000-000050880000}"/>
    <cellStyle name="Neutral 3 25 9" xfId="34915" xr:uid="{00000000-0005-0000-0000-000051880000}"/>
    <cellStyle name="Neutral 3 26" xfId="34916" xr:uid="{00000000-0005-0000-0000-000052880000}"/>
    <cellStyle name="Neutral 3 26 10" xfId="34917" xr:uid="{00000000-0005-0000-0000-000053880000}"/>
    <cellStyle name="Neutral 3 26 11" xfId="34918" xr:uid="{00000000-0005-0000-0000-000054880000}"/>
    <cellStyle name="Neutral 3 26 12" xfId="34919" xr:uid="{00000000-0005-0000-0000-000055880000}"/>
    <cellStyle name="Neutral 3 26 13" xfId="34920" xr:uid="{00000000-0005-0000-0000-000056880000}"/>
    <cellStyle name="Neutral 3 26 14" xfId="34921" xr:uid="{00000000-0005-0000-0000-000057880000}"/>
    <cellStyle name="Neutral 3 26 15" xfId="34922" xr:uid="{00000000-0005-0000-0000-000058880000}"/>
    <cellStyle name="Neutral 3 26 2" xfId="34923" xr:uid="{00000000-0005-0000-0000-000059880000}"/>
    <cellStyle name="Neutral 3 26 3" xfId="34924" xr:uid="{00000000-0005-0000-0000-00005A880000}"/>
    <cellStyle name="Neutral 3 26 4" xfId="34925" xr:uid="{00000000-0005-0000-0000-00005B880000}"/>
    <cellStyle name="Neutral 3 26 5" xfId="34926" xr:uid="{00000000-0005-0000-0000-00005C880000}"/>
    <cellStyle name="Neutral 3 26 6" xfId="34927" xr:uid="{00000000-0005-0000-0000-00005D880000}"/>
    <cellStyle name="Neutral 3 26 7" xfId="34928" xr:uid="{00000000-0005-0000-0000-00005E880000}"/>
    <cellStyle name="Neutral 3 26 8" xfId="34929" xr:uid="{00000000-0005-0000-0000-00005F880000}"/>
    <cellStyle name="Neutral 3 26 9" xfId="34930" xr:uid="{00000000-0005-0000-0000-000060880000}"/>
    <cellStyle name="Neutral 3 27" xfId="34931" xr:uid="{00000000-0005-0000-0000-000061880000}"/>
    <cellStyle name="Neutral 3 27 10" xfId="34932" xr:uid="{00000000-0005-0000-0000-000062880000}"/>
    <cellStyle name="Neutral 3 27 11" xfId="34933" xr:uid="{00000000-0005-0000-0000-000063880000}"/>
    <cellStyle name="Neutral 3 27 12" xfId="34934" xr:uid="{00000000-0005-0000-0000-000064880000}"/>
    <cellStyle name="Neutral 3 27 13" xfId="34935" xr:uid="{00000000-0005-0000-0000-000065880000}"/>
    <cellStyle name="Neutral 3 27 14" xfId="34936" xr:uid="{00000000-0005-0000-0000-000066880000}"/>
    <cellStyle name="Neutral 3 27 15" xfId="34937" xr:uid="{00000000-0005-0000-0000-000067880000}"/>
    <cellStyle name="Neutral 3 27 2" xfId="34938" xr:uid="{00000000-0005-0000-0000-000068880000}"/>
    <cellStyle name="Neutral 3 27 3" xfId="34939" xr:uid="{00000000-0005-0000-0000-000069880000}"/>
    <cellStyle name="Neutral 3 27 4" xfId="34940" xr:uid="{00000000-0005-0000-0000-00006A880000}"/>
    <cellStyle name="Neutral 3 27 5" xfId="34941" xr:uid="{00000000-0005-0000-0000-00006B880000}"/>
    <cellStyle name="Neutral 3 27 6" xfId="34942" xr:uid="{00000000-0005-0000-0000-00006C880000}"/>
    <cellStyle name="Neutral 3 27 7" xfId="34943" xr:uid="{00000000-0005-0000-0000-00006D880000}"/>
    <cellStyle name="Neutral 3 27 8" xfId="34944" xr:uid="{00000000-0005-0000-0000-00006E880000}"/>
    <cellStyle name="Neutral 3 27 9" xfId="34945" xr:uid="{00000000-0005-0000-0000-00006F880000}"/>
    <cellStyle name="Neutral 3 28" xfId="34946" xr:uid="{00000000-0005-0000-0000-000070880000}"/>
    <cellStyle name="Neutral 3 28 10" xfId="34947" xr:uid="{00000000-0005-0000-0000-000071880000}"/>
    <cellStyle name="Neutral 3 28 11" xfId="34948" xr:uid="{00000000-0005-0000-0000-000072880000}"/>
    <cellStyle name="Neutral 3 28 12" xfId="34949" xr:uid="{00000000-0005-0000-0000-000073880000}"/>
    <cellStyle name="Neutral 3 28 13" xfId="34950" xr:uid="{00000000-0005-0000-0000-000074880000}"/>
    <cellStyle name="Neutral 3 28 14" xfId="34951" xr:uid="{00000000-0005-0000-0000-000075880000}"/>
    <cellStyle name="Neutral 3 28 15" xfId="34952" xr:uid="{00000000-0005-0000-0000-000076880000}"/>
    <cellStyle name="Neutral 3 28 2" xfId="34953" xr:uid="{00000000-0005-0000-0000-000077880000}"/>
    <cellStyle name="Neutral 3 28 3" xfId="34954" xr:uid="{00000000-0005-0000-0000-000078880000}"/>
    <cellStyle name="Neutral 3 28 4" xfId="34955" xr:uid="{00000000-0005-0000-0000-000079880000}"/>
    <cellStyle name="Neutral 3 28 5" xfId="34956" xr:uid="{00000000-0005-0000-0000-00007A880000}"/>
    <cellStyle name="Neutral 3 28 6" xfId="34957" xr:uid="{00000000-0005-0000-0000-00007B880000}"/>
    <cellStyle name="Neutral 3 28 7" xfId="34958" xr:uid="{00000000-0005-0000-0000-00007C880000}"/>
    <cellStyle name="Neutral 3 28 8" xfId="34959" xr:uid="{00000000-0005-0000-0000-00007D880000}"/>
    <cellStyle name="Neutral 3 28 9" xfId="34960" xr:uid="{00000000-0005-0000-0000-00007E880000}"/>
    <cellStyle name="Neutral 3 29" xfId="34961" xr:uid="{00000000-0005-0000-0000-00007F880000}"/>
    <cellStyle name="Neutral 3 29 10" xfId="34962" xr:uid="{00000000-0005-0000-0000-000080880000}"/>
    <cellStyle name="Neutral 3 29 11" xfId="34963" xr:uid="{00000000-0005-0000-0000-000081880000}"/>
    <cellStyle name="Neutral 3 29 12" xfId="34964" xr:uid="{00000000-0005-0000-0000-000082880000}"/>
    <cellStyle name="Neutral 3 29 13" xfId="34965" xr:uid="{00000000-0005-0000-0000-000083880000}"/>
    <cellStyle name="Neutral 3 29 14" xfId="34966" xr:uid="{00000000-0005-0000-0000-000084880000}"/>
    <cellStyle name="Neutral 3 29 15" xfId="34967" xr:uid="{00000000-0005-0000-0000-000085880000}"/>
    <cellStyle name="Neutral 3 29 2" xfId="34968" xr:uid="{00000000-0005-0000-0000-000086880000}"/>
    <cellStyle name="Neutral 3 29 3" xfId="34969" xr:uid="{00000000-0005-0000-0000-000087880000}"/>
    <cellStyle name="Neutral 3 29 4" xfId="34970" xr:uid="{00000000-0005-0000-0000-000088880000}"/>
    <cellStyle name="Neutral 3 29 5" xfId="34971" xr:uid="{00000000-0005-0000-0000-000089880000}"/>
    <cellStyle name="Neutral 3 29 6" xfId="34972" xr:uid="{00000000-0005-0000-0000-00008A880000}"/>
    <cellStyle name="Neutral 3 29 7" xfId="34973" xr:uid="{00000000-0005-0000-0000-00008B880000}"/>
    <cellStyle name="Neutral 3 29 8" xfId="34974" xr:uid="{00000000-0005-0000-0000-00008C880000}"/>
    <cellStyle name="Neutral 3 29 9" xfId="34975" xr:uid="{00000000-0005-0000-0000-00008D880000}"/>
    <cellStyle name="Neutral 3 3" xfId="34976" xr:uid="{00000000-0005-0000-0000-00008E880000}"/>
    <cellStyle name="Neutral 3 3 10" xfId="34977" xr:uid="{00000000-0005-0000-0000-00008F880000}"/>
    <cellStyle name="Neutral 3 3 11" xfId="34978" xr:uid="{00000000-0005-0000-0000-000090880000}"/>
    <cellStyle name="Neutral 3 3 12" xfId="34979" xr:uid="{00000000-0005-0000-0000-000091880000}"/>
    <cellStyle name="Neutral 3 3 13" xfId="34980" xr:uid="{00000000-0005-0000-0000-000092880000}"/>
    <cellStyle name="Neutral 3 3 14" xfId="34981" xr:uid="{00000000-0005-0000-0000-000093880000}"/>
    <cellStyle name="Neutral 3 3 15" xfId="34982" xr:uid="{00000000-0005-0000-0000-000094880000}"/>
    <cellStyle name="Neutral 3 3 16" xfId="34983" xr:uid="{00000000-0005-0000-0000-000095880000}"/>
    <cellStyle name="Neutral 3 3 2" xfId="34984" xr:uid="{00000000-0005-0000-0000-000096880000}"/>
    <cellStyle name="Neutral 3 3 3" xfId="34985" xr:uid="{00000000-0005-0000-0000-000097880000}"/>
    <cellStyle name="Neutral 3 3 4" xfId="34986" xr:uid="{00000000-0005-0000-0000-000098880000}"/>
    <cellStyle name="Neutral 3 3 5" xfId="34987" xr:uid="{00000000-0005-0000-0000-000099880000}"/>
    <cellStyle name="Neutral 3 3 6" xfId="34988" xr:uid="{00000000-0005-0000-0000-00009A880000}"/>
    <cellStyle name="Neutral 3 3 7" xfId="34989" xr:uid="{00000000-0005-0000-0000-00009B880000}"/>
    <cellStyle name="Neutral 3 3 8" xfId="34990" xr:uid="{00000000-0005-0000-0000-00009C880000}"/>
    <cellStyle name="Neutral 3 3 9" xfId="34991" xr:uid="{00000000-0005-0000-0000-00009D880000}"/>
    <cellStyle name="Neutral 3 30" xfId="34992" xr:uid="{00000000-0005-0000-0000-00009E880000}"/>
    <cellStyle name="Neutral 3 30 10" xfId="34993" xr:uid="{00000000-0005-0000-0000-00009F880000}"/>
    <cellStyle name="Neutral 3 30 11" xfId="34994" xr:uid="{00000000-0005-0000-0000-0000A0880000}"/>
    <cellStyle name="Neutral 3 30 12" xfId="34995" xr:uid="{00000000-0005-0000-0000-0000A1880000}"/>
    <cellStyle name="Neutral 3 30 13" xfId="34996" xr:uid="{00000000-0005-0000-0000-0000A2880000}"/>
    <cellStyle name="Neutral 3 30 14" xfId="34997" xr:uid="{00000000-0005-0000-0000-0000A3880000}"/>
    <cellStyle name="Neutral 3 30 15" xfId="34998" xr:uid="{00000000-0005-0000-0000-0000A4880000}"/>
    <cellStyle name="Neutral 3 30 2" xfId="34999" xr:uid="{00000000-0005-0000-0000-0000A5880000}"/>
    <cellStyle name="Neutral 3 30 3" xfId="35000" xr:uid="{00000000-0005-0000-0000-0000A6880000}"/>
    <cellStyle name="Neutral 3 30 4" xfId="35001" xr:uid="{00000000-0005-0000-0000-0000A7880000}"/>
    <cellStyle name="Neutral 3 30 5" xfId="35002" xr:uid="{00000000-0005-0000-0000-0000A8880000}"/>
    <cellStyle name="Neutral 3 30 6" xfId="35003" xr:uid="{00000000-0005-0000-0000-0000A9880000}"/>
    <cellStyle name="Neutral 3 30 7" xfId="35004" xr:uid="{00000000-0005-0000-0000-0000AA880000}"/>
    <cellStyle name="Neutral 3 30 8" xfId="35005" xr:uid="{00000000-0005-0000-0000-0000AB880000}"/>
    <cellStyle name="Neutral 3 30 9" xfId="35006" xr:uid="{00000000-0005-0000-0000-0000AC880000}"/>
    <cellStyle name="Neutral 3 31" xfId="35007" xr:uid="{00000000-0005-0000-0000-0000AD880000}"/>
    <cellStyle name="Neutral 3 31 10" xfId="35008" xr:uid="{00000000-0005-0000-0000-0000AE880000}"/>
    <cellStyle name="Neutral 3 31 11" xfId="35009" xr:uid="{00000000-0005-0000-0000-0000AF880000}"/>
    <cellStyle name="Neutral 3 31 12" xfId="35010" xr:uid="{00000000-0005-0000-0000-0000B0880000}"/>
    <cellStyle name="Neutral 3 31 13" xfId="35011" xr:uid="{00000000-0005-0000-0000-0000B1880000}"/>
    <cellStyle name="Neutral 3 31 14" xfId="35012" xr:uid="{00000000-0005-0000-0000-0000B2880000}"/>
    <cellStyle name="Neutral 3 31 15" xfId="35013" xr:uid="{00000000-0005-0000-0000-0000B3880000}"/>
    <cellStyle name="Neutral 3 31 2" xfId="35014" xr:uid="{00000000-0005-0000-0000-0000B4880000}"/>
    <cellStyle name="Neutral 3 31 3" xfId="35015" xr:uid="{00000000-0005-0000-0000-0000B5880000}"/>
    <cellStyle name="Neutral 3 31 4" xfId="35016" xr:uid="{00000000-0005-0000-0000-0000B6880000}"/>
    <cellStyle name="Neutral 3 31 5" xfId="35017" xr:uid="{00000000-0005-0000-0000-0000B7880000}"/>
    <cellStyle name="Neutral 3 31 6" xfId="35018" xr:uid="{00000000-0005-0000-0000-0000B8880000}"/>
    <cellStyle name="Neutral 3 31 7" xfId="35019" xr:uid="{00000000-0005-0000-0000-0000B9880000}"/>
    <cellStyle name="Neutral 3 31 8" xfId="35020" xr:uid="{00000000-0005-0000-0000-0000BA880000}"/>
    <cellStyle name="Neutral 3 31 9" xfId="35021" xr:uid="{00000000-0005-0000-0000-0000BB880000}"/>
    <cellStyle name="Neutral 3 32" xfId="35022" xr:uid="{00000000-0005-0000-0000-0000BC880000}"/>
    <cellStyle name="Neutral 3 32 10" xfId="35023" xr:uid="{00000000-0005-0000-0000-0000BD880000}"/>
    <cellStyle name="Neutral 3 32 11" xfId="35024" xr:uid="{00000000-0005-0000-0000-0000BE880000}"/>
    <cellStyle name="Neutral 3 32 12" xfId="35025" xr:uid="{00000000-0005-0000-0000-0000BF880000}"/>
    <cellStyle name="Neutral 3 32 13" xfId="35026" xr:uid="{00000000-0005-0000-0000-0000C0880000}"/>
    <cellStyle name="Neutral 3 32 14" xfId="35027" xr:uid="{00000000-0005-0000-0000-0000C1880000}"/>
    <cellStyle name="Neutral 3 32 15" xfId="35028" xr:uid="{00000000-0005-0000-0000-0000C2880000}"/>
    <cellStyle name="Neutral 3 32 2" xfId="35029" xr:uid="{00000000-0005-0000-0000-0000C3880000}"/>
    <cellStyle name="Neutral 3 32 3" xfId="35030" xr:uid="{00000000-0005-0000-0000-0000C4880000}"/>
    <cellStyle name="Neutral 3 32 4" xfId="35031" xr:uid="{00000000-0005-0000-0000-0000C5880000}"/>
    <cellStyle name="Neutral 3 32 5" xfId="35032" xr:uid="{00000000-0005-0000-0000-0000C6880000}"/>
    <cellStyle name="Neutral 3 32 6" xfId="35033" xr:uid="{00000000-0005-0000-0000-0000C7880000}"/>
    <cellStyle name="Neutral 3 32 7" xfId="35034" xr:uid="{00000000-0005-0000-0000-0000C8880000}"/>
    <cellStyle name="Neutral 3 32 8" xfId="35035" xr:uid="{00000000-0005-0000-0000-0000C9880000}"/>
    <cellStyle name="Neutral 3 32 9" xfId="35036" xr:uid="{00000000-0005-0000-0000-0000CA880000}"/>
    <cellStyle name="Neutral 3 33" xfId="35037" xr:uid="{00000000-0005-0000-0000-0000CB880000}"/>
    <cellStyle name="Neutral 3 34" xfId="35038" xr:uid="{00000000-0005-0000-0000-0000CC880000}"/>
    <cellStyle name="Neutral 3 35" xfId="35039" xr:uid="{00000000-0005-0000-0000-0000CD880000}"/>
    <cellStyle name="Neutral 3 36" xfId="35040" xr:uid="{00000000-0005-0000-0000-0000CE880000}"/>
    <cellStyle name="Neutral 3 37" xfId="35041" xr:uid="{00000000-0005-0000-0000-0000CF880000}"/>
    <cellStyle name="Neutral 3 38" xfId="35042" xr:uid="{00000000-0005-0000-0000-0000D0880000}"/>
    <cellStyle name="Neutral 3 39" xfId="35043" xr:uid="{00000000-0005-0000-0000-0000D1880000}"/>
    <cellStyle name="Neutral 3 4" xfId="35044" xr:uid="{00000000-0005-0000-0000-0000D2880000}"/>
    <cellStyle name="Neutral 3 4 10" xfId="35045" xr:uid="{00000000-0005-0000-0000-0000D3880000}"/>
    <cellStyle name="Neutral 3 4 11" xfId="35046" xr:uid="{00000000-0005-0000-0000-0000D4880000}"/>
    <cellStyle name="Neutral 3 4 12" xfId="35047" xr:uid="{00000000-0005-0000-0000-0000D5880000}"/>
    <cellStyle name="Neutral 3 4 13" xfId="35048" xr:uid="{00000000-0005-0000-0000-0000D6880000}"/>
    <cellStyle name="Neutral 3 4 14" xfId="35049" xr:uid="{00000000-0005-0000-0000-0000D7880000}"/>
    <cellStyle name="Neutral 3 4 15" xfId="35050" xr:uid="{00000000-0005-0000-0000-0000D8880000}"/>
    <cellStyle name="Neutral 3 4 2" xfId="35051" xr:uid="{00000000-0005-0000-0000-0000D9880000}"/>
    <cellStyle name="Neutral 3 4 3" xfId="35052" xr:uid="{00000000-0005-0000-0000-0000DA880000}"/>
    <cellStyle name="Neutral 3 4 4" xfId="35053" xr:uid="{00000000-0005-0000-0000-0000DB880000}"/>
    <cellStyle name="Neutral 3 4 5" xfId="35054" xr:uid="{00000000-0005-0000-0000-0000DC880000}"/>
    <cellStyle name="Neutral 3 4 6" xfId="35055" xr:uid="{00000000-0005-0000-0000-0000DD880000}"/>
    <cellStyle name="Neutral 3 4 7" xfId="35056" xr:uid="{00000000-0005-0000-0000-0000DE880000}"/>
    <cellStyle name="Neutral 3 4 8" xfId="35057" xr:uid="{00000000-0005-0000-0000-0000DF880000}"/>
    <cellStyle name="Neutral 3 4 9" xfId="35058" xr:uid="{00000000-0005-0000-0000-0000E0880000}"/>
    <cellStyle name="Neutral 3 40" xfId="35059" xr:uid="{00000000-0005-0000-0000-0000E1880000}"/>
    <cellStyle name="Neutral 3 41" xfId="35060" xr:uid="{00000000-0005-0000-0000-0000E2880000}"/>
    <cellStyle name="Neutral 3 42" xfId="35061" xr:uid="{00000000-0005-0000-0000-0000E3880000}"/>
    <cellStyle name="Neutral 3 43" xfId="35062" xr:uid="{00000000-0005-0000-0000-0000E4880000}"/>
    <cellStyle name="Neutral 3 44" xfId="35063" xr:uid="{00000000-0005-0000-0000-0000E5880000}"/>
    <cellStyle name="Neutral 3 45" xfId="35064" xr:uid="{00000000-0005-0000-0000-0000E6880000}"/>
    <cellStyle name="Neutral 3 46" xfId="35065" xr:uid="{00000000-0005-0000-0000-0000E7880000}"/>
    <cellStyle name="Neutral 3 47" xfId="35066" xr:uid="{00000000-0005-0000-0000-0000E8880000}"/>
    <cellStyle name="Neutral 3 48" xfId="35067" xr:uid="{00000000-0005-0000-0000-0000E9880000}"/>
    <cellStyle name="Neutral 3 49" xfId="35068" xr:uid="{00000000-0005-0000-0000-0000EA880000}"/>
    <cellStyle name="Neutral 3 5" xfId="35069" xr:uid="{00000000-0005-0000-0000-0000EB880000}"/>
    <cellStyle name="Neutral 3 5 10" xfId="35070" xr:uid="{00000000-0005-0000-0000-0000EC880000}"/>
    <cellStyle name="Neutral 3 5 11" xfId="35071" xr:uid="{00000000-0005-0000-0000-0000ED880000}"/>
    <cellStyle name="Neutral 3 5 12" xfId="35072" xr:uid="{00000000-0005-0000-0000-0000EE880000}"/>
    <cellStyle name="Neutral 3 5 13" xfId="35073" xr:uid="{00000000-0005-0000-0000-0000EF880000}"/>
    <cellStyle name="Neutral 3 5 14" xfId="35074" xr:uid="{00000000-0005-0000-0000-0000F0880000}"/>
    <cellStyle name="Neutral 3 5 15" xfId="35075" xr:uid="{00000000-0005-0000-0000-0000F1880000}"/>
    <cellStyle name="Neutral 3 5 2" xfId="35076" xr:uid="{00000000-0005-0000-0000-0000F2880000}"/>
    <cellStyle name="Neutral 3 5 3" xfId="35077" xr:uid="{00000000-0005-0000-0000-0000F3880000}"/>
    <cellStyle name="Neutral 3 5 4" xfId="35078" xr:uid="{00000000-0005-0000-0000-0000F4880000}"/>
    <cellStyle name="Neutral 3 5 5" xfId="35079" xr:uid="{00000000-0005-0000-0000-0000F5880000}"/>
    <cellStyle name="Neutral 3 5 6" xfId="35080" xr:uid="{00000000-0005-0000-0000-0000F6880000}"/>
    <cellStyle name="Neutral 3 5 7" xfId="35081" xr:uid="{00000000-0005-0000-0000-0000F7880000}"/>
    <cellStyle name="Neutral 3 5 8" xfId="35082" xr:uid="{00000000-0005-0000-0000-0000F8880000}"/>
    <cellStyle name="Neutral 3 5 9" xfId="35083" xr:uid="{00000000-0005-0000-0000-0000F9880000}"/>
    <cellStyle name="Neutral 3 50" xfId="35084" xr:uid="{00000000-0005-0000-0000-0000FA880000}"/>
    <cellStyle name="Neutral 3 51" xfId="35085" xr:uid="{00000000-0005-0000-0000-0000FB880000}"/>
    <cellStyle name="Neutral 3 52" xfId="35086" xr:uid="{00000000-0005-0000-0000-0000FC880000}"/>
    <cellStyle name="Neutral 3 53" xfId="35087" xr:uid="{00000000-0005-0000-0000-0000FD880000}"/>
    <cellStyle name="Neutral 3 6" xfId="35088" xr:uid="{00000000-0005-0000-0000-0000FE880000}"/>
    <cellStyle name="Neutral 3 6 10" xfId="35089" xr:uid="{00000000-0005-0000-0000-0000FF880000}"/>
    <cellStyle name="Neutral 3 6 11" xfId="35090" xr:uid="{00000000-0005-0000-0000-000000890000}"/>
    <cellStyle name="Neutral 3 6 12" xfId="35091" xr:uid="{00000000-0005-0000-0000-000001890000}"/>
    <cellStyle name="Neutral 3 6 13" xfId="35092" xr:uid="{00000000-0005-0000-0000-000002890000}"/>
    <cellStyle name="Neutral 3 6 14" xfId="35093" xr:uid="{00000000-0005-0000-0000-000003890000}"/>
    <cellStyle name="Neutral 3 6 15" xfId="35094" xr:uid="{00000000-0005-0000-0000-000004890000}"/>
    <cellStyle name="Neutral 3 6 2" xfId="35095" xr:uid="{00000000-0005-0000-0000-000005890000}"/>
    <cellStyle name="Neutral 3 6 3" xfId="35096" xr:uid="{00000000-0005-0000-0000-000006890000}"/>
    <cellStyle name="Neutral 3 6 4" xfId="35097" xr:uid="{00000000-0005-0000-0000-000007890000}"/>
    <cellStyle name="Neutral 3 6 5" xfId="35098" xr:uid="{00000000-0005-0000-0000-000008890000}"/>
    <cellStyle name="Neutral 3 6 6" xfId="35099" xr:uid="{00000000-0005-0000-0000-000009890000}"/>
    <cellStyle name="Neutral 3 6 7" xfId="35100" xr:uid="{00000000-0005-0000-0000-00000A890000}"/>
    <cellStyle name="Neutral 3 6 8" xfId="35101" xr:uid="{00000000-0005-0000-0000-00000B890000}"/>
    <cellStyle name="Neutral 3 6 9" xfId="35102" xr:uid="{00000000-0005-0000-0000-00000C890000}"/>
    <cellStyle name="Neutral 3 7" xfId="35103" xr:uid="{00000000-0005-0000-0000-00000D890000}"/>
    <cellStyle name="Neutral 3 7 10" xfId="35104" xr:uid="{00000000-0005-0000-0000-00000E890000}"/>
    <cellStyle name="Neutral 3 7 11" xfId="35105" xr:uid="{00000000-0005-0000-0000-00000F890000}"/>
    <cellStyle name="Neutral 3 7 12" xfId="35106" xr:uid="{00000000-0005-0000-0000-000010890000}"/>
    <cellStyle name="Neutral 3 7 13" xfId="35107" xr:uid="{00000000-0005-0000-0000-000011890000}"/>
    <cellStyle name="Neutral 3 7 14" xfId="35108" xr:uid="{00000000-0005-0000-0000-000012890000}"/>
    <cellStyle name="Neutral 3 7 15" xfId="35109" xr:uid="{00000000-0005-0000-0000-000013890000}"/>
    <cellStyle name="Neutral 3 7 2" xfId="35110" xr:uid="{00000000-0005-0000-0000-000014890000}"/>
    <cellStyle name="Neutral 3 7 3" xfId="35111" xr:uid="{00000000-0005-0000-0000-000015890000}"/>
    <cellStyle name="Neutral 3 7 4" xfId="35112" xr:uid="{00000000-0005-0000-0000-000016890000}"/>
    <cellStyle name="Neutral 3 7 5" xfId="35113" xr:uid="{00000000-0005-0000-0000-000017890000}"/>
    <cellStyle name="Neutral 3 7 6" xfId="35114" xr:uid="{00000000-0005-0000-0000-000018890000}"/>
    <cellStyle name="Neutral 3 7 7" xfId="35115" xr:uid="{00000000-0005-0000-0000-000019890000}"/>
    <cellStyle name="Neutral 3 7 8" xfId="35116" xr:uid="{00000000-0005-0000-0000-00001A890000}"/>
    <cellStyle name="Neutral 3 7 9" xfId="35117" xr:uid="{00000000-0005-0000-0000-00001B890000}"/>
    <cellStyle name="Neutral 3 8" xfId="35118" xr:uid="{00000000-0005-0000-0000-00001C890000}"/>
    <cellStyle name="Neutral 3 8 10" xfId="35119" xr:uid="{00000000-0005-0000-0000-00001D890000}"/>
    <cellStyle name="Neutral 3 8 11" xfId="35120" xr:uid="{00000000-0005-0000-0000-00001E890000}"/>
    <cellStyle name="Neutral 3 8 12" xfId="35121" xr:uid="{00000000-0005-0000-0000-00001F890000}"/>
    <cellStyle name="Neutral 3 8 13" xfId="35122" xr:uid="{00000000-0005-0000-0000-000020890000}"/>
    <cellStyle name="Neutral 3 8 14" xfId="35123" xr:uid="{00000000-0005-0000-0000-000021890000}"/>
    <cellStyle name="Neutral 3 8 15" xfId="35124" xr:uid="{00000000-0005-0000-0000-000022890000}"/>
    <cellStyle name="Neutral 3 8 2" xfId="35125" xr:uid="{00000000-0005-0000-0000-000023890000}"/>
    <cellStyle name="Neutral 3 8 3" xfId="35126" xr:uid="{00000000-0005-0000-0000-000024890000}"/>
    <cellStyle name="Neutral 3 8 4" xfId="35127" xr:uid="{00000000-0005-0000-0000-000025890000}"/>
    <cellStyle name="Neutral 3 8 5" xfId="35128" xr:uid="{00000000-0005-0000-0000-000026890000}"/>
    <cellStyle name="Neutral 3 8 6" xfId="35129" xr:uid="{00000000-0005-0000-0000-000027890000}"/>
    <cellStyle name="Neutral 3 8 7" xfId="35130" xr:uid="{00000000-0005-0000-0000-000028890000}"/>
    <cellStyle name="Neutral 3 8 8" xfId="35131" xr:uid="{00000000-0005-0000-0000-000029890000}"/>
    <cellStyle name="Neutral 3 8 9" xfId="35132" xr:uid="{00000000-0005-0000-0000-00002A890000}"/>
    <cellStyle name="Neutral 3 9" xfId="35133" xr:uid="{00000000-0005-0000-0000-00002B890000}"/>
    <cellStyle name="Neutral 3 9 10" xfId="35134" xr:uid="{00000000-0005-0000-0000-00002C890000}"/>
    <cellStyle name="Neutral 3 9 11" xfId="35135" xr:uid="{00000000-0005-0000-0000-00002D890000}"/>
    <cellStyle name="Neutral 3 9 12" xfId="35136" xr:uid="{00000000-0005-0000-0000-00002E890000}"/>
    <cellStyle name="Neutral 3 9 13" xfId="35137" xr:uid="{00000000-0005-0000-0000-00002F890000}"/>
    <cellStyle name="Neutral 3 9 14" xfId="35138" xr:uid="{00000000-0005-0000-0000-000030890000}"/>
    <cellStyle name="Neutral 3 9 15" xfId="35139" xr:uid="{00000000-0005-0000-0000-000031890000}"/>
    <cellStyle name="Neutral 3 9 2" xfId="35140" xr:uid="{00000000-0005-0000-0000-000032890000}"/>
    <cellStyle name="Neutral 3 9 3" xfId="35141" xr:uid="{00000000-0005-0000-0000-000033890000}"/>
    <cellStyle name="Neutral 3 9 4" xfId="35142" xr:uid="{00000000-0005-0000-0000-000034890000}"/>
    <cellStyle name="Neutral 3 9 5" xfId="35143" xr:uid="{00000000-0005-0000-0000-000035890000}"/>
    <cellStyle name="Neutral 3 9 6" xfId="35144" xr:uid="{00000000-0005-0000-0000-000036890000}"/>
    <cellStyle name="Neutral 3 9 7" xfId="35145" xr:uid="{00000000-0005-0000-0000-000037890000}"/>
    <cellStyle name="Neutral 3 9 8" xfId="35146" xr:uid="{00000000-0005-0000-0000-000038890000}"/>
    <cellStyle name="Neutral 3 9 9" xfId="35147" xr:uid="{00000000-0005-0000-0000-000039890000}"/>
    <cellStyle name="Neutral 30" xfId="35148" xr:uid="{00000000-0005-0000-0000-00003A890000}"/>
    <cellStyle name="Neutral 30 10" xfId="35149" xr:uid="{00000000-0005-0000-0000-00003B890000}"/>
    <cellStyle name="Neutral 30 11" xfId="35150" xr:uid="{00000000-0005-0000-0000-00003C890000}"/>
    <cellStyle name="Neutral 30 12" xfId="35151" xr:uid="{00000000-0005-0000-0000-00003D890000}"/>
    <cellStyle name="Neutral 30 13" xfId="35152" xr:uid="{00000000-0005-0000-0000-00003E890000}"/>
    <cellStyle name="Neutral 30 14" xfId="35153" xr:uid="{00000000-0005-0000-0000-00003F890000}"/>
    <cellStyle name="Neutral 30 15" xfId="35154" xr:uid="{00000000-0005-0000-0000-000040890000}"/>
    <cellStyle name="Neutral 30 2" xfId="35155" xr:uid="{00000000-0005-0000-0000-000041890000}"/>
    <cellStyle name="Neutral 30 3" xfId="35156" xr:uid="{00000000-0005-0000-0000-000042890000}"/>
    <cellStyle name="Neutral 30 4" xfId="35157" xr:uid="{00000000-0005-0000-0000-000043890000}"/>
    <cellStyle name="Neutral 30 5" xfId="35158" xr:uid="{00000000-0005-0000-0000-000044890000}"/>
    <cellStyle name="Neutral 30 6" xfId="35159" xr:uid="{00000000-0005-0000-0000-000045890000}"/>
    <cellStyle name="Neutral 30 7" xfId="35160" xr:uid="{00000000-0005-0000-0000-000046890000}"/>
    <cellStyle name="Neutral 30 8" xfId="35161" xr:uid="{00000000-0005-0000-0000-000047890000}"/>
    <cellStyle name="Neutral 30 9" xfId="35162" xr:uid="{00000000-0005-0000-0000-000048890000}"/>
    <cellStyle name="Neutral 31" xfId="35163" xr:uid="{00000000-0005-0000-0000-000049890000}"/>
    <cellStyle name="Neutral 31 10" xfId="35164" xr:uid="{00000000-0005-0000-0000-00004A890000}"/>
    <cellStyle name="Neutral 31 11" xfId="35165" xr:uid="{00000000-0005-0000-0000-00004B890000}"/>
    <cellStyle name="Neutral 31 12" xfId="35166" xr:uid="{00000000-0005-0000-0000-00004C890000}"/>
    <cellStyle name="Neutral 31 13" xfId="35167" xr:uid="{00000000-0005-0000-0000-00004D890000}"/>
    <cellStyle name="Neutral 31 14" xfId="35168" xr:uid="{00000000-0005-0000-0000-00004E890000}"/>
    <cellStyle name="Neutral 31 15" xfId="35169" xr:uid="{00000000-0005-0000-0000-00004F890000}"/>
    <cellStyle name="Neutral 31 2" xfId="35170" xr:uid="{00000000-0005-0000-0000-000050890000}"/>
    <cellStyle name="Neutral 31 3" xfId="35171" xr:uid="{00000000-0005-0000-0000-000051890000}"/>
    <cellStyle name="Neutral 31 4" xfId="35172" xr:uid="{00000000-0005-0000-0000-000052890000}"/>
    <cellStyle name="Neutral 31 5" xfId="35173" xr:uid="{00000000-0005-0000-0000-000053890000}"/>
    <cellStyle name="Neutral 31 6" xfId="35174" xr:uid="{00000000-0005-0000-0000-000054890000}"/>
    <cellStyle name="Neutral 31 7" xfId="35175" xr:uid="{00000000-0005-0000-0000-000055890000}"/>
    <cellStyle name="Neutral 31 8" xfId="35176" xr:uid="{00000000-0005-0000-0000-000056890000}"/>
    <cellStyle name="Neutral 31 9" xfId="35177" xr:uid="{00000000-0005-0000-0000-000057890000}"/>
    <cellStyle name="Neutral 32" xfId="35178" xr:uid="{00000000-0005-0000-0000-000058890000}"/>
    <cellStyle name="Neutral 32 10" xfId="35179" xr:uid="{00000000-0005-0000-0000-000059890000}"/>
    <cellStyle name="Neutral 32 11" xfId="35180" xr:uid="{00000000-0005-0000-0000-00005A890000}"/>
    <cellStyle name="Neutral 32 12" xfId="35181" xr:uid="{00000000-0005-0000-0000-00005B890000}"/>
    <cellStyle name="Neutral 32 13" xfId="35182" xr:uid="{00000000-0005-0000-0000-00005C890000}"/>
    <cellStyle name="Neutral 32 14" xfId="35183" xr:uid="{00000000-0005-0000-0000-00005D890000}"/>
    <cellStyle name="Neutral 32 15" xfId="35184" xr:uid="{00000000-0005-0000-0000-00005E890000}"/>
    <cellStyle name="Neutral 32 2" xfId="35185" xr:uid="{00000000-0005-0000-0000-00005F890000}"/>
    <cellStyle name="Neutral 32 3" xfId="35186" xr:uid="{00000000-0005-0000-0000-000060890000}"/>
    <cellStyle name="Neutral 32 4" xfId="35187" xr:uid="{00000000-0005-0000-0000-000061890000}"/>
    <cellStyle name="Neutral 32 5" xfId="35188" xr:uid="{00000000-0005-0000-0000-000062890000}"/>
    <cellStyle name="Neutral 32 6" xfId="35189" xr:uid="{00000000-0005-0000-0000-000063890000}"/>
    <cellStyle name="Neutral 32 7" xfId="35190" xr:uid="{00000000-0005-0000-0000-000064890000}"/>
    <cellStyle name="Neutral 32 8" xfId="35191" xr:uid="{00000000-0005-0000-0000-000065890000}"/>
    <cellStyle name="Neutral 32 9" xfId="35192" xr:uid="{00000000-0005-0000-0000-000066890000}"/>
    <cellStyle name="Neutral 33" xfId="35193" xr:uid="{00000000-0005-0000-0000-000067890000}"/>
    <cellStyle name="Neutral 33 10" xfId="35194" xr:uid="{00000000-0005-0000-0000-000068890000}"/>
    <cellStyle name="Neutral 33 11" xfId="35195" xr:uid="{00000000-0005-0000-0000-000069890000}"/>
    <cellStyle name="Neutral 33 12" xfId="35196" xr:uid="{00000000-0005-0000-0000-00006A890000}"/>
    <cellStyle name="Neutral 33 13" xfId="35197" xr:uid="{00000000-0005-0000-0000-00006B890000}"/>
    <cellStyle name="Neutral 33 14" xfId="35198" xr:uid="{00000000-0005-0000-0000-00006C890000}"/>
    <cellStyle name="Neutral 33 15" xfId="35199" xr:uid="{00000000-0005-0000-0000-00006D890000}"/>
    <cellStyle name="Neutral 33 2" xfId="35200" xr:uid="{00000000-0005-0000-0000-00006E890000}"/>
    <cellStyle name="Neutral 33 3" xfId="35201" xr:uid="{00000000-0005-0000-0000-00006F890000}"/>
    <cellStyle name="Neutral 33 4" xfId="35202" xr:uid="{00000000-0005-0000-0000-000070890000}"/>
    <cellStyle name="Neutral 33 5" xfId="35203" xr:uid="{00000000-0005-0000-0000-000071890000}"/>
    <cellStyle name="Neutral 33 6" xfId="35204" xr:uid="{00000000-0005-0000-0000-000072890000}"/>
    <cellStyle name="Neutral 33 7" xfId="35205" xr:uid="{00000000-0005-0000-0000-000073890000}"/>
    <cellStyle name="Neutral 33 8" xfId="35206" xr:uid="{00000000-0005-0000-0000-000074890000}"/>
    <cellStyle name="Neutral 33 9" xfId="35207" xr:uid="{00000000-0005-0000-0000-000075890000}"/>
    <cellStyle name="Neutral 34" xfId="35208" xr:uid="{00000000-0005-0000-0000-000076890000}"/>
    <cellStyle name="Neutral 34 10" xfId="35209" xr:uid="{00000000-0005-0000-0000-000077890000}"/>
    <cellStyle name="Neutral 34 11" xfId="35210" xr:uid="{00000000-0005-0000-0000-000078890000}"/>
    <cellStyle name="Neutral 34 12" xfId="35211" xr:uid="{00000000-0005-0000-0000-000079890000}"/>
    <cellStyle name="Neutral 34 13" xfId="35212" xr:uid="{00000000-0005-0000-0000-00007A890000}"/>
    <cellStyle name="Neutral 34 14" xfId="35213" xr:uid="{00000000-0005-0000-0000-00007B890000}"/>
    <cellStyle name="Neutral 34 15" xfId="35214" xr:uid="{00000000-0005-0000-0000-00007C890000}"/>
    <cellStyle name="Neutral 34 2" xfId="35215" xr:uid="{00000000-0005-0000-0000-00007D890000}"/>
    <cellStyle name="Neutral 34 3" xfId="35216" xr:uid="{00000000-0005-0000-0000-00007E890000}"/>
    <cellStyle name="Neutral 34 4" xfId="35217" xr:uid="{00000000-0005-0000-0000-00007F890000}"/>
    <cellStyle name="Neutral 34 5" xfId="35218" xr:uid="{00000000-0005-0000-0000-000080890000}"/>
    <cellStyle name="Neutral 34 6" xfId="35219" xr:uid="{00000000-0005-0000-0000-000081890000}"/>
    <cellStyle name="Neutral 34 7" xfId="35220" xr:uid="{00000000-0005-0000-0000-000082890000}"/>
    <cellStyle name="Neutral 34 8" xfId="35221" xr:uid="{00000000-0005-0000-0000-000083890000}"/>
    <cellStyle name="Neutral 34 9" xfId="35222" xr:uid="{00000000-0005-0000-0000-000084890000}"/>
    <cellStyle name="Neutral 35" xfId="35223" xr:uid="{00000000-0005-0000-0000-000085890000}"/>
    <cellStyle name="Neutral 35 10" xfId="35224" xr:uid="{00000000-0005-0000-0000-000086890000}"/>
    <cellStyle name="Neutral 35 11" xfId="35225" xr:uid="{00000000-0005-0000-0000-000087890000}"/>
    <cellStyle name="Neutral 35 12" xfId="35226" xr:uid="{00000000-0005-0000-0000-000088890000}"/>
    <cellStyle name="Neutral 35 13" xfId="35227" xr:uid="{00000000-0005-0000-0000-000089890000}"/>
    <cellStyle name="Neutral 35 14" xfId="35228" xr:uid="{00000000-0005-0000-0000-00008A890000}"/>
    <cellStyle name="Neutral 35 15" xfId="35229" xr:uid="{00000000-0005-0000-0000-00008B890000}"/>
    <cellStyle name="Neutral 35 2" xfId="35230" xr:uid="{00000000-0005-0000-0000-00008C890000}"/>
    <cellStyle name="Neutral 35 3" xfId="35231" xr:uid="{00000000-0005-0000-0000-00008D890000}"/>
    <cellStyle name="Neutral 35 4" xfId="35232" xr:uid="{00000000-0005-0000-0000-00008E890000}"/>
    <cellStyle name="Neutral 35 5" xfId="35233" xr:uid="{00000000-0005-0000-0000-00008F890000}"/>
    <cellStyle name="Neutral 35 6" xfId="35234" xr:uid="{00000000-0005-0000-0000-000090890000}"/>
    <cellStyle name="Neutral 35 7" xfId="35235" xr:uid="{00000000-0005-0000-0000-000091890000}"/>
    <cellStyle name="Neutral 35 8" xfId="35236" xr:uid="{00000000-0005-0000-0000-000092890000}"/>
    <cellStyle name="Neutral 35 9" xfId="35237" xr:uid="{00000000-0005-0000-0000-000093890000}"/>
    <cellStyle name="Neutral 36" xfId="35238" xr:uid="{00000000-0005-0000-0000-000094890000}"/>
    <cellStyle name="Neutral 36 10" xfId="35239" xr:uid="{00000000-0005-0000-0000-000095890000}"/>
    <cellStyle name="Neutral 36 11" xfId="35240" xr:uid="{00000000-0005-0000-0000-000096890000}"/>
    <cellStyle name="Neutral 36 12" xfId="35241" xr:uid="{00000000-0005-0000-0000-000097890000}"/>
    <cellStyle name="Neutral 36 13" xfId="35242" xr:uid="{00000000-0005-0000-0000-000098890000}"/>
    <cellStyle name="Neutral 36 14" xfId="35243" xr:uid="{00000000-0005-0000-0000-000099890000}"/>
    <cellStyle name="Neutral 36 15" xfId="35244" xr:uid="{00000000-0005-0000-0000-00009A890000}"/>
    <cellStyle name="Neutral 36 2" xfId="35245" xr:uid="{00000000-0005-0000-0000-00009B890000}"/>
    <cellStyle name="Neutral 36 3" xfId="35246" xr:uid="{00000000-0005-0000-0000-00009C890000}"/>
    <cellStyle name="Neutral 36 4" xfId="35247" xr:uid="{00000000-0005-0000-0000-00009D890000}"/>
    <cellStyle name="Neutral 36 5" xfId="35248" xr:uid="{00000000-0005-0000-0000-00009E890000}"/>
    <cellStyle name="Neutral 36 6" xfId="35249" xr:uid="{00000000-0005-0000-0000-00009F890000}"/>
    <cellStyle name="Neutral 36 7" xfId="35250" xr:uid="{00000000-0005-0000-0000-0000A0890000}"/>
    <cellStyle name="Neutral 36 8" xfId="35251" xr:uid="{00000000-0005-0000-0000-0000A1890000}"/>
    <cellStyle name="Neutral 36 9" xfId="35252" xr:uid="{00000000-0005-0000-0000-0000A2890000}"/>
    <cellStyle name="Neutral 37" xfId="35253" xr:uid="{00000000-0005-0000-0000-0000A3890000}"/>
    <cellStyle name="Neutral 37 10" xfId="35254" xr:uid="{00000000-0005-0000-0000-0000A4890000}"/>
    <cellStyle name="Neutral 37 11" xfId="35255" xr:uid="{00000000-0005-0000-0000-0000A5890000}"/>
    <cellStyle name="Neutral 37 12" xfId="35256" xr:uid="{00000000-0005-0000-0000-0000A6890000}"/>
    <cellStyle name="Neutral 37 13" xfId="35257" xr:uid="{00000000-0005-0000-0000-0000A7890000}"/>
    <cellStyle name="Neutral 37 14" xfId="35258" xr:uid="{00000000-0005-0000-0000-0000A8890000}"/>
    <cellStyle name="Neutral 37 15" xfId="35259" xr:uid="{00000000-0005-0000-0000-0000A9890000}"/>
    <cellStyle name="Neutral 37 2" xfId="35260" xr:uid="{00000000-0005-0000-0000-0000AA890000}"/>
    <cellStyle name="Neutral 37 3" xfId="35261" xr:uid="{00000000-0005-0000-0000-0000AB890000}"/>
    <cellStyle name="Neutral 37 4" xfId="35262" xr:uid="{00000000-0005-0000-0000-0000AC890000}"/>
    <cellStyle name="Neutral 37 5" xfId="35263" xr:uid="{00000000-0005-0000-0000-0000AD890000}"/>
    <cellStyle name="Neutral 37 6" xfId="35264" xr:uid="{00000000-0005-0000-0000-0000AE890000}"/>
    <cellStyle name="Neutral 37 7" xfId="35265" xr:uid="{00000000-0005-0000-0000-0000AF890000}"/>
    <cellStyle name="Neutral 37 8" xfId="35266" xr:uid="{00000000-0005-0000-0000-0000B0890000}"/>
    <cellStyle name="Neutral 37 9" xfId="35267" xr:uid="{00000000-0005-0000-0000-0000B1890000}"/>
    <cellStyle name="Neutral 38" xfId="35268" xr:uid="{00000000-0005-0000-0000-0000B2890000}"/>
    <cellStyle name="Neutral 38 10" xfId="35269" xr:uid="{00000000-0005-0000-0000-0000B3890000}"/>
    <cellStyle name="Neutral 38 11" xfId="35270" xr:uid="{00000000-0005-0000-0000-0000B4890000}"/>
    <cellStyle name="Neutral 38 12" xfId="35271" xr:uid="{00000000-0005-0000-0000-0000B5890000}"/>
    <cellStyle name="Neutral 38 13" xfId="35272" xr:uid="{00000000-0005-0000-0000-0000B6890000}"/>
    <cellStyle name="Neutral 38 14" xfId="35273" xr:uid="{00000000-0005-0000-0000-0000B7890000}"/>
    <cellStyle name="Neutral 38 15" xfId="35274" xr:uid="{00000000-0005-0000-0000-0000B8890000}"/>
    <cellStyle name="Neutral 38 2" xfId="35275" xr:uid="{00000000-0005-0000-0000-0000B9890000}"/>
    <cellStyle name="Neutral 38 3" xfId="35276" xr:uid="{00000000-0005-0000-0000-0000BA890000}"/>
    <cellStyle name="Neutral 38 4" xfId="35277" xr:uid="{00000000-0005-0000-0000-0000BB890000}"/>
    <cellStyle name="Neutral 38 5" xfId="35278" xr:uid="{00000000-0005-0000-0000-0000BC890000}"/>
    <cellStyle name="Neutral 38 6" xfId="35279" xr:uid="{00000000-0005-0000-0000-0000BD890000}"/>
    <cellStyle name="Neutral 38 7" xfId="35280" xr:uid="{00000000-0005-0000-0000-0000BE890000}"/>
    <cellStyle name="Neutral 38 8" xfId="35281" xr:uid="{00000000-0005-0000-0000-0000BF890000}"/>
    <cellStyle name="Neutral 38 9" xfId="35282" xr:uid="{00000000-0005-0000-0000-0000C0890000}"/>
    <cellStyle name="Neutral 39" xfId="35283" xr:uid="{00000000-0005-0000-0000-0000C1890000}"/>
    <cellStyle name="Neutral 39 10" xfId="35284" xr:uid="{00000000-0005-0000-0000-0000C2890000}"/>
    <cellStyle name="Neutral 39 11" xfId="35285" xr:uid="{00000000-0005-0000-0000-0000C3890000}"/>
    <cellStyle name="Neutral 39 12" xfId="35286" xr:uid="{00000000-0005-0000-0000-0000C4890000}"/>
    <cellStyle name="Neutral 39 13" xfId="35287" xr:uid="{00000000-0005-0000-0000-0000C5890000}"/>
    <cellStyle name="Neutral 39 14" xfId="35288" xr:uid="{00000000-0005-0000-0000-0000C6890000}"/>
    <cellStyle name="Neutral 39 15" xfId="35289" xr:uid="{00000000-0005-0000-0000-0000C7890000}"/>
    <cellStyle name="Neutral 39 2" xfId="35290" xr:uid="{00000000-0005-0000-0000-0000C8890000}"/>
    <cellStyle name="Neutral 39 3" xfId="35291" xr:uid="{00000000-0005-0000-0000-0000C9890000}"/>
    <cellStyle name="Neutral 39 4" xfId="35292" xr:uid="{00000000-0005-0000-0000-0000CA890000}"/>
    <cellStyle name="Neutral 39 5" xfId="35293" xr:uid="{00000000-0005-0000-0000-0000CB890000}"/>
    <cellStyle name="Neutral 39 6" xfId="35294" xr:uid="{00000000-0005-0000-0000-0000CC890000}"/>
    <cellStyle name="Neutral 39 7" xfId="35295" xr:uid="{00000000-0005-0000-0000-0000CD890000}"/>
    <cellStyle name="Neutral 39 8" xfId="35296" xr:uid="{00000000-0005-0000-0000-0000CE890000}"/>
    <cellStyle name="Neutral 39 9" xfId="35297" xr:uid="{00000000-0005-0000-0000-0000CF890000}"/>
    <cellStyle name="Neutral 4" xfId="35298" xr:uid="{00000000-0005-0000-0000-0000D0890000}"/>
    <cellStyle name="Neutral 4 2" xfId="35299" xr:uid="{00000000-0005-0000-0000-0000D1890000}"/>
    <cellStyle name="Neutral 4 2 2" xfId="35300" xr:uid="{00000000-0005-0000-0000-0000D2890000}"/>
    <cellStyle name="Neutral 4 3" xfId="35301" xr:uid="{00000000-0005-0000-0000-0000D3890000}"/>
    <cellStyle name="Neutral 4 3 2" xfId="35302" xr:uid="{00000000-0005-0000-0000-0000D4890000}"/>
    <cellStyle name="Neutral 4 4" xfId="35303" xr:uid="{00000000-0005-0000-0000-0000D5890000}"/>
    <cellStyle name="Neutral 4 4 2" xfId="35304" xr:uid="{00000000-0005-0000-0000-0000D6890000}"/>
    <cellStyle name="Neutral 4 5" xfId="35305" xr:uid="{00000000-0005-0000-0000-0000D7890000}"/>
    <cellStyle name="Neutral 4 5 2" xfId="35306" xr:uid="{00000000-0005-0000-0000-0000D8890000}"/>
    <cellStyle name="Neutral 4 6" xfId="35307" xr:uid="{00000000-0005-0000-0000-0000D9890000}"/>
    <cellStyle name="Neutral 4 6 2" xfId="35308" xr:uid="{00000000-0005-0000-0000-0000DA890000}"/>
    <cellStyle name="Neutral 4 7" xfId="35309" xr:uid="{00000000-0005-0000-0000-0000DB890000}"/>
    <cellStyle name="Neutral 40" xfId="35310" xr:uid="{00000000-0005-0000-0000-0000DC890000}"/>
    <cellStyle name="Neutral 41" xfId="35311" xr:uid="{00000000-0005-0000-0000-0000DD890000}"/>
    <cellStyle name="Neutral 42" xfId="35312" xr:uid="{00000000-0005-0000-0000-0000DE890000}"/>
    <cellStyle name="Neutral 43" xfId="35313" xr:uid="{00000000-0005-0000-0000-0000DF890000}"/>
    <cellStyle name="Neutral 44" xfId="35314" xr:uid="{00000000-0005-0000-0000-0000E0890000}"/>
    <cellStyle name="Neutral 45" xfId="35315" xr:uid="{00000000-0005-0000-0000-0000E1890000}"/>
    <cellStyle name="Neutral 46" xfId="35316" xr:uid="{00000000-0005-0000-0000-0000E2890000}"/>
    <cellStyle name="Neutral 47" xfId="35317" xr:uid="{00000000-0005-0000-0000-0000E3890000}"/>
    <cellStyle name="Neutral 48" xfId="35318" xr:uid="{00000000-0005-0000-0000-0000E4890000}"/>
    <cellStyle name="Neutral 49" xfId="35319" xr:uid="{00000000-0005-0000-0000-0000E5890000}"/>
    <cellStyle name="Neutral 5" xfId="35320" xr:uid="{00000000-0005-0000-0000-0000E6890000}"/>
    <cellStyle name="Neutral 5 2" xfId="35321" xr:uid="{00000000-0005-0000-0000-0000E7890000}"/>
    <cellStyle name="Neutral 5 2 2" xfId="35322" xr:uid="{00000000-0005-0000-0000-0000E8890000}"/>
    <cellStyle name="Neutral 5 2 3" xfId="35323" xr:uid="{00000000-0005-0000-0000-0000E9890000}"/>
    <cellStyle name="Neutral 5 2 4" xfId="35324" xr:uid="{00000000-0005-0000-0000-0000EA890000}"/>
    <cellStyle name="Neutral 5 3" xfId="35325" xr:uid="{00000000-0005-0000-0000-0000EB890000}"/>
    <cellStyle name="Neutral 5 3 2" xfId="35326" xr:uid="{00000000-0005-0000-0000-0000EC890000}"/>
    <cellStyle name="Neutral 5 3 3" xfId="35327" xr:uid="{00000000-0005-0000-0000-0000ED890000}"/>
    <cellStyle name="Neutral 5 4" xfId="35328" xr:uid="{00000000-0005-0000-0000-0000EE890000}"/>
    <cellStyle name="Neutral 50" xfId="35329" xr:uid="{00000000-0005-0000-0000-0000EF890000}"/>
    <cellStyle name="Neutral 51" xfId="35330" xr:uid="{00000000-0005-0000-0000-0000F0890000}"/>
    <cellStyle name="Neutral 52" xfId="35331" xr:uid="{00000000-0005-0000-0000-0000F1890000}"/>
    <cellStyle name="Neutral 53" xfId="35332" xr:uid="{00000000-0005-0000-0000-0000F2890000}"/>
    <cellStyle name="Neutral 54" xfId="35333" xr:uid="{00000000-0005-0000-0000-0000F3890000}"/>
    <cellStyle name="Neutral 55" xfId="35334" xr:uid="{00000000-0005-0000-0000-0000F4890000}"/>
    <cellStyle name="Neutral 56" xfId="35335" xr:uid="{00000000-0005-0000-0000-0000F5890000}"/>
    <cellStyle name="Neutral 57" xfId="35336" xr:uid="{00000000-0005-0000-0000-0000F6890000}"/>
    <cellStyle name="Neutral 58" xfId="35337" xr:uid="{00000000-0005-0000-0000-0000F7890000}"/>
    <cellStyle name="Neutral 59" xfId="35338" xr:uid="{00000000-0005-0000-0000-0000F8890000}"/>
    <cellStyle name="Neutral 6" xfId="35339" xr:uid="{00000000-0005-0000-0000-0000F9890000}"/>
    <cellStyle name="Neutral 6 2" xfId="35340" xr:uid="{00000000-0005-0000-0000-0000FA890000}"/>
    <cellStyle name="Neutral 60" xfId="35341" xr:uid="{00000000-0005-0000-0000-0000FB890000}"/>
    <cellStyle name="Neutral 61" xfId="35342" xr:uid="{00000000-0005-0000-0000-0000FC890000}"/>
    <cellStyle name="Neutral 62" xfId="35343" xr:uid="{00000000-0005-0000-0000-0000FD890000}"/>
    <cellStyle name="Neutral 63" xfId="35344" xr:uid="{00000000-0005-0000-0000-0000FE890000}"/>
    <cellStyle name="Neutral 64" xfId="35345" xr:uid="{00000000-0005-0000-0000-0000FF890000}"/>
    <cellStyle name="Neutral 65" xfId="35346" xr:uid="{00000000-0005-0000-0000-0000008A0000}"/>
    <cellStyle name="Neutral 66" xfId="35347" xr:uid="{00000000-0005-0000-0000-0000018A0000}"/>
    <cellStyle name="Neutral 67" xfId="35348" xr:uid="{00000000-0005-0000-0000-0000028A0000}"/>
    <cellStyle name="Neutral 68" xfId="35349" xr:uid="{00000000-0005-0000-0000-0000038A0000}"/>
    <cellStyle name="Neutral 69" xfId="35350" xr:uid="{00000000-0005-0000-0000-0000048A0000}"/>
    <cellStyle name="Neutral 7" xfId="35351" xr:uid="{00000000-0005-0000-0000-0000058A0000}"/>
    <cellStyle name="Neutral 7 2" xfId="35352" xr:uid="{00000000-0005-0000-0000-0000068A0000}"/>
    <cellStyle name="Neutral 70" xfId="35353" xr:uid="{00000000-0005-0000-0000-0000078A0000}"/>
    <cellStyle name="Neutral 71" xfId="35354" xr:uid="{00000000-0005-0000-0000-0000088A0000}"/>
    <cellStyle name="Neutral 72" xfId="35355" xr:uid="{00000000-0005-0000-0000-0000098A0000}"/>
    <cellStyle name="Neutral 73" xfId="35356" xr:uid="{00000000-0005-0000-0000-00000A8A0000}"/>
    <cellStyle name="Neutral 74" xfId="35357" xr:uid="{00000000-0005-0000-0000-00000B8A0000}"/>
    <cellStyle name="Neutral 75" xfId="35358" xr:uid="{00000000-0005-0000-0000-00000C8A0000}"/>
    <cellStyle name="Neutral 76" xfId="35359" xr:uid="{00000000-0005-0000-0000-00000D8A0000}"/>
    <cellStyle name="Neutral 77" xfId="35360" xr:uid="{00000000-0005-0000-0000-00000E8A0000}"/>
    <cellStyle name="Neutral 78" xfId="35361" xr:uid="{00000000-0005-0000-0000-00000F8A0000}"/>
    <cellStyle name="Neutral 79" xfId="35362" xr:uid="{00000000-0005-0000-0000-0000108A0000}"/>
    <cellStyle name="Neutral 79 2" xfId="35363" xr:uid="{00000000-0005-0000-0000-0000118A0000}"/>
    <cellStyle name="Neutral 8" xfId="35364" xr:uid="{00000000-0005-0000-0000-0000128A0000}"/>
    <cellStyle name="Neutral 8 2" xfId="35365" xr:uid="{00000000-0005-0000-0000-0000138A0000}"/>
    <cellStyle name="Neutral 80" xfId="35366" xr:uid="{00000000-0005-0000-0000-0000148A0000}"/>
    <cellStyle name="Neutral 80 2" xfId="35367" xr:uid="{00000000-0005-0000-0000-0000158A0000}"/>
    <cellStyle name="Neutral 81" xfId="35368" xr:uid="{00000000-0005-0000-0000-0000168A0000}"/>
    <cellStyle name="Neutral 81 2" xfId="35369" xr:uid="{00000000-0005-0000-0000-0000178A0000}"/>
    <cellStyle name="Neutral 82" xfId="35370" xr:uid="{00000000-0005-0000-0000-0000188A0000}"/>
    <cellStyle name="Neutral 82 2" xfId="35371" xr:uid="{00000000-0005-0000-0000-0000198A0000}"/>
    <cellStyle name="Neutral 83" xfId="35372" xr:uid="{00000000-0005-0000-0000-00001A8A0000}"/>
    <cellStyle name="Neutral 83 2" xfId="35373" xr:uid="{00000000-0005-0000-0000-00001B8A0000}"/>
    <cellStyle name="Neutral 84" xfId="35374" xr:uid="{00000000-0005-0000-0000-00001C8A0000}"/>
    <cellStyle name="Neutral 84 2" xfId="35375" xr:uid="{00000000-0005-0000-0000-00001D8A0000}"/>
    <cellStyle name="Neutral 85" xfId="35376" xr:uid="{00000000-0005-0000-0000-00001E8A0000}"/>
    <cellStyle name="Neutral 85 2" xfId="35377" xr:uid="{00000000-0005-0000-0000-00001F8A0000}"/>
    <cellStyle name="Neutral 86" xfId="35378" xr:uid="{00000000-0005-0000-0000-0000208A0000}"/>
    <cellStyle name="Neutral 86 2" xfId="35379" xr:uid="{00000000-0005-0000-0000-0000218A0000}"/>
    <cellStyle name="Neutral 87" xfId="35380" xr:uid="{00000000-0005-0000-0000-0000228A0000}"/>
    <cellStyle name="Neutral 87 2" xfId="35381" xr:uid="{00000000-0005-0000-0000-0000238A0000}"/>
    <cellStyle name="Neutral 88" xfId="35382" xr:uid="{00000000-0005-0000-0000-0000248A0000}"/>
    <cellStyle name="Neutral 88 2" xfId="35383" xr:uid="{00000000-0005-0000-0000-0000258A0000}"/>
    <cellStyle name="Neutral 89" xfId="35384" xr:uid="{00000000-0005-0000-0000-0000268A0000}"/>
    <cellStyle name="Neutral 89 2" xfId="35385" xr:uid="{00000000-0005-0000-0000-0000278A0000}"/>
    <cellStyle name="Neutral 9" xfId="35386" xr:uid="{00000000-0005-0000-0000-0000288A0000}"/>
    <cellStyle name="Neutral 9 2" xfId="35387" xr:uid="{00000000-0005-0000-0000-0000298A0000}"/>
    <cellStyle name="Neutral 90" xfId="35388" xr:uid="{00000000-0005-0000-0000-00002A8A0000}"/>
    <cellStyle name="Neutral 91" xfId="35389" xr:uid="{00000000-0005-0000-0000-00002B8A0000}"/>
    <cellStyle name="Neutral 92" xfId="35390" xr:uid="{00000000-0005-0000-0000-00002C8A0000}"/>
    <cellStyle name="Neutral 93" xfId="35391" xr:uid="{00000000-0005-0000-0000-00002D8A0000}"/>
    <cellStyle name="Neutral 94" xfId="35392" xr:uid="{00000000-0005-0000-0000-00002E8A0000}"/>
    <cellStyle name="Neutral 95" xfId="35393" xr:uid="{00000000-0005-0000-0000-00002F8A0000}"/>
    <cellStyle name="Neutral 96" xfId="35394" xr:uid="{00000000-0005-0000-0000-0000308A0000}"/>
    <cellStyle name="Neutral 97" xfId="35395" xr:uid="{00000000-0005-0000-0000-0000318A0000}"/>
    <cellStyle name="Neutral 98" xfId="35396" xr:uid="{00000000-0005-0000-0000-0000328A0000}"/>
    <cellStyle name="Neutral 99" xfId="35397" xr:uid="{00000000-0005-0000-0000-0000338A0000}"/>
    <cellStyle name="Neutralne" xfId="35398" xr:uid="{00000000-0005-0000-0000-0000348A0000}"/>
    <cellStyle name="Neutre" xfId="35399" xr:uid="{00000000-0005-0000-0000-0000358A0000}"/>
    <cellStyle name="no dec" xfId="35400" xr:uid="{00000000-0005-0000-0000-0000368A0000}"/>
    <cellStyle name="no dec 2" xfId="35401" xr:uid="{00000000-0005-0000-0000-0000378A0000}"/>
    <cellStyle name="no dec 2 2" xfId="35402" xr:uid="{00000000-0005-0000-0000-0000388A0000}"/>
    <cellStyle name="no dec 2 3" xfId="35403" xr:uid="{00000000-0005-0000-0000-0000398A0000}"/>
    <cellStyle name="no dec 2_SEPS_Ext" xfId="35404" xr:uid="{00000000-0005-0000-0000-00003A8A0000}"/>
    <cellStyle name="no dec 3" xfId="35405" xr:uid="{00000000-0005-0000-0000-00003B8A0000}"/>
    <cellStyle name="no dec_Belker-InternalTrade" xfId="35406" xr:uid="{00000000-0005-0000-0000-00003C8A0000}"/>
    <cellStyle name="NoBmal_Calculation" xfId="35407" xr:uid="{00000000-0005-0000-0000-00003D8A0000}"/>
    <cellStyle name="Nombre" xfId="35408" xr:uid="{00000000-0005-0000-0000-00003E8A0000}"/>
    <cellStyle name="Normal" xfId="0" builtinId="0"/>
    <cellStyle name="Normal - Style1" xfId="35409" xr:uid="{00000000-0005-0000-0000-0000408A0000}"/>
    <cellStyle name="Normal 10" xfId="35410" xr:uid="{00000000-0005-0000-0000-0000418A0000}"/>
    <cellStyle name="Normal 10 2" xfId="35411" xr:uid="{00000000-0005-0000-0000-0000428A0000}"/>
    <cellStyle name="Normal 10 2 2" xfId="35412" xr:uid="{00000000-0005-0000-0000-0000438A0000}"/>
    <cellStyle name="Normal 10 2 2 2" xfId="35413" xr:uid="{00000000-0005-0000-0000-0000448A0000}"/>
    <cellStyle name="Normal 10 2 3" xfId="35414" xr:uid="{00000000-0005-0000-0000-0000458A0000}"/>
    <cellStyle name="Normal 10 2 4" xfId="35415" xr:uid="{00000000-0005-0000-0000-0000468A0000}"/>
    <cellStyle name="Normal 10 2 5" xfId="35416" xr:uid="{00000000-0005-0000-0000-0000478A0000}"/>
    <cellStyle name="Normal 10 2 6" xfId="35417" xr:uid="{00000000-0005-0000-0000-0000488A0000}"/>
    <cellStyle name="Normal 10 2 7" xfId="35418" xr:uid="{00000000-0005-0000-0000-0000498A0000}"/>
    <cellStyle name="Normal 10 2 8" xfId="35419" xr:uid="{00000000-0005-0000-0000-00004A8A0000}"/>
    <cellStyle name="Normal 10 3" xfId="35420" xr:uid="{00000000-0005-0000-0000-00004B8A0000}"/>
    <cellStyle name="Normal 10 3 2" xfId="35421" xr:uid="{00000000-0005-0000-0000-00004C8A0000}"/>
    <cellStyle name="Normal 10 3 3" xfId="35422" xr:uid="{00000000-0005-0000-0000-00004D8A0000}"/>
    <cellStyle name="Normal 10 3 4" xfId="35423" xr:uid="{00000000-0005-0000-0000-00004E8A0000}"/>
    <cellStyle name="Normal 10 3 5" xfId="35424" xr:uid="{00000000-0005-0000-0000-00004F8A0000}"/>
    <cellStyle name="Normal 10 4" xfId="35425" xr:uid="{00000000-0005-0000-0000-0000508A0000}"/>
    <cellStyle name="Normal 10 5" xfId="35426" xr:uid="{00000000-0005-0000-0000-0000518A0000}"/>
    <cellStyle name="Normal 10 6" xfId="35427" xr:uid="{00000000-0005-0000-0000-0000528A0000}"/>
    <cellStyle name="Normal 10 6 2" xfId="35428" xr:uid="{00000000-0005-0000-0000-0000538A0000}"/>
    <cellStyle name="Normal 10 6 2 2" xfId="35429" xr:uid="{00000000-0005-0000-0000-0000548A0000}"/>
    <cellStyle name="Normal 10 6 3" xfId="35430" xr:uid="{00000000-0005-0000-0000-0000558A0000}"/>
    <cellStyle name="Normal 10 6 3 2" xfId="35431" xr:uid="{00000000-0005-0000-0000-0000568A0000}"/>
    <cellStyle name="Normal 10 6 4" xfId="35432" xr:uid="{00000000-0005-0000-0000-0000578A0000}"/>
    <cellStyle name="Normal 10 7" xfId="35433" xr:uid="{00000000-0005-0000-0000-0000588A0000}"/>
    <cellStyle name="Normal 10 7 2" xfId="35434" xr:uid="{00000000-0005-0000-0000-0000598A0000}"/>
    <cellStyle name="Normal 10 7 2 2" xfId="35435" xr:uid="{00000000-0005-0000-0000-00005A8A0000}"/>
    <cellStyle name="Normal 10 7 3" xfId="35436" xr:uid="{00000000-0005-0000-0000-00005B8A0000}"/>
    <cellStyle name="Normal 10 7 3 2" xfId="35437" xr:uid="{00000000-0005-0000-0000-00005C8A0000}"/>
    <cellStyle name="Normal 10 7 4" xfId="35438" xr:uid="{00000000-0005-0000-0000-00005D8A0000}"/>
    <cellStyle name="Normal 100" xfId="35439" xr:uid="{00000000-0005-0000-0000-00005E8A0000}"/>
    <cellStyle name="Normal 100 2" xfId="35440" xr:uid="{00000000-0005-0000-0000-00005F8A0000}"/>
    <cellStyle name="Normal 100 2 2" xfId="35441" xr:uid="{00000000-0005-0000-0000-0000608A0000}"/>
    <cellStyle name="Normal 100 2 2 2" xfId="35442" xr:uid="{00000000-0005-0000-0000-0000618A0000}"/>
    <cellStyle name="Normal 100 2 3" xfId="35443" xr:uid="{00000000-0005-0000-0000-0000628A0000}"/>
    <cellStyle name="Normal 100 2 3 2" xfId="35444" xr:uid="{00000000-0005-0000-0000-0000638A0000}"/>
    <cellStyle name="Normal 100 2 4" xfId="35445" xr:uid="{00000000-0005-0000-0000-0000648A0000}"/>
    <cellStyle name="Normal 100 3" xfId="35446" xr:uid="{00000000-0005-0000-0000-0000658A0000}"/>
    <cellStyle name="Normal 100 3 2" xfId="35447" xr:uid="{00000000-0005-0000-0000-0000668A0000}"/>
    <cellStyle name="Normal 100 4" xfId="35448" xr:uid="{00000000-0005-0000-0000-0000678A0000}"/>
    <cellStyle name="Normal 100 4 2" xfId="35449" xr:uid="{00000000-0005-0000-0000-0000688A0000}"/>
    <cellStyle name="Normal 100 5" xfId="35450" xr:uid="{00000000-0005-0000-0000-0000698A0000}"/>
    <cellStyle name="Normal 101" xfId="35451" xr:uid="{00000000-0005-0000-0000-00006A8A0000}"/>
    <cellStyle name="Normal 101 2" xfId="35452" xr:uid="{00000000-0005-0000-0000-00006B8A0000}"/>
    <cellStyle name="Normal 101 2 2" xfId="35453" xr:uid="{00000000-0005-0000-0000-00006C8A0000}"/>
    <cellStyle name="Normal 101 3" xfId="35454" xr:uid="{00000000-0005-0000-0000-00006D8A0000}"/>
    <cellStyle name="Normal 101 3 2" xfId="35455" xr:uid="{00000000-0005-0000-0000-00006E8A0000}"/>
    <cellStyle name="Normal 101 4" xfId="35456" xr:uid="{00000000-0005-0000-0000-00006F8A0000}"/>
    <cellStyle name="Normal 102" xfId="35457" xr:uid="{00000000-0005-0000-0000-0000708A0000}"/>
    <cellStyle name="Normal 102 2" xfId="35458" xr:uid="{00000000-0005-0000-0000-0000718A0000}"/>
    <cellStyle name="Normal 102 2 2" xfId="35459" xr:uid="{00000000-0005-0000-0000-0000728A0000}"/>
    <cellStyle name="Normal 102 3" xfId="35460" xr:uid="{00000000-0005-0000-0000-0000738A0000}"/>
    <cellStyle name="Normal 102 3 2" xfId="35461" xr:uid="{00000000-0005-0000-0000-0000748A0000}"/>
    <cellStyle name="Normal 102 4" xfId="35462" xr:uid="{00000000-0005-0000-0000-0000758A0000}"/>
    <cellStyle name="Normal 103" xfId="35463" xr:uid="{00000000-0005-0000-0000-0000768A0000}"/>
    <cellStyle name="Normal 103 2" xfId="35464" xr:uid="{00000000-0005-0000-0000-0000778A0000}"/>
    <cellStyle name="Normal 103 2 2" xfId="35465" xr:uid="{00000000-0005-0000-0000-0000788A0000}"/>
    <cellStyle name="Normal 103 2 2 2" xfId="35466" xr:uid="{00000000-0005-0000-0000-0000798A0000}"/>
    <cellStyle name="Normal 103 2 3" xfId="35467" xr:uid="{00000000-0005-0000-0000-00007A8A0000}"/>
    <cellStyle name="Normal 103 2 3 2" xfId="35468" xr:uid="{00000000-0005-0000-0000-00007B8A0000}"/>
    <cellStyle name="Normal 103 2 4" xfId="35469" xr:uid="{00000000-0005-0000-0000-00007C8A0000}"/>
    <cellStyle name="Normal 103 3" xfId="35470" xr:uid="{00000000-0005-0000-0000-00007D8A0000}"/>
    <cellStyle name="Normal 103 3 2" xfId="35471" xr:uid="{00000000-0005-0000-0000-00007E8A0000}"/>
    <cellStyle name="Normal 103 4" xfId="35472" xr:uid="{00000000-0005-0000-0000-00007F8A0000}"/>
    <cellStyle name="Normal 103 4 2" xfId="35473" xr:uid="{00000000-0005-0000-0000-0000808A0000}"/>
    <cellStyle name="Normal 103 5" xfId="35474" xr:uid="{00000000-0005-0000-0000-0000818A0000}"/>
    <cellStyle name="Normal 104" xfId="35475" xr:uid="{00000000-0005-0000-0000-0000828A0000}"/>
    <cellStyle name="Normal 104 2" xfId="35476" xr:uid="{00000000-0005-0000-0000-0000838A0000}"/>
    <cellStyle name="Normal 104 2 2" xfId="35477" xr:uid="{00000000-0005-0000-0000-0000848A0000}"/>
    <cellStyle name="Normal 104 2 2 2" xfId="35478" xr:uid="{00000000-0005-0000-0000-0000858A0000}"/>
    <cellStyle name="Normal 104 2 3" xfId="35479" xr:uid="{00000000-0005-0000-0000-0000868A0000}"/>
    <cellStyle name="Normal 104 2 3 2" xfId="35480" xr:uid="{00000000-0005-0000-0000-0000878A0000}"/>
    <cellStyle name="Normal 104 2 4" xfId="35481" xr:uid="{00000000-0005-0000-0000-0000888A0000}"/>
    <cellStyle name="Normal 105" xfId="35482" xr:uid="{00000000-0005-0000-0000-0000898A0000}"/>
    <cellStyle name="Normal 105 2" xfId="35483" xr:uid="{00000000-0005-0000-0000-00008A8A0000}"/>
    <cellStyle name="Normal 105 2 2" xfId="35484" xr:uid="{00000000-0005-0000-0000-00008B8A0000}"/>
    <cellStyle name="Normal 105 3" xfId="35485" xr:uid="{00000000-0005-0000-0000-00008C8A0000}"/>
    <cellStyle name="Normal 105 3 2" xfId="35486" xr:uid="{00000000-0005-0000-0000-00008D8A0000}"/>
    <cellStyle name="Normal 105 4" xfId="35487" xr:uid="{00000000-0005-0000-0000-00008E8A0000}"/>
    <cellStyle name="Normal 106" xfId="35488" xr:uid="{00000000-0005-0000-0000-00008F8A0000}"/>
    <cellStyle name="Normal 106 2" xfId="35489" xr:uid="{00000000-0005-0000-0000-0000908A0000}"/>
    <cellStyle name="Normal 106 2 2" xfId="35490" xr:uid="{00000000-0005-0000-0000-0000918A0000}"/>
    <cellStyle name="Normal 106 3" xfId="35491" xr:uid="{00000000-0005-0000-0000-0000928A0000}"/>
    <cellStyle name="Normal 106 3 2" xfId="35492" xr:uid="{00000000-0005-0000-0000-0000938A0000}"/>
    <cellStyle name="Normal 106 4" xfId="35493" xr:uid="{00000000-0005-0000-0000-0000948A0000}"/>
    <cellStyle name="Normal 107" xfId="35494" xr:uid="{00000000-0005-0000-0000-0000958A0000}"/>
    <cellStyle name="Normal 107 2" xfId="35495" xr:uid="{00000000-0005-0000-0000-0000968A0000}"/>
    <cellStyle name="Normal 107 2 2" xfId="35496" xr:uid="{00000000-0005-0000-0000-0000978A0000}"/>
    <cellStyle name="Normal 107 2 2 2" xfId="35497" xr:uid="{00000000-0005-0000-0000-0000988A0000}"/>
    <cellStyle name="Normal 107 2 3" xfId="35498" xr:uid="{00000000-0005-0000-0000-0000998A0000}"/>
    <cellStyle name="Normal 107 2 3 2" xfId="35499" xr:uid="{00000000-0005-0000-0000-00009A8A0000}"/>
    <cellStyle name="Normal 107 2 4" xfId="35500" xr:uid="{00000000-0005-0000-0000-00009B8A0000}"/>
    <cellStyle name="Normal 107 3" xfId="35501" xr:uid="{00000000-0005-0000-0000-00009C8A0000}"/>
    <cellStyle name="Normal 107 3 2" xfId="35502" xr:uid="{00000000-0005-0000-0000-00009D8A0000}"/>
    <cellStyle name="Normal 107 4" xfId="35503" xr:uid="{00000000-0005-0000-0000-00009E8A0000}"/>
    <cellStyle name="Normal 107 4 2" xfId="35504" xr:uid="{00000000-0005-0000-0000-00009F8A0000}"/>
    <cellStyle name="Normal 107 5" xfId="35505" xr:uid="{00000000-0005-0000-0000-0000A08A0000}"/>
    <cellStyle name="Normal 108" xfId="35506" xr:uid="{00000000-0005-0000-0000-0000A18A0000}"/>
    <cellStyle name="Normal 108 2" xfId="35507" xr:uid="{00000000-0005-0000-0000-0000A28A0000}"/>
    <cellStyle name="Normal 108 2 2" xfId="35508" xr:uid="{00000000-0005-0000-0000-0000A38A0000}"/>
    <cellStyle name="Normal 108 3" xfId="35509" xr:uid="{00000000-0005-0000-0000-0000A48A0000}"/>
    <cellStyle name="Normal 108 3 2" xfId="35510" xr:uid="{00000000-0005-0000-0000-0000A58A0000}"/>
    <cellStyle name="Normal 108 4" xfId="35511" xr:uid="{00000000-0005-0000-0000-0000A68A0000}"/>
    <cellStyle name="Normal 109" xfId="35512" xr:uid="{00000000-0005-0000-0000-0000A78A0000}"/>
    <cellStyle name="Normal 109 2" xfId="35513" xr:uid="{00000000-0005-0000-0000-0000A88A0000}"/>
    <cellStyle name="Normal 109 2 2" xfId="35514" xr:uid="{00000000-0005-0000-0000-0000A98A0000}"/>
    <cellStyle name="Normal 109 3" xfId="35515" xr:uid="{00000000-0005-0000-0000-0000AA8A0000}"/>
    <cellStyle name="Normal 109 3 2" xfId="35516" xr:uid="{00000000-0005-0000-0000-0000AB8A0000}"/>
    <cellStyle name="Normal 109 4" xfId="35517" xr:uid="{00000000-0005-0000-0000-0000AC8A0000}"/>
    <cellStyle name="Normal 11" xfId="35518" xr:uid="{00000000-0005-0000-0000-0000AD8A0000}"/>
    <cellStyle name="Normal 11 10" xfId="35519" xr:uid="{00000000-0005-0000-0000-0000AE8A0000}"/>
    <cellStyle name="Normal 11 2" xfId="35520" xr:uid="{00000000-0005-0000-0000-0000AF8A0000}"/>
    <cellStyle name="Normal 11 2 2" xfId="35521" xr:uid="{00000000-0005-0000-0000-0000B08A0000}"/>
    <cellStyle name="Normal 11 2 3" xfId="35522" xr:uid="{00000000-0005-0000-0000-0000B18A0000}"/>
    <cellStyle name="Normal 11 2 4" xfId="35523" xr:uid="{00000000-0005-0000-0000-0000B28A0000}"/>
    <cellStyle name="Normal 11 2 5" xfId="35524" xr:uid="{00000000-0005-0000-0000-0000B38A0000}"/>
    <cellStyle name="Normal 11 2 6" xfId="35525" xr:uid="{00000000-0005-0000-0000-0000B48A0000}"/>
    <cellStyle name="Normal 11 2 7" xfId="35526" xr:uid="{00000000-0005-0000-0000-0000B58A0000}"/>
    <cellStyle name="Normal 11 2 8" xfId="35527" xr:uid="{00000000-0005-0000-0000-0000B68A0000}"/>
    <cellStyle name="Normal 11 3" xfId="35528" xr:uid="{00000000-0005-0000-0000-0000B78A0000}"/>
    <cellStyle name="Normal 11 3 2" xfId="35529" xr:uid="{00000000-0005-0000-0000-0000B88A0000}"/>
    <cellStyle name="Normal 11 3 3" xfId="35530" xr:uid="{00000000-0005-0000-0000-0000B98A0000}"/>
    <cellStyle name="Normal 11 4" xfId="35531" xr:uid="{00000000-0005-0000-0000-0000BA8A0000}"/>
    <cellStyle name="Normal 11 4 2" xfId="35532" xr:uid="{00000000-0005-0000-0000-0000BB8A0000}"/>
    <cellStyle name="Normal 11 4 3" xfId="35533" xr:uid="{00000000-0005-0000-0000-0000BC8A0000}"/>
    <cellStyle name="Normal 11 5" xfId="35534" xr:uid="{00000000-0005-0000-0000-0000BD8A0000}"/>
    <cellStyle name="Normal 11 6" xfId="35535" xr:uid="{00000000-0005-0000-0000-0000BE8A0000}"/>
    <cellStyle name="Normal 11 6 2" xfId="35536" xr:uid="{00000000-0005-0000-0000-0000BF8A0000}"/>
    <cellStyle name="Normal 11 6 2 2" xfId="35537" xr:uid="{00000000-0005-0000-0000-0000C08A0000}"/>
    <cellStyle name="Normal 11 6 3" xfId="35538" xr:uid="{00000000-0005-0000-0000-0000C18A0000}"/>
    <cellStyle name="Normal 11 6 3 2" xfId="35539" xr:uid="{00000000-0005-0000-0000-0000C28A0000}"/>
    <cellStyle name="Normal 11 6 4" xfId="35540" xr:uid="{00000000-0005-0000-0000-0000C38A0000}"/>
    <cellStyle name="Normal 11 7" xfId="35541" xr:uid="{00000000-0005-0000-0000-0000C48A0000}"/>
    <cellStyle name="Normal 11 7 2" xfId="35542" xr:uid="{00000000-0005-0000-0000-0000C58A0000}"/>
    <cellStyle name="Normal 11 7 2 2" xfId="35543" xr:uid="{00000000-0005-0000-0000-0000C68A0000}"/>
    <cellStyle name="Normal 11 7 3" xfId="35544" xr:uid="{00000000-0005-0000-0000-0000C78A0000}"/>
    <cellStyle name="Normal 11 7 3 2" xfId="35545" xr:uid="{00000000-0005-0000-0000-0000C88A0000}"/>
    <cellStyle name="Normal 11 7 4" xfId="35546" xr:uid="{00000000-0005-0000-0000-0000C98A0000}"/>
    <cellStyle name="Normal 11 8" xfId="35547" xr:uid="{00000000-0005-0000-0000-0000CA8A0000}"/>
    <cellStyle name="Normal 11 8 2" xfId="35548" xr:uid="{00000000-0005-0000-0000-0000CB8A0000}"/>
    <cellStyle name="Normal 11 9" xfId="35549" xr:uid="{00000000-0005-0000-0000-0000CC8A0000}"/>
    <cellStyle name="Normal 11 9 2" xfId="35550" xr:uid="{00000000-0005-0000-0000-0000CD8A0000}"/>
    <cellStyle name="Normal 110" xfId="35551" xr:uid="{00000000-0005-0000-0000-0000CE8A0000}"/>
    <cellStyle name="Normal 110 2" xfId="35552" xr:uid="{00000000-0005-0000-0000-0000CF8A0000}"/>
    <cellStyle name="Normal 110 2 2" xfId="35553" xr:uid="{00000000-0005-0000-0000-0000D08A0000}"/>
    <cellStyle name="Normal 110 3" xfId="35554" xr:uid="{00000000-0005-0000-0000-0000D18A0000}"/>
    <cellStyle name="Normal 110 3 2" xfId="35555" xr:uid="{00000000-0005-0000-0000-0000D28A0000}"/>
    <cellStyle name="Normal 110 4" xfId="35556" xr:uid="{00000000-0005-0000-0000-0000D38A0000}"/>
    <cellStyle name="Normal 111" xfId="35557" xr:uid="{00000000-0005-0000-0000-0000D48A0000}"/>
    <cellStyle name="Normal 111 2" xfId="35558" xr:uid="{00000000-0005-0000-0000-0000D58A0000}"/>
    <cellStyle name="Normal 111 2 2" xfId="35559" xr:uid="{00000000-0005-0000-0000-0000D68A0000}"/>
    <cellStyle name="Normal 111 3" xfId="35560" xr:uid="{00000000-0005-0000-0000-0000D78A0000}"/>
    <cellStyle name="Normal 111 3 2" xfId="35561" xr:uid="{00000000-0005-0000-0000-0000D88A0000}"/>
    <cellStyle name="Normal 111 4" xfId="35562" xr:uid="{00000000-0005-0000-0000-0000D98A0000}"/>
    <cellStyle name="Normal 112" xfId="35563" xr:uid="{00000000-0005-0000-0000-0000DA8A0000}"/>
    <cellStyle name="Normal 112 2" xfId="35564" xr:uid="{00000000-0005-0000-0000-0000DB8A0000}"/>
    <cellStyle name="Normal 112 2 2" xfId="35565" xr:uid="{00000000-0005-0000-0000-0000DC8A0000}"/>
    <cellStyle name="Normal 112 3" xfId="35566" xr:uid="{00000000-0005-0000-0000-0000DD8A0000}"/>
    <cellStyle name="Normal 112 3 2" xfId="35567" xr:uid="{00000000-0005-0000-0000-0000DE8A0000}"/>
    <cellStyle name="Normal 112 4" xfId="35568" xr:uid="{00000000-0005-0000-0000-0000DF8A0000}"/>
    <cellStyle name="Normal 113" xfId="35569" xr:uid="{00000000-0005-0000-0000-0000E08A0000}"/>
    <cellStyle name="Normal 113 2" xfId="35570" xr:uid="{00000000-0005-0000-0000-0000E18A0000}"/>
    <cellStyle name="Normal 113 2 2" xfId="35571" xr:uid="{00000000-0005-0000-0000-0000E28A0000}"/>
    <cellStyle name="Normal 113 3" xfId="35572" xr:uid="{00000000-0005-0000-0000-0000E38A0000}"/>
    <cellStyle name="Normal 113 3 2" xfId="35573" xr:uid="{00000000-0005-0000-0000-0000E48A0000}"/>
    <cellStyle name="Normal 113 4" xfId="35574" xr:uid="{00000000-0005-0000-0000-0000E58A0000}"/>
    <cellStyle name="Normal 114" xfId="35575" xr:uid="{00000000-0005-0000-0000-0000E68A0000}"/>
    <cellStyle name="Normal 114 2" xfId="35576" xr:uid="{00000000-0005-0000-0000-0000E78A0000}"/>
    <cellStyle name="Normal 114 2 2" xfId="35577" xr:uid="{00000000-0005-0000-0000-0000E88A0000}"/>
    <cellStyle name="Normal 114 3" xfId="35578" xr:uid="{00000000-0005-0000-0000-0000E98A0000}"/>
    <cellStyle name="Normal 114 3 2" xfId="35579" xr:uid="{00000000-0005-0000-0000-0000EA8A0000}"/>
    <cellStyle name="Normal 114 4" xfId="35580" xr:uid="{00000000-0005-0000-0000-0000EB8A0000}"/>
    <cellStyle name="Normal 115" xfId="35581" xr:uid="{00000000-0005-0000-0000-0000EC8A0000}"/>
    <cellStyle name="Normal 116" xfId="35582" xr:uid="{00000000-0005-0000-0000-0000ED8A0000}"/>
    <cellStyle name="Normal 116 2" xfId="35583" xr:uid="{00000000-0005-0000-0000-0000EE8A0000}"/>
    <cellStyle name="Normal 116 2 2" xfId="35584" xr:uid="{00000000-0005-0000-0000-0000EF8A0000}"/>
    <cellStyle name="Normal 116 3" xfId="35585" xr:uid="{00000000-0005-0000-0000-0000F08A0000}"/>
    <cellStyle name="Normal 116 3 2" xfId="35586" xr:uid="{00000000-0005-0000-0000-0000F18A0000}"/>
    <cellStyle name="Normal 116 4" xfId="35587" xr:uid="{00000000-0005-0000-0000-0000F28A0000}"/>
    <cellStyle name="Normal 117" xfId="35588" xr:uid="{00000000-0005-0000-0000-0000F38A0000}"/>
    <cellStyle name="Normal 117 2" xfId="35589" xr:uid="{00000000-0005-0000-0000-0000F48A0000}"/>
    <cellStyle name="Normal 117 2 2" xfId="35590" xr:uid="{00000000-0005-0000-0000-0000F58A0000}"/>
    <cellStyle name="Normal 117 3" xfId="35591" xr:uid="{00000000-0005-0000-0000-0000F68A0000}"/>
    <cellStyle name="Normal 117 3 2" xfId="35592" xr:uid="{00000000-0005-0000-0000-0000F78A0000}"/>
    <cellStyle name="Normal 117 4" xfId="35593" xr:uid="{00000000-0005-0000-0000-0000F88A0000}"/>
    <cellStyle name="Normal 118" xfId="35594" xr:uid="{00000000-0005-0000-0000-0000F98A0000}"/>
    <cellStyle name="Normal 118 2" xfId="35595" xr:uid="{00000000-0005-0000-0000-0000FA8A0000}"/>
    <cellStyle name="Normal 118 2 2" xfId="35596" xr:uid="{00000000-0005-0000-0000-0000FB8A0000}"/>
    <cellStyle name="Normal 118 3" xfId="35597" xr:uid="{00000000-0005-0000-0000-0000FC8A0000}"/>
    <cellStyle name="Normal 118 3 2" xfId="35598" xr:uid="{00000000-0005-0000-0000-0000FD8A0000}"/>
    <cellStyle name="Normal 118 4" xfId="35599" xr:uid="{00000000-0005-0000-0000-0000FE8A0000}"/>
    <cellStyle name="Normal 119" xfId="35600" xr:uid="{00000000-0005-0000-0000-0000FF8A0000}"/>
    <cellStyle name="Normal 119 2" xfId="35601" xr:uid="{00000000-0005-0000-0000-0000008B0000}"/>
    <cellStyle name="Normal 119 2 2" xfId="35602" xr:uid="{00000000-0005-0000-0000-0000018B0000}"/>
    <cellStyle name="Normal 119 3" xfId="35603" xr:uid="{00000000-0005-0000-0000-0000028B0000}"/>
    <cellStyle name="Normal 119 3 2" xfId="35604" xr:uid="{00000000-0005-0000-0000-0000038B0000}"/>
    <cellStyle name="Normal 119 4" xfId="35605" xr:uid="{00000000-0005-0000-0000-0000048B0000}"/>
    <cellStyle name="Normal 12" xfId="35606" xr:uid="{00000000-0005-0000-0000-0000058B0000}"/>
    <cellStyle name="Normal 12 2" xfId="35607" xr:uid="{00000000-0005-0000-0000-0000068B0000}"/>
    <cellStyle name="Normal 12 2 2" xfId="35608" xr:uid="{00000000-0005-0000-0000-0000078B0000}"/>
    <cellStyle name="Normal 12 2 3" xfId="35609" xr:uid="{00000000-0005-0000-0000-0000088B0000}"/>
    <cellStyle name="Normal 12 2 4" xfId="35610" xr:uid="{00000000-0005-0000-0000-0000098B0000}"/>
    <cellStyle name="Normal 12 3" xfId="35611" xr:uid="{00000000-0005-0000-0000-00000A8B0000}"/>
    <cellStyle name="Normal 12 4" xfId="35612" xr:uid="{00000000-0005-0000-0000-00000B8B0000}"/>
    <cellStyle name="Normal 12 5" xfId="35613" xr:uid="{00000000-0005-0000-0000-00000C8B0000}"/>
    <cellStyle name="Normal 12 6" xfId="35614" xr:uid="{00000000-0005-0000-0000-00000D8B0000}"/>
    <cellStyle name="Normal 12 6 2" xfId="35615" xr:uid="{00000000-0005-0000-0000-00000E8B0000}"/>
    <cellStyle name="Normal 12 6 2 2" xfId="35616" xr:uid="{00000000-0005-0000-0000-00000F8B0000}"/>
    <cellStyle name="Normal 12 6 3" xfId="35617" xr:uid="{00000000-0005-0000-0000-0000108B0000}"/>
    <cellStyle name="Normal 12 6 3 2" xfId="35618" xr:uid="{00000000-0005-0000-0000-0000118B0000}"/>
    <cellStyle name="Normal 12 6 4" xfId="35619" xr:uid="{00000000-0005-0000-0000-0000128B0000}"/>
    <cellStyle name="Normal 12 7" xfId="35620" xr:uid="{00000000-0005-0000-0000-0000138B0000}"/>
    <cellStyle name="Normal 12 7 2" xfId="35621" xr:uid="{00000000-0005-0000-0000-0000148B0000}"/>
    <cellStyle name="Normal 12 7 2 2" xfId="35622" xr:uid="{00000000-0005-0000-0000-0000158B0000}"/>
    <cellStyle name="Normal 12 7 3" xfId="35623" xr:uid="{00000000-0005-0000-0000-0000168B0000}"/>
    <cellStyle name="Normal 12 7 3 2" xfId="35624" xr:uid="{00000000-0005-0000-0000-0000178B0000}"/>
    <cellStyle name="Normal 12 7 4" xfId="35625" xr:uid="{00000000-0005-0000-0000-0000188B0000}"/>
    <cellStyle name="Normal 120" xfId="35626" xr:uid="{00000000-0005-0000-0000-0000198B0000}"/>
    <cellStyle name="Normal 120 2" xfId="35627" xr:uid="{00000000-0005-0000-0000-00001A8B0000}"/>
    <cellStyle name="Normal 120 2 2" xfId="35628" xr:uid="{00000000-0005-0000-0000-00001B8B0000}"/>
    <cellStyle name="Normal 120 3" xfId="35629" xr:uid="{00000000-0005-0000-0000-00001C8B0000}"/>
    <cellStyle name="Normal 120 3 2" xfId="35630" xr:uid="{00000000-0005-0000-0000-00001D8B0000}"/>
    <cellStyle name="Normal 120 4" xfId="35631" xr:uid="{00000000-0005-0000-0000-00001E8B0000}"/>
    <cellStyle name="Normal 121" xfId="35632" xr:uid="{00000000-0005-0000-0000-00001F8B0000}"/>
    <cellStyle name="Normal 121 2" xfId="35633" xr:uid="{00000000-0005-0000-0000-0000208B0000}"/>
    <cellStyle name="Normal 121 2 2" xfId="35634" xr:uid="{00000000-0005-0000-0000-0000218B0000}"/>
    <cellStyle name="Normal 121 3" xfId="35635" xr:uid="{00000000-0005-0000-0000-0000228B0000}"/>
    <cellStyle name="Normal 121 3 2" xfId="35636" xr:uid="{00000000-0005-0000-0000-0000238B0000}"/>
    <cellStyle name="Normal 121 4" xfId="35637" xr:uid="{00000000-0005-0000-0000-0000248B0000}"/>
    <cellStyle name="Normal 122" xfId="35638" xr:uid="{00000000-0005-0000-0000-0000258B0000}"/>
    <cellStyle name="Normal 122 2" xfId="35639" xr:uid="{00000000-0005-0000-0000-0000268B0000}"/>
    <cellStyle name="Normal 122 2 2" xfId="35640" xr:uid="{00000000-0005-0000-0000-0000278B0000}"/>
    <cellStyle name="Normal 122 3" xfId="35641" xr:uid="{00000000-0005-0000-0000-0000288B0000}"/>
    <cellStyle name="Normal 122 3 2" xfId="35642" xr:uid="{00000000-0005-0000-0000-0000298B0000}"/>
    <cellStyle name="Normal 122 4" xfId="35643" xr:uid="{00000000-0005-0000-0000-00002A8B0000}"/>
    <cellStyle name="Normal 123" xfId="35644" xr:uid="{00000000-0005-0000-0000-00002B8B0000}"/>
    <cellStyle name="Normal 123 2" xfId="35645" xr:uid="{00000000-0005-0000-0000-00002C8B0000}"/>
    <cellStyle name="Normal 123 2 2" xfId="35646" xr:uid="{00000000-0005-0000-0000-00002D8B0000}"/>
    <cellStyle name="Normal 123 3" xfId="35647" xr:uid="{00000000-0005-0000-0000-00002E8B0000}"/>
    <cellStyle name="Normal 123 3 2" xfId="35648" xr:uid="{00000000-0005-0000-0000-00002F8B0000}"/>
    <cellStyle name="Normal 123 4" xfId="35649" xr:uid="{00000000-0005-0000-0000-0000308B0000}"/>
    <cellStyle name="Normal 124" xfId="35650" xr:uid="{00000000-0005-0000-0000-0000318B0000}"/>
    <cellStyle name="Normal 124 2" xfId="35651" xr:uid="{00000000-0005-0000-0000-0000328B0000}"/>
    <cellStyle name="Normal 124 2 2" xfId="35652" xr:uid="{00000000-0005-0000-0000-0000338B0000}"/>
    <cellStyle name="Normal 124 3" xfId="35653" xr:uid="{00000000-0005-0000-0000-0000348B0000}"/>
    <cellStyle name="Normal 124 3 2" xfId="35654" xr:uid="{00000000-0005-0000-0000-0000358B0000}"/>
    <cellStyle name="Normal 124 4" xfId="35655" xr:uid="{00000000-0005-0000-0000-0000368B0000}"/>
    <cellStyle name="Normal 125" xfId="35656" xr:uid="{00000000-0005-0000-0000-0000378B0000}"/>
    <cellStyle name="Normal 125 2" xfId="35657" xr:uid="{00000000-0005-0000-0000-0000388B0000}"/>
    <cellStyle name="Normal 125 2 2" xfId="35658" xr:uid="{00000000-0005-0000-0000-0000398B0000}"/>
    <cellStyle name="Normal 125 3" xfId="35659" xr:uid="{00000000-0005-0000-0000-00003A8B0000}"/>
    <cellStyle name="Normal 125 3 2" xfId="35660" xr:uid="{00000000-0005-0000-0000-00003B8B0000}"/>
    <cellStyle name="Normal 125 4" xfId="35661" xr:uid="{00000000-0005-0000-0000-00003C8B0000}"/>
    <cellStyle name="Normal 126" xfId="35662" xr:uid="{00000000-0005-0000-0000-00003D8B0000}"/>
    <cellStyle name="Normal 126 2" xfId="35663" xr:uid="{00000000-0005-0000-0000-00003E8B0000}"/>
    <cellStyle name="Normal 126 2 2" xfId="35664" xr:uid="{00000000-0005-0000-0000-00003F8B0000}"/>
    <cellStyle name="Normal 126 3" xfId="35665" xr:uid="{00000000-0005-0000-0000-0000408B0000}"/>
    <cellStyle name="Normal 126 3 2" xfId="35666" xr:uid="{00000000-0005-0000-0000-0000418B0000}"/>
    <cellStyle name="Normal 126 4" xfId="35667" xr:uid="{00000000-0005-0000-0000-0000428B0000}"/>
    <cellStyle name="Normal 127" xfId="35668" xr:uid="{00000000-0005-0000-0000-0000438B0000}"/>
    <cellStyle name="Normal 127 2" xfId="35669" xr:uid="{00000000-0005-0000-0000-0000448B0000}"/>
    <cellStyle name="Normal 127 2 2" xfId="35670" xr:uid="{00000000-0005-0000-0000-0000458B0000}"/>
    <cellStyle name="Normal 127 3" xfId="35671" xr:uid="{00000000-0005-0000-0000-0000468B0000}"/>
    <cellStyle name="Normal 127 3 2" xfId="35672" xr:uid="{00000000-0005-0000-0000-0000478B0000}"/>
    <cellStyle name="Normal 127 4" xfId="35673" xr:uid="{00000000-0005-0000-0000-0000488B0000}"/>
    <cellStyle name="Normal 128" xfId="35674" xr:uid="{00000000-0005-0000-0000-0000498B0000}"/>
    <cellStyle name="Normal 128 2" xfId="35675" xr:uid="{00000000-0005-0000-0000-00004A8B0000}"/>
    <cellStyle name="Normal 128 2 2" xfId="35676" xr:uid="{00000000-0005-0000-0000-00004B8B0000}"/>
    <cellStyle name="Normal 128 3" xfId="35677" xr:uid="{00000000-0005-0000-0000-00004C8B0000}"/>
    <cellStyle name="Normal 128 3 2" xfId="35678" xr:uid="{00000000-0005-0000-0000-00004D8B0000}"/>
    <cellStyle name="Normal 128 4" xfId="35679" xr:uid="{00000000-0005-0000-0000-00004E8B0000}"/>
    <cellStyle name="Normal 129" xfId="35680" xr:uid="{00000000-0005-0000-0000-00004F8B0000}"/>
    <cellStyle name="Normal 13" xfId="35681" xr:uid="{00000000-0005-0000-0000-0000508B0000}"/>
    <cellStyle name="Normal 13 2" xfId="35682" xr:uid="{00000000-0005-0000-0000-0000518B0000}"/>
    <cellStyle name="Normal 13 2 2" xfId="35683" xr:uid="{00000000-0005-0000-0000-0000528B0000}"/>
    <cellStyle name="Normal 13 2 3" xfId="35684" xr:uid="{00000000-0005-0000-0000-0000538B0000}"/>
    <cellStyle name="Normal 13 2 4" xfId="35685" xr:uid="{00000000-0005-0000-0000-0000548B0000}"/>
    <cellStyle name="Normal 13 2 5" xfId="35686" xr:uid="{00000000-0005-0000-0000-0000558B0000}"/>
    <cellStyle name="Normal 13 2 6" xfId="35687" xr:uid="{00000000-0005-0000-0000-0000568B0000}"/>
    <cellStyle name="Normal 13 2 7" xfId="35688" xr:uid="{00000000-0005-0000-0000-0000578B0000}"/>
    <cellStyle name="Normal 13 3" xfId="35689" xr:uid="{00000000-0005-0000-0000-0000588B0000}"/>
    <cellStyle name="Normal 13 4" xfId="35690" xr:uid="{00000000-0005-0000-0000-0000598B0000}"/>
    <cellStyle name="Normal 13 5" xfId="35691" xr:uid="{00000000-0005-0000-0000-00005A8B0000}"/>
    <cellStyle name="Normal 13 5 2" xfId="35692" xr:uid="{00000000-0005-0000-0000-00005B8B0000}"/>
    <cellStyle name="Normal 13 5 2 2" xfId="35693" xr:uid="{00000000-0005-0000-0000-00005C8B0000}"/>
    <cellStyle name="Normal 13 5 2 2 2" xfId="35694" xr:uid="{00000000-0005-0000-0000-00005D8B0000}"/>
    <cellStyle name="Normal 13 6" xfId="35695" xr:uid="{00000000-0005-0000-0000-00005E8B0000}"/>
    <cellStyle name="Normal 13 6 2" xfId="35696" xr:uid="{00000000-0005-0000-0000-00005F8B0000}"/>
    <cellStyle name="Normal 13 6 2 2" xfId="35697" xr:uid="{00000000-0005-0000-0000-0000608B0000}"/>
    <cellStyle name="Normal 13 6 3" xfId="35698" xr:uid="{00000000-0005-0000-0000-0000618B0000}"/>
    <cellStyle name="Normal 13 6 3 2" xfId="35699" xr:uid="{00000000-0005-0000-0000-0000628B0000}"/>
    <cellStyle name="Normal 13 6 4" xfId="35700" xr:uid="{00000000-0005-0000-0000-0000638B0000}"/>
    <cellStyle name="Normal 130" xfId="35701" xr:uid="{00000000-0005-0000-0000-0000648B0000}"/>
    <cellStyle name="Normal 131" xfId="35702" xr:uid="{00000000-0005-0000-0000-0000658B0000}"/>
    <cellStyle name="Normal 132" xfId="35703" xr:uid="{00000000-0005-0000-0000-0000668B0000}"/>
    <cellStyle name="Normal 133" xfId="35704" xr:uid="{00000000-0005-0000-0000-0000678B0000}"/>
    <cellStyle name="Normal 134" xfId="35705" xr:uid="{00000000-0005-0000-0000-0000688B0000}"/>
    <cellStyle name="Normal 135" xfId="35706" xr:uid="{00000000-0005-0000-0000-0000698B0000}"/>
    <cellStyle name="Normal 136" xfId="35707" xr:uid="{00000000-0005-0000-0000-00006A8B0000}"/>
    <cellStyle name="Normal 137" xfId="35708" xr:uid="{00000000-0005-0000-0000-00006B8B0000}"/>
    <cellStyle name="Normal 138" xfId="35709" xr:uid="{00000000-0005-0000-0000-00006C8B0000}"/>
    <cellStyle name="Normal 139" xfId="35710" xr:uid="{00000000-0005-0000-0000-00006D8B0000}"/>
    <cellStyle name="Normal 139 2" xfId="35711" xr:uid="{00000000-0005-0000-0000-00006E8B0000}"/>
    <cellStyle name="Normal 139 3" xfId="35712" xr:uid="{00000000-0005-0000-0000-00006F8B0000}"/>
    <cellStyle name="Normal 139 4" xfId="35713" xr:uid="{00000000-0005-0000-0000-0000708B0000}"/>
    <cellStyle name="Normal 139 5" xfId="35714" xr:uid="{00000000-0005-0000-0000-0000718B0000}"/>
    <cellStyle name="Normal 14" xfId="35715" xr:uid="{00000000-0005-0000-0000-0000728B0000}"/>
    <cellStyle name="Normal 14 2" xfId="35716" xr:uid="{00000000-0005-0000-0000-0000738B0000}"/>
    <cellStyle name="Normal 14 2 2" xfId="35717" xr:uid="{00000000-0005-0000-0000-0000748B0000}"/>
    <cellStyle name="Normal 14 2 3" xfId="35718" xr:uid="{00000000-0005-0000-0000-0000758B0000}"/>
    <cellStyle name="Normal 14 2 4" xfId="35719" xr:uid="{00000000-0005-0000-0000-0000768B0000}"/>
    <cellStyle name="Normal 14 3" xfId="35720" xr:uid="{00000000-0005-0000-0000-0000778B0000}"/>
    <cellStyle name="Normal 14 4" xfId="35721" xr:uid="{00000000-0005-0000-0000-0000788B0000}"/>
    <cellStyle name="Normal 14 5" xfId="35722" xr:uid="{00000000-0005-0000-0000-0000798B0000}"/>
    <cellStyle name="Normal 140" xfId="35723" xr:uid="{00000000-0005-0000-0000-00007A8B0000}"/>
    <cellStyle name="Normal 140 2" xfId="35724" xr:uid="{00000000-0005-0000-0000-00007B8B0000}"/>
    <cellStyle name="Normal 141" xfId="35725" xr:uid="{00000000-0005-0000-0000-00007C8B0000}"/>
    <cellStyle name="Normal 141 2" xfId="35726" xr:uid="{00000000-0005-0000-0000-00007D8B0000}"/>
    <cellStyle name="Normal 141 2 2" xfId="35727" xr:uid="{00000000-0005-0000-0000-00007E8B0000}"/>
    <cellStyle name="Normal 141 2 2 2" xfId="35728" xr:uid="{00000000-0005-0000-0000-00007F8B0000}"/>
    <cellStyle name="Normal 141 2 2 2 2" xfId="35729" xr:uid="{00000000-0005-0000-0000-0000808B0000}"/>
    <cellStyle name="Normal 141 2 2 3" xfId="35730" xr:uid="{00000000-0005-0000-0000-0000818B0000}"/>
    <cellStyle name="Normal 141 2 2 3 2" xfId="35731" xr:uid="{00000000-0005-0000-0000-0000828B0000}"/>
    <cellStyle name="Normal 141 2 2 4" xfId="35732" xr:uid="{00000000-0005-0000-0000-0000838B0000}"/>
    <cellStyle name="Normal 142" xfId="35733" xr:uid="{00000000-0005-0000-0000-0000848B0000}"/>
    <cellStyle name="Normal 143" xfId="35734" xr:uid="{00000000-0005-0000-0000-0000858B0000}"/>
    <cellStyle name="Normal 143 2" xfId="35735" xr:uid="{00000000-0005-0000-0000-0000868B0000}"/>
    <cellStyle name="Normal 144" xfId="35736" xr:uid="{00000000-0005-0000-0000-0000878B0000}"/>
    <cellStyle name="Normal 145" xfId="35737" xr:uid="{00000000-0005-0000-0000-0000888B0000}"/>
    <cellStyle name="Normal 146" xfId="35738" xr:uid="{00000000-0005-0000-0000-0000898B0000}"/>
    <cellStyle name="Normal 147" xfId="35739" xr:uid="{00000000-0005-0000-0000-00008A8B0000}"/>
    <cellStyle name="Normal 147 2" xfId="35740" xr:uid="{00000000-0005-0000-0000-00008B8B0000}"/>
    <cellStyle name="Normal 148" xfId="35741" xr:uid="{00000000-0005-0000-0000-00008C8B0000}"/>
    <cellStyle name="Normal 149" xfId="35742" xr:uid="{00000000-0005-0000-0000-00008D8B0000}"/>
    <cellStyle name="Normal 15" xfId="35743" xr:uid="{00000000-0005-0000-0000-00008E8B0000}"/>
    <cellStyle name="Normal 15 2" xfId="35744" xr:uid="{00000000-0005-0000-0000-00008F8B0000}"/>
    <cellStyle name="Normal 15 2 2" xfId="35745" xr:uid="{00000000-0005-0000-0000-0000908B0000}"/>
    <cellStyle name="Normal 15 2 3" xfId="35746" xr:uid="{00000000-0005-0000-0000-0000918B0000}"/>
    <cellStyle name="Normal 15 2 4" xfId="35747" xr:uid="{00000000-0005-0000-0000-0000928B0000}"/>
    <cellStyle name="Normal 15 3" xfId="35748" xr:uid="{00000000-0005-0000-0000-0000938B0000}"/>
    <cellStyle name="Normal 15 4" xfId="35749" xr:uid="{00000000-0005-0000-0000-0000948B0000}"/>
    <cellStyle name="Normal 15 5" xfId="35750" xr:uid="{00000000-0005-0000-0000-0000958B0000}"/>
    <cellStyle name="Normal 150" xfId="35751" xr:uid="{00000000-0005-0000-0000-0000968B0000}"/>
    <cellStyle name="Normal 151" xfId="35752" xr:uid="{00000000-0005-0000-0000-0000978B0000}"/>
    <cellStyle name="Normal 152" xfId="35753" xr:uid="{00000000-0005-0000-0000-0000988B0000}"/>
    <cellStyle name="Normal 153" xfId="35754" xr:uid="{00000000-0005-0000-0000-0000998B0000}"/>
    <cellStyle name="Normal 153 2" xfId="35755" xr:uid="{00000000-0005-0000-0000-00009A8B0000}"/>
    <cellStyle name="Normal 154" xfId="35756" xr:uid="{00000000-0005-0000-0000-00009B8B0000}"/>
    <cellStyle name="Normal 155" xfId="35757" xr:uid="{00000000-0005-0000-0000-00009C8B0000}"/>
    <cellStyle name="Normal 156" xfId="35758" xr:uid="{00000000-0005-0000-0000-00009D8B0000}"/>
    <cellStyle name="Normal 156 2" xfId="35759" xr:uid="{00000000-0005-0000-0000-00009E8B0000}"/>
    <cellStyle name="Normal 157" xfId="35760" xr:uid="{00000000-0005-0000-0000-00009F8B0000}"/>
    <cellStyle name="Normal 157 2" xfId="35761" xr:uid="{00000000-0005-0000-0000-0000A08B0000}"/>
    <cellStyle name="Normal 158" xfId="35762" xr:uid="{00000000-0005-0000-0000-0000A18B0000}"/>
    <cellStyle name="Normal 158 2" xfId="35763" xr:uid="{00000000-0005-0000-0000-0000A28B0000}"/>
    <cellStyle name="Normal 159" xfId="35764" xr:uid="{00000000-0005-0000-0000-0000A38B0000}"/>
    <cellStyle name="Normal 159 2" xfId="35765" xr:uid="{00000000-0005-0000-0000-0000A48B0000}"/>
    <cellStyle name="Normal 159 2 2" xfId="35766" xr:uid="{00000000-0005-0000-0000-0000A58B0000}"/>
    <cellStyle name="Normal 159 3" xfId="35767" xr:uid="{00000000-0005-0000-0000-0000A68B0000}"/>
    <cellStyle name="Normal 159 3 2" xfId="35768" xr:uid="{00000000-0005-0000-0000-0000A78B0000}"/>
    <cellStyle name="Normal 159 4" xfId="35769" xr:uid="{00000000-0005-0000-0000-0000A88B0000}"/>
    <cellStyle name="Normal 159 5" xfId="35770" xr:uid="{00000000-0005-0000-0000-0000A98B0000}"/>
    <cellStyle name="Normal 16" xfId="35771" xr:uid="{00000000-0005-0000-0000-0000AA8B0000}"/>
    <cellStyle name="Normal 16 10" xfId="35772" xr:uid="{00000000-0005-0000-0000-0000AB8B0000}"/>
    <cellStyle name="Normal 16 11" xfId="35773" xr:uid="{00000000-0005-0000-0000-0000AC8B0000}"/>
    <cellStyle name="Normal 16 12" xfId="35774" xr:uid="{00000000-0005-0000-0000-0000AD8B0000}"/>
    <cellStyle name="Normal 16 13" xfId="35775" xr:uid="{00000000-0005-0000-0000-0000AE8B0000}"/>
    <cellStyle name="Normal 16 14" xfId="35776" xr:uid="{00000000-0005-0000-0000-0000AF8B0000}"/>
    <cellStyle name="Normal 16 15" xfId="35777" xr:uid="{00000000-0005-0000-0000-0000B08B0000}"/>
    <cellStyle name="Normal 16 16" xfId="35778" xr:uid="{00000000-0005-0000-0000-0000B18B0000}"/>
    <cellStyle name="Normal 16 17" xfId="35779" xr:uid="{00000000-0005-0000-0000-0000B28B0000}"/>
    <cellStyle name="Normal 16 18" xfId="35780" xr:uid="{00000000-0005-0000-0000-0000B38B0000}"/>
    <cellStyle name="Normal 16 19" xfId="35781" xr:uid="{00000000-0005-0000-0000-0000B48B0000}"/>
    <cellStyle name="Normal 16 2" xfId="35782" xr:uid="{00000000-0005-0000-0000-0000B58B0000}"/>
    <cellStyle name="Normal 16 2 10" xfId="35783" xr:uid="{00000000-0005-0000-0000-0000B68B0000}"/>
    <cellStyle name="Normal 16 2 11" xfId="35784" xr:uid="{00000000-0005-0000-0000-0000B78B0000}"/>
    <cellStyle name="Normal 16 2 12" xfId="35785" xr:uid="{00000000-0005-0000-0000-0000B88B0000}"/>
    <cellStyle name="Normal 16 2 13" xfId="35786" xr:uid="{00000000-0005-0000-0000-0000B98B0000}"/>
    <cellStyle name="Normal 16 2 14" xfId="35787" xr:uid="{00000000-0005-0000-0000-0000BA8B0000}"/>
    <cellStyle name="Normal 16 2 15" xfId="35788" xr:uid="{00000000-0005-0000-0000-0000BB8B0000}"/>
    <cellStyle name="Normal 16 2 16" xfId="35789" xr:uid="{00000000-0005-0000-0000-0000BC8B0000}"/>
    <cellStyle name="Normal 16 2 17" xfId="35790" xr:uid="{00000000-0005-0000-0000-0000BD8B0000}"/>
    <cellStyle name="Normal 16 2 18" xfId="35791" xr:uid="{00000000-0005-0000-0000-0000BE8B0000}"/>
    <cellStyle name="Normal 16 2 19" xfId="35792" xr:uid="{00000000-0005-0000-0000-0000BF8B0000}"/>
    <cellStyle name="Normal 16 2 2" xfId="35793" xr:uid="{00000000-0005-0000-0000-0000C08B0000}"/>
    <cellStyle name="Normal 16 2 20" xfId="35794" xr:uid="{00000000-0005-0000-0000-0000C18B0000}"/>
    <cellStyle name="Normal 16 2 21" xfId="35795" xr:uid="{00000000-0005-0000-0000-0000C28B0000}"/>
    <cellStyle name="Normal 16 2 22" xfId="35796" xr:uid="{00000000-0005-0000-0000-0000C38B0000}"/>
    <cellStyle name="Normal 16 2 3" xfId="35797" xr:uid="{00000000-0005-0000-0000-0000C48B0000}"/>
    <cellStyle name="Normal 16 2 4" xfId="35798" xr:uid="{00000000-0005-0000-0000-0000C58B0000}"/>
    <cellStyle name="Normal 16 2 5" xfId="35799" xr:uid="{00000000-0005-0000-0000-0000C68B0000}"/>
    <cellStyle name="Normal 16 2 6" xfId="35800" xr:uid="{00000000-0005-0000-0000-0000C78B0000}"/>
    <cellStyle name="Normal 16 2 7" xfId="35801" xr:uid="{00000000-0005-0000-0000-0000C88B0000}"/>
    <cellStyle name="Normal 16 2 8" xfId="35802" xr:uid="{00000000-0005-0000-0000-0000C98B0000}"/>
    <cellStyle name="Normal 16 2 9" xfId="35803" xr:uid="{00000000-0005-0000-0000-0000CA8B0000}"/>
    <cellStyle name="Normal 16 20" xfId="35804" xr:uid="{00000000-0005-0000-0000-0000CB8B0000}"/>
    <cellStyle name="Normal 16 21" xfId="35805" xr:uid="{00000000-0005-0000-0000-0000CC8B0000}"/>
    <cellStyle name="Normal 16 22" xfId="35806" xr:uid="{00000000-0005-0000-0000-0000CD8B0000}"/>
    <cellStyle name="Normal 16 23" xfId="35807" xr:uid="{00000000-0005-0000-0000-0000CE8B0000}"/>
    <cellStyle name="Normal 16 24" xfId="35808" xr:uid="{00000000-0005-0000-0000-0000CF8B0000}"/>
    <cellStyle name="Normal 16 25" xfId="35809" xr:uid="{00000000-0005-0000-0000-0000D08B0000}"/>
    <cellStyle name="Normal 16 26" xfId="35810" xr:uid="{00000000-0005-0000-0000-0000D18B0000}"/>
    <cellStyle name="Normal 16 27" xfId="35811" xr:uid="{00000000-0005-0000-0000-0000D28B0000}"/>
    <cellStyle name="Normal 16 28" xfId="35812" xr:uid="{00000000-0005-0000-0000-0000D38B0000}"/>
    <cellStyle name="Normal 16 29" xfId="35813" xr:uid="{00000000-0005-0000-0000-0000D48B0000}"/>
    <cellStyle name="Normal 16 3" xfId="35814" xr:uid="{00000000-0005-0000-0000-0000D58B0000}"/>
    <cellStyle name="Normal 16 30" xfId="35815" xr:uid="{00000000-0005-0000-0000-0000D68B0000}"/>
    <cellStyle name="Normal 16 31" xfId="35816" xr:uid="{00000000-0005-0000-0000-0000D78B0000}"/>
    <cellStyle name="Normal 16 32" xfId="35817" xr:uid="{00000000-0005-0000-0000-0000D88B0000}"/>
    <cellStyle name="Normal 16 33" xfId="35818" xr:uid="{00000000-0005-0000-0000-0000D98B0000}"/>
    <cellStyle name="Normal 16 34" xfId="35819" xr:uid="{00000000-0005-0000-0000-0000DA8B0000}"/>
    <cellStyle name="Normal 16 35" xfId="35820" xr:uid="{00000000-0005-0000-0000-0000DB8B0000}"/>
    <cellStyle name="Normal 16 36" xfId="35821" xr:uid="{00000000-0005-0000-0000-0000DC8B0000}"/>
    <cellStyle name="Normal 16 37" xfId="35822" xr:uid="{00000000-0005-0000-0000-0000DD8B0000}"/>
    <cellStyle name="Normal 16 38" xfId="35823" xr:uid="{00000000-0005-0000-0000-0000DE8B0000}"/>
    <cellStyle name="Normal 16 4" xfId="35824" xr:uid="{00000000-0005-0000-0000-0000DF8B0000}"/>
    <cellStyle name="Normal 16 5" xfId="35825" xr:uid="{00000000-0005-0000-0000-0000E08B0000}"/>
    <cellStyle name="Normal 16 6" xfId="35826" xr:uid="{00000000-0005-0000-0000-0000E18B0000}"/>
    <cellStyle name="Normal 16 7" xfId="35827" xr:uid="{00000000-0005-0000-0000-0000E28B0000}"/>
    <cellStyle name="Normal 16 8" xfId="35828" xr:uid="{00000000-0005-0000-0000-0000E38B0000}"/>
    <cellStyle name="Normal 16 9" xfId="35829" xr:uid="{00000000-0005-0000-0000-0000E48B0000}"/>
    <cellStyle name="Normal 160" xfId="35830" xr:uid="{00000000-0005-0000-0000-0000E58B0000}"/>
    <cellStyle name="Normal 161" xfId="35831" xr:uid="{00000000-0005-0000-0000-0000E68B0000}"/>
    <cellStyle name="Normal 162" xfId="35832" xr:uid="{00000000-0005-0000-0000-0000E78B0000}"/>
    <cellStyle name="Normal 163" xfId="35833" xr:uid="{00000000-0005-0000-0000-0000E88B0000}"/>
    <cellStyle name="Normal 164" xfId="35834" xr:uid="{00000000-0005-0000-0000-0000E98B0000}"/>
    <cellStyle name="Normal 165" xfId="35835" xr:uid="{00000000-0005-0000-0000-0000EA8B0000}"/>
    <cellStyle name="Normal 166" xfId="35836" xr:uid="{00000000-0005-0000-0000-0000EB8B0000}"/>
    <cellStyle name="Normal 167" xfId="35837" xr:uid="{00000000-0005-0000-0000-0000EC8B0000}"/>
    <cellStyle name="Normal 168" xfId="35838" xr:uid="{00000000-0005-0000-0000-0000ED8B0000}"/>
    <cellStyle name="Normal 169" xfId="35839" xr:uid="{00000000-0005-0000-0000-0000EE8B0000}"/>
    <cellStyle name="Normal 17" xfId="35840" xr:uid="{00000000-0005-0000-0000-0000EF8B0000}"/>
    <cellStyle name="Normal 17 10" xfId="35841" xr:uid="{00000000-0005-0000-0000-0000F08B0000}"/>
    <cellStyle name="Normal 17 11" xfId="35842" xr:uid="{00000000-0005-0000-0000-0000F18B0000}"/>
    <cellStyle name="Normal 17 12" xfId="35843" xr:uid="{00000000-0005-0000-0000-0000F28B0000}"/>
    <cellStyle name="Normal 17 13" xfId="35844" xr:uid="{00000000-0005-0000-0000-0000F38B0000}"/>
    <cellStyle name="Normal 17 14" xfId="35845" xr:uid="{00000000-0005-0000-0000-0000F48B0000}"/>
    <cellStyle name="Normal 17 15" xfId="35846" xr:uid="{00000000-0005-0000-0000-0000F58B0000}"/>
    <cellStyle name="Normal 17 16" xfId="35847" xr:uid="{00000000-0005-0000-0000-0000F68B0000}"/>
    <cellStyle name="Normal 17 17" xfId="35848" xr:uid="{00000000-0005-0000-0000-0000F78B0000}"/>
    <cellStyle name="Normal 17 18" xfId="35849" xr:uid="{00000000-0005-0000-0000-0000F88B0000}"/>
    <cellStyle name="Normal 17 19" xfId="35850" xr:uid="{00000000-0005-0000-0000-0000F98B0000}"/>
    <cellStyle name="Normal 17 2" xfId="35851" xr:uid="{00000000-0005-0000-0000-0000FA8B0000}"/>
    <cellStyle name="Normal 17 2 10" xfId="35852" xr:uid="{00000000-0005-0000-0000-0000FB8B0000}"/>
    <cellStyle name="Normal 17 2 11" xfId="35853" xr:uid="{00000000-0005-0000-0000-0000FC8B0000}"/>
    <cellStyle name="Normal 17 2 12" xfId="35854" xr:uid="{00000000-0005-0000-0000-0000FD8B0000}"/>
    <cellStyle name="Normal 17 2 13" xfId="35855" xr:uid="{00000000-0005-0000-0000-0000FE8B0000}"/>
    <cellStyle name="Normal 17 2 14" xfId="35856" xr:uid="{00000000-0005-0000-0000-0000FF8B0000}"/>
    <cellStyle name="Normal 17 2 15" xfId="35857" xr:uid="{00000000-0005-0000-0000-0000008C0000}"/>
    <cellStyle name="Normal 17 2 16" xfId="35858" xr:uid="{00000000-0005-0000-0000-0000018C0000}"/>
    <cellStyle name="Normal 17 2 17" xfId="35859" xr:uid="{00000000-0005-0000-0000-0000028C0000}"/>
    <cellStyle name="Normal 17 2 18" xfId="35860" xr:uid="{00000000-0005-0000-0000-0000038C0000}"/>
    <cellStyle name="Normal 17 2 19" xfId="35861" xr:uid="{00000000-0005-0000-0000-0000048C0000}"/>
    <cellStyle name="Normal 17 2 2" xfId="35862" xr:uid="{00000000-0005-0000-0000-0000058C0000}"/>
    <cellStyle name="Normal 17 2 20" xfId="35863" xr:uid="{00000000-0005-0000-0000-0000068C0000}"/>
    <cellStyle name="Normal 17 2 3" xfId="35864" xr:uid="{00000000-0005-0000-0000-0000078C0000}"/>
    <cellStyle name="Normal 17 2 4" xfId="35865" xr:uid="{00000000-0005-0000-0000-0000088C0000}"/>
    <cellStyle name="Normal 17 2 5" xfId="35866" xr:uid="{00000000-0005-0000-0000-0000098C0000}"/>
    <cellStyle name="Normal 17 2 6" xfId="35867" xr:uid="{00000000-0005-0000-0000-00000A8C0000}"/>
    <cellStyle name="Normal 17 2 7" xfId="35868" xr:uid="{00000000-0005-0000-0000-00000B8C0000}"/>
    <cellStyle name="Normal 17 2 8" xfId="35869" xr:uid="{00000000-0005-0000-0000-00000C8C0000}"/>
    <cellStyle name="Normal 17 2 9" xfId="35870" xr:uid="{00000000-0005-0000-0000-00000D8C0000}"/>
    <cellStyle name="Normal 17 20" xfId="35871" xr:uid="{00000000-0005-0000-0000-00000E8C0000}"/>
    <cellStyle name="Normal 17 21" xfId="35872" xr:uid="{00000000-0005-0000-0000-00000F8C0000}"/>
    <cellStyle name="Normal 17 22" xfId="35873" xr:uid="{00000000-0005-0000-0000-0000108C0000}"/>
    <cellStyle name="Normal 17 23" xfId="35874" xr:uid="{00000000-0005-0000-0000-0000118C0000}"/>
    <cellStyle name="Normal 17 24" xfId="35875" xr:uid="{00000000-0005-0000-0000-0000128C0000}"/>
    <cellStyle name="Normal 17 25" xfId="35876" xr:uid="{00000000-0005-0000-0000-0000138C0000}"/>
    <cellStyle name="Normal 17 26" xfId="35877" xr:uid="{00000000-0005-0000-0000-0000148C0000}"/>
    <cellStyle name="Normal 17 27" xfId="35878" xr:uid="{00000000-0005-0000-0000-0000158C0000}"/>
    <cellStyle name="Normal 17 28" xfId="35879" xr:uid="{00000000-0005-0000-0000-0000168C0000}"/>
    <cellStyle name="Normal 17 29" xfId="35880" xr:uid="{00000000-0005-0000-0000-0000178C0000}"/>
    <cellStyle name="Normal 17 3" xfId="35881" xr:uid="{00000000-0005-0000-0000-0000188C0000}"/>
    <cellStyle name="Normal 17 30" xfId="35882" xr:uid="{00000000-0005-0000-0000-0000198C0000}"/>
    <cellStyle name="Normal 17 31" xfId="35883" xr:uid="{00000000-0005-0000-0000-00001A8C0000}"/>
    <cellStyle name="Normal 17 32" xfId="35884" xr:uid="{00000000-0005-0000-0000-00001B8C0000}"/>
    <cellStyle name="Normal 17 33" xfId="35885" xr:uid="{00000000-0005-0000-0000-00001C8C0000}"/>
    <cellStyle name="Normal 17 34" xfId="35886" xr:uid="{00000000-0005-0000-0000-00001D8C0000}"/>
    <cellStyle name="Normal 17 35" xfId="35887" xr:uid="{00000000-0005-0000-0000-00001E8C0000}"/>
    <cellStyle name="Normal 17 36" xfId="35888" xr:uid="{00000000-0005-0000-0000-00001F8C0000}"/>
    <cellStyle name="Normal 17 4" xfId="35889" xr:uid="{00000000-0005-0000-0000-0000208C0000}"/>
    <cellStyle name="Normal 17 5" xfId="35890" xr:uid="{00000000-0005-0000-0000-0000218C0000}"/>
    <cellStyle name="Normal 17 6" xfId="35891" xr:uid="{00000000-0005-0000-0000-0000228C0000}"/>
    <cellStyle name="Normal 17 7" xfId="35892" xr:uid="{00000000-0005-0000-0000-0000238C0000}"/>
    <cellStyle name="Normal 17 8" xfId="35893" xr:uid="{00000000-0005-0000-0000-0000248C0000}"/>
    <cellStyle name="Normal 17 9" xfId="35894" xr:uid="{00000000-0005-0000-0000-0000258C0000}"/>
    <cellStyle name="Normal 17_Belker-InternalTrade" xfId="35895" xr:uid="{00000000-0005-0000-0000-0000268C0000}"/>
    <cellStyle name="Normal 170" xfId="35896" xr:uid="{00000000-0005-0000-0000-0000278C0000}"/>
    <cellStyle name="Normal 171" xfId="35897" xr:uid="{00000000-0005-0000-0000-0000288C0000}"/>
    <cellStyle name="Normal 172" xfId="35898" xr:uid="{00000000-0005-0000-0000-0000298C0000}"/>
    <cellStyle name="Normal 173" xfId="35899" xr:uid="{00000000-0005-0000-0000-00002A8C0000}"/>
    <cellStyle name="Normal 174" xfId="35900" xr:uid="{00000000-0005-0000-0000-00002B8C0000}"/>
    <cellStyle name="Normal 175" xfId="35901" xr:uid="{00000000-0005-0000-0000-00002C8C0000}"/>
    <cellStyle name="Normal 176" xfId="35902" xr:uid="{00000000-0005-0000-0000-00002D8C0000}"/>
    <cellStyle name="Normal 177" xfId="35903" xr:uid="{00000000-0005-0000-0000-00002E8C0000}"/>
    <cellStyle name="Normal 178" xfId="35904" xr:uid="{00000000-0005-0000-0000-00002F8C0000}"/>
    <cellStyle name="Normal 179" xfId="35905" xr:uid="{00000000-0005-0000-0000-0000308C0000}"/>
    <cellStyle name="Normal 18" xfId="35906" xr:uid="{00000000-0005-0000-0000-0000318C0000}"/>
    <cellStyle name="Normal 18 10" xfId="35907" xr:uid="{00000000-0005-0000-0000-0000328C0000}"/>
    <cellStyle name="Normal 18 11" xfId="35908" xr:uid="{00000000-0005-0000-0000-0000338C0000}"/>
    <cellStyle name="Normal 18 12" xfId="35909" xr:uid="{00000000-0005-0000-0000-0000348C0000}"/>
    <cellStyle name="Normal 18 13" xfId="35910" xr:uid="{00000000-0005-0000-0000-0000358C0000}"/>
    <cellStyle name="Normal 18 14" xfId="35911" xr:uid="{00000000-0005-0000-0000-0000368C0000}"/>
    <cellStyle name="Normal 18 15" xfId="35912" xr:uid="{00000000-0005-0000-0000-0000378C0000}"/>
    <cellStyle name="Normal 18 16" xfId="35913" xr:uid="{00000000-0005-0000-0000-0000388C0000}"/>
    <cellStyle name="Normal 18 17" xfId="35914" xr:uid="{00000000-0005-0000-0000-0000398C0000}"/>
    <cellStyle name="Normal 18 18" xfId="35915" xr:uid="{00000000-0005-0000-0000-00003A8C0000}"/>
    <cellStyle name="Normal 18 19" xfId="35916" xr:uid="{00000000-0005-0000-0000-00003B8C0000}"/>
    <cellStyle name="Normal 18 2" xfId="35917" xr:uid="{00000000-0005-0000-0000-00003C8C0000}"/>
    <cellStyle name="Normal 18 2 10" xfId="35918" xr:uid="{00000000-0005-0000-0000-00003D8C0000}"/>
    <cellStyle name="Normal 18 2 11" xfId="35919" xr:uid="{00000000-0005-0000-0000-00003E8C0000}"/>
    <cellStyle name="Normal 18 2 12" xfId="35920" xr:uid="{00000000-0005-0000-0000-00003F8C0000}"/>
    <cellStyle name="Normal 18 2 13" xfId="35921" xr:uid="{00000000-0005-0000-0000-0000408C0000}"/>
    <cellStyle name="Normal 18 2 14" xfId="35922" xr:uid="{00000000-0005-0000-0000-0000418C0000}"/>
    <cellStyle name="Normal 18 2 15" xfId="35923" xr:uid="{00000000-0005-0000-0000-0000428C0000}"/>
    <cellStyle name="Normal 18 2 16" xfId="35924" xr:uid="{00000000-0005-0000-0000-0000438C0000}"/>
    <cellStyle name="Normal 18 2 17" xfId="35925" xr:uid="{00000000-0005-0000-0000-0000448C0000}"/>
    <cellStyle name="Normal 18 2 18" xfId="35926" xr:uid="{00000000-0005-0000-0000-0000458C0000}"/>
    <cellStyle name="Normal 18 2 19" xfId="35927" xr:uid="{00000000-0005-0000-0000-0000468C0000}"/>
    <cellStyle name="Normal 18 2 2" xfId="35928" xr:uid="{00000000-0005-0000-0000-0000478C0000}"/>
    <cellStyle name="Normal 18 2 20" xfId="35929" xr:uid="{00000000-0005-0000-0000-0000488C0000}"/>
    <cellStyle name="Normal 18 2 3" xfId="35930" xr:uid="{00000000-0005-0000-0000-0000498C0000}"/>
    <cellStyle name="Normal 18 2 4" xfId="35931" xr:uid="{00000000-0005-0000-0000-00004A8C0000}"/>
    <cellStyle name="Normal 18 2 5" xfId="35932" xr:uid="{00000000-0005-0000-0000-00004B8C0000}"/>
    <cellStyle name="Normal 18 2 6" xfId="35933" xr:uid="{00000000-0005-0000-0000-00004C8C0000}"/>
    <cellStyle name="Normal 18 2 7" xfId="35934" xr:uid="{00000000-0005-0000-0000-00004D8C0000}"/>
    <cellStyle name="Normal 18 2 8" xfId="35935" xr:uid="{00000000-0005-0000-0000-00004E8C0000}"/>
    <cellStyle name="Normal 18 2 9" xfId="35936" xr:uid="{00000000-0005-0000-0000-00004F8C0000}"/>
    <cellStyle name="Normal 18 20" xfId="35937" xr:uid="{00000000-0005-0000-0000-0000508C0000}"/>
    <cellStyle name="Normal 18 21" xfId="35938" xr:uid="{00000000-0005-0000-0000-0000518C0000}"/>
    <cellStyle name="Normal 18 22" xfId="35939" xr:uid="{00000000-0005-0000-0000-0000528C0000}"/>
    <cellStyle name="Normal 18 23" xfId="35940" xr:uid="{00000000-0005-0000-0000-0000538C0000}"/>
    <cellStyle name="Normal 18 24" xfId="35941" xr:uid="{00000000-0005-0000-0000-0000548C0000}"/>
    <cellStyle name="Normal 18 25" xfId="35942" xr:uid="{00000000-0005-0000-0000-0000558C0000}"/>
    <cellStyle name="Normal 18 26" xfId="35943" xr:uid="{00000000-0005-0000-0000-0000568C0000}"/>
    <cellStyle name="Normal 18 27" xfId="35944" xr:uid="{00000000-0005-0000-0000-0000578C0000}"/>
    <cellStyle name="Normal 18 28" xfId="35945" xr:uid="{00000000-0005-0000-0000-0000588C0000}"/>
    <cellStyle name="Normal 18 29" xfId="35946" xr:uid="{00000000-0005-0000-0000-0000598C0000}"/>
    <cellStyle name="Normal 18 3" xfId="35947" xr:uid="{00000000-0005-0000-0000-00005A8C0000}"/>
    <cellStyle name="Normal 18 30" xfId="35948" xr:uid="{00000000-0005-0000-0000-00005B8C0000}"/>
    <cellStyle name="Normal 18 31" xfId="35949" xr:uid="{00000000-0005-0000-0000-00005C8C0000}"/>
    <cellStyle name="Normal 18 32" xfId="35950" xr:uid="{00000000-0005-0000-0000-00005D8C0000}"/>
    <cellStyle name="Normal 18 33" xfId="35951" xr:uid="{00000000-0005-0000-0000-00005E8C0000}"/>
    <cellStyle name="Normal 18 34" xfId="35952" xr:uid="{00000000-0005-0000-0000-00005F8C0000}"/>
    <cellStyle name="Normal 18 35" xfId="35953" xr:uid="{00000000-0005-0000-0000-0000608C0000}"/>
    <cellStyle name="Normal 18 36" xfId="35954" xr:uid="{00000000-0005-0000-0000-0000618C0000}"/>
    <cellStyle name="Normal 18 4" xfId="35955" xr:uid="{00000000-0005-0000-0000-0000628C0000}"/>
    <cellStyle name="Normal 18 5" xfId="35956" xr:uid="{00000000-0005-0000-0000-0000638C0000}"/>
    <cellStyle name="Normal 18 6" xfId="35957" xr:uid="{00000000-0005-0000-0000-0000648C0000}"/>
    <cellStyle name="Normal 18 7" xfId="35958" xr:uid="{00000000-0005-0000-0000-0000658C0000}"/>
    <cellStyle name="Normal 18 8" xfId="35959" xr:uid="{00000000-0005-0000-0000-0000668C0000}"/>
    <cellStyle name="Normal 18 9" xfId="35960" xr:uid="{00000000-0005-0000-0000-0000678C0000}"/>
    <cellStyle name="Normal 180" xfId="47084" xr:uid="{00000000-0005-0000-0000-0000688C0000}"/>
    <cellStyle name="Normal 181" xfId="99" xr:uid="{00000000-0005-0000-0000-0000698C0000}"/>
    <cellStyle name="Normal 181 2" xfId="47087" xr:uid="{00000000-0005-0000-0000-00006A8C0000}"/>
    <cellStyle name="Normal 182" xfId="47086" xr:uid="{00000000-0005-0000-0000-00006B8C0000}"/>
    <cellStyle name="Normal 19" xfId="35961" xr:uid="{00000000-0005-0000-0000-00006C8C0000}"/>
    <cellStyle name="Normal 19 10" xfId="35962" xr:uid="{00000000-0005-0000-0000-00006D8C0000}"/>
    <cellStyle name="Normal 19 11" xfId="35963" xr:uid="{00000000-0005-0000-0000-00006E8C0000}"/>
    <cellStyle name="Normal 19 12" xfId="35964" xr:uid="{00000000-0005-0000-0000-00006F8C0000}"/>
    <cellStyle name="Normal 19 13" xfId="35965" xr:uid="{00000000-0005-0000-0000-0000708C0000}"/>
    <cellStyle name="Normal 19 14" xfId="35966" xr:uid="{00000000-0005-0000-0000-0000718C0000}"/>
    <cellStyle name="Normal 19 15" xfId="35967" xr:uid="{00000000-0005-0000-0000-0000728C0000}"/>
    <cellStyle name="Normal 19 16" xfId="35968" xr:uid="{00000000-0005-0000-0000-0000738C0000}"/>
    <cellStyle name="Normal 19 17" xfId="35969" xr:uid="{00000000-0005-0000-0000-0000748C0000}"/>
    <cellStyle name="Normal 19 18" xfId="35970" xr:uid="{00000000-0005-0000-0000-0000758C0000}"/>
    <cellStyle name="Normal 19 19" xfId="35971" xr:uid="{00000000-0005-0000-0000-0000768C0000}"/>
    <cellStyle name="Normal 19 2" xfId="35972" xr:uid="{00000000-0005-0000-0000-0000778C0000}"/>
    <cellStyle name="Normal 19 2 10" xfId="35973" xr:uid="{00000000-0005-0000-0000-0000788C0000}"/>
    <cellStyle name="Normal 19 2 11" xfId="35974" xr:uid="{00000000-0005-0000-0000-0000798C0000}"/>
    <cellStyle name="Normal 19 2 12" xfId="35975" xr:uid="{00000000-0005-0000-0000-00007A8C0000}"/>
    <cellStyle name="Normal 19 2 13" xfId="35976" xr:uid="{00000000-0005-0000-0000-00007B8C0000}"/>
    <cellStyle name="Normal 19 2 14" xfId="35977" xr:uid="{00000000-0005-0000-0000-00007C8C0000}"/>
    <cellStyle name="Normal 19 2 15" xfId="35978" xr:uid="{00000000-0005-0000-0000-00007D8C0000}"/>
    <cellStyle name="Normal 19 2 16" xfId="35979" xr:uid="{00000000-0005-0000-0000-00007E8C0000}"/>
    <cellStyle name="Normal 19 2 17" xfId="35980" xr:uid="{00000000-0005-0000-0000-00007F8C0000}"/>
    <cellStyle name="Normal 19 2 18" xfId="35981" xr:uid="{00000000-0005-0000-0000-0000808C0000}"/>
    <cellStyle name="Normal 19 2 19" xfId="35982" xr:uid="{00000000-0005-0000-0000-0000818C0000}"/>
    <cellStyle name="Normal 19 2 2" xfId="35983" xr:uid="{00000000-0005-0000-0000-0000828C0000}"/>
    <cellStyle name="Normal 19 2 20" xfId="35984" xr:uid="{00000000-0005-0000-0000-0000838C0000}"/>
    <cellStyle name="Normal 19 2 3" xfId="35985" xr:uid="{00000000-0005-0000-0000-0000848C0000}"/>
    <cellStyle name="Normal 19 2 4" xfId="35986" xr:uid="{00000000-0005-0000-0000-0000858C0000}"/>
    <cellStyle name="Normal 19 2 5" xfId="35987" xr:uid="{00000000-0005-0000-0000-0000868C0000}"/>
    <cellStyle name="Normal 19 2 6" xfId="35988" xr:uid="{00000000-0005-0000-0000-0000878C0000}"/>
    <cellStyle name="Normal 19 2 7" xfId="35989" xr:uid="{00000000-0005-0000-0000-0000888C0000}"/>
    <cellStyle name="Normal 19 2 8" xfId="35990" xr:uid="{00000000-0005-0000-0000-0000898C0000}"/>
    <cellStyle name="Normal 19 2 9" xfId="35991" xr:uid="{00000000-0005-0000-0000-00008A8C0000}"/>
    <cellStyle name="Normal 19 20" xfId="35992" xr:uid="{00000000-0005-0000-0000-00008B8C0000}"/>
    <cellStyle name="Normal 19 21" xfId="35993" xr:uid="{00000000-0005-0000-0000-00008C8C0000}"/>
    <cellStyle name="Normal 19 22" xfId="35994" xr:uid="{00000000-0005-0000-0000-00008D8C0000}"/>
    <cellStyle name="Normal 19 23" xfId="35995" xr:uid="{00000000-0005-0000-0000-00008E8C0000}"/>
    <cellStyle name="Normal 19 24" xfId="35996" xr:uid="{00000000-0005-0000-0000-00008F8C0000}"/>
    <cellStyle name="Normal 19 25" xfId="35997" xr:uid="{00000000-0005-0000-0000-0000908C0000}"/>
    <cellStyle name="Normal 19 26" xfId="35998" xr:uid="{00000000-0005-0000-0000-0000918C0000}"/>
    <cellStyle name="Normal 19 27" xfId="35999" xr:uid="{00000000-0005-0000-0000-0000928C0000}"/>
    <cellStyle name="Normal 19 28" xfId="36000" xr:uid="{00000000-0005-0000-0000-0000938C0000}"/>
    <cellStyle name="Normal 19 29" xfId="36001" xr:uid="{00000000-0005-0000-0000-0000948C0000}"/>
    <cellStyle name="Normal 19 3" xfId="36002" xr:uid="{00000000-0005-0000-0000-0000958C0000}"/>
    <cellStyle name="Normal 19 30" xfId="36003" xr:uid="{00000000-0005-0000-0000-0000968C0000}"/>
    <cellStyle name="Normal 19 31" xfId="36004" xr:uid="{00000000-0005-0000-0000-0000978C0000}"/>
    <cellStyle name="Normal 19 32" xfId="36005" xr:uid="{00000000-0005-0000-0000-0000988C0000}"/>
    <cellStyle name="Normal 19 33" xfId="36006" xr:uid="{00000000-0005-0000-0000-0000998C0000}"/>
    <cellStyle name="Normal 19 34" xfId="36007" xr:uid="{00000000-0005-0000-0000-00009A8C0000}"/>
    <cellStyle name="Normal 19 35" xfId="36008" xr:uid="{00000000-0005-0000-0000-00009B8C0000}"/>
    <cellStyle name="Normal 19 36" xfId="36009" xr:uid="{00000000-0005-0000-0000-00009C8C0000}"/>
    <cellStyle name="Normal 19 4" xfId="36010" xr:uid="{00000000-0005-0000-0000-00009D8C0000}"/>
    <cellStyle name="Normal 19 5" xfId="36011" xr:uid="{00000000-0005-0000-0000-00009E8C0000}"/>
    <cellStyle name="Normal 19 6" xfId="36012" xr:uid="{00000000-0005-0000-0000-00009F8C0000}"/>
    <cellStyle name="Normal 19 7" xfId="36013" xr:uid="{00000000-0005-0000-0000-0000A08C0000}"/>
    <cellStyle name="Normal 19 8" xfId="36014" xr:uid="{00000000-0005-0000-0000-0000A18C0000}"/>
    <cellStyle name="Normal 19 9" xfId="36015" xr:uid="{00000000-0005-0000-0000-0000A28C0000}"/>
    <cellStyle name="Normal 2" xfId="36016" xr:uid="{00000000-0005-0000-0000-0000A38C0000}"/>
    <cellStyle name="Normal 2 10" xfId="36017" xr:uid="{00000000-0005-0000-0000-0000A48C0000}"/>
    <cellStyle name="Normal 2 10 10" xfId="36018" xr:uid="{00000000-0005-0000-0000-0000A58C0000}"/>
    <cellStyle name="Normal 2 10 11" xfId="36019" xr:uid="{00000000-0005-0000-0000-0000A68C0000}"/>
    <cellStyle name="Normal 2 10 12" xfId="36020" xr:uid="{00000000-0005-0000-0000-0000A78C0000}"/>
    <cellStyle name="Normal 2 10 2" xfId="36021" xr:uid="{00000000-0005-0000-0000-0000A88C0000}"/>
    <cellStyle name="Normal 2 10 2 2" xfId="36022" xr:uid="{00000000-0005-0000-0000-0000A98C0000}"/>
    <cellStyle name="Normal 2 10 3" xfId="36023" xr:uid="{00000000-0005-0000-0000-0000AA8C0000}"/>
    <cellStyle name="Normal 2 10 3 2" xfId="36024" xr:uid="{00000000-0005-0000-0000-0000AB8C0000}"/>
    <cellStyle name="Normal 2 10 4" xfId="36025" xr:uid="{00000000-0005-0000-0000-0000AC8C0000}"/>
    <cellStyle name="Normal 2 10 5" xfId="36026" xr:uid="{00000000-0005-0000-0000-0000AD8C0000}"/>
    <cellStyle name="Normal 2 10 6" xfId="36027" xr:uid="{00000000-0005-0000-0000-0000AE8C0000}"/>
    <cellStyle name="Normal 2 10 7" xfId="36028" xr:uid="{00000000-0005-0000-0000-0000AF8C0000}"/>
    <cellStyle name="Normal 2 10 8" xfId="36029" xr:uid="{00000000-0005-0000-0000-0000B08C0000}"/>
    <cellStyle name="Normal 2 10 9" xfId="36030" xr:uid="{00000000-0005-0000-0000-0000B18C0000}"/>
    <cellStyle name="Normal 2 100" xfId="36031" xr:uid="{00000000-0005-0000-0000-0000B28C0000}"/>
    <cellStyle name="Normal 2 101" xfId="36032" xr:uid="{00000000-0005-0000-0000-0000B38C0000}"/>
    <cellStyle name="Normal 2 102" xfId="36033" xr:uid="{00000000-0005-0000-0000-0000B48C0000}"/>
    <cellStyle name="Normal 2 103" xfId="36034" xr:uid="{00000000-0005-0000-0000-0000B58C0000}"/>
    <cellStyle name="Normal 2 104" xfId="36035" xr:uid="{00000000-0005-0000-0000-0000B68C0000}"/>
    <cellStyle name="Normal 2 105" xfId="36036" xr:uid="{00000000-0005-0000-0000-0000B78C0000}"/>
    <cellStyle name="Normal 2 106" xfId="36037" xr:uid="{00000000-0005-0000-0000-0000B88C0000}"/>
    <cellStyle name="Normal 2 107" xfId="36038" xr:uid="{00000000-0005-0000-0000-0000B98C0000}"/>
    <cellStyle name="Normal 2 108" xfId="36039" xr:uid="{00000000-0005-0000-0000-0000BA8C0000}"/>
    <cellStyle name="Normal 2 109" xfId="36040" xr:uid="{00000000-0005-0000-0000-0000BB8C0000}"/>
    <cellStyle name="Normal 2 11" xfId="36041" xr:uid="{00000000-0005-0000-0000-0000BC8C0000}"/>
    <cellStyle name="Normal 2 11 10" xfId="36042" xr:uid="{00000000-0005-0000-0000-0000BD8C0000}"/>
    <cellStyle name="Normal 2 11 11" xfId="36043" xr:uid="{00000000-0005-0000-0000-0000BE8C0000}"/>
    <cellStyle name="Normal 2 11 2" xfId="36044" xr:uid="{00000000-0005-0000-0000-0000BF8C0000}"/>
    <cellStyle name="Normal 2 11 2 2" xfId="36045" xr:uid="{00000000-0005-0000-0000-0000C08C0000}"/>
    <cellStyle name="Normal 2 11 3" xfId="36046" xr:uid="{00000000-0005-0000-0000-0000C18C0000}"/>
    <cellStyle name="Normal 2 11 4" xfId="36047" xr:uid="{00000000-0005-0000-0000-0000C28C0000}"/>
    <cellStyle name="Normal 2 11 5" xfId="36048" xr:uid="{00000000-0005-0000-0000-0000C38C0000}"/>
    <cellStyle name="Normal 2 11 6" xfId="36049" xr:uid="{00000000-0005-0000-0000-0000C48C0000}"/>
    <cellStyle name="Normal 2 11 7" xfId="36050" xr:uid="{00000000-0005-0000-0000-0000C58C0000}"/>
    <cellStyle name="Normal 2 11 8" xfId="36051" xr:uid="{00000000-0005-0000-0000-0000C68C0000}"/>
    <cellStyle name="Normal 2 11 9" xfId="36052" xr:uid="{00000000-0005-0000-0000-0000C78C0000}"/>
    <cellStyle name="Normal 2 110" xfId="36053" xr:uid="{00000000-0005-0000-0000-0000C88C0000}"/>
    <cellStyle name="Normal 2 111" xfId="36054" xr:uid="{00000000-0005-0000-0000-0000C98C0000}"/>
    <cellStyle name="Normal 2 112" xfId="36055" xr:uid="{00000000-0005-0000-0000-0000CA8C0000}"/>
    <cellStyle name="Normal 2 113" xfId="36056" xr:uid="{00000000-0005-0000-0000-0000CB8C0000}"/>
    <cellStyle name="Normal 2 114" xfId="36057" xr:uid="{00000000-0005-0000-0000-0000CC8C0000}"/>
    <cellStyle name="Normal 2 115" xfId="36058" xr:uid="{00000000-0005-0000-0000-0000CD8C0000}"/>
    <cellStyle name="Normal 2 116" xfId="36059" xr:uid="{00000000-0005-0000-0000-0000CE8C0000}"/>
    <cellStyle name="Normal 2 117" xfId="36060" xr:uid="{00000000-0005-0000-0000-0000CF8C0000}"/>
    <cellStyle name="Normal 2 118" xfId="36061" xr:uid="{00000000-0005-0000-0000-0000D08C0000}"/>
    <cellStyle name="Normal 2 119" xfId="36062" xr:uid="{00000000-0005-0000-0000-0000D18C0000}"/>
    <cellStyle name="Normal 2 12" xfId="36063" xr:uid="{00000000-0005-0000-0000-0000D28C0000}"/>
    <cellStyle name="Normal 2 12 10" xfId="36064" xr:uid="{00000000-0005-0000-0000-0000D38C0000}"/>
    <cellStyle name="Normal 2 12 11" xfId="36065" xr:uid="{00000000-0005-0000-0000-0000D48C0000}"/>
    <cellStyle name="Normal 2 12 2" xfId="36066" xr:uid="{00000000-0005-0000-0000-0000D58C0000}"/>
    <cellStyle name="Normal 2 12 2 2" xfId="36067" xr:uid="{00000000-0005-0000-0000-0000D68C0000}"/>
    <cellStyle name="Normal 2 12 3" xfId="36068" xr:uid="{00000000-0005-0000-0000-0000D78C0000}"/>
    <cellStyle name="Normal 2 12 4" xfId="36069" xr:uid="{00000000-0005-0000-0000-0000D88C0000}"/>
    <cellStyle name="Normal 2 12 5" xfId="36070" xr:uid="{00000000-0005-0000-0000-0000D98C0000}"/>
    <cellStyle name="Normal 2 12 6" xfId="36071" xr:uid="{00000000-0005-0000-0000-0000DA8C0000}"/>
    <cellStyle name="Normal 2 12 7" xfId="36072" xr:uid="{00000000-0005-0000-0000-0000DB8C0000}"/>
    <cellStyle name="Normal 2 12 8" xfId="36073" xr:uid="{00000000-0005-0000-0000-0000DC8C0000}"/>
    <cellStyle name="Normal 2 12 9" xfId="36074" xr:uid="{00000000-0005-0000-0000-0000DD8C0000}"/>
    <cellStyle name="Normal 2 120" xfId="36075" xr:uid="{00000000-0005-0000-0000-0000DE8C0000}"/>
    <cellStyle name="Normal 2 121" xfId="36076" xr:uid="{00000000-0005-0000-0000-0000DF8C0000}"/>
    <cellStyle name="Normal 2 122" xfId="36077" xr:uid="{00000000-0005-0000-0000-0000E08C0000}"/>
    <cellStyle name="Normal 2 123" xfId="36078" xr:uid="{00000000-0005-0000-0000-0000E18C0000}"/>
    <cellStyle name="Normal 2 124" xfId="36079" xr:uid="{00000000-0005-0000-0000-0000E28C0000}"/>
    <cellStyle name="Normal 2 125" xfId="36080" xr:uid="{00000000-0005-0000-0000-0000E38C0000}"/>
    <cellStyle name="Normal 2 126" xfId="36081" xr:uid="{00000000-0005-0000-0000-0000E48C0000}"/>
    <cellStyle name="Normal 2 127" xfId="36082" xr:uid="{00000000-0005-0000-0000-0000E58C0000}"/>
    <cellStyle name="Normal 2 128" xfId="36083" xr:uid="{00000000-0005-0000-0000-0000E68C0000}"/>
    <cellStyle name="Normal 2 129" xfId="36084" xr:uid="{00000000-0005-0000-0000-0000E78C0000}"/>
    <cellStyle name="Normal 2 13" xfId="36085" xr:uid="{00000000-0005-0000-0000-0000E88C0000}"/>
    <cellStyle name="Normal 2 13 10" xfId="36086" xr:uid="{00000000-0005-0000-0000-0000E98C0000}"/>
    <cellStyle name="Normal 2 13 11" xfId="36087" xr:uid="{00000000-0005-0000-0000-0000EA8C0000}"/>
    <cellStyle name="Normal 2 13 2" xfId="36088" xr:uid="{00000000-0005-0000-0000-0000EB8C0000}"/>
    <cellStyle name="Normal 2 13 2 2" xfId="36089" xr:uid="{00000000-0005-0000-0000-0000EC8C0000}"/>
    <cellStyle name="Normal 2 13 3" xfId="36090" xr:uid="{00000000-0005-0000-0000-0000ED8C0000}"/>
    <cellStyle name="Normal 2 13 4" xfId="36091" xr:uid="{00000000-0005-0000-0000-0000EE8C0000}"/>
    <cellStyle name="Normal 2 13 5" xfId="36092" xr:uid="{00000000-0005-0000-0000-0000EF8C0000}"/>
    <cellStyle name="Normal 2 13 6" xfId="36093" xr:uid="{00000000-0005-0000-0000-0000F08C0000}"/>
    <cellStyle name="Normal 2 13 7" xfId="36094" xr:uid="{00000000-0005-0000-0000-0000F18C0000}"/>
    <cellStyle name="Normal 2 13 8" xfId="36095" xr:uid="{00000000-0005-0000-0000-0000F28C0000}"/>
    <cellStyle name="Normal 2 13 9" xfId="36096" xr:uid="{00000000-0005-0000-0000-0000F38C0000}"/>
    <cellStyle name="Normal 2 130" xfId="36097" xr:uid="{00000000-0005-0000-0000-0000F48C0000}"/>
    <cellStyle name="Normal 2 131" xfId="36098" xr:uid="{00000000-0005-0000-0000-0000F58C0000}"/>
    <cellStyle name="Normal 2 132" xfId="36099" xr:uid="{00000000-0005-0000-0000-0000F68C0000}"/>
    <cellStyle name="Normal 2 133" xfId="36100" xr:uid="{00000000-0005-0000-0000-0000F78C0000}"/>
    <cellStyle name="Normal 2 134" xfId="36101" xr:uid="{00000000-0005-0000-0000-0000F88C0000}"/>
    <cellStyle name="Normal 2 135" xfId="36102" xr:uid="{00000000-0005-0000-0000-0000F98C0000}"/>
    <cellStyle name="Normal 2 136" xfId="36103" xr:uid="{00000000-0005-0000-0000-0000FA8C0000}"/>
    <cellStyle name="Normal 2 137" xfId="36104" xr:uid="{00000000-0005-0000-0000-0000FB8C0000}"/>
    <cellStyle name="Normal 2 138" xfId="36105" xr:uid="{00000000-0005-0000-0000-0000FC8C0000}"/>
    <cellStyle name="Normal 2 139" xfId="36106" xr:uid="{00000000-0005-0000-0000-0000FD8C0000}"/>
    <cellStyle name="Normal 2 14" xfId="36107" xr:uid="{00000000-0005-0000-0000-0000FE8C0000}"/>
    <cellStyle name="Normal 2 14 10" xfId="36108" xr:uid="{00000000-0005-0000-0000-0000FF8C0000}"/>
    <cellStyle name="Normal 2 14 11" xfId="36109" xr:uid="{00000000-0005-0000-0000-0000008D0000}"/>
    <cellStyle name="Normal 2 14 2" xfId="36110" xr:uid="{00000000-0005-0000-0000-0000018D0000}"/>
    <cellStyle name="Normal 2 14 2 2" xfId="36111" xr:uid="{00000000-0005-0000-0000-0000028D0000}"/>
    <cellStyle name="Normal 2 14 3" xfId="36112" xr:uid="{00000000-0005-0000-0000-0000038D0000}"/>
    <cellStyle name="Normal 2 14 4" xfId="36113" xr:uid="{00000000-0005-0000-0000-0000048D0000}"/>
    <cellStyle name="Normal 2 14 5" xfId="36114" xr:uid="{00000000-0005-0000-0000-0000058D0000}"/>
    <cellStyle name="Normal 2 14 6" xfId="36115" xr:uid="{00000000-0005-0000-0000-0000068D0000}"/>
    <cellStyle name="Normal 2 14 7" xfId="36116" xr:uid="{00000000-0005-0000-0000-0000078D0000}"/>
    <cellStyle name="Normal 2 14 8" xfId="36117" xr:uid="{00000000-0005-0000-0000-0000088D0000}"/>
    <cellStyle name="Normal 2 14 9" xfId="36118" xr:uid="{00000000-0005-0000-0000-0000098D0000}"/>
    <cellStyle name="Normal 2 140" xfId="36119" xr:uid="{00000000-0005-0000-0000-00000A8D0000}"/>
    <cellStyle name="Normal 2 141" xfId="36120" xr:uid="{00000000-0005-0000-0000-00000B8D0000}"/>
    <cellStyle name="Normal 2 142" xfId="36121" xr:uid="{00000000-0005-0000-0000-00000C8D0000}"/>
    <cellStyle name="Normal 2 143" xfId="36122" xr:uid="{00000000-0005-0000-0000-00000D8D0000}"/>
    <cellStyle name="Normal 2 144" xfId="36123" xr:uid="{00000000-0005-0000-0000-00000E8D0000}"/>
    <cellStyle name="Normal 2 145" xfId="36124" xr:uid="{00000000-0005-0000-0000-00000F8D0000}"/>
    <cellStyle name="Normal 2 146" xfId="36125" xr:uid="{00000000-0005-0000-0000-0000108D0000}"/>
    <cellStyle name="Normal 2 147" xfId="36126" xr:uid="{00000000-0005-0000-0000-0000118D0000}"/>
    <cellStyle name="Normal 2 148" xfId="36127" xr:uid="{00000000-0005-0000-0000-0000128D0000}"/>
    <cellStyle name="Normal 2 149" xfId="36128" xr:uid="{00000000-0005-0000-0000-0000138D0000}"/>
    <cellStyle name="Normal 2 15" xfId="36129" xr:uid="{00000000-0005-0000-0000-0000148D0000}"/>
    <cellStyle name="Normal 2 15 10" xfId="36130" xr:uid="{00000000-0005-0000-0000-0000158D0000}"/>
    <cellStyle name="Normal 2 15 11" xfId="36131" xr:uid="{00000000-0005-0000-0000-0000168D0000}"/>
    <cellStyle name="Normal 2 15 2" xfId="36132" xr:uid="{00000000-0005-0000-0000-0000178D0000}"/>
    <cellStyle name="Normal 2 15 2 2" xfId="36133" xr:uid="{00000000-0005-0000-0000-0000188D0000}"/>
    <cellStyle name="Normal 2 15 3" xfId="36134" xr:uid="{00000000-0005-0000-0000-0000198D0000}"/>
    <cellStyle name="Normal 2 15 4" xfId="36135" xr:uid="{00000000-0005-0000-0000-00001A8D0000}"/>
    <cellStyle name="Normal 2 15 5" xfId="36136" xr:uid="{00000000-0005-0000-0000-00001B8D0000}"/>
    <cellStyle name="Normal 2 15 6" xfId="36137" xr:uid="{00000000-0005-0000-0000-00001C8D0000}"/>
    <cellStyle name="Normal 2 15 7" xfId="36138" xr:uid="{00000000-0005-0000-0000-00001D8D0000}"/>
    <cellStyle name="Normal 2 15 8" xfId="36139" xr:uid="{00000000-0005-0000-0000-00001E8D0000}"/>
    <cellStyle name="Normal 2 15 9" xfId="36140" xr:uid="{00000000-0005-0000-0000-00001F8D0000}"/>
    <cellStyle name="Normal 2 150" xfId="36141" xr:uid="{00000000-0005-0000-0000-0000208D0000}"/>
    <cellStyle name="Normal 2 151" xfId="36142" xr:uid="{00000000-0005-0000-0000-0000218D0000}"/>
    <cellStyle name="Normal 2 152" xfId="36143" xr:uid="{00000000-0005-0000-0000-0000228D0000}"/>
    <cellStyle name="Normal 2 153" xfId="36144" xr:uid="{00000000-0005-0000-0000-0000238D0000}"/>
    <cellStyle name="Normal 2 154" xfId="36145" xr:uid="{00000000-0005-0000-0000-0000248D0000}"/>
    <cellStyle name="Normal 2 155" xfId="36146" xr:uid="{00000000-0005-0000-0000-0000258D0000}"/>
    <cellStyle name="Normal 2 156" xfId="36147" xr:uid="{00000000-0005-0000-0000-0000268D0000}"/>
    <cellStyle name="Normal 2 157" xfId="36148" xr:uid="{00000000-0005-0000-0000-0000278D0000}"/>
    <cellStyle name="Normal 2 158" xfId="36149" xr:uid="{00000000-0005-0000-0000-0000288D0000}"/>
    <cellStyle name="Normal 2 159" xfId="36150" xr:uid="{00000000-0005-0000-0000-0000298D0000}"/>
    <cellStyle name="Normal 2 16" xfId="36151" xr:uid="{00000000-0005-0000-0000-00002A8D0000}"/>
    <cellStyle name="Normal 2 16 10" xfId="36152" xr:uid="{00000000-0005-0000-0000-00002B8D0000}"/>
    <cellStyle name="Normal 2 16 11" xfId="36153" xr:uid="{00000000-0005-0000-0000-00002C8D0000}"/>
    <cellStyle name="Normal 2 16 12" xfId="36154" xr:uid="{00000000-0005-0000-0000-00002D8D0000}"/>
    <cellStyle name="Normal 2 16 13" xfId="36155" xr:uid="{00000000-0005-0000-0000-00002E8D0000}"/>
    <cellStyle name="Normal 2 16 14" xfId="36156" xr:uid="{00000000-0005-0000-0000-00002F8D0000}"/>
    <cellStyle name="Normal 2 16 15" xfId="36157" xr:uid="{00000000-0005-0000-0000-0000308D0000}"/>
    <cellStyle name="Normal 2 16 16" xfId="36158" xr:uid="{00000000-0005-0000-0000-0000318D0000}"/>
    <cellStyle name="Normal 2 16 17" xfId="36159" xr:uid="{00000000-0005-0000-0000-0000328D0000}"/>
    <cellStyle name="Normal 2 16 18" xfId="36160" xr:uid="{00000000-0005-0000-0000-0000338D0000}"/>
    <cellStyle name="Normal 2 16 19" xfId="36161" xr:uid="{00000000-0005-0000-0000-0000348D0000}"/>
    <cellStyle name="Normal 2 16 2" xfId="36162" xr:uid="{00000000-0005-0000-0000-0000358D0000}"/>
    <cellStyle name="Normal 2 16 2 10" xfId="36163" xr:uid="{00000000-0005-0000-0000-0000368D0000}"/>
    <cellStyle name="Normal 2 16 2 11" xfId="36164" xr:uid="{00000000-0005-0000-0000-0000378D0000}"/>
    <cellStyle name="Normal 2 16 2 12" xfId="36165" xr:uid="{00000000-0005-0000-0000-0000388D0000}"/>
    <cellStyle name="Normal 2 16 2 13" xfId="36166" xr:uid="{00000000-0005-0000-0000-0000398D0000}"/>
    <cellStyle name="Normal 2 16 2 14" xfId="36167" xr:uid="{00000000-0005-0000-0000-00003A8D0000}"/>
    <cellStyle name="Normal 2 16 2 15" xfId="36168" xr:uid="{00000000-0005-0000-0000-00003B8D0000}"/>
    <cellStyle name="Normal 2 16 2 16" xfId="36169" xr:uid="{00000000-0005-0000-0000-00003C8D0000}"/>
    <cellStyle name="Normal 2 16 2 2" xfId="36170" xr:uid="{00000000-0005-0000-0000-00003D8D0000}"/>
    <cellStyle name="Normal 2 16 2 3" xfId="36171" xr:uid="{00000000-0005-0000-0000-00003E8D0000}"/>
    <cellStyle name="Normal 2 16 2 4" xfId="36172" xr:uid="{00000000-0005-0000-0000-00003F8D0000}"/>
    <cellStyle name="Normal 2 16 2 5" xfId="36173" xr:uid="{00000000-0005-0000-0000-0000408D0000}"/>
    <cellStyle name="Normal 2 16 2 6" xfId="36174" xr:uid="{00000000-0005-0000-0000-0000418D0000}"/>
    <cellStyle name="Normal 2 16 2 7" xfId="36175" xr:uid="{00000000-0005-0000-0000-0000428D0000}"/>
    <cellStyle name="Normal 2 16 2 8" xfId="36176" xr:uid="{00000000-0005-0000-0000-0000438D0000}"/>
    <cellStyle name="Normal 2 16 2 9" xfId="36177" xr:uid="{00000000-0005-0000-0000-0000448D0000}"/>
    <cellStyle name="Normal 2 16 20" xfId="36178" xr:uid="{00000000-0005-0000-0000-0000458D0000}"/>
    <cellStyle name="Normal 2 16 21" xfId="36179" xr:uid="{00000000-0005-0000-0000-0000468D0000}"/>
    <cellStyle name="Normal 2 16 22" xfId="36180" xr:uid="{00000000-0005-0000-0000-0000478D0000}"/>
    <cellStyle name="Normal 2 16 23" xfId="36181" xr:uid="{00000000-0005-0000-0000-0000488D0000}"/>
    <cellStyle name="Normal 2 16 24" xfId="36182" xr:uid="{00000000-0005-0000-0000-0000498D0000}"/>
    <cellStyle name="Normal 2 16 25" xfId="36183" xr:uid="{00000000-0005-0000-0000-00004A8D0000}"/>
    <cellStyle name="Normal 2 16 26" xfId="36184" xr:uid="{00000000-0005-0000-0000-00004B8D0000}"/>
    <cellStyle name="Normal 2 16 27" xfId="36185" xr:uid="{00000000-0005-0000-0000-00004C8D0000}"/>
    <cellStyle name="Normal 2 16 28" xfId="36186" xr:uid="{00000000-0005-0000-0000-00004D8D0000}"/>
    <cellStyle name="Normal 2 16 29" xfId="36187" xr:uid="{00000000-0005-0000-0000-00004E8D0000}"/>
    <cellStyle name="Normal 2 16 3" xfId="36188" xr:uid="{00000000-0005-0000-0000-00004F8D0000}"/>
    <cellStyle name="Normal 2 16 3 10" xfId="36189" xr:uid="{00000000-0005-0000-0000-0000508D0000}"/>
    <cellStyle name="Normal 2 16 3 11" xfId="36190" xr:uid="{00000000-0005-0000-0000-0000518D0000}"/>
    <cellStyle name="Normal 2 16 3 12" xfId="36191" xr:uid="{00000000-0005-0000-0000-0000528D0000}"/>
    <cellStyle name="Normal 2 16 3 13" xfId="36192" xr:uid="{00000000-0005-0000-0000-0000538D0000}"/>
    <cellStyle name="Normal 2 16 3 14" xfId="36193" xr:uid="{00000000-0005-0000-0000-0000548D0000}"/>
    <cellStyle name="Normal 2 16 3 15" xfId="36194" xr:uid="{00000000-0005-0000-0000-0000558D0000}"/>
    <cellStyle name="Normal 2 16 3 2" xfId="36195" xr:uid="{00000000-0005-0000-0000-0000568D0000}"/>
    <cellStyle name="Normal 2 16 3 3" xfId="36196" xr:uid="{00000000-0005-0000-0000-0000578D0000}"/>
    <cellStyle name="Normal 2 16 3 4" xfId="36197" xr:uid="{00000000-0005-0000-0000-0000588D0000}"/>
    <cellStyle name="Normal 2 16 3 5" xfId="36198" xr:uid="{00000000-0005-0000-0000-0000598D0000}"/>
    <cellStyle name="Normal 2 16 3 6" xfId="36199" xr:uid="{00000000-0005-0000-0000-00005A8D0000}"/>
    <cellStyle name="Normal 2 16 3 7" xfId="36200" xr:uid="{00000000-0005-0000-0000-00005B8D0000}"/>
    <cellStyle name="Normal 2 16 3 8" xfId="36201" xr:uid="{00000000-0005-0000-0000-00005C8D0000}"/>
    <cellStyle name="Normal 2 16 3 9" xfId="36202" xr:uid="{00000000-0005-0000-0000-00005D8D0000}"/>
    <cellStyle name="Normal 2 16 30" xfId="36203" xr:uid="{00000000-0005-0000-0000-00005E8D0000}"/>
    <cellStyle name="Normal 2 16 4" xfId="36204" xr:uid="{00000000-0005-0000-0000-00005F8D0000}"/>
    <cellStyle name="Normal 2 16 4 10" xfId="36205" xr:uid="{00000000-0005-0000-0000-0000608D0000}"/>
    <cellStyle name="Normal 2 16 4 11" xfId="36206" xr:uid="{00000000-0005-0000-0000-0000618D0000}"/>
    <cellStyle name="Normal 2 16 4 12" xfId="36207" xr:uid="{00000000-0005-0000-0000-0000628D0000}"/>
    <cellStyle name="Normal 2 16 4 13" xfId="36208" xr:uid="{00000000-0005-0000-0000-0000638D0000}"/>
    <cellStyle name="Normal 2 16 4 14" xfId="36209" xr:uid="{00000000-0005-0000-0000-0000648D0000}"/>
    <cellStyle name="Normal 2 16 4 15" xfId="36210" xr:uid="{00000000-0005-0000-0000-0000658D0000}"/>
    <cellStyle name="Normal 2 16 4 2" xfId="36211" xr:uid="{00000000-0005-0000-0000-0000668D0000}"/>
    <cellStyle name="Normal 2 16 4 3" xfId="36212" xr:uid="{00000000-0005-0000-0000-0000678D0000}"/>
    <cellStyle name="Normal 2 16 4 4" xfId="36213" xr:uid="{00000000-0005-0000-0000-0000688D0000}"/>
    <cellStyle name="Normal 2 16 4 5" xfId="36214" xr:uid="{00000000-0005-0000-0000-0000698D0000}"/>
    <cellStyle name="Normal 2 16 4 6" xfId="36215" xr:uid="{00000000-0005-0000-0000-00006A8D0000}"/>
    <cellStyle name="Normal 2 16 4 7" xfId="36216" xr:uid="{00000000-0005-0000-0000-00006B8D0000}"/>
    <cellStyle name="Normal 2 16 4 8" xfId="36217" xr:uid="{00000000-0005-0000-0000-00006C8D0000}"/>
    <cellStyle name="Normal 2 16 4 9" xfId="36218" xr:uid="{00000000-0005-0000-0000-00006D8D0000}"/>
    <cellStyle name="Normal 2 16 5" xfId="36219" xr:uid="{00000000-0005-0000-0000-00006E8D0000}"/>
    <cellStyle name="Normal 2 16 5 10" xfId="36220" xr:uid="{00000000-0005-0000-0000-00006F8D0000}"/>
    <cellStyle name="Normal 2 16 5 11" xfId="36221" xr:uid="{00000000-0005-0000-0000-0000708D0000}"/>
    <cellStyle name="Normal 2 16 5 12" xfId="36222" xr:uid="{00000000-0005-0000-0000-0000718D0000}"/>
    <cellStyle name="Normal 2 16 5 13" xfId="36223" xr:uid="{00000000-0005-0000-0000-0000728D0000}"/>
    <cellStyle name="Normal 2 16 5 14" xfId="36224" xr:uid="{00000000-0005-0000-0000-0000738D0000}"/>
    <cellStyle name="Normal 2 16 5 15" xfId="36225" xr:uid="{00000000-0005-0000-0000-0000748D0000}"/>
    <cellStyle name="Normal 2 16 5 2" xfId="36226" xr:uid="{00000000-0005-0000-0000-0000758D0000}"/>
    <cellStyle name="Normal 2 16 5 3" xfId="36227" xr:uid="{00000000-0005-0000-0000-0000768D0000}"/>
    <cellStyle name="Normal 2 16 5 4" xfId="36228" xr:uid="{00000000-0005-0000-0000-0000778D0000}"/>
    <cellStyle name="Normal 2 16 5 5" xfId="36229" xr:uid="{00000000-0005-0000-0000-0000788D0000}"/>
    <cellStyle name="Normal 2 16 5 6" xfId="36230" xr:uid="{00000000-0005-0000-0000-0000798D0000}"/>
    <cellStyle name="Normal 2 16 5 7" xfId="36231" xr:uid="{00000000-0005-0000-0000-00007A8D0000}"/>
    <cellStyle name="Normal 2 16 5 8" xfId="36232" xr:uid="{00000000-0005-0000-0000-00007B8D0000}"/>
    <cellStyle name="Normal 2 16 5 9" xfId="36233" xr:uid="{00000000-0005-0000-0000-00007C8D0000}"/>
    <cellStyle name="Normal 2 16 6" xfId="36234" xr:uid="{00000000-0005-0000-0000-00007D8D0000}"/>
    <cellStyle name="Normal 2 16 6 10" xfId="36235" xr:uid="{00000000-0005-0000-0000-00007E8D0000}"/>
    <cellStyle name="Normal 2 16 6 11" xfId="36236" xr:uid="{00000000-0005-0000-0000-00007F8D0000}"/>
    <cellStyle name="Normal 2 16 6 12" xfId="36237" xr:uid="{00000000-0005-0000-0000-0000808D0000}"/>
    <cellStyle name="Normal 2 16 6 13" xfId="36238" xr:uid="{00000000-0005-0000-0000-0000818D0000}"/>
    <cellStyle name="Normal 2 16 6 14" xfId="36239" xr:uid="{00000000-0005-0000-0000-0000828D0000}"/>
    <cellStyle name="Normal 2 16 6 15" xfId="36240" xr:uid="{00000000-0005-0000-0000-0000838D0000}"/>
    <cellStyle name="Normal 2 16 6 2" xfId="36241" xr:uid="{00000000-0005-0000-0000-0000848D0000}"/>
    <cellStyle name="Normal 2 16 6 3" xfId="36242" xr:uid="{00000000-0005-0000-0000-0000858D0000}"/>
    <cellStyle name="Normal 2 16 6 4" xfId="36243" xr:uid="{00000000-0005-0000-0000-0000868D0000}"/>
    <cellStyle name="Normal 2 16 6 5" xfId="36244" xr:uid="{00000000-0005-0000-0000-0000878D0000}"/>
    <cellStyle name="Normal 2 16 6 6" xfId="36245" xr:uid="{00000000-0005-0000-0000-0000888D0000}"/>
    <cellStyle name="Normal 2 16 6 7" xfId="36246" xr:uid="{00000000-0005-0000-0000-0000898D0000}"/>
    <cellStyle name="Normal 2 16 6 8" xfId="36247" xr:uid="{00000000-0005-0000-0000-00008A8D0000}"/>
    <cellStyle name="Normal 2 16 6 9" xfId="36248" xr:uid="{00000000-0005-0000-0000-00008B8D0000}"/>
    <cellStyle name="Normal 2 16 7" xfId="36249" xr:uid="{00000000-0005-0000-0000-00008C8D0000}"/>
    <cellStyle name="Normal 2 16 7 10" xfId="36250" xr:uid="{00000000-0005-0000-0000-00008D8D0000}"/>
    <cellStyle name="Normal 2 16 7 11" xfId="36251" xr:uid="{00000000-0005-0000-0000-00008E8D0000}"/>
    <cellStyle name="Normal 2 16 7 12" xfId="36252" xr:uid="{00000000-0005-0000-0000-00008F8D0000}"/>
    <cellStyle name="Normal 2 16 7 13" xfId="36253" xr:uid="{00000000-0005-0000-0000-0000908D0000}"/>
    <cellStyle name="Normal 2 16 7 14" xfId="36254" xr:uid="{00000000-0005-0000-0000-0000918D0000}"/>
    <cellStyle name="Normal 2 16 7 15" xfId="36255" xr:uid="{00000000-0005-0000-0000-0000928D0000}"/>
    <cellStyle name="Normal 2 16 7 2" xfId="36256" xr:uid="{00000000-0005-0000-0000-0000938D0000}"/>
    <cellStyle name="Normal 2 16 7 3" xfId="36257" xr:uid="{00000000-0005-0000-0000-0000948D0000}"/>
    <cellStyle name="Normal 2 16 7 4" xfId="36258" xr:uid="{00000000-0005-0000-0000-0000958D0000}"/>
    <cellStyle name="Normal 2 16 7 5" xfId="36259" xr:uid="{00000000-0005-0000-0000-0000968D0000}"/>
    <cellStyle name="Normal 2 16 7 6" xfId="36260" xr:uid="{00000000-0005-0000-0000-0000978D0000}"/>
    <cellStyle name="Normal 2 16 7 7" xfId="36261" xr:uid="{00000000-0005-0000-0000-0000988D0000}"/>
    <cellStyle name="Normal 2 16 7 8" xfId="36262" xr:uid="{00000000-0005-0000-0000-0000998D0000}"/>
    <cellStyle name="Normal 2 16 7 9" xfId="36263" xr:uid="{00000000-0005-0000-0000-00009A8D0000}"/>
    <cellStyle name="Normal 2 16 8" xfId="36264" xr:uid="{00000000-0005-0000-0000-00009B8D0000}"/>
    <cellStyle name="Normal 2 16 8 10" xfId="36265" xr:uid="{00000000-0005-0000-0000-00009C8D0000}"/>
    <cellStyle name="Normal 2 16 8 11" xfId="36266" xr:uid="{00000000-0005-0000-0000-00009D8D0000}"/>
    <cellStyle name="Normal 2 16 8 12" xfId="36267" xr:uid="{00000000-0005-0000-0000-00009E8D0000}"/>
    <cellStyle name="Normal 2 16 8 13" xfId="36268" xr:uid="{00000000-0005-0000-0000-00009F8D0000}"/>
    <cellStyle name="Normal 2 16 8 14" xfId="36269" xr:uid="{00000000-0005-0000-0000-0000A08D0000}"/>
    <cellStyle name="Normal 2 16 8 15" xfId="36270" xr:uid="{00000000-0005-0000-0000-0000A18D0000}"/>
    <cellStyle name="Normal 2 16 8 2" xfId="36271" xr:uid="{00000000-0005-0000-0000-0000A28D0000}"/>
    <cellStyle name="Normal 2 16 8 3" xfId="36272" xr:uid="{00000000-0005-0000-0000-0000A38D0000}"/>
    <cellStyle name="Normal 2 16 8 4" xfId="36273" xr:uid="{00000000-0005-0000-0000-0000A48D0000}"/>
    <cellStyle name="Normal 2 16 8 5" xfId="36274" xr:uid="{00000000-0005-0000-0000-0000A58D0000}"/>
    <cellStyle name="Normal 2 16 8 6" xfId="36275" xr:uid="{00000000-0005-0000-0000-0000A68D0000}"/>
    <cellStyle name="Normal 2 16 8 7" xfId="36276" xr:uid="{00000000-0005-0000-0000-0000A78D0000}"/>
    <cellStyle name="Normal 2 16 8 8" xfId="36277" xr:uid="{00000000-0005-0000-0000-0000A88D0000}"/>
    <cellStyle name="Normal 2 16 8 9" xfId="36278" xr:uid="{00000000-0005-0000-0000-0000A98D0000}"/>
    <cellStyle name="Normal 2 16 9" xfId="36279" xr:uid="{00000000-0005-0000-0000-0000AA8D0000}"/>
    <cellStyle name="Normal 2 16 9 10" xfId="36280" xr:uid="{00000000-0005-0000-0000-0000AB8D0000}"/>
    <cellStyle name="Normal 2 16 9 11" xfId="36281" xr:uid="{00000000-0005-0000-0000-0000AC8D0000}"/>
    <cellStyle name="Normal 2 16 9 12" xfId="36282" xr:uid="{00000000-0005-0000-0000-0000AD8D0000}"/>
    <cellStyle name="Normal 2 16 9 13" xfId="36283" xr:uid="{00000000-0005-0000-0000-0000AE8D0000}"/>
    <cellStyle name="Normal 2 16 9 14" xfId="36284" xr:uid="{00000000-0005-0000-0000-0000AF8D0000}"/>
    <cellStyle name="Normal 2 16 9 15" xfId="36285" xr:uid="{00000000-0005-0000-0000-0000B08D0000}"/>
    <cellStyle name="Normal 2 16 9 2" xfId="36286" xr:uid="{00000000-0005-0000-0000-0000B18D0000}"/>
    <cellStyle name="Normal 2 16 9 3" xfId="36287" xr:uid="{00000000-0005-0000-0000-0000B28D0000}"/>
    <cellStyle name="Normal 2 16 9 4" xfId="36288" xr:uid="{00000000-0005-0000-0000-0000B38D0000}"/>
    <cellStyle name="Normal 2 16 9 5" xfId="36289" xr:uid="{00000000-0005-0000-0000-0000B48D0000}"/>
    <cellStyle name="Normal 2 16 9 6" xfId="36290" xr:uid="{00000000-0005-0000-0000-0000B58D0000}"/>
    <cellStyle name="Normal 2 16 9 7" xfId="36291" xr:uid="{00000000-0005-0000-0000-0000B68D0000}"/>
    <cellStyle name="Normal 2 16 9 8" xfId="36292" xr:uid="{00000000-0005-0000-0000-0000B78D0000}"/>
    <cellStyle name="Normal 2 16 9 9" xfId="36293" xr:uid="{00000000-0005-0000-0000-0000B88D0000}"/>
    <cellStyle name="Normal 2 160" xfId="36294" xr:uid="{00000000-0005-0000-0000-0000B98D0000}"/>
    <cellStyle name="Normal 2 161" xfId="36295" xr:uid="{00000000-0005-0000-0000-0000BA8D0000}"/>
    <cellStyle name="Normal 2 162" xfId="36296" xr:uid="{00000000-0005-0000-0000-0000BB8D0000}"/>
    <cellStyle name="Normal 2 163" xfId="36297" xr:uid="{00000000-0005-0000-0000-0000BC8D0000}"/>
    <cellStyle name="Normal 2 164" xfId="36298" xr:uid="{00000000-0005-0000-0000-0000BD8D0000}"/>
    <cellStyle name="Normal 2 165" xfId="36299" xr:uid="{00000000-0005-0000-0000-0000BE8D0000}"/>
    <cellStyle name="Normal 2 166" xfId="36300" xr:uid="{00000000-0005-0000-0000-0000BF8D0000}"/>
    <cellStyle name="Normal 2 167" xfId="36301" xr:uid="{00000000-0005-0000-0000-0000C08D0000}"/>
    <cellStyle name="Normal 2 168" xfId="36302" xr:uid="{00000000-0005-0000-0000-0000C18D0000}"/>
    <cellStyle name="Normal 2 169" xfId="36303" xr:uid="{00000000-0005-0000-0000-0000C28D0000}"/>
    <cellStyle name="Normal 2 17" xfId="36304" xr:uid="{00000000-0005-0000-0000-0000C38D0000}"/>
    <cellStyle name="Normal 2 17 10" xfId="36305" xr:uid="{00000000-0005-0000-0000-0000C48D0000}"/>
    <cellStyle name="Normal 2 17 11" xfId="36306" xr:uid="{00000000-0005-0000-0000-0000C58D0000}"/>
    <cellStyle name="Normal 2 17 12" xfId="36307" xr:uid="{00000000-0005-0000-0000-0000C68D0000}"/>
    <cellStyle name="Normal 2 17 13" xfId="36308" xr:uid="{00000000-0005-0000-0000-0000C78D0000}"/>
    <cellStyle name="Normal 2 17 14" xfId="36309" xr:uid="{00000000-0005-0000-0000-0000C88D0000}"/>
    <cellStyle name="Normal 2 17 15" xfId="36310" xr:uid="{00000000-0005-0000-0000-0000C98D0000}"/>
    <cellStyle name="Normal 2 17 16" xfId="36311" xr:uid="{00000000-0005-0000-0000-0000CA8D0000}"/>
    <cellStyle name="Normal 2 17 17" xfId="36312" xr:uid="{00000000-0005-0000-0000-0000CB8D0000}"/>
    <cellStyle name="Normal 2 17 18" xfId="36313" xr:uid="{00000000-0005-0000-0000-0000CC8D0000}"/>
    <cellStyle name="Normal 2 17 19" xfId="36314" xr:uid="{00000000-0005-0000-0000-0000CD8D0000}"/>
    <cellStyle name="Normal 2 17 2" xfId="36315" xr:uid="{00000000-0005-0000-0000-0000CE8D0000}"/>
    <cellStyle name="Normal 2 17 2 10" xfId="36316" xr:uid="{00000000-0005-0000-0000-0000CF8D0000}"/>
    <cellStyle name="Normal 2 17 2 11" xfId="36317" xr:uid="{00000000-0005-0000-0000-0000D08D0000}"/>
    <cellStyle name="Normal 2 17 2 12" xfId="36318" xr:uid="{00000000-0005-0000-0000-0000D18D0000}"/>
    <cellStyle name="Normal 2 17 2 13" xfId="36319" xr:uid="{00000000-0005-0000-0000-0000D28D0000}"/>
    <cellStyle name="Normal 2 17 2 14" xfId="36320" xr:uid="{00000000-0005-0000-0000-0000D38D0000}"/>
    <cellStyle name="Normal 2 17 2 15" xfId="36321" xr:uid="{00000000-0005-0000-0000-0000D48D0000}"/>
    <cellStyle name="Normal 2 17 2 16" xfId="36322" xr:uid="{00000000-0005-0000-0000-0000D58D0000}"/>
    <cellStyle name="Normal 2 17 2 17" xfId="36323" xr:uid="{00000000-0005-0000-0000-0000D68D0000}"/>
    <cellStyle name="Normal 2 17 2 18" xfId="36324" xr:uid="{00000000-0005-0000-0000-0000D78D0000}"/>
    <cellStyle name="Normal 2 17 2 2" xfId="36325" xr:uid="{00000000-0005-0000-0000-0000D88D0000}"/>
    <cellStyle name="Normal 2 17 2 2 2" xfId="36326" xr:uid="{00000000-0005-0000-0000-0000D98D0000}"/>
    <cellStyle name="Normal 2 17 2 2 3" xfId="36327" xr:uid="{00000000-0005-0000-0000-0000DA8D0000}"/>
    <cellStyle name="Normal 2 17 2 3" xfId="36328" xr:uid="{00000000-0005-0000-0000-0000DB8D0000}"/>
    <cellStyle name="Normal 2 17 2 3 2" xfId="36329" xr:uid="{00000000-0005-0000-0000-0000DC8D0000}"/>
    <cellStyle name="Normal 2 17 2 3 3" xfId="36330" xr:uid="{00000000-0005-0000-0000-0000DD8D0000}"/>
    <cellStyle name="Normal 2 17 2 4" xfId="36331" xr:uid="{00000000-0005-0000-0000-0000DE8D0000}"/>
    <cellStyle name="Normal 2 17 2 4 2" xfId="36332" xr:uid="{00000000-0005-0000-0000-0000DF8D0000}"/>
    <cellStyle name="Normal 2 17 2 4 3" xfId="36333" xr:uid="{00000000-0005-0000-0000-0000E08D0000}"/>
    <cellStyle name="Normal 2 17 2 5" xfId="36334" xr:uid="{00000000-0005-0000-0000-0000E18D0000}"/>
    <cellStyle name="Normal 2 17 2 5 2" xfId="36335" xr:uid="{00000000-0005-0000-0000-0000E28D0000}"/>
    <cellStyle name="Normal 2 17 2 5 3" xfId="36336" xr:uid="{00000000-0005-0000-0000-0000E38D0000}"/>
    <cellStyle name="Normal 2 17 2 6" xfId="36337" xr:uid="{00000000-0005-0000-0000-0000E48D0000}"/>
    <cellStyle name="Normal 2 17 2 6 2" xfId="36338" xr:uid="{00000000-0005-0000-0000-0000E58D0000}"/>
    <cellStyle name="Normal 2 17 2 6 3" xfId="36339" xr:uid="{00000000-0005-0000-0000-0000E68D0000}"/>
    <cellStyle name="Normal 2 17 2 7" xfId="36340" xr:uid="{00000000-0005-0000-0000-0000E78D0000}"/>
    <cellStyle name="Normal 2 17 2 7 2" xfId="36341" xr:uid="{00000000-0005-0000-0000-0000E88D0000}"/>
    <cellStyle name="Normal 2 17 2 7 3" xfId="36342" xr:uid="{00000000-0005-0000-0000-0000E98D0000}"/>
    <cellStyle name="Normal 2 17 2 8" xfId="36343" xr:uid="{00000000-0005-0000-0000-0000EA8D0000}"/>
    <cellStyle name="Normal 2 17 2 9" xfId="36344" xr:uid="{00000000-0005-0000-0000-0000EB8D0000}"/>
    <cellStyle name="Normal 2 17 20" xfId="36345" xr:uid="{00000000-0005-0000-0000-0000EC8D0000}"/>
    <cellStyle name="Normal 2 17 21" xfId="36346" xr:uid="{00000000-0005-0000-0000-0000ED8D0000}"/>
    <cellStyle name="Normal 2 17 22" xfId="36347" xr:uid="{00000000-0005-0000-0000-0000EE8D0000}"/>
    <cellStyle name="Normal 2 17 23" xfId="36348" xr:uid="{00000000-0005-0000-0000-0000EF8D0000}"/>
    <cellStyle name="Normal 2 17 24" xfId="36349" xr:uid="{00000000-0005-0000-0000-0000F08D0000}"/>
    <cellStyle name="Normal 2 17 25" xfId="36350" xr:uid="{00000000-0005-0000-0000-0000F18D0000}"/>
    <cellStyle name="Normal 2 17 26" xfId="36351" xr:uid="{00000000-0005-0000-0000-0000F28D0000}"/>
    <cellStyle name="Normal 2 17 27" xfId="36352" xr:uid="{00000000-0005-0000-0000-0000F38D0000}"/>
    <cellStyle name="Normal 2 17 28" xfId="36353" xr:uid="{00000000-0005-0000-0000-0000F48D0000}"/>
    <cellStyle name="Normal 2 17 29" xfId="36354" xr:uid="{00000000-0005-0000-0000-0000F58D0000}"/>
    <cellStyle name="Normal 2 17 29 2" xfId="36355" xr:uid="{00000000-0005-0000-0000-0000F68D0000}"/>
    <cellStyle name="Normal 2 17 29 3" xfId="36356" xr:uid="{00000000-0005-0000-0000-0000F78D0000}"/>
    <cellStyle name="Normal 2 17 3" xfId="36357" xr:uid="{00000000-0005-0000-0000-0000F88D0000}"/>
    <cellStyle name="Normal 2 17 3 10" xfId="36358" xr:uid="{00000000-0005-0000-0000-0000F98D0000}"/>
    <cellStyle name="Normal 2 17 3 11" xfId="36359" xr:uid="{00000000-0005-0000-0000-0000FA8D0000}"/>
    <cellStyle name="Normal 2 17 3 12" xfId="36360" xr:uid="{00000000-0005-0000-0000-0000FB8D0000}"/>
    <cellStyle name="Normal 2 17 3 13" xfId="36361" xr:uid="{00000000-0005-0000-0000-0000FC8D0000}"/>
    <cellStyle name="Normal 2 17 3 14" xfId="36362" xr:uid="{00000000-0005-0000-0000-0000FD8D0000}"/>
    <cellStyle name="Normal 2 17 3 15" xfId="36363" xr:uid="{00000000-0005-0000-0000-0000FE8D0000}"/>
    <cellStyle name="Normal 2 17 3 2" xfId="36364" xr:uid="{00000000-0005-0000-0000-0000FF8D0000}"/>
    <cellStyle name="Normal 2 17 3 3" xfId="36365" xr:uid="{00000000-0005-0000-0000-0000008E0000}"/>
    <cellStyle name="Normal 2 17 3 4" xfId="36366" xr:uid="{00000000-0005-0000-0000-0000018E0000}"/>
    <cellStyle name="Normal 2 17 3 5" xfId="36367" xr:uid="{00000000-0005-0000-0000-0000028E0000}"/>
    <cellStyle name="Normal 2 17 3 6" xfId="36368" xr:uid="{00000000-0005-0000-0000-0000038E0000}"/>
    <cellStyle name="Normal 2 17 3 7" xfId="36369" xr:uid="{00000000-0005-0000-0000-0000048E0000}"/>
    <cellStyle name="Normal 2 17 3 8" xfId="36370" xr:uid="{00000000-0005-0000-0000-0000058E0000}"/>
    <cellStyle name="Normal 2 17 3 9" xfId="36371" xr:uid="{00000000-0005-0000-0000-0000068E0000}"/>
    <cellStyle name="Normal 2 17 30" xfId="36372" xr:uid="{00000000-0005-0000-0000-0000078E0000}"/>
    <cellStyle name="Normal 2 17 31" xfId="36373" xr:uid="{00000000-0005-0000-0000-0000088E0000}"/>
    <cellStyle name="Normal 2 17 32" xfId="36374" xr:uid="{00000000-0005-0000-0000-0000098E0000}"/>
    <cellStyle name="Normal 2 17 33" xfId="36375" xr:uid="{00000000-0005-0000-0000-00000A8E0000}"/>
    <cellStyle name="Normal 2 17 34" xfId="36376" xr:uid="{00000000-0005-0000-0000-00000B8E0000}"/>
    <cellStyle name="Normal 2 17 35" xfId="36377" xr:uid="{00000000-0005-0000-0000-00000C8E0000}"/>
    <cellStyle name="Normal 2 17 36" xfId="36378" xr:uid="{00000000-0005-0000-0000-00000D8E0000}"/>
    <cellStyle name="Normal 2 17 4" xfId="36379" xr:uid="{00000000-0005-0000-0000-00000E8E0000}"/>
    <cellStyle name="Normal 2 17 4 10" xfId="36380" xr:uid="{00000000-0005-0000-0000-00000F8E0000}"/>
    <cellStyle name="Normal 2 17 4 11" xfId="36381" xr:uid="{00000000-0005-0000-0000-0000108E0000}"/>
    <cellStyle name="Normal 2 17 4 12" xfId="36382" xr:uid="{00000000-0005-0000-0000-0000118E0000}"/>
    <cellStyle name="Normal 2 17 4 13" xfId="36383" xr:uid="{00000000-0005-0000-0000-0000128E0000}"/>
    <cellStyle name="Normal 2 17 4 14" xfId="36384" xr:uid="{00000000-0005-0000-0000-0000138E0000}"/>
    <cellStyle name="Normal 2 17 4 15" xfId="36385" xr:uid="{00000000-0005-0000-0000-0000148E0000}"/>
    <cellStyle name="Normal 2 17 4 2" xfId="36386" xr:uid="{00000000-0005-0000-0000-0000158E0000}"/>
    <cellStyle name="Normal 2 17 4 3" xfId="36387" xr:uid="{00000000-0005-0000-0000-0000168E0000}"/>
    <cellStyle name="Normal 2 17 4 4" xfId="36388" xr:uid="{00000000-0005-0000-0000-0000178E0000}"/>
    <cellStyle name="Normal 2 17 4 5" xfId="36389" xr:uid="{00000000-0005-0000-0000-0000188E0000}"/>
    <cellStyle name="Normal 2 17 4 6" xfId="36390" xr:uid="{00000000-0005-0000-0000-0000198E0000}"/>
    <cellStyle name="Normal 2 17 4 7" xfId="36391" xr:uid="{00000000-0005-0000-0000-00001A8E0000}"/>
    <cellStyle name="Normal 2 17 4 8" xfId="36392" xr:uid="{00000000-0005-0000-0000-00001B8E0000}"/>
    <cellStyle name="Normal 2 17 4 9" xfId="36393" xr:uid="{00000000-0005-0000-0000-00001C8E0000}"/>
    <cellStyle name="Normal 2 17 5" xfId="36394" xr:uid="{00000000-0005-0000-0000-00001D8E0000}"/>
    <cellStyle name="Normal 2 17 5 10" xfId="36395" xr:uid="{00000000-0005-0000-0000-00001E8E0000}"/>
    <cellStyle name="Normal 2 17 5 11" xfId="36396" xr:uid="{00000000-0005-0000-0000-00001F8E0000}"/>
    <cellStyle name="Normal 2 17 5 12" xfId="36397" xr:uid="{00000000-0005-0000-0000-0000208E0000}"/>
    <cellStyle name="Normal 2 17 5 13" xfId="36398" xr:uid="{00000000-0005-0000-0000-0000218E0000}"/>
    <cellStyle name="Normal 2 17 5 14" xfId="36399" xr:uid="{00000000-0005-0000-0000-0000228E0000}"/>
    <cellStyle name="Normal 2 17 5 15" xfId="36400" xr:uid="{00000000-0005-0000-0000-0000238E0000}"/>
    <cellStyle name="Normal 2 17 5 2" xfId="36401" xr:uid="{00000000-0005-0000-0000-0000248E0000}"/>
    <cellStyle name="Normal 2 17 5 3" xfId="36402" xr:uid="{00000000-0005-0000-0000-0000258E0000}"/>
    <cellStyle name="Normal 2 17 5 4" xfId="36403" xr:uid="{00000000-0005-0000-0000-0000268E0000}"/>
    <cellStyle name="Normal 2 17 5 5" xfId="36404" xr:uid="{00000000-0005-0000-0000-0000278E0000}"/>
    <cellStyle name="Normal 2 17 5 6" xfId="36405" xr:uid="{00000000-0005-0000-0000-0000288E0000}"/>
    <cellStyle name="Normal 2 17 5 7" xfId="36406" xr:uid="{00000000-0005-0000-0000-0000298E0000}"/>
    <cellStyle name="Normal 2 17 5 8" xfId="36407" xr:uid="{00000000-0005-0000-0000-00002A8E0000}"/>
    <cellStyle name="Normal 2 17 5 9" xfId="36408" xr:uid="{00000000-0005-0000-0000-00002B8E0000}"/>
    <cellStyle name="Normal 2 17 6" xfId="36409" xr:uid="{00000000-0005-0000-0000-00002C8E0000}"/>
    <cellStyle name="Normal 2 17 6 10" xfId="36410" xr:uid="{00000000-0005-0000-0000-00002D8E0000}"/>
    <cellStyle name="Normal 2 17 6 11" xfId="36411" xr:uid="{00000000-0005-0000-0000-00002E8E0000}"/>
    <cellStyle name="Normal 2 17 6 12" xfId="36412" xr:uid="{00000000-0005-0000-0000-00002F8E0000}"/>
    <cellStyle name="Normal 2 17 6 13" xfId="36413" xr:uid="{00000000-0005-0000-0000-0000308E0000}"/>
    <cellStyle name="Normal 2 17 6 14" xfId="36414" xr:uid="{00000000-0005-0000-0000-0000318E0000}"/>
    <cellStyle name="Normal 2 17 6 15" xfId="36415" xr:uid="{00000000-0005-0000-0000-0000328E0000}"/>
    <cellStyle name="Normal 2 17 6 2" xfId="36416" xr:uid="{00000000-0005-0000-0000-0000338E0000}"/>
    <cellStyle name="Normal 2 17 6 3" xfId="36417" xr:uid="{00000000-0005-0000-0000-0000348E0000}"/>
    <cellStyle name="Normal 2 17 6 4" xfId="36418" xr:uid="{00000000-0005-0000-0000-0000358E0000}"/>
    <cellStyle name="Normal 2 17 6 5" xfId="36419" xr:uid="{00000000-0005-0000-0000-0000368E0000}"/>
    <cellStyle name="Normal 2 17 6 6" xfId="36420" xr:uid="{00000000-0005-0000-0000-0000378E0000}"/>
    <cellStyle name="Normal 2 17 6 7" xfId="36421" xr:uid="{00000000-0005-0000-0000-0000388E0000}"/>
    <cellStyle name="Normal 2 17 6 8" xfId="36422" xr:uid="{00000000-0005-0000-0000-0000398E0000}"/>
    <cellStyle name="Normal 2 17 6 9" xfId="36423" xr:uid="{00000000-0005-0000-0000-00003A8E0000}"/>
    <cellStyle name="Normal 2 17 7" xfId="36424" xr:uid="{00000000-0005-0000-0000-00003B8E0000}"/>
    <cellStyle name="Normal 2 17 7 10" xfId="36425" xr:uid="{00000000-0005-0000-0000-00003C8E0000}"/>
    <cellStyle name="Normal 2 17 7 11" xfId="36426" xr:uid="{00000000-0005-0000-0000-00003D8E0000}"/>
    <cellStyle name="Normal 2 17 7 12" xfId="36427" xr:uid="{00000000-0005-0000-0000-00003E8E0000}"/>
    <cellStyle name="Normal 2 17 7 13" xfId="36428" xr:uid="{00000000-0005-0000-0000-00003F8E0000}"/>
    <cellStyle name="Normal 2 17 7 14" xfId="36429" xr:uid="{00000000-0005-0000-0000-0000408E0000}"/>
    <cellStyle name="Normal 2 17 7 15" xfId="36430" xr:uid="{00000000-0005-0000-0000-0000418E0000}"/>
    <cellStyle name="Normal 2 17 7 2" xfId="36431" xr:uid="{00000000-0005-0000-0000-0000428E0000}"/>
    <cellStyle name="Normal 2 17 7 3" xfId="36432" xr:uid="{00000000-0005-0000-0000-0000438E0000}"/>
    <cellStyle name="Normal 2 17 7 4" xfId="36433" xr:uid="{00000000-0005-0000-0000-0000448E0000}"/>
    <cellStyle name="Normal 2 17 7 5" xfId="36434" xr:uid="{00000000-0005-0000-0000-0000458E0000}"/>
    <cellStyle name="Normal 2 17 7 6" xfId="36435" xr:uid="{00000000-0005-0000-0000-0000468E0000}"/>
    <cellStyle name="Normal 2 17 7 7" xfId="36436" xr:uid="{00000000-0005-0000-0000-0000478E0000}"/>
    <cellStyle name="Normal 2 17 7 8" xfId="36437" xr:uid="{00000000-0005-0000-0000-0000488E0000}"/>
    <cellStyle name="Normal 2 17 7 9" xfId="36438" xr:uid="{00000000-0005-0000-0000-0000498E0000}"/>
    <cellStyle name="Normal 2 17 8" xfId="36439" xr:uid="{00000000-0005-0000-0000-00004A8E0000}"/>
    <cellStyle name="Normal 2 17 8 10" xfId="36440" xr:uid="{00000000-0005-0000-0000-00004B8E0000}"/>
    <cellStyle name="Normal 2 17 8 11" xfId="36441" xr:uid="{00000000-0005-0000-0000-00004C8E0000}"/>
    <cellStyle name="Normal 2 17 8 12" xfId="36442" xr:uid="{00000000-0005-0000-0000-00004D8E0000}"/>
    <cellStyle name="Normal 2 17 8 13" xfId="36443" xr:uid="{00000000-0005-0000-0000-00004E8E0000}"/>
    <cellStyle name="Normal 2 17 8 14" xfId="36444" xr:uid="{00000000-0005-0000-0000-00004F8E0000}"/>
    <cellStyle name="Normal 2 17 8 15" xfId="36445" xr:uid="{00000000-0005-0000-0000-0000508E0000}"/>
    <cellStyle name="Normal 2 17 8 2" xfId="36446" xr:uid="{00000000-0005-0000-0000-0000518E0000}"/>
    <cellStyle name="Normal 2 17 8 3" xfId="36447" xr:uid="{00000000-0005-0000-0000-0000528E0000}"/>
    <cellStyle name="Normal 2 17 8 4" xfId="36448" xr:uid="{00000000-0005-0000-0000-0000538E0000}"/>
    <cellStyle name="Normal 2 17 8 5" xfId="36449" xr:uid="{00000000-0005-0000-0000-0000548E0000}"/>
    <cellStyle name="Normal 2 17 8 6" xfId="36450" xr:uid="{00000000-0005-0000-0000-0000558E0000}"/>
    <cellStyle name="Normal 2 17 8 7" xfId="36451" xr:uid="{00000000-0005-0000-0000-0000568E0000}"/>
    <cellStyle name="Normal 2 17 8 8" xfId="36452" xr:uid="{00000000-0005-0000-0000-0000578E0000}"/>
    <cellStyle name="Normal 2 17 8 9" xfId="36453" xr:uid="{00000000-0005-0000-0000-0000588E0000}"/>
    <cellStyle name="Normal 2 17 9" xfId="36454" xr:uid="{00000000-0005-0000-0000-0000598E0000}"/>
    <cellStyle name="Normal 2 17 9 10" xfId="36455" xr:uid="{00000000-0005-0000-0000-00005A8E0000}"/>
    <cellStyle name="Normal 2 17 9 11" xfId="36456" xr:uid="{00000000-0005-0000-0000-00005B8E0000}"/>
    <cellStyle name="Normal 2 17 9 12" xfId="36457" xr:uid="{00000000-0005-0000-0000-00005C8E0000}"/>
    <cellStyle name="Normal 2 17 9 13" xfId="36458" xr:uid="{00000000-0005-0000-0000-00005D8E0000}"/>
    <cellStyle name="Normal 2 17 9 14" xfId="36459" xr:uid="{00000000-0005-0000-0000-00005E8E0000}"/>
    <cellStyle name="Normal 2 17 9 15" xfId="36460" xr:uid="{00000000-0005-0000-0000-00005F8E0000}"/>
    <cellStyle name="Normal 2 17 9 2" xfId="36461" xr:uid="{00000000-0005-0000-0000-0000608E0000}"/>
    <cellStyle name="Normal 2 17 9 3" xfId="36462" xr:uid="{00000000-0005-0000-0000-0000618E0000}"/>
    <cellStyle name="Normal 2 17 9 4" xfId="36463" xr:uid="{00000000-0005-0000-0000-0000628E0000}"/>
    <cellStyle name="Normal 2 17 9 5" xfId="36464" xr:uid="{00000000-0005-0000-0000-0000638E0000}"/>
    <cellStyle name="Normal 2 17 9 6" xfId="36465" xr:uid="{00000000-0005-0000-0000-0000648E0000}"/>
    <cellStyle name="Normal 2 17 9 7" xfId="36466" xr:uid="{00000000-0005-0000-0000-0000658E0000}"/>
    <cellStyle name="Normal 2 17 9 8" xfId="36467" xr:uid="{00000000-0005-0000-0000-0000668E0000}"/>
    <cellStyle name="Normal 2 17 9 9" xfId="36468" xr:uid="{00000000-0005-0000-0000-0000678E0000}"/>
    <cellStyle name="Normal 2 170" xfId="36469" xr:uid="{00000000-0005-0000-0000-0000688E0000}"/>
    <cellStyle name="Normal 2 171" xfId="36470" xr:uid="{00000000-0005-0000-0000-0000698E0000}"/>
    <cellStyle name="Normal 2 172" xfId="36471" xr:uid="{00000000-0005-0000-0000-00006A8E0000}"/>
    <cellStyle name="Normal 2 173" xfId="36472" xr:uid="{00000000-0005-0000-0000-00006B8E0000}"/>
    <cellStyle name="Normal 2 174" xfId="36473" xr:uid="{00000000-0005-0000-0000-00006C8E0000}"/>
    <cellStyle name="Normal 2 175" xfId="36474" xr:uid="{00000000-0005-0000-0000-00006D8E0000}"/>
    <cellStyle name="Normal 2 176" xfId="36475" xr:uid="{00000000-0005-0000-0000-00006E8E0000}"/>
    <cellStyle name="Normal 2 177" xfId="36476" xr:uid="{00000000-0005-0000-0000-00006F8E0000}"/>
    <cellStyle name="Normal 2 178" xfId="36477" xr:uid="{00000000-0005-0000-0000-0000708E0000}"/>
    <cellStyle name="Normal 2 18" xfId="36478" xr:uid="{00000000-0005-0000-0000-0000718E0000}"/>
    <cellStyle name="Normal 2 18 10" xfId="36479" xr:uid="{00000000-0005-0000-0000-0000728E0000}"/>
    <cellStyle name="Normal 2 18 11" xfId="36480" xr:uid="{00000000-0005-0000-0000-0000738E0000}"/>
    <cellStyle name="Normal 2 18 12" xfId="36481" xr:uid="{00000000-0005-0000-0000-0000748E0000}"/>
    <cellStyle name="Normal 2 18 13" xfId="36482" xr:uid="{00000000-0005-0000-0000-0000758E0000}"/>
    <cellStyle name="Normal 2 18 14" xfId="36483" xr:uid="{00000000-0005-0000-0000-0000768E0000}"/>
    <cellStyle name="Normal 2 18 15" xfId="36484" xr:uid="{00000000-0005-0000-0000-0000778E0000}"/>
    <cellStyle name="Normal 2 18 16" xfId="36485" xr:uid="{00000000-0005-0000-0000-0000788E0000}"/>
    <cellStyle name="Normal 2 18 17" xfId="36486" xr:uid="{00000000-0005-0000-0000-0000798E0000}"/>
    <cellStyle name="Normal 2 18 18" xfId="36487" xr:uid="{00000000-0005-0000-0000-00007A8E0000}"/>
    <cellStyle name="Normal 2 18 19" xfId="36488" xr:uid="{00000000-0005-0000-0000-00007B8E0000}"/>
    <cellStyle name="Normal 2 18 2" xfId="36489" xr:uid="{00000000-0005-0000-0000-00007C8E0000}"/>
    <cellStyle name="Normal 2 18 2 10" xfId="36490" xr:uid="{00000000-0005-0000-0000-00007D8E0000}"/>
    <cellStyle name="Normal 2 18 2 11" xfId="36491" xr:uid="{00000000-0005-0000-0000-00007E8E0000}"/>
    <cellStyle name="Normal 2 18 2 12" xfId="36492" xr:uid="{00000000-0005-0000-0000-00007F8E0000}"/>
    <cellStyle name="Normal 2 18 2 13" xfId="36493" xr:uid="{00000000-0005-0000-0000-0000808E0000}"/>
    <cellStyle name="Normal 2 18 2 14" xfId="36494" xr:uid="{00000000-0005-0000-0000-0000818E0000}"/>
    <cellStyle name="Normal 2 18 2 15" xfId="36495" xr:uid="{00000000-0005-0000-0000-0000828E0000}"/>
    <cellStyle name="Normal 2 18 2 16" xfId="36496" xr:uid="{00000000-0005-0000-0000-0000838E0000}"/>
    <cellStyle name="Normal 2 18 2 17" xfId="36497" xr:uid="{00000000-0005-0000-0000-0000848E0000}"/>
    <cellStyle name="Normal 2 18 2 18" xfId="36498" xr:uid="{00000000-0005-0000-0000-0000858E0000}"/>
    <cellStyle name="Normal 2 18 2 2" xfId="36499" xr:uid="{00000000-0005-0000-0000-0000868E0000}"/>
    <cellStyle name="Normal 2 18 2 2 2" xfId="36500" xr:uid="{00000000-0005-0000-0000-0000878E0000}"/>
    <cellStyle name="Normal 2 18 2 2 3" xfId="36501" xr:uid="{00000000-0005-0000-0000-0000888E0000}"/>
    <cellStyle name="Normal 2 18 2 3" xfId="36502" xr:uid="{00000000-0005-0000-0000-0000898E0000}"/>
    <cellStyle name="Normal 2 18 2 3 2" xfId="36503" xr:uid="{00000000-0005-0000-0000-00008A8E0000}"/>
    <cellStyle name="Normal 2 18 2 3 3" xfId="36504" xr:uid="{00000000-0005-0000-0000-00008B8E0000}"/>
    <cellStyle name="Normal 2 18 2 4" xfId="36505" xr:uid="{00000000-0005-0000-0000-00008C8E0000}"/>
    <cellStyle name="Normal 2 18 2 4 2" xfId="36506" xr:uid="{00000000-0005-0000-0000-00008D8E0000}"/>
    <cellStyle name="Normal 2 18 2 4 3" xfId="36507" xr:uid="{00000000-0005-0000-0000-00008E8E0000}"/>
    <cellStyle name="Normal 2 18 2 5" xfId="36508" xr:uid="{00000000-0005-0000-0000-00008F8E0000}"/>
    <cellStyle name="Normal 2 18 2 5 2" xfId="36509" xr:uid="{00000000-0005-0000-0000-0000908E0000}"/>
    <cellStyle name="Normal 2 18 2 5 3" xfId="36510" xr:uid="{00000000-0005-0000-0000-0000918E0000}"/>
    <cellStyle name="Normal 2 18 2 6" xfId="36511" xr:uid="{00000000-0005-0000-0000-0000928E0000}"/>
    <cellStyle name="Normal 2 18 2 6 2" xfId="36512" xr:uid="{00000000-0005-0000-0000-0000938E0000}"/>
    <cellStyle name="Normal 2 18 2 6 3" xfId="36513" xr:uid="{00000000-0005-0000-0000-0000948E0000}"/>
    <cellStyle name="Normal 2 18 2 7" xfId="36514" xr:uid="{00000000-0005-0000-0000-0000958E0000}"/>
    <cellStyle name="Normal 2 18 2 7 2" xfId="36515" xr:uid="{00000000-0005-0000-0000-0000968E0000}"/>
    <cellStyle name="Normal 2 18 2 7 3" xfId="36516" xr:uid="{00000000-0005-0000-0000-0000978E0000}"/>
    <cellStyle name="Normal 2 18 2 8" xfId="36517" xr:uid="{00000000-0005-0000-0000-0000988E0000}"/>
    <cellStyle name="Normal 2 18 2 9" xfId="36518" xr:uid="{00000000-0005-0000-0000-0000998E0000}"/>
    <cellStyle name="Normal 2 18 20" xfId="36519" xr:uid="{00000000-0005-0000-0000-00009A8E0000}"/>
    <cellStyle name="Normal 2 18 21" xfId="36520" xr:uid="{00000000-0005-0000-0000-00009B8E0000}"/>
    <cellStyle name="Normal 2 18 22" xfId="36521" xr:uid="{00000000-0005-0000-0000-00009C8E0000}"/>
    <cellStyle name="Normal 2 18 23" xfId="36522" xr:uid="{00000000-0005-0000-0000-00009D8E0000}"/>
    <cellStyle name="Normal 2 18 24" xfId="36523" xr:uid="{00000000-0005-0000-0000-00009E8E0000}"/>
    <cellStyle name="Normal 2 18 25" xfId="36524" xr:uid="{00000000-0005-0000-0000-00009F8E0000}"/>
    <cellStyle name="Normal 2 18 26" xfId="36525" xr:uid="{00000000-0005-0000-0000-0000A08E0000}"/>
    <cellStyle name="Normal 2 18 27" xfId="36526" xr:uid="{00000000-0005-0000-0000-0000A18E0000}"/>
    <cellStyle name="Normal 2 18 28" xfId="36527" xr:uid="{00000000-0005-0000-0000-0000A28E0000}"/>
    <cellStyle name="Normal 2 18 29" xfId="36528" xr:uid="{00000000-0005-0000-0000-0000A38E0000}"/>
    <cellStyle name="Normal 2 18 29 2" xfId="36529" xr:uid="{00000000-0005-0000-0000-0000A48E0000}"/>
    <cellStyle name="Normal 2 18 29 3" xfId="36530" xr:uid="{00000000-0005-0000-0000-0000A58E0000}"/>
    <cellStyle name="Normal 2 18 3" xfId="36531" xr:uid="{00000000-0005-0000-0000-0000A68E0000}"/>
    <cellStyle name="Normal 2 18 3 10" xfId="36532" xr:uid="{00000000-0005-0000-0000-0000A78E0000}"/>
    <cellStyle name="Normal 2 18 3 11" xfId="36533" xr:uid="{00000000-0005-0000-0000-0000A88E0000}"/>
    <cellStyle name="Normal 2 18 3 12" xfId="36534" xr:uid="{00000000-0005-0000-0000-0000A98E0000}"/>
    <cellStyle name="Normal 2 18 3 13" xfId="36535" xr:uid="{00000000-0005-0000-0000-0000AA8E0000}"/>
    <cellStyle name="Normal 2 18 3 14" xfId="36536" xr:uid="{00000000-0005-0000-0000-0000AB8E0000}"/>
    <cellStyle name="Normal 2 18 3 15" xfId="36537" xr:uid="{00000000-0005-0000-0000-0000AC8E0000}"/>
    <cellStyle name="Normal 2 18 3 2" xfId="36538" xr:uid="{00000000-0005-0000-0000-0000AD8E0000}"/>
    <cellStyle name="Normal 2 18 3 3" xfId="36539" xr:uid="{00000000-0005-0000-0000-0000AE8E0000}"/>
    <cellStyle name="Normal 2 18 3 4" xfId="36540" xr:uid="{00000000-0005-0000-0000-0000AF8E0000}"/>
    <cellStyle name="Normal 2 18 3 5" xfId="36541" xr:uid="{00000000-0005-0000-0000-0000B08E0000}"/>
    <cellStyle name="Normal 2 18 3 6" xfId="36542" xr:uid="{00000000-0005-0000-0000-0000B18E0000}"/>
    <cellStyle name="Normal 2 18 3 7" xfId="36543" xr:uid="{00000000-0005-0000-0000-0000B28E0000}"/>
    <cellStyle name="Normal 2 18 3 8" xfId="36544" xr:uid="{00000000-0005-0000-0000-0000B38E0000}"/>
    <cellStyle name="Normal 2 18 3 9" xfId="36545" xr:uid="{00000000-0005-0000-0000-0000B48E0000}"/>
    <cellStyle name="Normal 2 18 30" xfId="36546" xr:uid="{00000000-0005-0000-0000-0000B58E0000}"/>
    <cellStyle name="Normal 2 18 31" xfId="36547" xr:uid="{00000000-0005-0000-0000-0000B68E0000}"/>
    <cellStyle name="Normal 2 18 32" xfId="36548" xr:uid="{00000000-0005-0000-0000-0000B78E0000}"/>
    <cellStyle name="Normal 2 18 33" xfId="36549" xr:uid="{00000000-0005-0000-0000-0000B88E0000}"/>
    <cellStyle name="Normal 2 18 34" xfId="36550" xr:uid="{00000000-0005-0000-0000-0000B98E0000}"/>
    <cellStyle name="Normal 2 18 35" xfId="36551" xr:uid="{00000000-0005-0000-0000-0000BA8E0000}"/>
    <cellStyle name="Normal 2 18 36" xfId="36552" xr:uid="{00000000-0005-0000-0000-0000BB8E0000}"/>
    <cellStyle name="Normal 2 18 4" xfId="36553" xr:uid="{00000000-0005-0000-0000-0000BC8E0000}"/>
    <cellStyle name="Normal 2 18 4 10" xfId="36554" xr:uid="{00000000-0005-0000-0000-0000BD8E0000}"/>
    <cellStyle name="Normal 2 18 4 11" xfId="36555" xr:uid="{00000000-0005-0000-0000-0000BE8E0000}"/>
    <cellStyle name="Normal 2 18 4 12" xfId="36556" xr:uid="{00000000-0005-0000-0000-0000BF8E0000}"/>
    <cellStyle name="Normal 2 18 4 13" xfId="36557" xr:uid="{00000000-0005-0000-0000-0000C08E0000}"/>
    <cellStyle name="Normal 2 18 4 14" xfId="36558" xr:uid="{00000000-0005-0000-0000-0000C18E0000}"/>
    <cellStyle name="Normal 2 18 4 15" xfId="36559" xr:uid="{00000000-0005-0000-0000-0000C28E0000}"/>
    <cellStyle name="Normal 2 18 4 2" xfId="36560" xr:uid="{00000000-0005-0000-0000-0000C38E0000}"/>
    <cellStyle name="Normal 2 18 4 3" xfId="36561" xr:uid="{00000000-0005-0000-0000-0000C48E0000}"/>
    <cellStyle name="Normal 2 18 4 4" xfId="36562" xr:uid="{00000000-0005-0000-0000-0000C58E0000}"/>
    <cellStyle name="Normal 2 18 4 5" xfId="36563" xr:uid="{00000000-0005-0000-0000-0000C68E0000}"/>
    <cellStyle name="Normal 2 18 4 6" xfId="36564" xr:uid="{00000000-0005-0000-0000-0000C78E0000}"/>
    <cellStyle name="Normal 2 18 4 7" xfId="36565" xr:uid="{00000000-0005-0000-0000-0000C88E0000}"/>
    <cellStyle name="Normal 2 18 4 8" xfId="36566" xr:uid="{00000000-0005-0000-0000-0000C98E0000}"/>
    <cellStyle name="Normal 2 18 4 9" xfId="36567" xr:uid="{00000000-0005-0000-0000-0000CA8E0000}"/>
    <cellStyle name="Normal 2 18 5" xfId="36568" xr:uid="{00000000-0005-0000-0000-0000CB8E0000}"/>
    <cellStyle name="Normal 2 18 5 10" xfId="36569" xr:uid="{00000000-0005-0000-0000-0000CC8E0000}"/>
    <cellStyle name="Normal 2 18 5 11" xfId="36570" xr:uid="{00000000-0005-0000-0000-0000CD8E0000}"/>
    <cellStyle name="Normal 2 18 5 12" xfId="36571" xr:uid="{00000000-0005-0000-0000-0000CE8E0000}"/>
    <cellStyle name="Normal 2 18 5 13" xfId="36572" xr:uid="{00000000-0005-0000-0000-0000CF8E0000}"/>
    <cellStyle name="Normal 2 18 5 14" xfId="36573" xr:uid="{00000000-0005-0000-0000-0000D08E0000}"/>
    <cellStyle name="Normal 2 18 5 15" xfId="36574" xr:uid="{00000000-0005-0000-0000-0000D18E0000}"/>
    <cellStyle name="Normal 2 18 5 2" xfId="36575" xr:uid="{00000000-0005-0000-0000-0000D28E0000}"/>
    <cellStyle name="Normal 2 18 5 3" xfId="36576" xr:uid="{00000000-0005-0000-0000-0000D38E0000}"/>
    <cellStyle name="Normal 2 18 5 4" xfId="36577" xr:uid="{00000000-0005-0000-0000-0000D48E0000}"/>
    <cellStyle name="Normal 2 18 5 5" xfId="36578" xr:uid="{00000000-0005-0000-0000-0000D58E0000}"/>
    <cellStyle name="Normal 2 18 5 6" xfId="36579" xr:uid="{00000000-0005-0000-0000-0000D68E0000}"/>
    <cellStyle name="Normal 2 18 5 7" xfId="36580" xr:uid="{00000000-0005-0000-0000-0000D78E0000}"/>
    <cellStyle name="Normal 2 18 5 8" xfId="36581" xr:uid="{00000000-0005-0000-0000-0000D88E0000}"/>
    <cellStyle name="Normal 2 18 5 9" xfId="36582" xr:uid="{00000000-0005-0000-0000-0000D98E0000}"/>
    <cellStyle name="Normal 2 18 6" xfId="36583" xr:uid="{00000000-0005-0000-0000-0000DA8E0000}"/>
    <cellStyle name="Normal 2 18 6 10" xfId="36584" xr:uid="{00000000-0005-0000-0000-0000DB8E0000}"/>
    <cellStyle name="Normal 2 18 6 11" xfId="36585" xr:uid="{00000000-0005-0000-0000-0000DC8E0000}"/>
    <cellStyle name="Normal 2 18 6 12" xfId="36586" xr:uid="{00000000-0005-0000-0000-0000DD8E0000}"/>
    <cellStyle name="Normal 2 18 6 13" xfId="36587" xr:uid="{00000000-0005-0000-0000-0000DE8E0000}"/>
    <cellStyle name="Normal 2 18 6 14" xfId="36588" xr:uid="{00000000-0005-0000-0000-0000DF8E0000}"/>
    <cellStyle name="Normal 2 18 6 15" xfId="36589" xr:uid="{00000000-0005-0000-0000-0000E08E0000}"/>
    <cellStyle name="Normal 2 18 6 2" xfId="36590" xr:uid="{00000000-0005-0000-0000-0000E18E0000}"/>
    <cellStyle name="Normal 2 18 6 3" xfId="36591" xr:uid="{00000000-0005-0000-0000-0000E28E0000}"/>
    <cellStyle name="Normal 2 18 6 4" xfId="36592" xr:uid="{00000000-0005-0000-0000-0000E38E0000}"/>
    <cellStyle name="Normal 2 18 6 5" xfId="36593" xr:uid="{00000000-0005-0000-0000-0000E48E0000}"/>
    <cellStyle name="Normal 2 18 6 6" xfId="36594" xr:uid="{00000000-0005-0000-0000-0000E58E0000}"/>
    <cellStyle name="Normal 2 18 6 7" xfId="36595" xr:uid="{00000000-0005-0000-0000-0000E68E0000}"/>
    <cellStyle name="Normal 2 18 6 8" xfId="36596" xr:uid="{00000000-0005-0000-0000-0000E78E0000}"/>
    <cellStyle name="Normal 2 18 6 9" xfId="36597" xr:uid="{00000000-0005-0000-0000-0000E88E0000}"/>
    <cellStyle name="Normal 2 18 7" xfId="36598" xr:uid="{00000000-0005-0000-0000-0000E98E0000}"/>
    <cellStyle name="Normal 2 18 7 10" xfId="36599" xr:uid="{00000000-0005-0000-0000-0000EA8E0000}"/>
    <cellStyle name="Normal 2 18 7 11" xfId="36600" xr:uid="{00000000-0005-0000-0000-0000EB8E0000}"/>
    <cellStyle name="Normal 2 18 7 12" xfId="36601" xr:uid="{00000000-0005-0000-0000-0000EC8E0000}"/>
    <cellStyle name="Normal 2 18 7 13" xfId="36602" xr:uid="{00000000-0005-0000-0000-0000ED8E0000}"/>
    <cellStyle name="Normal 2 18 7 14" xfId="36603" xr:uid="{00000000-0005-0000-0000-0000EE8E0000}"/>
    <cellStyle name="Normal 2 18 7 15" xfId="36604" xr:uid="{00000000-0005-0000-0000-0000EF8E0000}"/>
    <cellStyle name="Normal 2 18 7 2" xfId="36605" xr:uid="{00000000-0005-0000-0000-0000F08E0000}"/>
    <cellStyle name="Normal 2 18 7 3" xfId="36606" xr:uid="{00000000-0005-0000-0000-0000F18E0000}"/>
    <cellStyle name="Normal 2 18 7 4" xfId="36607" xr:uid="{00000000-0005-0000-0000-0000F28E0000}"/>
    <cellStyle name="Normal 2 18 7 5" xfId="36608" xr:uid="{00000000-0005-0000-0000-0000F38E0000}"/>
    <cellStyle name="Normal 2 18 7 6" xfId="36609" xr:uid="{00000000-0005-0000-0000-0000F48E0000}"/>
    <cellStyle name="Normal 2 18 7 7" xfId="36610" xr:uid="{00000000-0005-0000-0000-0000F58E0000}"/>
    <cellStyle name="Normal 2 18 7 8" xfId="36611" xr:uid="{00000000-0005-0000-0000-0000F68E0000}"/>
    <cellStyle name="Normal 2 18 7 9" xfId="36612" xr:uid="{00000000-0005-0000-0000-0000F78E0000}"/>
    <cellStyle name="Normal 2 18 8" xfId="36613" xr:uid="{00000000-0005-0000-0000-0000F88E0000}"/>
    <cellStyle name="Normal 2 18 8 10" xfId="36614" xr:uid="{00000000-0005-0000-0000-0000F98E0000}"/>
    <cellStyle name="Normal 2 18 8 11" xfId="36615" xr:uid="{00000000-0005-0000-0000-0000FA8E0000}"/>
    <cellStyle name="Normal 2 18 8 12" xfId="36616" xr:uid="{00000000-0005-0000-0000-0000FB8E0000}"/>
    <cellStyle name="Normal 2 18 8 13" xfId="36617" xr:uid="{00000000-0005-0000-0000-0000FC8E0000}"/>
    <cellStyle name="Normal 2 18 8 14" xfId="36618" xr:uid="{00000000-0005-0000-0000-0000FD8E0000}"/>
    <cellStyle name="Normal 2 18 8 15" xfId="36619" xr:uid="{00000000-0005-0000-0000-0000FE8E0000}"/>
    <cellStyle name="Normal 2 18 8 2" xfId="36620" xr:uid="{00000000-0005-0000-0000-0000FF8E0000}"/>
    <cellStyle name="Normal 2 18 8 3" xfId="36621" xr:uid="{00000000-0005-0000-0000-0000008F0000}"/>
    <cellStyle name="Normal 2 18 8 4" xfId="36622" xr:uid="{00000000-0005-0000-0000-0000018F0000}"/>
    <cellStyle name="Normal 2 18 8 5" xfId="36623" xr:uid="{00000000-0005-0000-0000-0000028F0000}"/>
    <cellStyle name="Normal 2 18 8 6" xfId="36624" xr:uid="{00000000-0005-0000-0000-0000038F0000}"/>
    <cellStyle name="Normal 2 18 8 7" xfId="36625" xr:uid="{00000000-0005-0000-0000-0000048F0000}"/>
    <cellStyle name="Normal 2 18 8 8" xfId="36626" xr:uid="{00000000-0005-0000-0000-0000058F0000}"/>
    <cellStyle name="Normal 2 18 8 9" xfId="36627" xr:uid="{00000000-0005-0000-0000-0000068F0000}"/>
    <cellStyle name="Normal 2 18 9" xfId="36628" xr:uid="{00000000-0005-0000-0000-0000078F0000}"/>
    <cellStyle name="Normal 2 18 9 10" xfId="36629" xr:uid="{00000000-0005-0000-0000-0000088F0000}"/>
    <cellStyle name="Normal 2 18 9 11" xfId="36630" xr:uid="{00000000-0005-0000-0000-0000098F0000}"/>
    <cellStyle name="Normal 2 18 9 12" xfId="36631" xr:uid="{00000000-0005-0000-0000-00000A8F0000}"/>
    <cellStyle name="Normal 2 18 9 13" xfId="36632" xr:uid="{00000000-0005-0000-0000-00000B8F0000}"/>
    <cellStyle name="Normal 2 18 9 14" xfId="36633" xr:uid="{00000000-0005-0000-0000-00000C8F0000}"/>
    <cellStyle name="Normal 2 18 9 15" xfId="36634" xr:uid="{00000000-0005-0000-0000-00000D8F0000}"/>
    <cellStyle name="Normal 2 18 9 2" xfId="36635" xr:uid="{00000000-0005-0000-0000-00000E8F0000}"/>
    <cellStyle name="Normal 2 18 9 3" xfId="36636" xr:uid="{00000000-0005-0000-0000-00000F8F0000}"/>
    <cellStyle name="Normal 2 18 9 4" xfId="36637" xr:uid="{00000000-0005-0000-0000-0000108F0000}"/>
    <cellStyle name="Normal 2 18 9 5" xfId="36638" xr:uid="{00000000-0005-0000-0000-0000118F0000}"/>
    <cellStyle name="Normal 2 18 9 6" xfId="36639" xr:uid="{00000000-0005-0000-0000-0000128F0000}"/>
    <cellStyle name="Normal 2 18 9 7" xfId="36640" xr:uid="{00000000-0005-0000-0000-0000138F0000}"/>
    <cellStyle name="Normal 2 18 9 8" xfId="36641" xr:uid="{00000000-0005-0000-0000-0000148F0000}"/>
    <cellStyle name="Normal 2 18 9 9" xfId="36642" xr:uid="{00000000-0005-0000-0000-0000158F0000}"/>
    <cellStyle name="Normal 2 19" xfId="36643" xr:uid="{00000000-0005-0000-0000-0000168F0000}"/>
    <cellStyle name="Normal 2 19 10" xfId="36644" xr:uid="{00000000-0005-0000-0000-0000178F0000}"/>
    <cellStyle name="Normal 2 19 11" xfId="36645" xr:uid="{00000000-0005-0000-0000-0000188F0000}"/>
    <cellStyle name="Normal 2 19 12" xfId="36646" xr:uid="{00000000-0005-0000-0000-0000198F0000}"/>
    <cellStyle name="Normal 2 19 13" xfId="36647" xr:uid="{00000000-0005-0000-0000-00001A8F0000}"/>
    <cellStyle name="Normal 2 19 14" xfId="36648" xr:uid="{00000000-0005-0000-0000-00001B8F0000}"/>
    <cellStyle name="Normal 2 19 15" xfId="36649" xr:uid="{00000000-0005-0000-0000-00001C8F0000}"/>
    <cellStyle name="Normal 2 19 16" xfId="36650" xr:uid="{00000000-0005-0000-0000-00001D8F0000}"/>
    <cellStyle name="Normal 2 19 17" xfId="36651" xr:uid="{00000000-0005-0000-0000-00001E8F0000}"/>
    <cellStyle name="Normal 2 19 18" xfId="36652" xr:uid="{00000000-0005-0000-0000-00001F8F0000}"/>
    <cellStyle name="Normal 2 19 19" xfId="36653" xr:uid="{00000000-0005-0000-0000-0000208F0000}"/>
    <cellStyle name="Normal 2 19 2" xfId="36654" xr:uid="{00000000-0005-0000-0000-0000218F0000}"/>
    <cellStyle name="Normal 2 19 2 10" xfId="36655" xr:uid="{00000000-0005-0000-0000-0000228F0000}"/>
    <cellStyle name="Normal 2 19 2 11" xfId="36656" xr:uid="{00000000-0005-0000-0000-0000238F0000}"/>
    <cellStyle name="Normal 2 19 2 12" xfId="36657" xr:uid="{00000000-0005-0000-0000-0000248F0000}"/>
    <cellStyle name="Normal 2 19 2 13" xfId="36658" xr:uid="{00000000-0005-0000-0000-0000258F0000}"/>
    <cellStyle name="Normal 2 19 2 14" xfId="36659" xr:uid="{00000000-0005-0000-0000-0000268F0000}"/>
    <cellStyle name="Normal 2 19 2 15" xfId="36660" xr:uid="{00000000-0005-0000-0000-0000278F0000}"/>
    <cellStyle name="Normal 2 19 2 16" xfId="36661" xr:uid="{00000000-0005-0000-0000-0000288F0000}"/>
    <cellStyle name="Normal 2 19 2 17" xfId="36662" xr:uid="{00000000-0005-0000-0000-0000298F0000}"/>
    <cellStyle name="Normal 2 19 2 18" xfId="36663" xr:uid="{00000000-0005-0000-0000-00002A8F0000}"/>
    <cellStyle name="Normal 2 19 2 2" xfId="36664" xr:uid="{00000000-0005-0000-0000-00002B8F0000}"/>
    <cellStyle name="Normal 2 19 2 2 2" xfId="36665" xr:uid="{00000000-0005-0000-0000-00002C8F0000}"/>
    <cellStyle name="Normal 2 19 2 2 3" xfId="36666" xr:uid="{00000000-0005-0000-0000-00002D8F0000}"/>
    <cellStyle name="Normal 2 19 2 3" xfId="36667" xr:uid="{00000000-0005-0000-0000-00002E8F0000}"/>
    <cellStyle name="Normal 2 19 2 3 2" xfId="36668" xr:uid="{00000000-0005-0000-0000-00002F8F0000}"/>
    <cellStyle name="Normal 2 19 2 3 3" xfId="36669" xr:uid="{00000000-0005-0000-0000-0000308F0000}"/>
    <cellStyle name="Normal 2 19 2 4" xfId="36670" xr:uid="{00000000-0005-0000-0000-0000318F0000}"/>
    <cellStyle name="Normal 2 19 2 4 2" xfId="36671" xr:uid="{00000000-0005-0000-0000-0000328F0000}"/>
    <cellStyle name="Normal 2 19 2 4 3" xfId="36672" xr:uid="{00000000-0005-0000-0000-0000338F0000}"/>
    <cellStyle name="Normal 2 19 2 5" xfId="36673" xr:uid="{00000000-0005-0000-0000-0000348F0000}"/>
    <cellStyle name="Normal 2 19 2 5 2" xfId="36674" xr:uid="{00000000-0005-0000-0000-0000358F0000}"/>
    <cellStyle name="Normal 2 19 2 5 3" xfId="36675" xr:uid="{00000000-0005-0000-0000-0000368F0000}"/>
    <cellStyle name="Normal 2 19 2 6" xfId="36676" xr:uid="{00000000-0005-0000-0000-0000378F0000}"/>
    <cellStyle name="Normal 2 19 2 6 2" xfId="36677" xr:uid="{00000000-0005-0000-0000-0000388F0000}"/>
    <cellStyle name="Normal 2 19 2 6 3" xfId="36678" xr:uid="{00000000-0005-0000-0000-0000398F0000}"/>
    <cellStyle name="Normal 2 19 2 7" xfId="36679" xr:uid="{00000000-0005-0000-0000-00003A8F0000}"/>
    <cellStyle name="Normal 2 19 2 7 2" xfId="36680" xr:uid="{00000000-0005-0000-0000-00003B8F0000}"/>
    <cellStyle name="Normal 2 19 2 7 3" xfId="36681" xr:uid="{00000000-0005-0000-0000-00003C8F0000}"/>
    <cellStyle name="Normal 2 19 2 8" xfId="36682" xr:uid="{00000000-0005-0000-0000-00003D8F0000}"/>
    <cellStyle name="Normal 2 19 2 9" xfId="36683" xr:uid="{00000000-0005-0000-0000-00003E8F0000}"/>
    <cellStyle name="Normal 2 19 20" xfId="36684" xr:uid="{00000000-0005-0000-0000-00003F8F0000}"/>
    <cellStyle name="Normal 2 19 21" xfId="36685" xr:uid="{00000000-0005-0000-0000-0000408F0000}"/>
    <cellStyle name="Normal 2 19 22" xfId="36686" xr:uid="{00000000-0005-0000-0000-0000418F0000}"/>
    <cellStyle name="Normal 2 19 23" xfId="36687" xr:uid="{00000000-0005-0000-0000-0000428F0000}"/>
    <cellStyle name="Normal 2 19 24" xfId="36688" xr:uid="{00000000-0005-0000-0000-0000438F0000}"/>
    <cellStyle name="Normal 2 19 25" xfId="36689" xr:uid="{00000000-0005-0000-0000-0000448F0000}"/>
    <cellStyle name="Normal 2 19 26" xfId="36690" xr:uid="{00000000-0005-0000-0000-0000458F0000}"/>
    <cellStyle name="Normal 2 19 27" xfId="36691" xr:uid="{00000000-0005-0000-0000-0000468F0000}"/>
    <cellStyle name="Normal 2 19 28" xfId="36692" xr:uid="{00000000-0005-0000-0000-0000478F0000}"/>
    <cellStyle name="Normal 2 19 29" xfId="36693" xr:uid="{00000000-0005-0000-0000-0000488F0000}"/>
    <cellStyle name="Normal 2 19 29 2" xfId="36694" xr:uid="{00000000-0005-0000-0000-0000498F0000}"/>
    <cellStyle name="Normal 2 19 29 3" xfId="36695" xr:uid="{00000000-0005-0000-0000-00004A8F0000}"/>
    <cellStyle name="Normal 2 19 3" xfId="36696" xr:uid="{00000000-0005-0000-0000-00004B8F0000}"/>
    <cellStyle name="Normal 2 19 3 10" xfId="36697" xr:uid="{00000000-0005-0000-0000-00004C8F0000}"/>
    <cellStyle name="Normal 2 19 3 11" xfId="36698" xr:uid="{00000000-0005-0000-0000-00004D8F0000}"/>
    <cellStyle name="Normal 2 19 3 12" xfId="36699" xr:uid="{00000000-0005-0000-0000-00004E8F0000}"/>
    <cellStyle name="Normal 2 19 3 13" xfId="36700" xr:uid="{00000000-0005-0000-0000-00004F8F0000}"/>
    <cellStyle name="Normal 2 19 3 14" xfId="36701" xr:uid="{00000000-0005-0000-0000-0000508F0000}"/>
    <cellStyle name="Normal 2 19 3 15" xfId="36702" xr:uid="{00000000-0005-0000-0000-0000518F0000}"/>
    <cellStyle name="Normal 2 19 3 2" xfId="36703" xr:uid="{00000000-0005-0000-0000-0000528F0000}"/>
    <cellStyle name="Normal 2 19 3 3" xfId="36704" xr:uid="{00000000-0005-0000-0000-0000538F0000}"/>
    <cellStyle name="Normal 2 19 3 4" xfId="36705" xr:uid="{00000000-0005-0000-0000-0000548F0000}"/>
    <cellStyle name="Normal 2 19 3 5" xfId="36706" xr:uid="{00000000-0005-0000-0000-0000558F0000}"/>
    <cellStyle name="Normal 2 19 3 6" xfId="36707" xr:uid="{00000000-0005-0000-0000-0000568F0000}"/>
    <cellStyle name="Normal 2 19 3 7" xfId="36708" xr:uid="{00000000-0005-0000-0000-0000578F0000}"/>
    <cellStyle name="Normal 2 19 3 8" xfId="36709" xr:uid="{00000000-0005-0000-0000-0000588F0000}"/>
    <cellStyle name="Normal 2 19 3 9" xfId="36710" xr:uid="{00000000-0005-0000-0000-0000598F0000}"/>
    <cellStyle name="Normal 2 19 30" xfId="36711" xr:uid="{00000000-0005-0000-0000-00005A8F0000}"/>
    <cellStyle name="Normal 2 19 31" xfId="36712" xr:uid="{00000000-0005-0000-0000-00005B8F0000}"/>
    <cellStyle name="Normal 2 19 32" xfId="36713" xr:uid="{00000000-0005-0000-0000-00005C8F0000}"/>
    <cellStyle name="Normal 2 19 33" xfId="36714" xr:uid="{00000000-0005-0000-0000-00005D8F0000}"/>
    <cellStyle name="Normal 2 19 34" xfId="36715" xr:uid="{00000000-0005-0000-0000-00005E8F0000}"/>
    <cellStyle name="Normal 2 19 35" xfId="36716" xr:uid="{00000000-0005-0000-0000-00005F8F0000}"/>
    <cellStyle name="Normal 2 19 36" xfId="36717" xr:uid="{00000000-0005-0000-0000-0000608F0000}"/>
    <cellStyle name="Normal 2 19 4" xfId="36718" xr:uid="{00000000-0005-0000-0000-0000618F0000}"/>
    <cellStyle name="Normal 2 19 4 10" xfId="36719" xr:uid="{00000000-0005-0000-0000-0000628F0000}"/>
    <cellStyle name="Normal 2 19 4 11" xfId="36720" xr:uid="{00000000-0005-0000-0000-0000638F0000}"/>
    <cellStyle name="Normal 2 19 4 12" xfId="36721" xr:uid="{00000000-0005-0000-0000-0000648F0000}"/>
    <cellStyle name="Normal 2 19 4 13" xfId="36722" xr:uid="{00000000-0005-0000-0000-0000658F0000}"/>
    <cellStyle name="Normal 2 19 4 14" xfId="36723" xr:uid="{00000000-0005-0000-0000-0000668F0000}"/>
    <cellStyle name="Normal 2 19 4 15" xfId="36724" xr:uid="{00000000-0005-0000-0000-0000678F0000}"/>
    <cellStyle name="Normal 2 19 4 2" xfId="36725" xr:uid="{00000000-0005-0000-0000-0000688F0000}"/>
    <cellStyle name="Normal 2 19 4 3" xfId="36726" xr:uid="{00000000-0005-0000-0000-0000698F0000}"/>
    <cellStyle name="Normal 2 19 4 4" xfId="36727" xr:uid="{00000000-0005-0000-0000-00006A8F0000}"/>
    <cellStyle name="Normal 2 19 4 5" xfId="36728" xr:uid="{00000000-0005-0000-0000-00006B8F0000}"/>
    <cellStyle name="Normal 2 19 4 6" xfId="36729" xr:uid="{00000000-0005-0000-0000-00006C8F0000}"/>
    <cellStyle name="Normal 2 19 4 7" xfId="36730" xr:uid="{00000000-0005-0000-0000-00006D8F0000}"/>
    <cellStyle name="Normal 2 19 4 8" xfId="36731" xr:uid="{00000000-0005-0000-0000-00006E8F0000}"/>
    <cellStyle name="Normal 2 19 4 9" xfId="36732" xr:uid="{00000000-0005-0000-0000-00006F8F0000}"/>
    <cellStyle name="Normal 2 19 5" xfId="36733" xr:uid="{00000000-0005-0000-0000-0000708F0000}"/>
    <cellStyle name="Normal 2 19 5 10" xfId="36734" xr:uid="{00000000-0005-0000-0000-0000718F0000}"/>
    <cellStyle name="Normal 2 19 5 11" xfId="36735" xr:uid="{00000000-0005-0000-0000-0000728F0000}"/>
    <cellStyle name="Normal 2 19 5 12" xfId="36736" xr:uid="{00000000-0005-0000-0000-0000738F0000}"/>
    <cellStyle name="Normal 2 19 5 13" xfId="36737" xr:uid="{00000000-0005-0000-0000-0000748F0000}"/>
    <cellStyle name="Normal 2 19 5 14" xfId="36738" xr:uid="{00000000-0005-0000-0000-0000758F0000}"/>
    <cellStyle name="Normal 2 19 5 15" xfId="36739" xr:uid="{00000000-0005-0000-0000-0000768F0000}"/>
    <cellStyle name="Normal 2 19 5 2" xfId="36740" xr:uid="{00000000-0005-0000-0000-0000778F0000}"/>
    <cellStyle name="Normal 2 19 5 3" xfId="36741" xr:uid="{00000000-0005-0000-0000-0000788F0000}"/>
    <cellStyle name="Normal 2 19 5 4" xfId="36742" xr:uid="{00000000-0005-0000-0000-0000798F0000}"/>
    <cellStyle name="Normal 2 19 5 5" xfId="36743" xr:uid="{00000000-0005-0000-0000-00007A8F0000}"/>
    <cellStyle name="Normal 2 19 5 6" xfId="36744" xr:uid="{00000000-0005-0000-0000-00007B8F0000}"/>
    <cellStyle name="Normal 2 19 5 7" xfId="36745" xr:uid="{00000000-0005-0000-0000-00007C8F0000}"/>
    <cellStyle name="Normal 2 19 5 8" xfId="36746" xr:uid="{00000000-0005-0000-0000-00007D8F0000}"/>
    <cellStyle name="Normal 2 19 5 9" xfId="36747" xr:uid="{00000000-0005-0000-0000-00007E8F0000}"/>
    <cellStyle name="Normal 2 19 6" xfId="36748" xr:uid="{00000000-0005-0000-0000-00007F8F0000}"/>
    <cellStyle name="Normal 2 19 6 10" xfId="36749" xr:uid="{00000000-0005-0000-0000-0000808F0000}"/>
    <cellStyle name="Normal 2 19 6 11" xfId="36750" xr:uid="{00000000-0005-0000-0000-0000818F0000}"/>
    <cellStyle name="Normal 2 19 6 12" xfId="36751" xr:uid="{00000000-0005-0000-0000-0000828F0000}"/>
    <cellStyle name="Normal 2 19 6 13" xfId="36752" xr:uid="{00000000-0005-0000-0000-0000838F0000}"/>
    <cellStyle name="Normal 2 19 6 14" xfId="36753" xr:uid="{00000000-0005-0000-0000-0000848F0000}"/>
    <cellStyle name="Normal 2 19 6 15" xfId="36754" xr:uid="{00000000-0005-0000-0000-0000858F0000}"/>
    <cellStyle name="Normal 2 19 6 2" xfId="36755" xr:uid="{00000000-0005-0000-0000-0000868F0000}"/>
    <cellStyle name="Normal 2 19 6 3" xfId="36756" xr:uid="{00000000-0005-0000-0000-0000878F0000}"/>
    <cellStyle name="Normal 2 19 6 4" xfId="36757" xr:uid="{00000000-0005-0000-0000-0000888F0000}"/>
    <cellStyle name="Normal 2 19 6 5" xfId="36758" xr:uid="{00000000-0005-0000-0000-0000898F0000}"/>
    <cellStyle name="Normal 2 19 6 6" xfId="36759" xr:uid="{00000000-0005-0000-0000-00008A8F0000}"/>
    <cellStyle name="Normal 2 19 6 7" xfId="36760" xr:uid="{00000000-0005-0000-0000-00008B8F0000}"/>
    <cellStyle name="Normal 2 19 6 8" xfId="36761" xr:uid="{00000000-0005-0000-0000-00008C8F0000}"/>
    <cellStyle name="Normal 2 19 6 9" xfId="36762" xr:uid="{00000000-0005-0000-0000-00008D8F0000}"/>
    <cellStyle name="Normal 2 19 7" xfId="36763" xr:uid="{00000000-0005-0000-0000-00008E8F0000}"/>
    <cellStyle name="Normal 2 19 7 10" xfId="36764" xr:uid="{00000000-0005-0000-0000-00008F8F0000}"/>
    <cellStyle name="Normal 2 19 7 11" xfId="36765" xr:uid="{00000000-0005-0000-0000-0000908F0000}"/>
    <cellStyle name="Normal 2 19 7 12" xfId="36766" xr:uid="{00000000-0005-0000-0000-0000918F0000}"/>
    <cellStyle name="Normal 2 19 7 13" xfId="36767" xr:uid="{00000000-0005-0000-0000-0000928F0000}"/>
    <cellStyle name="Normal 2 19 7 14" xfId="36768" xr:uid="{00000000-0005-0000-0000-0000938F0000}"/>
    <cellStyle name="Normal 2 19 7 15" xfId="36769" xr:uid="{00000000-0005-0000-0000-0000948F0000}"/>
    <cellStyle name="Normal 2 19 7 2" xfId="36770" xr:uid="{00000000-0005-0000-0000-0000958F0000}"/>
    <cellStyle name="Normal 2 19 7 3" xfId="36771" xr:uid="{00000000-0005-0000-0000-0000968F0000}"/>
    <cellStyle name="Normal 2 19 7 4" xfId="36772" xr:uid="{00000000-0005-0000-0000-0000978F0000}"/>
    <cellStyle name="Normal 2 19 7 5" xfId="36773" xr:uid="{00000000-0005-0000-0000-0000988F0000}"/>
    <cellStyle name="Normal 2 19 7 6" xfId="36774" xr:uid="{00000000-0005-0000-0000-0000998F0000}"/>
    <cellStyle name="Normal 2 19 7 7" xfId="36775" xr:uid="{00000000-0005-0000-0000-00009A8F0000}"/>
    <cellStyle name="Normal 2 19 7 8" xfId="36776" xr:uid="{00000000-0005-0000-0000-00009B8F0000}"/>
    <cellStyle name="Normal 2 19 7 9" xfId="36777" xr:uid="{00000000-0005-0000-0000-00009C8F0000}"/>
    <cellStyle name="Normal 2 19 8" xfId="36778" xr:uid="{00000000-0005-0000-0000-00009D8F0000}"/>
    <cellStyle name="Normal 2 19 8 10" xfId="36779" xr:uid="{00000000-0005-0000-0000-00009E8F0000}"/>
    <cellStyle name="Normal 2 19 8 11" xfId="36780" xr:uid="{00000000-0005-0000-0000-00009F8F0000}"/>
    <cellStyle name="Normal 2 19 8 12" xfId="36781" xr:uid="{00000000-0005-0000-0000-0000A08F0000}"/>
    <cellStyle name="Normal 2 19 8 13" xfId="36782" xr:uid="{00000000-0005-0000-0000-0000A18F0000}"/>
    <cellStyle name="Normal 2 19 8 14" xfId="36783" xr:uid="{00000000-0005-0000-0000-0000A28F0000}"/>
    <cellStyle name="Normal 2 19 8 15" xfId="36784" xr:uid="{00000000-0005-0000-0000-0000A38F0000}"/>
    <cellStyle name="Normal 2 19 8 2" xfId="36785" xr:uid="{00000000-0005-0000-0000-0000A48F0000}"/>
    <cellStyle name="Normal 2 19 8 3" xfId="36786" xr:uid="{00000000-0005-0000-0000-0000A58F0000}"/>
    <cellStyle name="Normal 2 19 8 4" xfId="36787" xr:uid="{00000000-0005-0000-0000-0000A68F0000}"/>
    <cellStyle name="Normal 2 19 8 5" xfId="36788" xr:uid="{00000000-0005-0000-0000-0000A78F0000}"/>
    <cellStyle name="Normal 2 19 8 6" xfId="36789" xr:uid="{00000000-0005-0000-0000-0000A88F0000}"/>
    <cellStyle name="Normal 2 19 8 7" xfId="36790" xr:uid="{00000000-0005-0000-0000-0000A98F0000}"/>
    <cellStyle name="Normal 2 19 8 8" xfId="36791" xr:uid="{00000000-0005-0000-0000-0000AA8F0000}"/>
    <cellStyle name="Normal 2 19 8 9" xfId="36792" xr:uid="{00000000-0005-0000-0000-0000AB8F0000}"/>
    <cellStyle name="Normal 2 19 9" xfId="36793" xr:uid="{00000000-0005-0000-0000-0000AC8F0000}"/>
    <cellStyle name="Normal 2 19 9 10" xfId="36794" xr:uid="{00000000-0005-0000-0000-0000AD8F0000}"/>
    <cellStyle name="Normal 2 19 9 11" xfId="36795" xr:uid="{00000000-0005-0000-0000-0000AE8F0000}"/>
    <cellStyle name="Normal 2 19 9 12" xfId="36796" xr:uid="{00000000-0005-0000-0000-0000AF8F0000}"/>
    <cellStyle name="Normal 2 19 9 13" xfId="36797" xr:uid="{00000000-0005-0000-0000-0000B08F0000}"/>
    <cellStyle name="Normal 2 19 9 14" xfId="36798" xr:uid="{00000000-0005-0000-0000-0000B18F0000}"/>
    <cellStyle name="Normal 2 19 9 15" xfId="36799" xr:uid="{00000000-0005-0000-0000-0000B28F0000}"/>
    <cellStyle name="Normal 2 19 9 2" xfId="36800" xr:uid="{00000000-0005-0000-0000-0000B38F0000}"/>
    <cellStyle name="Normal 2 19 9 3" xfId="36801" xr:uid="{00000000-0005-0000-0000-0000B48F0000}"/>
    <cellStyle name="Normal 2 19 9 4" xfId="36802" xr:uid="{00000000-0005-0000-0000-0000B58F0000}"/>
    <cellStyle name="Normal 2 19 9 5" xfId="36803" xr:uid="{00000000-0005-0000-0000-0000B68F0000}"/>
    <cellStyle name="Normal 2 19 9 6" xfId="36804" xr:uid="{00000000-0005-0000-0000-0000B78F0000}"/>
    <cellStyle name="Normal 2 19 9 7" xfId="36805" xr:uid="{00000000-0005-0000-0000-0000B88F0000}"/>
    <cellStyle name="Normal 2 19 9 8" xfId="36806" xr:uid="{00000000-0005-0000-0000-0000B98F0000}"/>
    <cellStyle name="Normal 2 19 9 9" xfId="36807" xr:uid="{00000000-0005-0000-0000-0000BA8F0000}"/>
    <cellStyle name="Normal 2 2" xfId="36808" xr:uid="{00000000-0005-0000-0000-0000BB8F0000}"/>
    <cellStyle name="Normal 2 2 10" xfId="36809" xr:uid="{00000000-0005-0000-0000-0000BC8F0000}"/>
    <cellStyle name="Normal 2 2 100" xfId="36810" xr:uid="{00000000-0005-0000-0000-0000BD8F0000}"/>
    <cellStyle name="Normal 2 2 101" xfId="36811" xr:uid="{00000000-0005-0000-0000-0000BE8F0000}"/>
    <cellStyle name="Normal 2 2 102" xfId="36812" xr:uid="{00000000-0005-0000-0000-0000BF8F0000}"/>
    <cellStyle name="Normal 2 2 103" xfId="36813" xr:uid="{00000000-0005-0000-0000-0000C08F0000}"/>
    <cellStyle name="Normal 2 2 104" xfId="36814" xr:uid="{00000000-0005-0000-0000-0000C18F0000}"/>
    <cellStyle name="Normal 2 2 105" xfId="36815" xr:uid="{00000000-0005-0000-0000-0000C28F0000}"/>
    <cellStyle name="Normal 2 2 106" xfId="36816" xr:uid="{00000000-0005-0000-0000-0000C38F0000}"/>
    <cellStyle name="Normal 2 2 107" xfId="36817" xr:uid="{00000000-0005-0000-0000-0000C48F0000}"/>
    <cellStyle name="Normal 2 2 108" xfId="36818" xr:uid="{00000000-0005-0000-0000-0000C58F0000}"/>
    <cellStyle name="Normal 2 2 109" xfId="36819" xr:uid="{00000000-0005-0000-0000-0000C68F0000}"/>
    <cellStyle name="Normal 2 2 11" xfId="36820" xr:uid="{00000000-0005-0000-0000-0000C78F0000}"/>
    <cellStyle name="Normal 2 2 110" xfId="36821" xr:uid="{00000000-0005-0000-0000-0000C88F0000}"/>
    <cellStyle name="Normal 2 2 111" xfId="36822" xr:uid="{00000000-0005-0000-0000-0000C98F0000}"/>
    <cellStyle name="Normal 2 2 112" xfId="36823" xr:uid="{00000000-0005-0000-0000-0000CA8F0000}"/>
    <cellStyle name="Normal 2 2 113" xfId="36824" xr:uid="{00000000-0005-0000-0000-0000CB8F0000}"/>
    <cellStyle name="Normal 2 2 114" xfId="36825" xr:uid="{00000000-0005-0000-0000-0000CC8F0000}"/>
    <cellStyle name="Normal 2 2 115" xfId="36826" xr:uid="{00000000-0005-0000-0000-0000CD8F0000}"/>
    <cellStyle name="Normal 2 2 116" xfId="36827" xr:uid="{00000000-0005-0000-0000-0000CE8F0000}"/>
    <cellStyle name="Normal 2 2 117" xfId="36828" xr:uid="{00000000-0005-0000-0000-0000CF8F0000}"/>
    <cellStyle name="Normal 2 2 118" xfId="36829" xr:uid="{00000000-0005-0000-0000-0000D08F0000}"/>
    <cellStyle name="Normal 2 2 119" xfId="36830" xr:uid="{00000000-0005-0000-0000-0000D18F0000}"/>
    <cellStyle name="Normal 2 2 12" xfId="36831" xr:uid="{00000000-0005-0000-0000-0000D28F0000}"/>
    <cellStyle name="Normal 2 2 120" xfId="36832" xr:uid="{00000000-0005-0000-0000-0000D38F0000}"/>
    <cellStyle name="Normal 2 2 121" xfId="36833" xr:uid="{00000000-0005-0000-0000-0000D48F0000}"/>
    <cellStyle name="Normal 2 2 122" xfId="36834" xr:uid="{00000000-0005-0000-0000-0000D58F0000}"/>
    <cellStyle name="Normal 2 2 123" xfId="36835" xr:uid="{00000000-0005-0000-0000-0000D68F0000}"/>
    <cellStyle name="Normal 2 2 124" xfId="36836" xr:uid="{00000000-0005-0000-0000-0000D78F0000}"/>
    <cellStyle name="Normal 2 2 125" xfId="36837" xr:uid="{00000000-0005-0000-0000-0000D88F0000}"/>
    <cellStyle name="Normal 2 2 126" xfId="36838" xr:uid="{00000000-0005-0000-0000-0000D98F0000}"/>
    <cellStyle name="Normal 2 2 127" xfId="36839" xr:uid="{00000000-0005-0000-0000-0000DA8F0000}"/>
    <cellStyle name="Normal 2 2 128" xfId="36840" xr:uid="{00000000-0005-0000-0000-0000DB8F0000}"/>
    <cellStyle name="Normal 2 2 129" xfId="36841" xr:uid="{00000000-0005-0000-0000-0000DC8F0000}"/>
    <cellStyle name="Normal 2 2 13" xfId="36842" xr:uid="{00000000-0005-0000-0000-0000DD8F0000}"/>
    <cellStyle name="Normal 2 2 130" xfId="36843" xr:uid="{00000000-0005-0000-0000-0000DE8F0000}"/>
    <cellStyle name="Normal 2 2 131" xfId="36844" xr:uid="{00000000-0005-0000-0000-0000DF8F0000}"/>
    <cellStyle name="Normal 2 2 132" xfId="36845" xr:uid="{00000000-0005-0000-0000-0000E08F0000}"/>
    <cellStyle name="Normal 2 2 133" xfId="36846" xr:uid="{00000000-0005-0000-0000-0000E18F0000}"/>
    <cellStyle name="Normal 2 2 134" xfId="36847" xr:uid="{00000000-0005-0000-0000-0000E28F0000}"/>
    <cellStyle name="Normal 2 2 135" xfId="36848" xr:uid="{00000000-0005-0000-0000-0000E38F0000}"/>
    <cellStyle name="Normal 2 2 136" xfId="36849" xr:uid="{00000000-0005-0000-0000-0000E48F0000}"/>
    <cellStyle name="Normal 2 2 137" xfId="36850" xr:uid="{00000000-0005-0000-0000-0000E58F0000}"/>
    <cellStyle name="Normal 2 2 138" xfId="36851" xr:uid="{00000000-0005-0000-0000-0000E68F0000}"/>
    <cellStyle name="Normal 2 2 139" xfId="36852" xr:uid="{00000000-0005-0000-0000-0000E78F0000}"/>
    <cellStyle name="Normal 2 2 14" xfId="36853" xr:uid="{00000000-0005-0000-0000-0000E88F0000}"/>
    <cellStyle name="Normal 2 2 140" xfId="36854" xr:uid="{00000000-0005-0000-0000-0000E98F0000}"/>
    <cellStyle name="Normal 2 2 141" xfId="36855" xr:uid="{00000000-0005-0000-0000-0000EA8F0000}"/>
    <cellStyle name="Normal 2 2 142" xfId="36856" xr:uid="{00000000-0005-0000-0000-0000EB8F0000}"/>
    <cellStyle name="Normal 2 2 143" xfId="36857" xr:uid="{00000000-0005-0000-0000-0000EC8F0000}"/>
    <cellStyle name="Normal 2 2 144" xfId="36858" xr:uid="{00000000-0005-0000-0000-0000ED8F0000}"/>
    <cellStyle name="Normal 2 2 145" xfId="36859" xr:uid="{00000000-0005-0000-0000-0000EE8F0000}"/>
    <cellStyle name="Normal 2 2 146" xfId="36860" xr:uid="{00000000-0005-0000-0000-0000EF8F0000}"/>
    <cellStyle name="Normal 2 2 147" xfId="36861" xr:uid="{00000000-0005-0000-0000-0000F08F0000}"/>
    <cellStyle name="Normal 2 2 148" xfId="36862" xr:uid="{00000000-0005-0000-0000-0000F18F0000}"/>
    <cellStyle name="Normal 2 2 149" xfId="36863" xr:uid="{00000000-0005-0000-0000-0000F28F0000}"/>
    <cellStyle name="Normal 2 2 15" xfId="36864" xr:uid="{00000000-0005-0000-0000-0000F38F0000}"/>
    <cellStyle name="Normal 2 2 150" xfId="36865" xr:uid="{00000000-0005-0000-0000-0000F48F0000}"/>
    <cellStyle name="Normal 2 2 151" xfId="36866" xr:uid="{00000000-0005-0000-0000-0000F58F0000}"/>
    <cellStyle name="Normal 2 2 152" xfId="36867" xr:uid="{00000000-0005-0000-0000-0000F68F0000}"/>
    <cellStyle name="Normal 2 2 153" xfId="36868" xr:uid="{00000000-0005-0000-0000-0000F78F0000}"/>
    <cellStyle name="Normal 2 2 154" xfId="36869" xr:uid="{00000000-0005-0000-0000-0000F88F0000}"/>
    <cellStyle name="Normal 2 2 155" xfId="36870" xr:uid="{00000000-0005-0000-0000-0000F98F0000}"/>
    <cellStyle name="Normal 2 2 156" xfId="36871" xr:uid="{00000000-0005-0000-0000-0000FA8F0000}"/>
    <cellStyle name="Normal 2 2 157" xfId="36872" xr:uid="{00000000-0005-0000-0000-0000FB8F0000}"/>
    <cellStyle name="Normal 2 2 158" xfId="36873" xr:uid="{00000000-0005-0000-0000-0000FC8F0000}"/>
    <cellStyle name="Normal 2 2 159" xfId="36874" xr:uid="{00000000-0005-0000-0000-0000FD8F0000}"/>
    <cellStyle name="Normal 2 2 16" xfId="36875" xr:uid="{00000000-0005-0000-0000-0000FE8F0000}"/>
    <cellStyle name="Normal 2 2 16 10" xfId="36876" xr:uid="{00000000-0005-0000-0000-0000FF8F0000}"/>
    <cellStyle name="Normal 2 2 16 11" xfId="36877" xr:uid="{00000000-0005-0000-0000-000000900000}"/>
    <cellStyle name="Normal 2 2 16 12" xfId="36878" xr:uid="{00000000-0005-0000-0000-000001900000}"/>
    <cellStyle name="Normal 2 2 16 13" xfId="36879" xr:uid="{00000000-0005-0000-0000-000002900000}"/>
    <cellStyle name="Normal 2 2 16 14" xfId="36880" xr:uid="{00000000-0005-0000-0000-000003900000}"/>
    <cellStyle name="Normal 2 2 16 15" xfId="36881" xr:uid="{00000000-0005-0000-0000-000004900000}"/>
    <cellStyle name="Normal 2 2 16 16" xfId="36882" xr:uid="{00000000-0005-0000-0000-000005900000}"/>
    <cellStyle name="Normal 2 2 16 17" xfId="36883" xr:uid="{00000000-0005-0000-0000-000006900000}"/>
    <cellStyle name="Normal 2 2 16 18" xfId="36884" xr:uid="{00000000-0005-0000-0000-000007900000}"/>
    <cellStyle name="Normal 2 2 16 19" xfId="36885" xr:uid="{00000000-0005-0000-0000-000008900000}"/>
    <cellStyle name="Normal 2 2 16 2" xfId="36886" xr:uid="{00000000-0005-0000-0000-000009900000}"/>
    <cellStyle name="Normal 2 2 16 20" xfId="36887" xr:uid="{00000000-0005-0000-0000-00000A900000}"/>
    <cellStyle name="Normal 2 2 16 21" xfId="36888" xr:uid="{00000000-0005-0000-0000-00000B900000}"/>
    <cellStyle name="Normal 2 2 16 22" xfId="36889" xr:uid="{00000000-0005-0000-0000-00000C900000}"/>
    <cellStyle name="Normal 2 2 16 23" xfId="36890" xr:uid="{00000000-0005-0000-0000-00000D900000}"/>
    <cellStyle name="Normal 2 2 16 24" xfId="36891" xr:uid="{00000000-0005-0000-0000-00000E900000}"/>
    <cellStyle name="Normal 2 2 16 25" xfId="36892" xr:uid="{00000000-0005-0000-0000-00000F900000}"/>
    <cellStyle name="Normal 2 2 16 26" xfId="36893" xr:uid="{00000000-0005-0000-0000-000010900000}"/>
    <cellStyle name="Normal 2 2 16 27" xfId="36894" xr:uid="{00000000-0005-0000-0000-000011900000}"/>
    <cellStyle name="Normal 2 2 16 28" xfId="36895" xr:uid="{00000000-0005-0000-0000-000012900000}"/>
    <cellStyle name="Normal 2 2 16 3" xfId="36896" xr:uid="{00000000-0005-0000-0000-000013900000}"/>
    <cellStyle name="Normal 2 2 16 4" xfId="36897" xr:uid="{00000000-0005-0000-0000-000014900000}"/>
    <cellStyle name="Normal 2 2 16 5" xfId="36898" xr:uid="{00000000-0005-0000-0000-000015900000}"/>
    <cellStyle name="Normal 2 2 16 6" xfId="36899" xr:uid="{00000000-0005-0000-0000-000016900000}"/>
    <cellStyle name="Normal 2 2 16 7" xfId="36900" xr:uid="{00000000-0005-0000-0000-000017900000}"/>
    <cellStyle name="Normal 2 2 16 8" xfId="36901" xr:uid="{00000000-0005-0000-0000-000018900000}"/>
    <cellStyle name="Normal 2 2 16 9" xfId="36902" xr:uid="{00000000-0005-0000-0000-000019900000}"/>
    <cellStyle name="Normal 2 2 160" xfId="36903" xr:uid="{00000000-0005-0000-0000-00001A900000}"/>
    <cellStyle name="Normal 2 2 161" xfId="36904" xr:uid="{00000000-0005-0000-0000-00001B900000}"/>
    <cellStyle name="Normal 2 2 162" xfId="36905" xr:uid="{00000000-0005-0000-0000-00001C900000}"/>
    <cellStyle name="Normal 2 2 163" xfId="36906" xr:uid="{00000000-0005-0000-0000-00001D900000}"/>
    <cellStyle name="Normal 2 2 164" xfId="36907" xr:uid="{00000000-0005-0000-0000-00001E900000}"/>
    <cellStyle name="Normal 2 2 165" xfId="36908" xr:uid="{00000000-0005-0000-0000-00001F900000}"/>
    <cellStyle name="Normal 2 2 166" xfId="36909" xr:uid="{00000000-0005-0000-0000-000020900000}"/>
    <cellStyle name="Normal 2 2 167" xfId="36910" xr:uid="{00000000-0005-0000-0000-000021900000}"/>
    <cellStyle name="Normal 2 2 168" xfId="36911" xr:uid="{00000000-0005-0000-0000-000022900000}"/>
    <cellStyle name="Normal 2 2 169" xfId="36912" xr:uid="{00000000-0005-0000-0000-000023900000}"/>
    <cellStyle name="Normal 2 2 17" xfId="36913" xr:uid="{00000000-0005-0000-0000-000024900000}"/>
    <cellStyle name="Normal 2 2 17 10" xfId="36914" xr:uid="{00000000-0005-0000-0000-000025900000}"/>
    <cellStyle name="Normal 2 2 17 11" xfId="36915" xr:uid="{00000000-0005-0000-0000-000026900000}"/>
    <cellStyle name="Normal 2 2 17 12" xfId="36916" xr:uid="{00000000-0005-0000-0000-000027900000}"/>
    <cellStyle name="Normal 2 2 17 13" xfId="36917" xr:uid="{00000000-0005-0000-0000-000028900000}"/>
    <cellStyle name="Normal 2 2 17 14" xfId="36918" xr:uid="{00000000-0005-0000-0000-000029900000}"/>
    <cellStyle name="Normal 2 2 17 15" xfId="36919" xr:uid="{00000000-0005-0000-0000-00002A900000}"/>
    <cellStyle name="Normal 2 2 17 16" xfId="36920" xr:uid="{00000000-0005-0000-0000-00002B900000}"/>
    <cellStyle name="Normal 2 2 17 17" xfId="36921" xr:uid="{00000000-0005-0000-0000-00002C900000}"/>
    <cellStyle name="Normal 2 2 17 18" xfId="36922" xr:uid="{00000000-0005-0000-0000-00002D900000}"/>
    <cellStyle name="Normal 2 2 17 19" xfId="36923" xr:uid="{00000000-0005-0000-0000-00002E900000}"/>
    <cellStyle name="Normal 2 2 17 2" xfId="36924" xr:uid="{00000000-0005-0000-0000-00002F900000}"/>
    <cellStyle name="Normal 2 2 17 2 2" xfId="36925" xr:uid="{00000000-0005-0000-0000-000030900000}"/>
    <cellStyle name="Normal 2 2 17 2 2 2" xfId="36926" xr:uid="{00000000-0005-0000-0000-000031900000}"/>
    <cellStyle name="Normal 2 2 17 2 2 3" xfId="36927" xr:uid="{00000000-0005-0000-0000-000032900000}"/>
    <cellStyle name="Normal 2 2 17 2 3" xfId="36928" xr:uid="{00000000-0005-0000-0000-000033900000}"/>
    <cellStyle name="Normal 2 2 17 2 4" xfId="36929" xr:uid="{00000000-0005-0000-0000-000034900000}"/>
    <cellStyle name="Normal 2 2 17 2 5" xfId="36930" xr:uid="{00000000-0005-0000-0000-000035900000}"/>
    <cellStyle name="Normal 2 2 17 2 6" xfId="36931" xr:uid="{00000000-0005-0000-0000-000036900000}"/>
    <cellStyle name="Normal 2 2 17 2 7" xfId="36932" xr:uid="{00000000-0005-0000-0000-000037900000}"/>
    <cellStyle name="Normal 2 2 17 2 8" xfId="36933" xr:uid="{00000000-0005-0000-0000-000038900000}"/>
    <cellStyle name="Normal 2 2 17 20" xfId="36934" xr:uid="{00000000-0005-0000-0000-000039900000}"/>
    <cellStyle name="Normal 2 2 17 21" xfId="36935" xr:uid="{00000000-0005-0000-0000-00003A900000}"/>
    <cellStyle name="Normal 2 2 17 22" xfId="36936" xr:uid="{00000000-0005-0000-0000-00003B900000}"/>
    <cellStyle name="Normal 2 2 17 23" xfId="36937" xr:uid="{00000000-0005-0000-0000-00003C900000}"/>
    <cellStyle name="Normal 2 2 17 24" xfId="36938" xr:uid="{00000000-0005-0000-0000-00003D900000}"/>
    <cellStyle name="Normal 2 2 17 25" xfId="36939" xr:uid="{00000000-0005-0000-0000-00003E900000}"/>
    <cellStyle name="Normal 2 2 17 26" xfId="36940" xr:uid="{00000000-0005-0000-0000-00003F900000}"/>
    <cellStyle name="Normal 2 2 17 27" xfId="36941" xr:uid="{00000000-0005-0000-0000-000040900000}"/>
    <cellStyle name="Normal 2 2 17 28" xfId="36942" xr:uid="{00000000-0005-0000-0000-000041900000}"/>
    <cellStyle name="Normal 2 2 17 29" xfId="36943" xr:uid="{00000000-0005-0000-0000-000042900000}"/>
    <cellStyle name="Normal 2 2 17 29 2" xfId="36944" xr:uid="{00000000-0005-0000-0000-000043900000}"/>
    <cellStyle name="Normal 2 2 17 29 3" xfId="36945" xr:uid="{00000000-0005-0000-0000-000044900000}"/>
    <cellStyle name="Normal 2 2 17 3" xfId="36946" xr:uid="{00000000-0005-0000-0000-000045900000}"/>
    <cellStyle name="Normal 2 2 17 30" xfId="36947" xr:uid="{00000000-0005-0000-0000-000046900000}"/>
    <cellStyle name="Normal 2 2 17 31" xfId="36948" xr:uid="{00000000-0005-0000-0000-000047900000}"/>
    <cellStyle name="Normal 2 2 17 32" xfId="36949" xr:uid="{00000000-0005-0000-0000-000048900000}"/>
    <cellStyle name="Normal 2 2 17 33" xfId="36950" xr:uid="{00000000-0005-0000-0000-000049900000}"/>
    <cellStyle name="Normal 2 2 17 34" xfId="36951" xr:uid="{00000000-0005-0000-0000-00004A900000}"/>
    <cellStyle name="Normal 2 2 17 4" xfId="36952" xr:uid="{00000000-0005-0000-0000-00004B900000}"/>
    <cellStyle name="Normal 2 2 17 5" xfId="36953" xr:uid="{00000000-0005-0000-0000-00004C900000}"/>
    <cellStyle name="Normal 2 2 17 6" xfId="36954" xr:uid="{00000000-0005-0000-0000-00004D900000}"/>
    <cellStyle name="Normal 2 2 17 7" xfId="36955" xr:uid="{00000000-0005-0000-0000-00004E900000}"/>
    <cellStyle name="Normal 2 2 17 8" xfId="36956" xr:uid="{00000000-0005-0000-0000-00004F900000}"/>
    <cellStyle name="Normal 2 2 17 9" xfId="36957" xr:uid="{00000000-0005-0000-0000-000050900000}"/>
    <cellStyle name="Normal 2 2 170" xfId="36958" xr:uid="{00000000-0005-0000-0000-000051900000}"/>
    <cellStyle name="Normal 2 2 18" xfId="36959" xr:uid="{00000000-0005-0000-0000-000052900000}"/>
    <cellStyle name="Normal 2 2 18 10" xfId="36960" xr:uid="{00000000-0005-0000-0000-000053900000}"/>
    <cellStyle name="Normal 2 2 18 11" xfId="36961" xr:uid="{00000000-0005-0000-0000-000054900000}"/>
    <cellStyle name="Normal 2 2 18 12" xfId="36962" xr:uid="{00000000-0005-0000-0000-000055900000}"/>
    <cellStyle name="Normal 2 2 18 13" xfId="36963" xr:uid="{00000000-0005-0000-0000-000056900000}"/>
    <cellStyle name="Normal 2 2 18 14" xfId="36964" xr:uid="{00000000-0005-0000-0000-000057900000}"/>
    <cellStyle name="Normal 2 2 18 15" xfId="36965" xr:uid="{00000000-0005-0000-0000-000058900000}"/>
    <cellStyle name="Normal 2 2 18 16" xfId="36966" xr:uid="{00000000-0005-0000-0000-000059900000}"/>
    <cellStyle name="Normal 2 2 18 17" xfId="36967" xr:uid="{00000000-0005-0000-0000-00005A900000}"/>
    <cellStyle name="Normal 2 2 18 18" xfId="36968" xr:uid="{00000000-0005-0000-0000-00005B900000}"/>
    <cellStyle name="Normal 2 2 18 19" xfId="36969" xr:uid="{00000000-0005-0000-0000-00005C900000}"/>
    <cellStyle name="Normal 2 2 18 2" xfId="36970" xr:uid="{00000000-0005-0000-0000-00005D900000}"/>
    <cellStyle name="Normal 2 2 18 2 2" xfId="36971" xr:uid="{00000000-0005-0000-0000-00005E900000}"/>
    <cellStyle name="Normal 2 2 18 2 2 2" xfId="36972" xr:uid="{00000000-0005-0000-0000-00005F900000}"/>
    <cellStyle name="Normal 2 2 18 2 2 3" xfId="36973" xr:uid="{00000000-0005-0000-0000-000060900000}"/>
    <cellStyle name="Normal 2 2 18 2 3" xfId="36974" xr:uid="{00000000-0005-0000-0000-000061900000}"/>
    <cellStyle name="Normal 2 2 18 2 4" xfId="36975" xr:uid="{00000000-0005-0000-0000-000062900000}"/>
    <cellStyle name="Normal 2 2 18 2 5" xfId="36976" xr:uid="{00000000-0005-0000-0000-000063900000}"/>
    <cellStyle name="Normal 2 2 18 2 6" xfId="36977" xr:uid="{00000000-0005-0000-0000-000064900000}"/>
    <cellStyle name="Normal 2 2 18 2 7" xfId="36978" xr:uid="{00000000-0005-0000-0000-000065900000}"/>
    <cellStyle name="Normal 2 2 18 2 8" xfId="36979" xr:uid="{00000000-0005-0000-0000-000066900000}"/>
    <cellStyle name="Normal 2 2 18 20" xfId="36980" xr:uid="{00000000-0005-0000-0000-000067900000}"/>
    <cellStyle name="Normal 2 2 18 21" xfId="36981" xr:uid="{00000000-0005-0000-0000-000068900000}"/>
    <cellStyle name="Normal 2 2 18 22" xfId="36982" xr:uid="{00000000-0005-0000-0000-000069900000}"/>
    <cellStyle name="Normal 2 2 18 23" xfId="36983" xr:uid="{00000000-0005-0000-0000-00006A900000}"/>
    <cellStyle name="Normal 2 2 18 24" xfId="36984" xr:uid="{00000000-0005-0000-0000-00006B900000}"/>
    <cellStyle name="Normal 2 2 18 25" xfId="36985" xr:uid="{00000000-0005-0000-0000-00006C900000}"/>
    <cellStyle name="Normal 2 2 18 26" xfId="36986" xr:uid="{00000000-0005-0000-0000-00006D900000}"/>
    <cellStyle name="Normal 2 2 18 27" xfId="36987" xr:uid="{00000000-0005-0000-0000-00006E900000}"/>
    <cellStyle name="Normal 2 2 18 28" xfId="36988" xr:uid="{00000000-0005-0000-0000-00006F900000}"/>
    <cellStyle name="Normal 2 2 18 29" xfId="36989" xr:uid="{00000000-0005-0000-0000-000070900000}"/>
    <cellStyle name="Normal 2 2 18 29 2" xfId="36990" xr:uid="{00000000-0005-0000-0000-000071900000}"/>
    <cellStyle name="Normal 2 2 18 29 3" xfId="36991" xr:uid="{00000000-0005-0000-0000-000072900000}"/>
    <cellStyle name="Normal 2 2 18 3" xfId="36992" xr:uid="{00000000-0005-0000-0000-000073900000}"/>
    <cellStyle name="Normal 2 2 18 30" xfId="36993" xr:uid="{00000000-0005-0000-0000-000074900000}"/>
    <cellStyle name="Normal 2 2 18 31" xfId="36994" xr:uid="{00000000-0005-0000-0000-000075900000}"/>
    <cellStyle name="Normal 2 2 18 32" xfId="36995" xr:uid="{00000000-0005-0000-0000-000076900000}"/>
    <cellStyle name="Normal 2 2 18 33" xfId="36996" xr:uid="{00000000-0005-0000-0000-000077900000}"/>
    <cellStyle name="Normal 2 2 18 34" xfId="36997" xr:uid="{00000000-0005-0000-0000-000078900000}"/>
    <cellStyle name="Normal 2 2 18 4" xfId="36998" xr:uid="{00000000-0005-0000-0000-000079900000}"/>
    <cellStyle name="Normal 2 2 18 5" xfId="36999" xr:uid="{00000000-0005-0000-0000-00007A900000}"/>
    <cellStyle name="Normal 2 2 18 6" xfId="37000" xr:uid="{00000000-0005-0000-0000-00007B900000}"/>
    <cellStyle name="Normal 2 2 18 7" xfId="37001" xr:uid="{00000000-0005-0000-0000-00007C900000}"/>
    <cellStyle name="Normal 2 2 18 8" xfId="37002" xr:uid="{00000000-0005-0000-0000-00007D900000}"/>
    <cellStyle name="Normal 2 2 18 9" xfId="37003" xr:uid="{00000000-0005-0000-0000-00007E900000}"/>
    <cellStyle name="Normal 2 2 19" xfId="37004" xr:uid="{00000000-0005-0000-0000-00007F900000}"/>
    <cellStyle name="Normal 2 2 19 10" xfId="37005" xr:uid="{00000000-0005-0000-0000-000080900000}"/>
    <cellStyle name="Normal 2 2 19 11" xfId="37006" xr:uid="{00000000-0005-0000-0000-000081900000}"/>
    <cellStyle name="Normal 2 2 19 12" xfId="37007" xr:uid="{00000000-0005-0000-0000-000082900000}"/>
    <cellStyle name="Normal 2 2 19 13" xfId="37008" xr:uid="{00000000-0005-0000-0000-000083900000}"/>
    <cellStyle name="Normal 2 2 19 14" xfId="37009" xr:uid="{00000000-0005-0000-0000-000084900000}"/>
    <cellStyle name="Normal 2 2 19 15" xfId="37010" xr:uid="{00000000-0005-0000-0000-000085900000}"/>
    <cellStyle name="Normal 2 2 19 16" xfId="37011" xr:uid="{00000000-0005-0000-0000-000086900000}"/>
    <cellStyle name="Normal 2 2 19 17" xfId="37012" xr:uid="{00000000-0005-0000-0000-000087900000}"/>
    <cellStyle name="Normal 2 2 19 18" xfId="37013" xr:uid="{00000000-0005-0000-0000-000088900000}"/>
    <cellStyle name="Normal 2 2 19 19" xfId="37014" xr:uid="{00000000-0005-0000-0000-000089900000}"/>
    <cellStyle name="Normal 2 2 19 2" xfId="37015" xr:uid="{00000000-0005-0000-0000-00008A900000}"/>
    <cellStyle name="Normal 2 2 19 2 2" xfId="37016" xr:uid="{00000000-0005-0000-0000-00008B900000}"/>
    <cellStyle name="Normal 2 2 19 2 2 2" xfId="37017" xr:uid="{00000000-0005-0000-0000-00008C900000}"/>
    <cellStyle name="Normal 2 2 19 2 2 3" xfId="37018" xr:uid="{00000000-0005-0000-0000-00008D900000}"/>
    <cellStyle name="Normal 2 2 19 2 3" xfId="37019" xr:uid="{00000000-0005-0000-0000-00008E900000}"/>
    <cellStyle name="Normal 2 2 19 2 4" xfId="37020" xr:uid="{00000000-0005-0000-0000-00008F900000}"/>
    <cellStyle name="Normal 2 2 19 2 5" xfId="37021" xr:uid="{00000000-0005-0000-0000-000090900000}"/>
    <cellStyle name="Normal 2 2 19 2 6" xfId="37022" xr:uid="{00000000-0005-0000-0000-000091900000}"/>
    <cellStyle name="Normal 2 2 19 2 7" xfId="37023" xr:uid="{00000000-0005-0000-0000-000092900000}"/>
    <cellStyle name="Normal 2 2 19 2 8" xfId="37024" xr:uid="{00000000-0005-0000-0000-000093900000}"/>
    <cellStyle name="Normal 2 2 19 20" xfId="37025" xr:uid="{00000000-0005-0000-0000-000094900000}"/>
    <cellStyle name="Normal 2 2 19 21" xfId="37026" xr:uid="{00000000-0005-0000-0000-000095900000}"/>
    <cellStyle name="Normal 2 2 19 22" xfId="37027" xr:uid="{00000000-0005-0000-0000-000096900000}"/>
    <cellStyle name="Normal 2 2 19 23" xfId="37028" xr:uid="{00000000-0005-0000-0000-000097900000}"/>
    <cellStyle name="Normal 2 2 19 24" xfId="37029" xr:uid="{00000000-0005-0000-0000-000098900000}"/>
    <cellStyle name="Normal 2 2 19 25" xfId="37030" xr:uid="{00000000-0005-0000-0000-000099900000}"/>
    <cellStyle name="Normal 2 2 19 26" xfId="37031" xr:uid="{00000000-0005-0000-0000-00009A900000}"/>
    <cellStyle name="Normal 2 2 19 27" xfId="37032" xr:uid="{00000000-0005-0000-0000-00009B900000}"/>
    <cellStyle name="Normal 2 2 19 28" xfId="37033" xr:uid="{00000000-0005-0000-0000-00009C900000}"/>
    <cellStyle name="Normal 2 2 19 29" xfId="37034" xr:uid="{00000000-0005-0000-0000-00009D900000}"/>
    <cellStyle name="Normal 2 2 19 29 2" xfId="37035" xr:uid="{00000000-0005-0000-0000-00009E900000}"/>
    <cellStyle name="Normal 2 2 19 29 3" xfId="37036" xr:uid="{00000000-0005-0000-0000-00009F900000}"/>
    <cellStyle name="Normal 2 2 19 3" xfId="37037" xr:uid="{00000000-0005-0000-0000-0000A0900000}"/>
    <cellStyle name="Normal 2 2 19 30" xfId="37038" xr:uid="{00000000-0005-0000-0000-0000A1900000}"/>
    <cellStyle name="Normal 2 2 19 31" xfId="37039" xr:uid="{00000000-0005-0000-0000-0000A2900000}"/>
    <cellStyle name="Normal 2 2 19 32" xfId="37040" xr:uid="{00000000-0005-0000-0000-0000A3900000}"/>
    <cellStyle name="Normal 2 2 19 33" xfId="37041" xr:uid="{00000000-0005-0000-0000-0000A4900000}"/>
    <cellStyle name="Normal 2 2 19 34" xfId="37042" xr:uid="{00000000-0005-0000-0000-0000A5900000}"/>
    <cellStyle name="Normal 2 2 19 4" xfId="37043" xr:uid="{00000000-0005-0000-0000-0000A6900000}"/>
    <cellStyle name="Normal 2 2 19 5" xfId="37044" xr:uid="{00000000-0005-0000-0000-0000A7900000}"/>
    <cellStyle name="Normal 2 2 19 6" xfId="37045" xr:uid="{00000000-0005-0000-0000-0000A8900000}"/>
    <cellStyle name="Normal 2 2 19 7" xfId="37046" xr:uid="{00000000-0005-0000-0000-0000A9900000}"/>
    <cellStyle name="Normal 2 2 19 8" xfId="37047" xr:uid="{00000000-0005-0000-0000-0000AA900000}"/>
    <cellStyle name="Normal 2 2 19 9" xfId="37048" xr:uid="{00000000-0005-0000-0000-0000AB900000}"/>
    <cellStyle name="Normal 2 2 2" xfId="37049" xr:uid="{00000000-0005-0000-0000-0000AC900000}"/>
    <cellStyle name="Normal 2 2 2 10" xfId="37050" xr:uid="{00000000-0005-0000-0000-0000AD900000}"/>
    <cellStyle name="Normal 2 2 2 11" xfId="37051" xr:uid="{00000000-0005-0000-0000-0000AE900000}"/>
    <cellStyle name="Normal 2 2 2 12" xfId="37052" xr:uid="{00000000-0005-0000-0000-0000AF900000}"/>
    <cellStyle name="Normal 2 2 2 13" xfId="37053" xr:uid="{00000000-0005-0000-0000-0000B0900000}"/>
    <cellStyle name="Normal 2 2 2 14" xfId="37054" xr:uid="{00000000-0005-0000-0000-0000B1900000}"/>
    <cellStyle name="Normal 2 2 2 15" xfId="37055" xr:uid="{00000000-0005-0000-0000-0000B2900000}"/>
    <cellStyle name="Normal 2 2 2 16" xfId="37056" xr:uid="{00000000-0005-0000-0000-0000B3900000}"/>
    <cellStyle name="Normal 2 2 2 17" xfId="37057" xr:uid="{00000000-0005-0000-0000-0000B4900000}"/>
    <cellStyle name="Normal 2 2 2 18" xfId="37058" xr:uid="{00000000-0005-0000-0000-0000B5900000}"/>
    <cellStyle name="Normal 2 2 2 19" xfId="37059" xr:uid="{00000000-0005-0000-0000-0000B6900000}"/>
    <cellStyle name="Normal 2 2 2 2" xfId="37060" xr:uid="{00000000-0005-0000-0000-0000B7900000}"/>
    <cellStyle name="Normal 2 2 2 2 10" xfId="37061" xr:uid="{00000000-0005-0000-0000-0000B8900000}"/>
    <cellStyle name="Normal 2 2 2 2 11" xfId="37062" xr:uid="{00000000-0005-0000-0000-0000B9900000}"/>
    <cellStyle name="Normal 2 2 2 2 12" xfId="37063" xr:uid="{00000000-0005-0000-0000-0000BA900000}"/>
    <cellStyle name="Normal 2 2 2 2 13" xfId="37064" xr:uid="{00000000-0005-0000-0000-0000BB900000}"/>
    <cellStyle name="Normal 2 2 2 2 14" xfId="37065" xr:uid="{00000000-0005-0000-0000-0000BC900000}"/>
    <cellStyle name="Normal 2 2 2 2 15" xfId="37066" xr:uid="{00000000-0005-0000-0000-0000BD900000}"/>
    <cellStyle name="Normal 2 2 2 2 16" xfId="37067" xr:uid="{00000000-0005-0000-0000-0000BE900000}"/>
    <cellStyle name="Normal 2 2 2 2 17" xfId="37068" xr:uid="{00000000-0005-0000-0000-0000BF900000}"/>
    <cellStyle name="Normal 2 2 2 2 18" xfId="37069" xr:uid="{00000000-0005-0000-0000-0000C0900000}"/>
    <cellStyle name="Normal 2 2 2 2 19" xfId="37070" xr:uid="{00000000-0005-0000-0000-0000C1900000}"/>
    <cellStyle name="Normal 2 2 2 2 2" xfId="37071" xr:uid="{00000000-0005-0000-0000-0000C2900000}"/>
    <cellStyle name="Normal 2 2 2 2 2 2" xfId="37072" xr:uid="{00000000-0005-0000-0000-0000C3900000}"/>
    <cellStyle name="Normal 2 2 2 2 2 3" xfId="37073" xr:uid="{00000000-0005-0000-0000-0000C4900000}"/>
    <cellStyle name="Normal 2 2 2 2 2 4" xfId="37074" xr:uid="{00000000-0005-0000-0000-0000C5900000}"/>
    <cellStyle name="Normal 2 2 2 2 2 5" xfId="37075" xr:uid="{00000000-0005-0000-0000-0000C6900000}"/>
    <cellStyle name="Normal 2 2 2 2 20" xfId="37076" xr:uid="{00000000-0005-0000-0000-0000C7900000}"/>
    <cellStyle name="Normal 2 2 2 2 21" xfId="37077" xr:uid="{00000000-0005-0000-0000-0000C8900000}"/>
    <cellStyle name="Normal 2 2 2 2 22" xfId="37078" xr:uid="{00000000-0005-0000-0000-0000C9900000}"/>
    <cellStyle name="Normal 2 2 2 2 23" xfId="37079" xr:uid="{00000000-0005-0000-0000-0000CA900000}"/>
    <cellStyle name="Normal 2 2 2 2 24" xfId="37080" xr:uid="{00000000-0005-0000-0000-0000CB900000}"/>
    <cellStyle name="Normal 2 2 2 2 25" xfId="37081" xr:uid="{00000000-0005-0000-0000-0000CC900000}"/>
    <cellStyle name="Normal 2 2 2 2 26" xfId="37082" xr:uid="{00000000-0005-0000-0000-0000CD900000}"/>
    <cellStyle name="Normal 2 2 2 2 27" xfId="37083" xr:uid="{00000000-0005-0000-0000-0000CE900000}"/>
    <cellStyle name="Normal 2 2 2 2 28" xfId="37084" xr:uid="{00000000-0005-0000-0000-0000CF900000}"/>
    <cellStyle name="Normal 2 2 2 2 29" xfId="37085" xr:uid="{00000000-0005-0000-0000-0000D0900000}"/>
    <cellStyle name="Normal 2 2 2 2 3" xfId="37086" xr:uid="{00000000-0005-0000-0000-0000D1900000}"/>
    <cellStyle name="Normal 2 2 2 2 30" xfId="37087" xr:uid="{00000000-0005-0000-0000-0000D2900000}"/>
    <cellStyle name="Normal 2 2 2 2 31" xfId="37088" xr:uid="{00000000-0005-0000-0000-0000D3900000}"/>
    <cellStyle name="Normal 2 2 2 2 4" xfId="37089" xr:uid="{00000000-0005-0000-0000-0000D4900000}"/>
    <cellStyle name="Normal 2 2 2 2 5" xfId="37090" xr:uid="{00000000-0005-0000-0000-0000D5900000}"/>
    <cellStyle name="Normal 2 2 2 2 6" xfId="37091" xr:uid="{00000000-0005-0000-0000-0000D6900000}"/>
    <cellStyle name="Normal 2 2 2 2 7" xfId="37092" xr:uid="{00000000-0005-0000-0000-0000D7900000}"/>
    <cellStyle name="Normal 2 2 2 2 8" xfId="37093" xr:uid="{00000000-0005-0000-0000-0000D8900000}"/>
    <cellStyle name="Normal 2 2 2 2 9" xfId="37094" xr:uid="{00000000-0005-0000-0000-0000D9900000}"/>
    <cellStyle name="Normal 2 2 2 20" xfId="37095" xr:uid="{00000000-0005-0000-0000-0000DA900000}"/>
    <cellStyle name="Normal 2 2 2 21" xfId="37096" xr:uid="{00000000-0005-0000-0000-0000DB900000}"/>
    <cellStyle name="Normal 2 2 2 22" xfId="37097" xr:uid="{00000000-0005-0000-0000-0000DC900000}"/>
    <cellStyle name="Normal 2 2 2 23" xfId="37098" xr:uid="{00000000-0005-0000-0000-0000DD900000}"/>
    <cellStyle name="Normal 2 2 2 24" xfId="37099" xr:uid="{00000000-0005-0000-0000-0000DE900000}"/>
    <cellStyle name="Normal 2 2 2 25" xfId="37100" xr:uid="{00000000-0005-0000-0000-0000DF900000}"/>
    <cellStyle name="Normal 2 2 2 26" xfId="37101" xr:uid="{00000000-0005-0000-0000-0000E0900000}"/>
    <cellStyle name="Normal 2 2 2 27" xfId="37102" xr:uid="{00000000-0005-0000-0000-0000E1900000}"/>
    <cellStyle name="Normal 2 2 2 28" xfId="37103" xr:uid="{00000000-0005-0000-0000-0000E2900000}"/>
    <cellStyle name="Normal 2 2 2 29" xfId="37104" xr:uid="{00000000-0005-0000-0000-0000E3900000}"/>
    <cellStyle name="Normal 2 2 2 3" xfId="37105" xr:uid="{00000000-0005-0000-0000-0000E4900000}"/>
    <cellStyle name="Normal 2 2 2 30" xfId="37106" xr:uid="{00000000-0005-0000-0000-0000E5900000}"/>
    <cellStyle name="Normal 2 2 2 31" xfId="37107" xr:uid="{00000000-0005-0000-0000-0000E6900000}"/>
    <cellStyle name="Normal 2 2 2 32" xfId="37108" xr:uid="{00000000-0005-0000-0000-0000E7900000}"/>
    <cellStyle name="Normal 2 2 2 33" xfId="37109" xr:uid="{00000000-0005-0000-0000-0000E8900000}"/>
    <cellStyle name="Normal 2 2 2 34" xfId="37110" xr:uid="{00000000-0005-0000-0000-0000E9900000}"/>
    <cellStyle name="Normal 2 2 2 35" xfId="37111" xr:uid="{00000000-0005-0000-0000-0000EA900000}"/>
    <cellStyle name="Normal 2 2 2 36" xfId="37112" xr:uid="{00000000-0005-0000-0000-0000EB900000}"/>
    <cellStyle name="Normal 2 2 2 37" xfId="37113" xr:uid="{00000000-0005-0000-0000-0000EC900000}"/>
    <cellStyle name="Normal 2 2 2 38" xfId="37114" xr:uid="{00000000-0005-0000-0000-0000ED900000}"/>
    <cellStyle name="Normal 2 2 2 39" xfId="37115" xr:uid="{00000000-0005-0000-0000-0000EE900000}"/>
    <cellStyle name="Normal 2 2 2 4" xfId="37116" xr:uid="{00000000-0005-0000-0000-0000EF900000}"/>
    <cellStyle name="Normal 2 2 2 4 2" xfId="37117" xr:uid="{00000000-0005-0000-0000-0000F0900000}"/>
    <cellStyle name="Normal 2 2 2 4 3" xfId="37118" xr:uid="{00000000-0005-0000-0000-0000F1900000}"/>
    <cellStyle name="Normal 2 2 2 40" xfId="37119" xr:uid="{00000000-0005-0000-0000-0000F2900000}"/>
    <cellStyle name="Normal 2 2 2 41" xfId="37120" xr:uid="{00000000-0005-0000-0000-0000F3900000}"/>
    <cellStyle name="Normal 2 2 2 42" xfId="37121" xr:uid="{00000000-0005-0000-0000-0000F4900000}"/>
    <cellStyle name="Normal 2 2 2 43" xfId="37122" xr:uid="{00000000-0005-0000-0000-0000F5900000}"/>
    <cellStyle name="Normal 2 2 2 44" xfId="37123" xr:uid="{00000000-0005-0000-0000-0000F6900000}"/>
    <cellStyle name="Normal 2 2 2 5" xfId="37124" xr:uid="{00000000-0005-0000-0000-0000F7900000}"/>
    <cellStyle name="Normal 2 2 2 6" xfId="37125" xr:uid="{00000000-0005-0000-0000-0000F8900000}"/>
    <cellStyle name="Normal 2 2 2 7" xfId="37126" xr:uid="{00000000-0005-0000-0000-0000F9900000}"/>
    <cellStyle name="Normal 2 2 2 8" xfId="37127" xr:uid="{00000000-0005-0000-0000-0000FA900000}"/>
    <cellStyle name="Normal 2 2 2 9" xfId="37128" xr:uid="{00000000-0005-0000-0000-0000FB900000}"/>
    <cellStyle name="Normal 2 2 20" xfId="37129" xr:uid="{00000000-0005-0000-0000-0000FC900000}"/>
    <cellStyle name="Normal 2 2 20 10" xfId="37130" xr:uid="{00000000-0005-0000-0000-0000FD900000}"/>
    <cellStyle name="Normal 2 2 20 11" xfId="37131" xr:uid="{00000000-0005-0000-0000-0000FE900000}"/>
    <cellStyle name="Normal 2 2 20 12" xfId="37132" xr:uid="{00000000-0005-0000-0000-0000FF900000}"/>
    <cellStyle name="Normal 2 2 20 13" xfId="37133" xr:uid="{00000000-0005-0000-0000-000000910000}"/>
    <cellStyle name="Normal 2 2 20 14" xfId="37134" xr:uid="{00000000-0005-0000-0000-000001910000}"/>
    <cellStyle name="Normal 2 2 20 15" xfId="37135" xr:uid="{00000000-0005-0000-0000-000002910000}"/>
    <cellStyle name="Normal 2 2 20 16" xfId="37136" xr:uid="{00000000-0005-0000-0000-000003910000}"/>
    <cellStyle name="Normal 2 2 20 17" xfId="37137" xr:uid="{00000000-0005-0000-0000-000004910000}"/>
    <cellStyle name="Normal 2 2 20 18" xfId="37138" xr:uid="{00000000-0005-0000-0000-000005910000}"/>
    <cellStyle name="Normal 2 2 20 19" xfId="37139" xr:uid="{00000000-0005-0000-0000-000006910000}"/>
    <cellStyle name="Normal 2 2 20 2" xfId="37140" xr:uid="{00000000-0005-0000-0000-000007910000}"/>
    <cellStyle name="Normal 2 2 20 2 2" xfId="37141" xr:uid="{00000000-0005-0000-0000-000008910000}"/>
    <cellStyle name="Normal 2 2 20 2 2 2" xfId="37142" xr:uid="{00000000-0005-0000-0000-000009910000}"/>
    <cellStyle name="Normal 2 2 20 2 2 3" xfId="37143" xr:uid="{00000000-0005-0000-0000-00000A910000}"/>
    <cellStyle name="Normal 2 2 20 2 3" xfId="37144" xr:uid="{00000000-0005-0000-0000-00000B910000}"/>
    <cellStyle name="Normal 2 2 20 2 4" xfId="37145" xr:uid="{00000000-0005-0000-0000-00000C910000}"/>
    <cellStyle name="Normal 2 2 20 2 5" xfId="37146" xr:uid="{00000000-0005-0000-0000-00000D910000}"/>
    <cellStyle name="Normal 2 2 20 2 6" xfId="37147" xr:uid="{00000000-0005-0000-0000-00000E910000}"/>
    <cellStyle name="Normal 2 2 20 2 7" xfId="37148" xr:uid="{00000000-0005-0000-0000-00000F910000}"/>
    <cellStyle name="Normal 2 2 20 2 8" xfId="37149" xr:uid="{00000000-0005-0000-0000-000010910000}"/>
    <cellStyle name="Normal 2 2 20 2 9" xfId="37150" xr:uid="{00000000-0005-0000-0000-000011910000}"/>
    <cellStyle name="Normal 2 2 20 20" xfId="37151" xr:uid="{00000000-0005-0000-0000-000012910000}"/>
    <cellStyle name="Normal 2 2 20 21" xfId="37152" xr:uid="{00000000-0005-0000-0000-000013910000}"/>
    <cellStyle name="Normal 2 2 20 22" xfId="37153" xr:uid="{00000000-0005-0000-0000-000014910000}"/>
    <cellStyle name="Normal 2 2 20 23" xfId="37154" xr:uid="{00000000-0005-0000-0000-000015910000}"/>
    <cellStyle name="Normal 2 2 20 24" xfId="37155" xr:uid="{00000000-0005-0000-0000-000016910000}"/>
    <cellStyle name="Normal 2 2 20 25" xfId="37156" xr:uid="{00000000-0005-0000-0000-000017910000}"/>
    <cellStyle name="Normal 2 2 20 26" xfId="37157" xr:uid="{00000000-0005-0000-0000-000018910000}"/>
    <cellStyle name="Normal 2 2 20 27" xfId="37158" xr:uid="{00000000-0005-0000-0000-000019910000}"/>
    <cellStyle name="Normal 2 2 20 28" xfId="37159" xr:uid="{00000000-0005-0000-0000-00001A910000}"/>
    <cellStyle name="Normal 2 2 20 29" xfId="37160" xr:uid="{00000000-0005-0000-0000-00001B910000}"/>
    <cellStyle name="Normal 2 2 20 29 2" xfId="37161" xr:uid="{00000000-0005-0000-0000-00001C910000}"/>
    <cellStyle name="Normal 2 2 20 29 3" xfId="37162" xr:uid="{00000000-0005-0000-0000-00001D910000}"/>
    <cellStyle name="Normal 2 2 20 3" xfId="37163" xr:uid="{00000000-0005-0000-0000-00001E910000}"/>
    <cellStyle name="Normal 2 2 20 30" xfId="37164" xr:uid="{00000000-0005-0000-0000-00001F910000}"/>
    <cellStyle name="Normal 2 2 20 31" xfId="37165" xr:uid="{00000000-0005-0000-0000-000020910000}"/>
    <cellStyle name="Normal 2 2 20 32" xfId="37166" xr:uid="{00000000-0005-0000-0000-000021910000}"/>
    <cellStyle name="Normal 2 2 20 33" xfId="37167" xr:uid="{00000000-0005-0000-0000-000022910000}"/>
    <cellStyle name="Normal 2 2 20 34" xfId="37168" xr:uid="{00000000-0005-0000-0000-000023910000}"/>
    <cellStyle name="Normal 2 2 20 35" xfId="37169" xr:uid="{00000000-0005-0000-0000-000024910000}"/>
    <cellStyle name="Normal 2 2 20 36" xfId="37170" xr:uid="{00000000-0005-0000-0000-000025910000}"/>
    <cellStyle name="Normal 2 2 20 4" xfId="37171" xr:uid="{00000000-0005-0000-0000-000026910000}"/>
    <cellStyle name="Normal 2 2 20 5" xfId="37172" xr:uid="{00000000-0005-0000-0000-000027910000}"/>
    <cellStyle name="Normal 2 2 20 6" xfId="37173" xr:uid="{00000000-0005-0000-0000-000028910000}"/>
    <cellStyle name="Normal 2 2 20 7" xfId="37174" xr:uid="{00000000-0005-0000-0000-000029910000}"/>
    <cellStyle name="Normal 2 2 20 8" xfId="37175" xr:uid="{00000000-0005-0000-0000-00002A910000}"/>
    <cellStyle name="Normal 2 2 20 9" xfId="37176" xr:uid="{00000000-0005-0000-0000-00002B910000}"/>
    <cellStyle name="Normal 2 2 21" xfId="37177" xr:uid="{00000000-0005-0000-0000-00002C910000}"/>
    <cellStyle name="Normal 2 2 21 10" xfId="37178" xr:uid="{00000000-0005-0000-0000-00002D910000}"/>
    <cellStyle name="Normal 2 2 21 11" xfId="37179" xr:uid="{00000000-0005-0000-0000-00002E910000}"/>
    <cellStyle name="Normal 2 2 21 12" xfId="37180" xr:uid="{00000000-0005-0000-0000-00002F910000}"/>
    <cellStyle name="Normal 2 2 21 13" xfId="37181" xr:uid="{00000000-0005-0000-0000-000030910000}"/>
    <cellStyle name="Normal 2 2 21 14" xfId="37182" xr:uid="{00000000-0005-0000-0000-000031910000}"/>
    <cellStyle name="Normal 2 2 21 15" xfId="37183" xr:uid="{00000000-0005-0000-0000-000032910000}"/>
    <cellStyle name="Normal 2 2 21 16" xfId="37184" xr:uid="{00000000-0005-0000-0000-000033910000}"/>
    <cellStyle name="Normal 2 2 21 17" xfId="37185" xr:uid="{00000000-0005-0000-0000-000034910000}"/>
    <cellStyle name="Normal 2 2 21 18" xfId="37186" xr:uid="{00000000-0005-0000-0000-000035910000}"/>
    <cellStyle name="Normal 2 2 21 19" xfId="37187" xr:uid="{00000000-0005-0000-0000-000036910000}"/>
    <cellStyle name="Normal 2 2 21 2" xfId="37188" xr:uid="{00000000-0005-0000-0000-000037910000}"/>
    <cellStyle name="Normal 2 2 21 2 2" xfId="37189" xr:uid="{00000000-0005-0000-0000-000038910000}"/>
    <cellStyle name="Normal 2 2 21 2 2 2" xfId="37190" xr:uid="{00000000-0005-0000-0000-000039910000}"/>
    <cellStyle name="Normal 2 2 21 2 2 3" xfId="37191" xr:uid="{00000000-0005-0000-0000-00003A910000}"/>
    <cellStyle name="Normal 2 2 21 2 3" xfId="37192" xr:uid="{00000000-0005-0000-0000-00003B910000}"/>
    <cellStyle name="Normal 2 2 21 2 4" xfId="37193" xr:uid="{00000000-0005-0000-0000-00003C910000}"/>
    <cellStyle name="Normal 2 2 21 2 5" xfId="37194" xr:uid="{00000000-0005-0000-0000-00003D910000}"/>
    <cellStyle name="Normal 2 2 21 2 6" xfId="37195" xr:uid="{00000000-0005-0000-0000-00003E910000}"/>
    <cellStyle name="Normal 2 2 21 2 7" xfId="37196" xr:uid="{00000000-0005-0000-0000-00003F910000}"/>
    <cellStyle name="Normal 2 2 21 2 8" xfId="37197" xr:uid="{00000000-0005-0000-0000-000040910000}"/>
    <cellStyle name="Normal 2 2 21 20" xfId="37198" xr:uid="{00000000-0005-0000-0000-000041910000}"/>
    <cellStyle name="Normal 2 2 21 21" xfId="37199" xr:uid="{00000000-0005-0000-0000-000042910000}"/>
    <cellStyle name="Normal 2 2 21 22" xfId="37200" xr:uid="{00000000-0005-0000-0000-000043910000}"/>
    <cellStyle name="Normal 2 2 21 23" xfId="37201" xr:uid="{00000000-0005-0000-0000-000044910000}"/>
    <cellStyle name="Normal 2 2 21 24" xfId="37202" xr:uid="{00000000-0005-0000-0000-000045910000}"/>
    <cellStyle name="Normal 2 2 21 25" xfId="37203" xr:uid="{00000000-0005-0000-0000-000046910000}"/>
    <cellStyle name="Normal 2 2 21 26" xfId="37204" xr:uid="{00000000-0005-0000-0000-000047910000}"/>
    <cellStyle name="Normal 2 2 21 27" xfId="37205" xr:uid="{00000000-0005-0000-0000-000048910000}"/>
    <cellStyle name="Normal 2 2 21 28" xfId="37206" xr:uid="{00000000-0005-0000-0000-000049910000}"/>
    <cellStyle name="Normal 2 2 21 29" xfId="37207" xr:uid="{00000000-0005-0000-0000-00004A910000}"/>
    <cellStyle name="Normal 2 2 21 29 2" xfId="37208" xr:uid="{00000000-0005-0000-0000-00004B910000}"/>
    <cellStyle name="Normal 2 2 21 29 3" xfId="37209" xr:uid="{00000000-0005-0000-0000-00004C910000}"/>
    <cellStyle name="Normal 2 2 21 3" xfId="37210" xr:uid="{00000000-0005-0000-0000-00004D910000}"/>
    <cellStyle name="Normal 2 2 21 30" xfId="37211" xr:uid="{00000000-0005-0000-0000-00004E910000}"/>
    <cellStyle name="Normal 2 2 21 31" xfId="37212" xr:uid="{00000000-0005-0000-0000-00004F910000}"/>
    <cellStyle name="Normal 2 2 21 32" xfId="37213" xr:uid="{00000000-0005-0000-0000-000050910000}"/>
    <cellStyle name="Normal 2 2 21 33" xfId="37214" xr:uid="{00000000-0005-0000-0000-000051910000}"/>
    <cellStyle name="Normal 2 2 21 34" xfId="37215" xr:uid="{00000000-0005-0000-0000-000052910000}"/>
    <cellStyle name="Normal 2 2 21 4" xfId="37216" xr:uid="{00000000-0005-0000-0000-000053910000}"/>
    <cellStyle name="Normal 2 2 21 5" xfId="37217" xr:uid="{00000000-0005-0000-0000-000054910000}"/>
    <cellStyle name="Normal 2 2 21 6" xfId="37218" xr:uid="{00000000-0005-0000-0000-000055910000}"/>
    <cellStyle name="Normal 2 2 21 7" xfId="37219" xr:uid="{00000000-0005-0000-0000-000056910000}"/>
    <cellStyle name="Normal 2 2 21 8" xfId="37220" xr:uid="{00000000-0005-0000-0000-000057910000}"/>
    <cellStyle name="Normal 2 2 21 9" xfId="37221" xr:uid="{00000000-0005-0000-0000-000058910000}"/>
    <cellStyle name="Normal 2 2 22" xfId="37222" xr:uid="{00000000-0005-0000-0000-000059910000}"/>
    <cellStyle name="Normal 2 2 22 10" xfId="37223" xr:uid="{00000000-0005-0000-0000-00005A910000}"/>
    <cellStyle name="Normal 2 2 22 11" xfId="37224" xr:uid="{00000000-0005-0000-0000-00005B910000}"/>
    <cellStyle name="Normal 2 2 22 12" xfId="37225" xr:uid="{00000000-0005-0000-0000-00005C910000}"/>
    <cellStyle name="Normal 2 2 22 13" xfId="37226" xr:uid="{00000000-0005-0000-0000-00005D910000}"/>
    <cellStyle name="Normal 2 2 22 14" xfId="37227" xr:uid="{00000000-0005-0000-0000-00005E910000}"/>
    <cellStyle name="Normal 2 2 22 15" xfId="37228" xr:uid="{00000000-0005-0000-0000-00005F910000}"/>
    <cellStyle name="Normal 2 2 22 16" xfId="37229" xr:uid="{00000000-0005-0000-0000-000060910000}"/>
    <cellStyle name="Normal 2 2 22 17" xfId="37230" xr:uid="{00000000-0005-0000-0000-000061910000}"/>
    <cellStyle name="Normal 2 2 22 18" xfId="37231" xr:uid="{00000000-0005-0000-0000-000062910000}"/>
    <cellStyle name="Normal 2 2 22 19" xfId="37232" xr:uid="{00000000-0005-0000-0000-000063910000}"/>
    <cellStyle name="Normal 2 2 22 2" xfId="37233" xr:uid="{00000000-0005-0000-0000-000064910000}"/>
    <cellStyle name="Normal 2 2 22 2 2" xfId="37234" xr:uid="{00000000-0005-0000-0000-000065910000}"/>
    <cellStyle name="Normal 2 2 22 2 2 2" xfId="37235" xr:uid="{00000000-0005-0000-0000-000066910000}"/>
    <cellStyle name="Normal 2 2 22 2 2 3" xfId="37236" xr:uid="{00000000-0005-0000-0000-000067910000}"/>
    <cellStyle name="Normal 2 2 22 2 3" xfId="37237" xr:uid="{00000000-0005-0000-0000-000068910000}"/>
    <cellStyle name="Normal 2 2 22 2 4" xfId="37238" xr:uid="{00000000-0005-0000-0000-000069910000}"/>
    <cellStyle name="Normal 2 2 22 2 5" xfId="37239" xr:uid="{00000000-0005-0000-0000-00006A910000}"/>
    <cellStyle name="Normal 2 2 22 2 6" xfId="37240" xr:uid="{00000000-0005-0000-0000-00006B910000}"/>
    <cellStyle name="Normal 2 2 22 2 7" xfId="37241" xr:uid="{00000000-0005-0000-0000-00006C910000}"/>
    <cellStyle name="Normal 2 2 22 2 8" xfId="37242" xr:uid="{00000000-0005-0000-0000-00006D910000}"/>
    <cellStyle name="Normal 2 2 22 20" xfId="37243" xr:uid="{00000000-0005-0000-0000-00006E910000}"/>
    <cellStyle name="Normal 2 2 22 21" xfId="37244" xr:uid="{00000000-0005-0000-0000-00006F910000}"/>
    <cellStyle name="Normal 2 2 22 22" xfId="37245" xr:uid="{00000000-0005-0000-0000-000070910000}"/>
    <cellStyle name="Normal 2 2 22 23" xfId="37246" xr:uid="{00000000-0005-0000-0000-000071910000}"/>
    <cellStyle name="Normal 2 2 22 24" xfId="37247" xr:uid="{00000000-0005-0000-0000-000072910000}"/>
    <cellStyle name="Normal 2 2 22 25" xfId="37248" xr:uid="{00000000-0005-0000-0000-000073910000}"/>
    <cellStyle name="Normal 2 2 22 26" xfId="37249" xr:uid="{00000000-0005-0000-0000-000074910000}"/>
    <cellStyle name="Normal 2 2 22 27" xfId="37250" xr:uid="{00000000-0005-0000-0000-000075910000}"/>
    <cellStyle name="Normal 2 2 22 28" xfId="37251" xr:uid="{00000000-0005-0000-0000-000076910000}"/>
    <cellStyle name="Normal 2 2 22 29" xfId="37252" xr:uid="{00000000-0005-0000-0000-000077910000}"/>
    <cellStyle name="Normal 2 2 22 29 2" xfId="37253" xr:uid="{00000000-0005-0000-0000-000078910000}"/>
    <cellStyle name="Normal 2 2 22 29 3" xfId="37254" xr:uid="{00000000-0005-0000-0000-000079910000}"/>
    <cellStyle name="Normal 2 2 22 3" xfId="37255" xr:uid="{00000000-0005-0000-0000-00007A910000}"/>
    <cellStyle name="Normal 2 2 22 30" xfId="37256" xr:uid="{00000000-0005-0000-0000-00007B910000}"/>
    <cellStyle name="Normal 2 2 22 31" xfId="37257" xr:uid="{00000000-0005-0000-0000-00007C910000}"/>
    <cellStyle name="Normal 2 2 22 32" xfId="37258" xr:uid="{00000000-0005-0000-0000-00007D910000}"/>
    <cellStyle name="Normal 2 2 22 33" xfId="37259" xr:uid="{00000000-0005-0000-0000-00007E910000}"/>
    <cellStyle name="Normal 2 2 22 34" xfId="37260" xr:uid="{00000000-0005-0000-0000-00007F910000}"/>
    <cellStyle name="Normal 2 2 22 4" xfId="37261" xr:uid="{00000000-0005-0000-0000-000080910000}"/>
    <cellStyle name="Normal 2 2 22 5" xfId="37262" xr:uid="{00000000-0005-0000-0000-000081910000}"/>
    <cellStyle name="Normal 2 2 22 6" xfId="37263" xr:uid="{00000000-0005-0000-0000-000082910000}"/>
    <cellStyle name="Normal 2 2 22 7" xfId="37264" xr:uid="{00000000-0005-0000-0000-000083910000}"/>
    <cellStyle name="Normal 2 2 22 8" xfId="37265" xr:uid="{00000000-0005-0000-0000-000084910000}"/>
    <cellStyle name="Normal 2 2 22 9" xfId="37266" xr:uid="{00000000-0005-0000-0000-000085910000}"/>
    <cellStyle name="Normal 2 2 23" xfId="37267" xr:uid="{00000000-0005-0000-0000-000086910000}"/>
    <cellStyle name="Normal 2 2 23 10" xfId="37268" xr:uid="{00000000-0005-0000-0000-000087910000}"/>
    <cellStyle name="Normal 2 2 23 11" xfId="37269" xr:uid="{00000000-0005-0000-0000-000088910000}"/>
    <cellStyle name="Normal 2 2 23 12" xfId="37270" xr:uid="{00000000-0005-0000-0000-000089910000}"/>
    <cellStyle name="Normal 2 2 23 13" xfId="37271" xr:uid="{00000000-0005-0000-0000-00008A910000}"/>
    <cellStyle name="Normal 2 2 23 14" xfId="37272" xr:uid="{00000000-0005-0000-0000-00008B910000}"/>
    <cellStyle name="Normal 2 2 23 15" xfId="37273" xr:uid="{00000000-0005-0000-0000-00008C910000}"/>
    <cellStyle name="Normal 2 2 23 16" xfId="37274" xr:uid="{00000000-0005-0000-0000-00008D910000}"/>
    <cellStyle name="Normal 2 2 23 17" xfId="37275" xr:uid="{00000000-0005-0000-0000-00008E910000}"/>
    <cellStyle name="Normal 2 2 23 18" xfId="37276" xr:uid="{00000000-0005-0000-0000-00008F910000}"/>
    <cellStyle name="Normal 2 2 23 19" xfId="37277" xr:uid="{00000000-0005-0000-0000-000090910000}"/>
    <cellStyle name="Normal 2 2 23 2" xfId="37278" xr:uid="{00000000-0005-0000-0000-000091910000}"/>
    <cellStyle name="Normal 2 2 23 2 2" xfId="37279" xr:uid="{00000000-0005-0000-0000-000092910000}"/>
    <cellStyle name="Normal 2 2 23 2 2 2" xfId="37280" xr:uid="{00000000-0005-0000-0000-000093910000}"/>
    <cellStyle name="Normal 2 2 23 2 2 3" xfId="37281" xr:uid="{00000000-0005-0000-0000-000094910000}"/>
    <cellStyle name="Normal 2 2 23 2 3" xfId="37282" xr:uid="{00000000-0005-0000-0000-000095910000}"/>
    <cellStyle name="Normal 2 2 23 2 4" xfId="37283" xr:uid="{00000000-0005-0000-0000-000096910000}"/>
    <cellStyle name="Normal 2 2 23 2 5" xfId="37284" xr:uid="{00000000-0005-0000-0000-000097910000}"/>
    <cellStyle name="Normal 2 2 23 2 6" xfId="37285" xr:uid="{00000000-0005-0000-0000-000098910000}"/>
    <cellStyle name="Normal 2 2 23 2 7" xfId="37286" xr:uid="{00000000-0005-0000-0000-000099910000}"/>
    <cellStyle name="Normal 2 2 23 2 8" xfId="37287" xr:uid="{00000000-0005-0000-0000-00009A910000}"/>
    <cellStyle name="Normal 2 2 23 20" xfId="37288" xr:uid="{00000000-0005-0000-0000-00009B910000}"/>
    <cellStyle name="Normal 2 2 23 21" xfId="37289" xr:uid="{00000000-0005-0000-0000-00009C910000}"/>
    <cellStyle name="Normal 2 2 23 22" xfId="37290" xr:uid="{00000000-0005-0000-0000-00009D910000}"/>
    <cellStyle name="Normal 2 2 23 23" xfId="37291" xr:uid="{00000000-0005-0000-0000-00009E910000}"/>
    <cellStyle name="Normal 2 2 23 24" xfId="37292" xr:uid="{00000000-0005-0000-0000-00009F910000}"/>
    <cellStyle name="Normal 2 2 23 25" xfId="37293" xr:uid="{00000000-0005-0000-0000-0000A0910000}"/>
    <cellStyle name="Normal 2 2 23 26" xfId="37294" xr:uid="{00000000-0005-0000-0000-0000A1910000}"/>
    <cellStyle name="Normal 2 2 23 27" xfId="37295" xr:uid="{00000000-0005-0000-0000-0000A2910000}"/>
    <cellStyle name="Normal 2 2 23 28" xfId="37296" xr:uid="{00000000-0005-0000-0000-0000A3910000}"/>
    <cellStyle name="Normal 2 2 23 29" xfId="37297" xr:uid="{00000000-0005-0000-0000-0000A4910000}"/>
    <cellStyle name="Normal 2 2 23 29 2" xfId="37298" xr:uid="{00000000-0005-0000-0000-0000A5910000}"/>
    <cellStyle name="Normal 2 2 23 29 3" xfId="37299" xr:uid="{00000000-0005-0000-0000-0000A6910000}"/>
    <cellStyle name="Normal 2 2 23 3" xfId="37300" xr:uid="{00000000-0005-0000-0000-0000A7910000}"/>
    <cellStyle name="Normal 2 2 23 30" xfId="37301" xr:uid="{00000000-0005-0000-0000-0000A8910000}"/>
    <cellStyle name="Normal 2 2 23 31" xfId="37302" xr:uid="{00000000-0005-0000-0000-0000A9910000}"/>
    <cellStyle name="Normal 2 2 23 32" xfId="37303" xr:uid="{00000000-0005-0000-0000-0000AA910000}"/>
    <cellStyle name="Normal 2 2 23 33" xfId="37304" xr:uid="{00000000-0005-0000-0000-0000AB910000}"/>
    <cellStyle name="Normal 2 2 23 34" xfId="37305" xr:uid="{00000000-0005-0000-0000-0000AC910000}"/>
    <cellStyle name="Normal 2 2 23 4" xfId="37306" xr:uid="{00000000-0005-0000-0000-0000AD910000}"/>
    <cellStyle name="Normal 2 2 23 5" xfId="37307" xr:uid="{00000000-0005-0000-0000-0000AE910000}"/>
    <cellStyle name="Normal 2 2 23 6" xfId="37308" xr:uid="{00000000-0005-0000-0000-0000AF910000}"/>
    <cellStyle name="Normal 2 2 23 7" xfId="37309" xr:uid="{00000000-0005-0000-0000-0000B0910000}"/>
    <cellStyle name="Normal 2 2 23 8" xfId="37310" xr:uid="{00000000-0005-0000-0000-0000B1910000}"/>
    <cellStyle name="Normal 2 2 23 9" xfId="37311" xr:uid="{00000000-0005-0000-0000-0000B2910000}"/>
    <cellStyle name="Normal 2 2 24" xfId="37312" xr:uid="{00000000-0005-0000-0000-0000B3910000}"/>
    <cellStyle name="Normal 2 2 24 10" xfId="37313" xr:uid="{00000000-0005-0000-0000-0000B4910000}"/>
    <cellStyle name="Normal 2 2 24 11" xfId="37314" xr:uid="{00000000-0005-0000-0000-0000B5910000}"/>
    <cellStyle name="Normal 2 2 24 12" xfId="37315" xr:uid="{00000000-0005-0000-0000-0000B6910000}"/>
    <cellStyle name="Normal 2 2 24 13" xfId="37316" xr:uid="{00000000-0005-0000-0000-0000B7910000}"/>
    <cellStyle name="Normal 2 2 24 14" xfId="37317" xr:uid="{00000000-0005-0000-0000-0000B8910000}"/>
    <cellStyle name="Normal 2 2 24 15" xfId="37318" xr:uid="{00000000-0005-0000-0000-0000B9910000}"/>
    <cellStyle name="Normal 2 2 24 16" xfId="37319" xr:uid="{00000000-0005-0000-0000-0000BA910000}"/>
    <cellStyle name="Normal 2 2 24 17" xfId="37320" xr:uid="{00000000-0005-0000-0000-0000BB910000}"/>
    <cellStyle name="Normal 2 2 24 18" xfId="37321" xr:uid="{00000000-0005-0000-0000-0000BC910000}"/>
    <cellStyle name="Normal 2 2 24 19" xfId="37322" xr:uid="{00000000-0005-0000-0000-0000BD910000}"/>
    <cellStyle name="Normal 2 2 24 2" xfId="37323" xr:uid="{00000000-0005-0000-0000-0000BE910000}"/>
    <cellStyle name="Normal 2 2 24 2 2" xfId="37324" xr:uid="{00000000-0005-0000-0000-0000BF910000}"/>
    <cellStyle name="Normal 2 2 24 2 2 2" xfId="37325" xr:uid="{00000000-0005-0000-0000-0000C0910000}"/>
    <cellStyle name="Normal 2 2 24 2 2 3" xfId="37326" xr:uid="{00000000-0005-0000-0000-0000C1910000}"/>
    <cellStyle name="Normal 2 2 24 2 3" xfId="37327" xr:uid="{00000000-0005-0000-0000-0000C2910000}"/>
    <cellStyle name="Normal 2 2 24 2 4" xfId="37328" xr:uid="{00000000-0005-0000-0000-0000C3910000}"/>
    <cellStyle name="Normal 2 2 24 2 5" xfId="37329" xr:uid="{00000000-0005-0000-0000-0000C4910000}"/>
    <cellStyle name="Normal 2 2 24 2 6" xfId="37330" xr:uid="{00000000-0005-0000-0000-0000C5910000}"/>
    <cellStyle name="Normal 2 2 24 2 7" xfId="37331" xr:uid="{00000000-0005-0000-0000-0000C6910000}"/>
    <cellStyle name="Normal 2 2 24 2 8" xfId="37332" xr:uid="{00000000-0005-0000-0000-0000C7910000}"/>
    <cellStyle name="Normal 2 2 24 20" xfId="37333" xr:uid="{00000000-0005-0000-0000-0000C8910000}"/>
    <cellStyle name="Normal 2 2 24 21" xfId="37334" xr:uid="{00000000-0005-0000-0000-0000C9910000}"/>
    <cellStyle name="Normal 2 2 24 22" xfId="37335" xr:uid="{00000000-0005-0000-0000-0000CA910000}"/>
    <cellStyle name="Normal 2 2 24 23" xfId="37336" xr:uid="{00000000-0005-0000-0000-0000CB910000}"/>
    <cellStyle name="Normal 2 2 24 24" xfId="37337" xr:uid="{00000000-0005-0000-0000-0000CC910000}"/>
    <cellStyle name="Normal 2 2 24 25" xfId="37338" xr:uid="{00000000-0005-0000-0000-0000CD910000}"/>
    <cellStyle name="Normal 2 2 24 26" xfId="37339" xr:uid="{00000000-0005-0000-0000-0000CE910000}"/>
    <cellStyle name="Normal 2 2 24 27" xfId="37340" xr:uid="{00000000-0005-0000-0000-0000CF910000}"/>
    <cellStyle name="Normal 2 2 24 28" xfId="37341" xr:uid="{00000000-0005-0000-0000-0000D0910000}"/>
    <cellStyle name="Normal 2 2 24 29" xfId="37342" xr:uid="{00000000-0005-0000-0000-0000D1910000}"/>
    <cellStyle name="Normal 2 2 24 29 2" xfId="37343" xr:uid="{00000000-0005-0000-0000-0000D2910000}"/>
    <cellStyle name="Normal 2 2 24 29 3" xfId="37344" xr:uid="{00000000-0005-0000-0000-0000D3910000}"/>
    <cellStyle name="Normal 2 2 24 3" xfId="37345" xr:uid="{00000000-0005-0000-0000-0000D4910000}"/>
    <cellStyle name="Normal 2 2 24 30" xfId="37346" xr:uid="{00000000-0005-0000-0000-0000D5910000}"/>
    <cellStyle name="Normal 2 2 24 31" xfId="37347" xr:uid="{00000000-0005-0000-0000-0000D6910000}"/>
    <cellStyle name="Normal 2 2 24 32" xfId="37348" xr:uid="{00000000-0005-0000-0000-0000D7910000}"/>
    <cellStyle name="Normal 2 2 24 33" xfId="37349" xr:uid="{00000000-0005-0000-0000-0000D8910000}"/>
    <cellStyle name="Normal 2 2 24 34" xfId="37350" xr:uid="{00000000-0005-0000-0000-0000D9910000}"/>
    <cellStyle name="Normal 2 2 24 4" xfId="37351" xr:uid="{00000000-0005-0000-0000-0000DA910000}"/>
    <cellStyle name="Normal 2 2 24 5" xfId="37352" xr:uid="{00000000-0005-0000-0000-0000DB910000}"/>
    <cellStyle name="Normal 2 2 24 6" xfId="37353" xr:uid="{00000000-0005-0000-0000-0000DC910000}"/>
    <cellStyle name="Normal 2 2 24 7" xfId="37354" xr:uid="{00000000-0005-0000-0000-0000DD910000}"/>
    <cellStyle name="Normal 2 2 24 8" xfId="37355" xr:uid="{00000000-0005-0000-0000-0000DE910000}"/>
    <cellStyle name="Normal 2 2 24 9" xfId="37356" xr:uid="{00000000-0005-0000-0000-0000DF910000}"/>
    <cellStyle name="Normal 2 2 25" xfId="37357" xr:uid="{00000000-0005-0000-0000-0000E0910000}"/>
    <cellStyle name="Normal 2 2 25 10" xfId="37358" xr:uid="{00000000-0005-0000-0000-0000E1910000}"/>
    <cellStyle name="Normal 2 2 25 11" xfId="37359" xr:uid="{00000000-0005-0000-0000-0000E2910000}"/>
    <cellStyle name="Normal 2 2 25 12" xfId="37360" xr:uid="{00000000-0005-0000-0000-0000E3910000}"/>
    <cellStyle name="Normal 2 2 25 13" xfId="37361" xr:uid="{00000000-0005-0000-0000-0000E4910000}"/>
    <cellStyle name="Normal 2 2 25 14" xfId="37362" xr:uid="{00000000-0005-0000-0000-0000E5910000}"/>
    <cellStyle name="Normal 2 2 25 15" xfId="37363" xr:uid="{00000000-0005-0000-0000-0000E6910000}"/>
    <cellStyle name="Normal 2 2 25 16" xfId="37364" xr:uid="{00000000-0005-0000-0000-0000E7910000}"/>
    <cellStyle name="Normal 2 2 25 17" xfId="37365" xr:uid="{00000000-0005-0000-0000-0000E8910000}"/>
    <cellStyle name="Normal 2 2 25 18" xfId="37366" xr:uid="{00000000-0005-0000-0000-0000E9910000}"/>
    <cellStyle name="Normal 2 2 25 19" xfId="37367" xr:uid="{00000000-0005-0000-0000-0000EA910000}"/>
    <cellStyle name="Normal 2 2 25 2" xfId="37368" xr:uid="{00000000-0005-0000-0000-0000EB910000}"/>
    <cellStyle name="Normal 2 2 25 2 2" xfId="37369" xr:uid="{00000000-0005-0000-0000-0000EC910000}"/>
    <cellStyle name="Normal 2 2 25 2 2 2" xfId="37370" xr:uid="{00000000-0005-0000-0000-0000ED910000}"/>
    <cellStyle name="Normal 2 2 25 2 2 3" xfId="37371" xr:uid="{00000000-0005-0000-0000-0000EE910000}"/>
    <cellStyle name="Normal 2 2 25 2 3" xfId="37372" xr:uid="{00000000-0005-0000-0000-0000EF910000}"/>
    <cellStyle name="Normal 2 2 25 2 4" xfId="37373" xr:uid="{00000000-0005-0000-0000-0000F0910000}"/>
    <cellStyle name="Normal 2 2 25 2 5" xfId="37374" xr:uid="{00000000-0005-0000-0000-0000F1910000}"/>
    <cellStyle name="Normal 2 2 25 2 6" xfId="37375" xr:uid="{00000000-0005-0000-0000-0000F2910000}"/>
    <cellStyle name="Normal 2 2 25 2 7" xfId="37376" xr:uid="{00000000-0005-0000-0000-0000F3910000}"/>
    <cellStyle name="Normal 2 2 25 2 8" xfId="37377" xr:uid="{00000000-0005-0000-0000-0000F4910000}"/>
    <cellStyle name="Normal 2 2 25 20" xfId="37378" xr:uid="{00000000-0005-0000-0000-0000F5910000}"/>
    <cellStyle name="Normal 2 2 25 21" xfId="37379" xr:uid="{00000000-0005-0000-0000-0000F6910000}"/>
    <cellStyle name="Normal 2 2 25 22" xfId="37380" xr:uid="{00000000-0005-0000-0000-0000F7910000}"/>
    <cellStyle name="Normal 2 2 25 23" xfId="37381" xr:uid="{00000000-0005-0000-0000-0000F8910000}"/>
    <cellStyle name="Normal 2 2 25 24" xfId="37382" xr:uid="{00000000-0005-0000-0000-0000F9910000}"/>
    <cellStyle name="Normal 2 2 25 25" xfId="37383" xr:uid="{00000000-0005-0000-0000-0000FA910000}"/>
    <cellStyle name="Normal 2 2 25 26" xfId="37384" xr:uid="{00000000-0005-0000-0000-0000FB910000}"/>
    <cellStyle name="Normal 2 2 25 27" xfId="37385" xr:uid="{00000000-0005-0000-0000-0000FC910000}"/>
    <cellStyle name="Normal 2 2 25 28" xfId="37386" xr:uid="{00000000-0005-0000-0000-0000FD910000}"/>
    <cellStyle name="Normal 2 2 25 29" xfId="37387" xr:uid="{00000000-0005-0000-0000-0000FE910000}"/>
    <cellStyle name="Normal 2 2 25 29 2" xfId="37388" xr:uid="{00000000-0005-0000-0000-0000FF910000}"/>
    <cellStyle name="Normal 2 2 25 29 3" xfId="37389" xr:uid="{00000000-0005-0000-0000-000000920000}"/>
    <cellStyle name="Normal 2 2 25 3" xfId="37390" xr:uid="{00000000-0005-0000-0000-000001920000}"/>
    <cellStyle name="Normal 2 2 25 30" xfId="37391" xr:uid="{00000000-0005-0000-0000-000002920000}"/>
    <cellStyle name="Normal 2 2 25 31" xfId="37392" xr:uid="{00000000-0005-0000-0000-000003920000}"/>
    <cellStyle name="Normal 2 2 25 32" xfId="37393" xr:uid="{00000000-0005-0000-0000-000004920000}"/>
    <cellStyle name="Normal 2 2 25 33" xfId="37394" xr:uid="{00000000-0005-0000-0000-000005920000}"/>
    <cellStyle name="Normal 2 2 25 34" xfId="37395" xr:uid="{00000000-0005-0000-0000-000006920000}"/>
    <cellStyle name="Normal 2 2 25 4" xfId="37396" xr:uid="{00000000-0005-0000-0000-000007920000}"/>
    <cellStyle name="Normal 2 2 25 5" xfId="37397" xr:uid="{00000000-0005-0000-0000-000008920000}"/>
    <cellStyle name="Normal 2 2 25 6" xfId="37398" xr:uid="{00000000-0005-0000-0000-000009920000}"/>
    <cellStyle name="Normal 2 2 25 7" xfId="37399" xr:uid="{00000000-0005-0000-0000-00000A920000}"/>
    <cellStyle name="Normal 2 2 25 8" xfId="37400" xr:uid="{00000000-0005-0000-0000-00000B920000}"/>
    <cellStyle name="Normal 2 2 25 9" xfId="37401" xr:uid="{00000000-0005-0000-0000-00000C920000}"/>
    <cellStyle name="Normal 2 2 26" xfId="37402" xr:uid="{00000000-0005-0000-0000-00000D920000}"/>
    <cellStyle name="Normal 2 2 26 10" xfId="37403" xr:uid="{00000000-0005-0000-0000-00000E920000}"/>
    <cellStyle name="Normal 2 2 26 11" xfId="37404" xr:uid="{00000000-0005-0000-0000-00000F920000}"/>
    <cellStyle name="Normal 2 2 26 12" xfId="37405" xr:uid="{00000000-0005-0000-0000-000010920000}"/>
    <cellStyle name="Normal 2 2 26 13" xfId="37406" xr:uid="{00000000-0005-0000-0000-000011920000}"/>
    <cellStyle name="Normal 2 2 26 14" xfId="37407" xr:uid="{00000000-0005-0000-0000-000012920000}"/>
    <cellStyle name="Normal 2 2 26 15" xfId="37408" xr:uid="{00000000-0005-0000-0000-000013920000}"/>
    <cellStyle name="Normal 2 2 26 16" xfId="37409" xr:uid="{00000000-0005-0000-0000-000014920000}"/>
    <cellStyle name="Normal 2 2 26 17" xfId="37410" xr:uid="{00000000-0005-0000-0000-000015920000}"/>
    <cellStyle name="Normal 2 2 26 18" xfId="37411" xr:uid="{00000000-0005-0000-0000-000016920000}"/>
    <cellStyle name="Normal 2 2 26 19" xfId="37412" xr:uid="{00000000-0005-0000-0000-000017920000}"/>
    <cellStyle name="Normal 2 2 26 2" xfId="37413" xr:uid="{00000000-0005-0000-0000-000018920000}"/>
    <cellStyle name="Normal 2 2 26 2 2" xfId="37414" xr:uid="{00000000-0005-0000-0000-000019920000}"/>
    <cellStyle name="Normal 2 2 26 2 2 2" xfId="37415" xr:uid="{00000000-0005-0000-0000-00001A920000}"/>
    <cellStyle name="Normal 2 2 26 2 2 3" xfId="37416" xr:uid="{00000000-0005-0000-0000-00001B920000}"/>
    <cellStyle name="Normal 2 2 26 2 3" xfId="37417" xr:uid="{00000000-0005-0000-0000-00001C920000}"/>
    <cellStyle name="Normal 2 2 26 2 4" xfId="37418" xr:uid="{00000000-0005-0000-0000-00001D920000}"/>
    <cellStyle name="Normal 2 2 26 2 5" xfId="37419" xr:uid="{00000000-0005-0000-0000-00001E920000}"/>
    <cellStyle name="Normal 2 2 26 2 6" xfId="37420" xr:uid="{00000000-0005-0000-0000-00001F920000}"/>
    <cellStyle name="Normal 2 2 26 2 7" xfId="37421" xr:uid="{00000000-0005-0000-0000-000020920000}"/>
    <cellStyle name="Normal 2 2 26 2 8" xfId="37422" xr:uid="{00000000-0005-0000-0000-000021920000}"/>
    <cellStyle name="Normal 2 2 26 20" xfId="37423" xr:uid="{00000000-0005-0000-0000-000022920000}"/>
    <cellStyle name="Normal 2 2 26 21" xfId="37424" xr:uid="{00000000-0005-0000-0000-000023920000}"/>
    <cellStyle name="Normal 2 2 26 22" xfId="37425" xr:uid="{00000000-0005-0000-0000-000024920000}"/>
    <cellStyle name="Normal 2 2 26 23" xfId="37426" xr:uid="{00000000-0005-0000-0000-000025920000}"/>
    <cellStyle name="Normal 2 2 26 24" xfId="37427" xr:uid="{00000000-0005-0000-0000-000026920000}"/>
    <cellStyle name="Normal 2 2 26 25" xfId="37428" xr:uid="{00000000-0005-0000-0000-000027920000}"/>
    <cellStyle name="Normal 2 2 26 26" xfId="37429" xr:uid="{00000000-0005-0000-0000-000028920000}"/>
    <cellStyle name="Normal 2 2 26 27" xfId="37430" xr:uid="{00000000-0005-0000-0000-000029920000}"/>
    <cellStyle name="Normal 2 2 26 28" xfId="37431" xr:uid="{00000000-0005-0000-0000-00002A920000}"/>
    <cellStyle name="Normal 2 2 26 29" xfId="37432" xr:uid="{00000000-0005-0000-0000-00002B920000}"/>
    <cellStyle name="Normal 2 2 26 29 2" xfId="37433" xr:uid="{00000000-0005-0000-0000-00002C920000}"/>
    <cellStyle name="Normal 2 2 26 29 3" xfId="37434" xr:uid="{00000000-0005-0000-0000-00002D920000}"/>
    <cellStyle name="Normal 2 2 26 3" xfId="37435" xr:uid="{00000000-0005-0000-0000-00002E920000}"/>
    <cellStyle name="Normal 2 2 26 30" xfId="37436" xr:uid="{00000000-0005-0000-0000-00002F920000}"/>
    <cellStyle name="Normal 2 2 26 31" xfId="37437" xr:uid="{00000000-0005-0000-0000-000030920000}"/>
    <cellStyle name="Normal 2 2 26 32" xfId="37438" xr:uid="{00000000-0005-0000-0000-000031920000}"/>
    <cellStyle name="Normal 2 2 26 33" xfId="37439" xr:uid="{00000000-0005-0000-0000-000032920000}"/>
    <cellStyle name="Normal 2 2 26 34" xfId="37440" xr:uid="{00000000-0005-0000-0000-000033920000}"/>
    <cellStyle name="Normal 2 2 26 4" xfId="37441" xr:uid="{00000000-0005-0000-0000-000034920000}"/>
    <cellStyle name="Normal 2 2 26 5" xfId="37442" xr:uid="{00000000-0005-0000-0000-000035920000}"/>
    <cellStyle name="Normal 2 2 26 6" xfId="37443" xr:uid="{00000000-0005-0000-0000-000036920000}"/>
    <cellStyle name="Normal 2 2 26 7" xfId="37444" xr:uid="{00000000-0005-0000-0000-000037920000}"/>
    <cellStyle name="Normal 2 2 26 8" xfId="37445" xr:uid="{00000000-0005-0000-0000-000038920000}"/>
    <cellStyle name="Normal 2 2 26 9" xfId="37446" xr:uid="{00000000-0005-0000-0000-000039920000}"/>
    <cellStyle name="Normal 2 2 27" xfId="37447" xr:uid="{00000000-0005-0000-0000-00003A920000}"/>
    <cellStyle name="Normal 2 2 28" xfId="37448" xr:uid="{00000000-0005-0000-0000-00003B920000}"/>
    <cellStyle name="Normal 2 2 29" xfId="37449" xr:uid="{00000000-0005-0000-0000-00003C920000}"/>
    <cellStyle name="Normal 2 2 3" xfId="37450" xr:uid="{00000000-0005-0000-0000-00003D920000}"/>
    <cellStyle name="Normal 2 2 3 2" xfId="37451" xr:uid="{00000000-0005-0000-0000-00003E920000}"/>
    <cellStyle name="Normal 2 2 3 3" xfId="37452" xr:uid="{00000000-0005-0000-0000-00003F920000}"/>
    <cellStyle name="Normal 2 2 3 4" xfId="37453" xr:uid="{00000000-0005-0000-0000-000040920000}"/>
    <cellStyle name="Normal 2 2 3 5" xfId="37454" xr:uid="{00000000-0005-0000-0000-000041920000}"/>
    <cellStyle name="Normal 2 2 3 6" xfId="37455" xr:uid="{00000000-0005-0000-0000-000042920000}"/>
    <cellStyle name="Normal 2 2 3 7" xfId="37456" xr:uid="{00000000-0005-0000-0000-000043920000}"/>
    <cellStyle name="Normal 2 2 3 8" xfId="37457" xr:uid="{00000000-0005-0000-0000-000044920000}"/>
    <cellStyle name="Normal 2 2 3 8 2" xfId="37458" xr:uid="{00000000-0005-0000-0000-000045920000}"/>
    <cellStyle name="Normal 2 2 3 8 2 2" xfId="37459" xr:uid="{00000000-0005-0000-0000-000046920000}"/>
    <cellStyle name="Normal 2 2 3 8 3" xfId="37460" xr:uid="{00000000-0005-0000-0000-000047920000}"/>
    <cellStyle name="Normal 2 2 3 8 3 2" xfId="37461" xr:uid="{00000000-0005-0000-0000-000048920000}"/>
    <cellStyle name="Normal 2 2 3 8 4" xfId="37462" xr:uid="{00000000-0005-0000-0000-000049920000}"/>
    <cellStyle name="Normal 2 2 30" xfId="37463" xr:uid="{00000000-0005-0000-0000-00004A920000}"/>
    <cellStyle name="Normal 2 2 30 10" xfId="37464" xr:uid="{00000000-0005-0000-0000-00004B920000}"/>
    <cellStyle name="Normal 2 2 30 11" xfId="37465" xr:uid="{00000000-0005-0000-0000-00004C920000}"/>
    <cellStyle name="Normal 2 2 30 12" xfId="37466" xr:uid="{00000000-0005-0000-0000-00004D920000}"/>
    <cellStyle name="Normal 2 2 30 13" xfId="37467" xr:uid="{00000000-0005-0000-0000-00004E920000}"/>
    <cellStyle name="Normal 2 2 30 14" xfId="37468" xr:uid="{00000000-0005-0000-0000-00004F920000}"/>
    <cellStyle name="Normal 2 2 30 15" xfId="37469" xr:uid="{00000000-0005-0000-0000-000050920000}"/>
    <cellStyle name="Normal 2 2 30 2" xfId="37470" xr:uid="{00000000-0005-0000-0000-000051920000}"/>
    <cellStyle name="Normal 2 2 30 3" xfId="37471" xr:uid="{00000000-0005-0000-0000-000052920000}"/>
    <cellStyle name="Normal 2 2 30 4" xfId="37472" xr:uid="{00000000-0005-0000-0000-000053920000}"/>
    <cellStyle name="Normal 2 2 30 5" xfId="37473" xr:uid="{00000000-0005-0000-0000-000054920000}"/>
    <cellStyle name="Normal 2 2 30 6" xfId="37474" xr:uid="{00000000-0005-0000-0000-000055920000}"/>
    <cellStyle name="Normal 2 2 30 7" xfId="37475" xr:uid="{00000000-0005-0000-0000-000056920000}"/>
    <cellStyle name="Normal 2 2 30 8" xfId="37476" xr:uid="{00000000-0005-0000-0000-000057920000}"/>
    <cellStyle name="Normal 2 2 30 9" xfId="37477" xr:uid="{00000000-0005-0000-0000-000058920000}"/>
    <cellStyle name="Normal 2 2 31" xfId="37478" xr:uid="{00000000-0005-0000-0000-000059920000}"/>
    <cellStyle name="Normal 2 2 31 10" xfId="37479" xr:uid="{00000000-0005-0000-0000-00005A920000}"/>
    <cellStyle name="Normal 2 2 31 11" xfId="37480" xr:uid="{00000000-0005-0000-0000-00005B920000}"/>
    <cellStyle name="Normal 2 2 31 12" xfId="37481" xr:uid="{00000000-0005-0000-0000-00005C920000}"/>
    <cellStyle name="Normal 2 2 31 13" xfId="37482" xr:uid="{00000000-0005-0000-0000-00005D920000}"/>
    <cellStyle name="Normal 2 2 31 14" xfId="37483" xr:uid="{00000000-0005-0000-0000-00005E920000}"/>
    <cellStyle name="Normal 2 2 31 15" xfId="37484" xr:uid="{00000000-0005-0000-0000-00005F920000}"/>
    <cellStyle name="Normal 2 2 31 2" xfId="37485" xr:uid="{00000000-0005-0000-0000-000060920000}"/>
    <cellStyle name="Normal 2 2 31 3" xfId="37486" xr:uid="{00000000-0005-0000-0000-000061920000}"/>
    <cellStyle name="Normal 2 2 31 4" xfId="37487" xr:uid="{00000000-0005-0000-0000-000062920000}"/>
    <cellStyle name="Normal 2 2 31 5" xfId="37488" xr:uid="{00000000-0005-0000-0000-000063920000}"/>
    <cellStyle name="Normal 2 2 31 6" xfId="37489" xr:uid="{00000000-0005-0000-0000-000064920000}"/>
    <cellStyle name="Normal 2 2 31 7" xfId="37490" xr:uid="{00000000-0005-0000-0000-000065920000}"/>
    <cellStyle name="Normal 2 2 31 8" xfId="37491" xr:uid="{00000000-0005-0000-0000-000066920000}"/>
    <cellStyle name="Normal 2 2 31 9" xfId="37492" xr:uid="{00000000-0005-0000-0000-000067920000}"/>
    <cellStyle name="Normal 2 2 32" xfId="37493" xr:uid="{00000000-0005-0000-0000-000068920000}"/>
    <cellStyle name="Normal 2 2 32 10" xfId="37494" xr:uid="{00000000-0005-0000-0000-000069920000}"/>
    <cellStyle name="Normal 2 2 32 11" xfId="37495" xr:uid="{00000000-0005-0000-0000-00006A920000}"/>
    <cellStyle name="Normal 2 2 32 12" xfId="37496" xr:uid="{00000000-0005-0000-0000-00006B920000}"/>
    <cellStyle name="Normal 2 2 32 13" xfId="37497" xr:uid="{00000000-0005-0000-0000-00006C920000}"/>
    <cellStyle name="Normal 2 2 32 14" xfId="37498" xr:uid="{00000000-0005-0000-0000-00006D920000}"/>
    <cellStyle name="Normal 2 2 32 15" xfId="37499" xr:uid="{00000000-0005-0000-0000-00006E920000}"/>
    <cellStyle name="Normal 2 2 32 2" xfId="37500" xr:uid="{00000000-0005-0000-0000-00006F920000}"/>
    <cellStyle name="Normal 2 2 32 3" xfId="37501" xr:uid="{00000000-0005-0000-0000-000070920000}"/>
    <cellStyle name="Normal 2 2 32 4" xfId="37502" xr:uid="{00000000-0005-0000-0000-000071920000}"/>
    <cellStyle name="Normal 2 2 32 5" xfId="37503" xr:uid="{00000000-0005-0000-0000-000072920000}"/>
    <cellStyle name="Normal 2 2 32 6" xfId="37504" xr:uid="{00000000-0005-0000-0000-000073920000}"/>
    <cellStyle name="Normal 2 2 32 7" xfId="37505" xr:uid="{00000000-0005-0000-0000-000074920000}"/>
    <cellStyle name="Normal 2 2 32 8" xfId="37506" xr:uid="{00000000-0005-0000-0000-000075920000}"/>
    <cellStyle name="Normal 2 2 32 9" xfId="37507" xr:uid="{00000000-0005-0000-0000-000076920000}"/>
    <cellStyle name="Normal 2 2 33" xfId="37508" xr:uid="{00000000-0005-0000-0000-000077920000}"/>
    <cellStyle name="Normal 2 2 33 10" xfId="37509" xr:uid="{00000000-0005-0000-0000-000078920000}"/>
    <cellStyle name="Normal 2 2 33 11" xfId="37510" xr:uid="{00000000-0005-0000-0000-000079920000}"/>
    <cellStyle name="Normal 2 2 33 12" xfId="37511" xr:uid="{00000000-0005-0000-0000-00007A920000}"/>
    <cellStyle name="Normal 2 2 33 13" xfId="37512" xr:uid="{00000000-0005-0000-0000-00007B920000}"/>
    <cellStyle name="Normal 2 2 33 14" xfId="37513" xr:uid="{00000000-0005-0000-0000-00007C920000}"/>
    <cellStyle name="Normal 2 2 33 15" xfId="37514" xr:uid="{00000000-0005-0000-0000-00007D920000}"/>
    <cellStyle name="Normal 2 2 33 2" xfId="37515" xr:uid="{00000000-0005-0000-0000-00007E920000}"/>
    <cellStyle name="Normal 2 2 33 3" xfId="37516" xr:uid="{00000000-0005-0000-0000-00007F920000}"/>
    <cellStyle name="Normal 2 2 33 4" xfId="37517" xr:uid="{00000000-0005-0000-0000-000080920000}"/>
    <cellStyle name="Normal 2 2 33 5" xfId="37518" xr:uid="{00000000-0005-0000-0000-000081920000}"/>
    <cellStyle name="Normal 2 2 33 6" xfId="37519" xr:uid="{00000000-0005-0000-0000-000082920000}"/>
    <cellStyle name="Normal 2 2 33 7" xfId="37520" xr:uid="{00000000-0005-0000-0000-000083920000}"/>
    <cellStyle name="Normal 2 2 33 8" xfId="37521" xr:uid="{00000000-0005-0000-0000-000084920000}"/>
    <cellStyle name="Normal 2 2 33 9" xfId="37522" xr:uid="{00000000-0005-0000-0000-000085920000}"/>
    <cellStyle name="Normal 2 2 34" xfId="37523" xr:uid="{00000000-0005-0000-0000-000086920000}"/>
    <cellStyle name="Normal 2 2 34 10" xfId="37524" xr:uid="{00000000-0005-0000-0000-000087920000}"/>
    <cellStyle name="Normal 2 2 34 11" xfId="37525" xr:uid="{00000000-0005-0000-0000-000088920000}"/>
    <cellStyle name="Normal 2 2 34 12" xfId="37526" xr:uid="{00000000-0005-0000-0000-000089920000}"/>
    <cellStyle name="Normal 2 2 34 13" xfId="37527" xr:uid="{00000000-0005-0000-0000-00008A920000}"/>
    <cellStyle name="Normal 2 2 34 14" xfId="37528" xr:uid="{00000000-0005-0000-0000-00008B920000}"/>
    <cellStyle name="Normal 2 2 34 15" xfId="37529" xr:uid="{00000000-0005-0000-0000-00008C920000}"/>
    <cellStyle name="Normal 2 2 34 2" xfId="37530" xr:uid="{00000000-0005-0000-0000-00008D920000}"/>
    <cellStyle name="Normal 2 2 34 3" xfId="37531" xr:uid="{00000000-0005-0000-0000-00008E920000}"/>
    <cellStyle name="Normal 2 2 34 4" xfId="37532" xr:uid="{00000000-0005-0000-0000-00008F920000}"/>
    <cellStyle name="Normal 2 2 34 5" xfId="37533" xr:uid="{00000000-0005-0000-0000-000090920000}"/>
    <cellStyle name="Normal 2 2 34 6" xfId="37534" xr:uid="{00000000-0005-0000-0000-000091920000}"/>
    <cellStyle name="Normal 2 2 34 7" xfId="37535" xr:uid="{00000000-0005-0000-0000-000092920000}"/>
    <cellStyle name="Normal 2 2 34 8" xfId="37536" xr:uid="{00000000-0005-0000-0000-000093920000}"/>
    <cellStyle name="Normal 2 2 34 9" xfId="37537" xr:uid="{00000000-0005-0000-0000-000094920000}"/>
    <cellStyle name="Normal 2 2 35" xfId="37538" xr:uid="{00000000-0005-0000-0000-000095920000}"/>
    <cellStyle name="Normal 2 2 35 10" xfId="37539" xr:uid="{00000000-0005-0000-0000-000096920000}"/>
    <cellStyle name="Normal 2 2 35 11" xfId="37540" xr:uid="{00000000-0005-0000-0000-000097920000}"/>
    <cellStyle name="Normal 2 2 35 12" xfId="37541" xr:uid="{00000000-0005-0000-0000-000098920000}"/>
    <cellStyle name="Normal 2 2 35 13" xfId="37542" xr:uid="{00000000-0005-0000-0000-000099920000}"/>
    <cellStyle name="Normal 2 2 35 14" xfId="37543" xr:uid="{00000000-0005-0000-0000-00009A920000}"/>
    <cellStyle name="Normal 2 2 35 15" xfId="37544" xr:uid="{00000000-0005-0000-0000-00009B920000}"/>
    <cellStyle name="Normal 2 2 35 2" xfId="37545" xr:uid="{00000000-0005-0000-0000-00009C920000}"/>
    <cellStyle name="Normal 2 2 35 3" xfId="37546" xr:uid="{00000000-0005-0000-0000-00009D920000}"/>
    <cellStyle name="Normal 2 2 35 4" xfId="37547" xr:uid="{00000000-0005-0000-0000-00009E920000}"/>
    <cellStyle name="Normal 2 2 35 5" xfId="37548" xr:uid="{00000000-0005-0000-0000-00009F920000}"/>
    <cellStyle name="Normal 2 2 35 6" xfId="37549" xr:uid="{00000000-0005-0000-0000-0000A0920000}"/>
    <cellStyle name="Normal 2 2 35 7" xfId="37550" xr:uid="{00000000-0005-0000-0000-0000A1920000}"/>
    <cellStyle name="Normal 2 2 35 8" xfId="37551" xr:uid="{00000000-0005-0000-0000-0000A2920000}"/>
    <cellStyle name="Normal 2 2 35 9" xfId="37552" xr:uid="{00000000-0005-0000-0000-0000A3920000}"/>
    <cellStyle name="Normal 2 2 36" xfId="37553" xr:uid="{00000000-0005-0000-0000-0000A4920000}"/>
    <cellStyle name="Normal 2 2 36 10" xfId="37554" xr:uid="{00000000-0005-0000-0000-0000A5920000}"/>
    <cellStyle name="Normal 2 2 36 11" xfId="37555" xr:uid="{00000000-0005-0000-0000-0000A6920000}"/>
    <cellStyle name="Normal 2 2 36 12" xfId="37556" xr:uid="{00000000-0005-0000-0000-0000A7920000}"/>
    <cellStyle name="Normal 2 2 36 13" xfId="37557" xr:uid="{00000000-0005-0000-0000-0000A8920000}"/>
    <cellStyle name="Normal 2 2 36 14" xfId="37558" xr:uid="{00000000-0005-0000-0000-0000A9920000}"/>
    <cellStyle name="Normal 2 2 36 15" xfId="37559" xr:uid="{00000000-0005-0000-0000-0000AA920000}"/>
    <cellStyle name="Normal 2 2 36 2" xfId="37560" xr:uid="{00000000-0005-0000-0000-0000AB920000}"/>
    <cellStyle name="Normal 2 2 36 3" xfId="37561" xr:uid="{00000000-0005-0000-0000-0000AC920000}"/>
    <cellStyle name="Normal 2 2 36 4" xfId="37562" xr:uid="{00000000-0005-0000-0000-0000AD920000}"/>
    <cellStyle name="Normal 2 2 36 5" xfId="37563" xr:uid="{00000000-0005-0000-0000-0000AE920000}"/>
    <cellStyle name="Normal 2 2 36 6" xfId="37564" xr:uid="{00000000-0005-0000-0000-0000AF920000}"/>
    <cellStyle name="Normal 2 2 36 7" xfId="37565" xr:uid="{00000000-0005-0000-0000-0000B0920000}"/>
    <cellStyle name="Normal 2 2 36 8" xfId="37566" xr:uid="{00000000-0005-0000-0000-0000B1920000}"/>
    <cellStyle name="Normal 2 2 36 9" xfId="37567" xr:uid="{00000000-0005-0000-0000-0000B2920000}"/>
    <cellStyle name="Normal 2 2 37" xfId="37568" xr:uid="{00000000-0005-0000-0000-0000B3920000}"/>
    <cellStyle name="Normal 2 2 37 10" xfId="37569" xr:uid="{00000000-0005-0000-0000-0000B4920000}"/>
    <cellStyle name="Normal 2 2 37 11" xfId="37570" xr:uid="{00000000-0005-0000-0000-0000B5920000}"/>
    <cellStyle name="Normal 2 2 37 12" xfId="37571" xr:uid="{00000000-0005-0000-0000-0000B6920000}"/>
    <cellStyle name="Normal 2 2 37 13" xfId="37572" xr:uid="{00000000-0005-0000-0000-0000B7920000}"/>
    <cellStyle name="Normal 2 2 37 14" xfId="37573" xr:uid="{00000000-0005-0000-0000-0000B8920000}"/>
    <cellStyle name="Normal 2 2 37 15" xfId="37574" xr:uid="{00000000-0005-0000-0000-0000B9920000}"/>
    <cellStyle name="Normal 2 2 37 2" xfId="37575" xr:uid="{00000000-0005-0000-0000-0000BA920000}"/>
    <cellStyle name="Normal 2 2 37 3" xfId="37576" xr:uid="{00000000-0005-0000-0000-0000BB920000}"/>
    <cellStyle name="Normal 2 2 37 4" xfId="37577" xr:uid="{00000000-0005-0000-0000-0000BC920000}"/>
    <cellStyle name="Normal 2 2 37 5" xfId="37578" xr:uid="{00000000-0005-0000-0000-0000BD920000}"/>
    <cellStyle name="Normal 2 2 37 6" xfId="37579" xr:uid="{00000000-0005-0000-0000-0000BE920000}"/>
    <cellStyle name="Normal 2 2 37 7" xfId="37580" xr:uid="{00000000-0005-0000-0000-0000BF920000}"/>
    <cellStyle name="Normal 2 2 37 8" xfId="37581" xr:uid="{00000000-0005-0000-0000-0000C0920000}"/>
    <cellStyle name="Normal 2 2 37 9" xfId="37582" xr:uid="{00000000-0005-0000-0000-0000C1920000}"/>
    <cellStyle name="Normal 2 2 38" xfId="37583" xr:uid="{00000000-0005-0000-0000-0000C2920000}"/>
    <cellStyle name="Normal 2 2 38 10" xfId="37584" xr:uid="{00000000-0005-0000-0000-0000C3920000}"/>
    <cellStyle name="Normal 2 2 38 11" xfId="37585" xr:uid="{00000000-0005-0000-0000-0000C4920000}"/>
    <cellStyle name="Normal 2 2 38 12" xfId="37586" xr:uid="{00000000-0005-0000-0000-0000C5920000}"/>
    <cellStyle name="Normal 2 2 38 13" xfId="37587" xr:uid="{00000000-0005-0000-0000-0000C6920000}"/>
    <cellStyle name="Normal 2 2 38 14" xfId="37588" xr:uid="{00000000-0005-0000-0000-0000C7920000}"/>
    <cellStyle name="Normal 2 2 38 15" xfId="37589" xr:uid="{00000000-0005-0000-0000-0000C8920000}"/>
    <cellStyle name="Normal 2 2 38 2" xfId="37590" xr:uid="{00000000-0005-0000-0000-0000C9920000}"/>
    <cellStyle name="Normal 2 2 38 3" xfId="37591" xr:uid="{00000000-0005-0000-0000-0000CA920000}"/>
    <cellStyle name="Normal 2 2 38 4" xfId="37592" xr:uid="{00000000-0005-0000-0000-0000CB920000}"/>
    <cellStyle name="Normal 2 2 38 5" xfId="37593" xr:uid="{00000000-0005-0000-0000-0000CC920000}"/>
    <cellStyle name="Normal 2 2 38 6" xfId="37594" xr:uid="{00000000-0005-0000-0000-0000CD920000}"/>
    <cellStyle name="Normal 2 2 38 7" xfId="37595" xr:uid="{00000000-0005-0000-0000-0000CE920000}"/>
    <cellStyle name="Normal 2 2 38 8" xfId="37596" xr:uid="{00000000-0005-0000-0000-0000CF920000}"/>
    <cellStyle name="Normal 2 2 38 9" xfId="37597" xr:uid="{00000000-0005-0000-0000-0000D0920000}"/>
    <cellStyle name="Normal 2 2 39" xfId="37598" xr:uid="{00000000-0005-0000-0000-0000D1920000}"/>
    <cellStyle name="Normal 2 2 39 10" xfId="37599" xr:uid="{00000000-0005-0000-0000-0000D2920000}"/>
    <cellStyle name="Normal 2 2 39 11" xfId="37600" xr:uid="{00000000-0005-0000-0000-0000D3920000}"/>
    <cellStyle name="Normal 2 2 39 12" xfId="37601" xr:uid="{00000000-0005-0000-0000-0000D4920000}"/>
    <cellStyle name="Normal 2 2 39 13" xfId="37602" xr:uid="{00000000-0005-0000-0000-0000D5920000}"/>
    <cellStyle name="Normal 2 2 39 14" xfId="37603" xr:uid="{00000000-0005-0000-0000-0000D6920000}"/>
    <cellStyle name="Normal 2 2 39 15" xfId="37604" xr:uid="{00000000-0005-0000-0000-0000D7920000}"/>
    <cellStyle name="Normal 2 2 39 2" xfId="37605" xr:uid="{00000000-0005-0000-0000-0000D8920000}"/>
    <cellStyle name="Normal 2 2 39 3" xfId="37606" xr:uid="{00000000-0005-0000-0000-0000D9920000}"/>
    <cellStyle name="Normal 2 2 39 4" xfId="37607" xr:uid="{00000000-0005-0000-0000-0000DA920000}"/>
    <cellStyle name="Normal 2 2 39 5" xfId="37608" xr:uid="{00000000-0005-0000-0000-0000DB920000}"/>
    <cellStyle name="Normal 2 2 39 6" xfId="37609" xr:uid="{00000000-0005-0000-0000-0000DC920000}"/>
    <cellStyle name="Normal 2 2 39 7" xfId="37610" xr:uid="{00000000-0005-0000-0000-0000DD920000}"/>
    <cellStyle name="Normal 2 2 39 8" xfId="37611" xr:uid="{00000000-0005-0000-0000-0000DE920000}"/>
    <cellStyle name="Normal 2 2 39 9" xfId="37612" xr:uid="{00000000-0005-0000-0000-0000DF920000}"/>
    <cellStyle name="Normal 2 2 4" xfId="37613" xr:uid="{00000000-0005-0000-0000-0000E0920000}"/>
    <cellStyle name="Normal 2 2 4 2" xfId="37614" xr:uid="{00000000-0005-0000-0000-0000E1920000}"/>
    <cellStyle name="Normal 2 2 4 2 2" xfId="37615" xr:uid="{00000000-0005-0000-0000-0000E2920000}"/>
    <cellStyle name="Normal 2 2 4 3" xfId="37616" xr:uid="{00000000-0005-0000-0000-0000E3920000}"/>
    <cellStyle name="Normal 2 2 4 3 2" xfId="37617" xr:uid="{00000000-0005-0000-0000-0000E4920000}"/>
    <cellStyle name="Normal 2 2 4 4" xfId="37618" xr:uid="{00000000-0005-0000-0000-0000E5920000}"/>
    <cellStyle name="Normal 2 2 40" xfId="37619" xr:uid="{00000000-0005-0000-0000-0000E6920000}"/>
    <cellStyle name="Normal 2 2 41" xfId="37620" xr:uid="{00000000-0005-0000-0000-0000E7920000}"/>
    <cellStyle name="Normal 2 2 42" xfId="37621" xr:uid="{00000000-0005-0000-0000-0000E8920000}"/>
    <cellStyle name="Normal 2 2 43" xfId="37622" xr:uid="{00000000-0005-0000-0000-0000E9920000}"/>
    <cellStyle name="Normal 2 2 44" xfId="37623" xr:uid="{00000000-0005-0000-0000-0000EA920000}"/>
    <cellStyle name="Normal 2 2 45" xfId="37624" xr:uid="{00000000-0005-0000-0000-0000EB920000}"/>
    <cellStyle name="Normal 2 2 46" xfId="37625" xr:uid="{00000000-0005-0000-0000-0000EC920000}"/>
    <cellStyle name="Normal 2 2 47" xfId="37626" xr:uid="{00000000-0005-0000-0000-0000ED920000}"/>
    <cellStyle name="Normal 2 2 48" xfId="37627" xr:uid="{00000000-0005-0000-0000-0000EE920000}"/>
    <cellStyle name="Normal 2 2 49" xfId="37628" xr:uid="{00000000-0005-0000-0000-0000EF920000}"/>
    <cellStyle name="Normal 2 2 5" xfId="37629" xr:uid="{00000000-0005-0000-0000-0000F0920000}"/>
    <cellStyle name="Normal 2 2 5 2" xfId="37630" xr:uid="{00000000-0005-0000-0000-0000F1920000}"/>
    <cellStyle name="Normal 2 2 5 2 2" xfId="37631" xr:uid="{00000000-0005-0000-0000-0000F2920000}"/>
    <cellStyle name="Normal 2 2 5 3" xfId="37632" xr:uid="{00000000-0005-0000-0000-0000F3920000}"/>
    <cellStyle name="Normal 2 2 5 3 2" xfId="37633" xr:uid="{00000000-0005-0000-0000-0000F4920000}"/>
    <cellStyle name="Normal 2 2 5 4" xfId="37634" xr:uid="{00000000-0005-0000-0000-0000F5920000}"/>
    <cellStyle name="Normal 2 2 50" xfId="37635" xr:uid="{00000000-0005-0000-0000-0000F6920000}"/>
    <cellStyle name="Normal 2 2 51" xfId="37636" xr:uid="{00000000-0005-0000-0000-0000F7920000}"/>
    <cellStyle name="Normal 2 2 52" xfId="37637" xr:uid="{00000000-0005-0000-0000-0000F8920000}"/>
    <cellStyle name="Normal 2 2 53" xfId="37638" xr:uid="{00000000-0005-0000-0000-0000F9920000}"/>
    <cellStyle name="Normal 2 2 54" xfId="37639" xr:uid="{00000000-0005-0000-0000-0000FA920000}"/>
    <cellStyle name="Normal 2 2 55" xfId="37640" xr:uid="{00000000-0005-0000-0000-0000FB920000}"/>
    <cellStyle name="Normal 2 2 56" xfId="37641" xr:uid="{00000000-0005-0000-0000-0000FC920000}"/>
    <cellStyle name="Normal 2 2 57" xfId="37642" xr:uid="{00000000-0005-0000-0000-0000FD920000}"/>
    <cellStyle name="Normal 2 2 58" xfId="37643" xr:uid="{00000000-0005-0000-0000-0000FE920000}"/>
    <cellStyle name="Normal 2 2 59" xfId="37644" xr:uid="{00000000-0005-0000-0000-0000FF920000}"/>
    <cellStyle name="Normal 2 2 6" xfId="37645" xr:uid="{00000000-0005-0000-0000-000000930000}"/>
    <cellStyle name="Normal 2 2 60" xfId="37646" xr:uid="{00000000-0005-0000-0000-000001930000}"/>
    <cellStyle name="Normal 2 2 61" xfId="37647" xr:uid="{00000000-0005-0000-0000-000002930000}"/>
    <cellStyle name="Normal 2 2 62" xfId="37648" xr:uid="{00000000-0005-0000-0000-000003930000}"/>
    <cellStyle name="Normal 2 2 63" xfId="37649" xr:uid="{00000000-0005-0000-0000-000004930000}"/>
    <cellStyle name="Normal 2 2 64" xfId="37650" xr:uid="{00000000-0005-0000-0000-000005930000}"/>
    <cellStyle name="Normal 2 2 65" xfId="37651" xr:uid="{00000000-0005-0000-0000-000006930000}"/>
    <cellStyle name="Normal 2 2 66" xfId="37652" xr:uid="{00000000-0005-0000-0000-000007930000}"/>
    <cellStyle name="Normal 2 2 67" xfId="37653" xr:uid="{00000000-0005-0000-0000-000008930000}"/>
    <cellStyle name="Normal 2 2 68" xfId="37654" xr:uid="{00000000-0005-0000-0000-000009930000}"/>
    <cellStyle name="Normal 2 2 69" xfId="37655" xr:uid="{00000000-0005-0000-0000-00000A930000}"/>
    <cellStyle name="Normal 2 2 7" xfId="37656" xr:uid="{00000000-0005-0000-0000-00000B930000}"/>
    <cellStyle name="Normal 2 2 7 2" xfId="37657" xr:uid="{00000000-0005-0000-0000-00000C930000}"/>
    <cellStyle name="Normal 2 2 7 2 2" xfId="37658" xr:uid="{00000000-0005-0000-0000-00000D930000}"/>
    <cellStyle name="Normal 2 2 7 3" xfId="37659" xr:uid="{00000000-0005-0000-0000-00000E930000}"/>
    <cellStyle name="Normal 2 2 7 3 2" xfId="37660" xr:uid="{00000000-0005-0000-0000-00000F930000}"/>
    <cellStyle name="Normal 2 2 7 4" xfId="37661" xr:uid="{00000000-0005-0000-0000-000010930000}"/>
    <cellStyle name="Normal 2 2 70" xfId="37662" xr:uid="{00000000-0005-0000-0000-000011930000}"/>
    <cellStyle name="Normal 2 2 71" xfId="37663" xr:uid="{00000000-0005-0000-0000-000012930000}"/>
    <cellStyle name="Normal 2 2 72" xfId="37664" xr:uid="{00000000-0005-0000-0000-000013930000}"/>
    <cellStyle name="Normal 2 2 73" xfId="37665" xr:uid="{00000000-0005-0000-0000-000014930000}"/>
    <cellStyle name="Normal 2 2 74" xfId="37666" xr:uid="{00000000-0005-0000-0000-000015930000}"/>
    <cellStyle name="Normal 2 2 75" xfId="37667" xr:uid="{00000000-0005-0000-0000-000016930000}"/>
    <cellStyle name="Normal 2 2 76" xfId="37668" xr:uid="{00000000-0005-0000-0000-000017930000}"/>
    <cellStyle name="Normal 2 2 77" xfId="37669" xr:uid="{00000000-0005-0000-0000-000018930000}"/>
    <cellStyle name="Normal 2 2 78" xfId="37670" xr:uid="{00000000-0005-0000-0000-000019930000}"/>
    <cellStyle name="Normal 2 2 79" xfId="37671" xr:uid="{00000000-0005-0000-0000-00001A930000}"/>
    <cellStyle name="Normal 2 2 79 2" xfId="37672" xr:uid="{00000000-0005-0000-0000-00001B930000}"/>
    <cellStyle name="Normal 2 2 79 3" xfId="37673" xr:uid="{00000000-0005-0000-0000-00001C930000}"/>
    <cellStyle name="Normal 2 2 79 4" xfId="37674" xr:uid="{00000000-0005-0000-0000-00001D930000}"/>
    <cellStyle name="Normal 2 2 8" xfId="37675" xr:uid="{00000000-0005-0000-0000-00001E930000}"/>
    <cellStyle name="Normal 2 2 80" xfId="37676" xr:uid="{00000000-0005-0000-0000-00001F930000}"/>
    <cellStyle name="Normal 2 2 81" xfId="37677" xr:uid="{00000000-0005-0000-0000-000020930000}"/>
    <cellStyle name="Normal 2 2 82" xfId="37678" xr:uid="{00000000-0005-0000-0000-000021930000}"/>
    <cellStyle name="Normal 2 2 83" xfId="37679" xr:uid="{00000000-0005-0000-0000-000022930000}"/>
    <cellStyle name="Normal 2 2 84" xfId="37680" xr:uid="{00000000-0005-0000-0000-000023930000}"/>
    <cellStyle name="Normal 2 2 85" xfId="37681" xr:uid="{00000000-0005-0000-0000-000024930000}"/>
    <cellStyle name="Normal 2 2 86" xfId="37682" xr:uid="{00000000-0005-0000-0000-000025930000}"/>
    <cellStyle name="Normal 2 2 87" xfId="37683" xr:uid="{00000000-0005-0000-0000-000026930000}"/>
    <cellStyle name="Normal 2 2 88" xfId="37684" xr:uid="{00000000-0005-0000-0000-000027930000}"/>
    <cellStyle name="Normal 2 2 89" xfId="37685" xr:uid="{00000000-0005-0000-0000-000028930000}"/>
    <cellStyle name="Normal 2 2 9" xfId="37686" xr:uid="{00000000-0005-0000-0000-000029930000}"/>
    <cellStyle name="Normal 2 2 90" xfId="37687" xr:uid="{00000000-0005-0000-0000-00002A930000}"/>
    <cellStyle name="Normal 2 2 91" xfId="37688" xr:uid="{00000000-0005-0000-0000-00002B930000}"/>
    <cellStyle name="Normal 2 2 92" xfId="37689" xr:uid="{00000000-0005-0000-0000-00002C930000}"/>
    <cellStyle name="Normal 2 2 93" xfId="37690" xr:uid="{00000000-0005-0000-0000-00002D930000}"/>
    <cellStyle name="Normal 2 2 94" xfId="37691" xr:uid="{00000000-0005-0000-0000-00002E930000}"/>
    <cellStyle name="Normal 2 2 95" xfId="37692" xr:uid="{00000000-0005-0000-0000-00002F930000}"/>
    <cellStyle name="Normal 2 2 96" xfId="37693" xr:uid="{00000000-0005-0000-0000-000030930000}"/>
    <cellStyle name="Normal 2 2 97" xfId="37694" xr:uid="{00000000-0005-0000-0000-000031930000}"/>
    <cellStyle name="Normal 2 2 98" xfId="37695" xr:uid="{00000000-0005-0000-0000-000032930000}"/>
    <cellStyle name="Normal 2 2 99" xfId="37696" xr:uid="{00000000-0005-0000-0000-000033930000}"/>
    <cellStyle name="Normal 2 2_Külker-ExternalTrade" xfId="37697" xr:uid="{00000000-0005-0000-0000-000034930000}"/>
    <cellStyle name="Normal 2 20" xfId="37698" xr:uid="{00000000-0005-0000-0000-000035930000}"/>
    <cellStyle name="Normal 2 20 10" xfId="37699" xr:uid="{00000000-0005-0000-0000-000036930000}"/>
    <cellStyle name="Normal 2 20 11" xfId="37700" xr:uid="{00000000-0005-0000-0000-000037930000}"/>
    <cellStyle name="Normal 2 20 12" xfId="37701" xr:uid="{00000000-0005-0000-0000-000038930000}"/>
    <cellStyle name="Normal 2 20 13" xfId="37702" xr:uid="{00000000-0005-0000-0000-000039930000}"/>
    <cellStyle name="Normal 2 20 14" xfId="37703" xr:uid="{00000000-0005-0000-0000-00003A930000}"/>
    <cellStyle name="Normal 2 20 15" xfId="37704" xr:uid="{00000000-0005-0000-0000-00003B930000}"/>
    <cellStyle name="Normal 2 20 16" xfId="37705" xr:uid="{00000000-0005-0000-0000-00003C930000}"/>
    <cellStyle name="Normal 2 20 17" xfId="37706" xr:uid="{00000000-0005-0000-0000-00003D930000}"/>
    <cellStyle name="Normal 2 20 18" xfId="37707" xr:uid="{00000000-0005-0000-0000-00003E930000}"/>
    <cellStyle name="Normal 2 20 19" xfId="37708" xr:uid="{00000000-0005-0000-0000-00003F930000}"/>
    <cellStyle name="Normal 2 20 2" xfId="37709" xr:uid="{00000000-0005-0000-0000-000040930000}"/>
    <cellStyle name="Normal 2 20 2 10" xfId="37710" xr:uid="{00000000-0005-0000-0000-000041930000}"/>
    <cellStyle name="Normal 2 20 2 11" xfId="37711" xr:uid="{00000000-0005-0000-0000-000042930000}"/>
    <cellStyle name="Normal 2 20 2 12" xfId="37712" xr:uid="{00000000-0005-0000-0000-000043930000}"/>
    <cellStyle name="Normal 2 20 2 13" xfId="37713" xr:uid="{00000000-0005-0000-0000-000044930000}"/>
    <cellStyle name="Normal 2 20 2 14" xfId="37714" xr:uid="{00000000-0005-0000-0000-000045930000}"/>
    <cellStyle name="Normal 2 20 2 15" xfId="37715" xr:uid="{00000000-0005-0000-0000-000046930000}"/>
    <cellStyle name="Normal 2 20 2 16" xfId="37716" xr:uid="{00000000-0005-0000-0000-000047930000}"/>
    <cellStyle name="Normal 2 20 2 17" xfId="37717" xr:uid="{00000000-0005-0000-0000-000048930000}"/>
    <cellStyle name="Normal 2 20 2 18" xfId="37718" xr:uid="{00000000-0005-0000-0000-000049930000}"/>
    <cellStyle name="Normal 2 20 2 2" xfId="37719" xr:uid="{00000000-0005-0000-0000-00004A930000}"/>
    <cellStyle name="Normal 2 20 2 2 2" xfId="37720" xr:uid="{00000000-0005-0000-0000-00004B930000}"/>
    <cellStyle name="Normal 2 20 2 2 3" xfId="37721" xr:uid="{00000000-0005-0000-0000-00004C930000}"/>
    <cellStyle name="Normal 2 20 2 3" xfId="37722" xr:uid="{00000000-0005-0000-0000-00004D930000}"/>
    <cellStyle name="Normal 2 20 2 3 2" xfId="37723" xr:uid="{00000000-0005-0000-0000-00004E930000}"/>
    <cellStyle name="Normal 2 20 2 3 3" xfId="37724" xr:uid="{00000000-0005-0000-0000-00004F930000}"/>
    <cellStyle name="Normal 2 20 2 4" xfId="37725" xr:uid="{00000000-0005-0000-0000-000050930000}"/>
    <cellStyle name="Normal 2 20 2 4 2" xfId="37726" xr:uid="{00000000-0005-0000-0000-000051930000}"/>
    <cellStyle name="Normal 2 20 2 4 3" xfId="37727" xr:uid="{00000000-0005-0000-0000-000052930000}"/>
    <cellStyle name="Normal 2 20 2 5" xfId="37728" xr:uid="{00000000-0005-0000-0000-000053930000}"/>
    <cellStyle name="Normal 2 20 2 5 2" xfId="37729" xr:uid="{00000000-0005-0000-0000-000054930000}"/>
    <cellStyle name="Normal 2 20 2 5 3" xfId="37730" xr:uid="{00000000-0005-0000-0000-000055930000}"/>
    <cellStyle name="Normal 2 20 2 6" xfId="37731" xr:uid="{00000000-0005-0000-0000-000056930000}"/>
    <cellStyle name="Normal 2 20 2 6 2" xfId="37732" xr:uid="{00000000-0005-0000-0000-000057930000}"/>
    <cellStyle name="Normal 2 20 2 6 3" xfId="37733" xr:uid="{00000000-0005-0000-0000-000058930000}"/>
    <cellStyle name="Normal 2 20 2 7" xfId="37734" xr:uid="{00000000-0005-0000-0000-000059930000}"/>
    <cellStyle name="Normal 2 20 2 7 2" xfId="37735" xr:uid="{00000000-0005-0000-0000-00005A930000}"/>
    <cellStyle name="Normal 2 20 2 7 3" xfId="37736" xr:uid="{00000000-0005-0000-0000-00005B930000}"/>
    <cellStyle name="Normal 2 20 2 8" xfId="37737" xr:uid="{00000000-0005-0000-0000-00005C930000}"/>
    <cellStyle name="Normal 2 20 2 9" xfId="37738" xr:uid="{00000000-0005-0000-0000-00005D930000}"/>
    <cellStyle name="Normal 2 20 20" xfId="37739" xr:uid="{00000000-0005-0000-0000-00005E930000}"/>
    <cellStyle name="Normal 2 20 21" xfId="37740" xr:uid="{00000000-0005-0000-0000-00005F930000}"/>
    <cellStyle name="Normal 2 20 22" xfId="37741" xr:uid="{00000000-0005-0000-0000-000060930000}"/>
    <cellStyle name="Normal 2 20 23" xfId="37742" xr:uid="{00000000-0005-0000-0000-000061930000}"/>
    <cellStyle name="Normal 2 20 24" xfId="37743" xr:uid="{00000000-0005-0000-0000-000062930000}"/>
    <cellStyle name="Normal 2 20 25" xfId="37744" xr:uid="{00000000-0005-0000-0000-000063930000}"/>
    <cellStyle name="Normal 2 20 26" xfId="37745" xr:uid="{00000000-0005-0000-0000-000064930000}"/>
    <cellStyle name="Normal 2 20 27" xfId="37746" xr:uid="{00000000-0005-0000-0000-000065930000}"/>
    <cellStyle name="Normal 2 20 28" xfId="37747" xr:uid="{00000000-0005-0000-0000-000066930000}"/>
    <cellStyle name="Normal 2 20 29" xfId="37748" xr:uid="{00000000-0005-0000-0000-000067930000}"/>
    <cellStyle name="Normal 2 20 29 2" xfId="37749" xr:uid="{00000000-0005-0000-0000-000068930000}"/>
    <cellStyle name="Normal 2 20 29 3" xfId="37750" xr:uid="{00000000-0005-0000-0000-000069930000}"/>
    <cellStyle name="Normal 2 20 3" xfId="37751" xr:uid="{00000000-0005-0000-0000-00006A930000}"/>
    <cellStyle name="Normal 2 20 3 10" xfId="37752" xr:uid="{00000000-0005-0000-0000-00006B930000}"/>
    <cellStyle name="Normal 2 20 3 11" xfId="37753" xr:uid="{00000000-0005-0000-0000-00006C930000}"/>
    <cellStyle name="Normal 2 20 3 12" xfId="37754" xr:uid="{00000000-0005-0000-0000-00006D930000}"/>
    <cellStyle name="Normal 2 20 3 13" xfId="37755" xr:uid="{00000000-0005-0000-0000-00006E930000}"/>
    <cellStyle name="Normal 2 20 3 14" xfId="37756" xr:uid="{00000000-0005-0000-0000-00006F930000}"/>
    <cellStyle name="Normal 2 20 3 15" xfId="37757" xr:uid="{00000000-0005-0000-0000-000070930000}"/>
    <cellStyle name="Normal 2 20 3 2" xfId="37758" xr:uid="{00000000-0005-0000-0000-000071930000}"/>
    <cellStyle name="Normal 2 20 3 3" xfId="37759" xr:uid="{00000000-0005-0000-0000-000072930000}"/>
    <cellStyle name="Normal 2 20 3 4" xfId="37760" xr:uid="{00000000-0005-0000-0000-000073930000}"/>
    <cellStyle name="Normal 2 20 3 5" xfId="37761" xr:uid="{00000000-0005-0000-0000-000074930000}"/>
    <cellStyle name="Normal 2 20 3 6" xfId="37762" xr:uid="{00000000-0005-0000-0000-000075930000}"/>
    <cellStyle name="Normal 2 20 3 7" xfId="37763" xr:uid="{00000000-0005-0000-0000-000076930000}"/>
    <cellStyle name="Normal 2 20 3 8" xfId="37764" xr:uid="{00000000-0005-0000-0000-000077930000}"/>
    <cellStyle name="Normal 2 20 3 9" xfId="37765" xr:uid="{00000000-0005-0000-0000-000078930000}"/>
    <cellStyle name="Normal 2 20 30" xfId="37766" xr:uid="{00000000-0005-0000-0000-000079930000}"/>
    <cellStyle name="Normal 2 20 31" xfId="37767" xr:uid="{00000000-0005-0000-0000-00007A930000}"/>
    <cellStyle name="Normal 2 20 32" xfId="37768" xr:uid="{00000000-0005-0000-0000-00007B930000}"/>
    <cellStyle name="Normal 2 20 33" xfId="37769" xr:uid="{00000000-0005-0000-0000-00007C930000}"/>
    <cellStyle name="Normal 2 20 34" xfId="37770" xr:uid="{00000000-0005-0000-0000-00007D930000}"/>
    <cellStyle name="Normal 2 20 35" xfId="37771" xr:uid="{00000000-0005-0000-0000-00007E930000}"/>
    <cellStyle name="Normal 2 20 36" xfId="37772" xr:uid="{00000000-0005-0000-0000-00007F930000}"/>
    <cellStyle name="Normal 2 20 4" xfId="37773" xr:uid="{00000000-0005-0000-0000-000080930000}"/>
    <cellStyle name="Normal 2 20 4 10" xfId="37774" xr:uid="{00000000-0005-0000-0000-000081930000}"/>
    <cellStyle name="Normal 2 20 4 11" xfId="37775" xr:uid="{00000000-0005-0000-0000-000082930000}"/>
    <cellStyle name="Normal 2 20 4 12" xfId="37776" xr:uid="{00000000-0005-0000-0000-000083930000}"/>
    <cellStyle name="Normal 2 20 4 13" xfId="37777" xr:uid="{00000000-0005-0000-0000-000084930000}"/>
    <cellStyle name="Normal 2 20 4 14" xfId="37778" xr:uid="{00000000-0005-0000-0000-000085930000}"/>
    <cellStyle name="Normal 2 20 4 15" xfId="37779" xr:uid="{00000000-0005-0000-0000-000086930000}"/>
    <cellStyle name="Normal 2 20 4 2" xfId="37780" xr:uid="{00000000-0005-0000-0000-000087930000}"/>
    <cellStyle name="Normal 2 20 4 3" xfId="37781" xr:uid="{00000000-0005-0000-0000-000088930000}"/>
    <cellStyle name="Normal 2 20 4 4" xfId="37782" xr:uid="{00000000-0005-0000-0000-000089930000}"/>
    <cellStyle name="Normal 2 20 4 5" xfId="37783" xr:uid="{00000000-0005-0000-0000-00008A930000}"/>
    <cellStyle name="Normal 2 20 4 6" xfId="37784" xr:uid="{00000000-0005-0000-0000-00008B930000}"/>
    <cellStyle name="Normal 2 20 4 7" xfId="37785" xr:uid="{00000000-0005-0000-0000-00008C930000}"/>
    <cellStyle name="Normal 2 20 4 8" xfId="37786" xr:uid="{00000000-0005-0000-0000-00008D930000}"/>
    <cellStyle name="Normal 2 20 4 9" xfId="37787" xr:uid="{00000000-0005-0000-0000-00008E930000}"/>
    <cellStyle name="Normal 2 20 5" xfId="37788" xr:uid="{00000000-0005-0000-0000-00008F930000}"/>
    <cellStyle name="Normal 2 20 5 10" xfId="37789" xr:uid="{00000000-0005-0000-0000-000090930000}"/>
    <cellStyle name="Normal 2 20 5 11" xfId="37790" xr:uid="{00000000-0005-0000-0000-000091930000}"/>
    <cellStyle name="Normal 2 20 5 12" xfId="37791" xr:uid="{00000000-0005-0000-0000-000092930000}"/>
    <cellStyle name="Normal 2 20 5 13" xfId="37792" xr:uid="{00000000-0005-0000-0000-000093930000}"/>
    <cellStyle name="Normal 2 20 5 14" xfId="37793" xr:uid="{00000000-0005-0000-0000-000094930000}"/>
    <cellStyle name="Normal 2 20 5 15" xfId="37794" xr:uid="{00000000-0005-0000-0000-000095930000}"/>
    <cellStyle name="Normal 2 20 5 2" xfId="37795" xr:uid="{00000000-0005-0000-0000-000096930000}"/>
    <cellStyle name="Normal 2 20 5 3" xfId="37796" xr:uid="{00000000-0005-0000-0000-000097930000}"/>
    <cellStyle name="Normal 2 20 5 4" xfId="37797" xr:uid="{00000000-0005-0000-0000-000098930000}"/>
    <cellStyle name="Normal 2 20 5 5" xfId="37798" xr:uid="{00000000-0005-0000-0000-000099930000}"/>
    <cellStyle name="Normal 2 20 5 6" xfId="37799" xr:uid="{00000000-0005-0000-0000-00009A930000}"/>
    <cellStyle name="Normal 2 20 5 7" xfId="37800" xr:uid="{00000000-0005-0000-0000-00009B930000}"/>
    <cellStyle name="Normal 2 20 5 8" xfId="37801" xr:uid="{00000000-0005-0000-0000-00009C930000}"/>
    <cellStyle name="Normal 2 20 5 9" xfId="37802" xr:uid="{00000000-0005-0000-0000-00009D930000}"/>
    <cellStyle name="Normal 2 20 6" xfId="37803" xr:uid="{00000000-0005-0000-0000-00009E930000}"/>
    <cellStyle name="Normal 2 20 6 10" xfId="37804" xr:uid="{00000000-0005-0000-0000-00009F930000}"/>
    <cellStyle name="Normal 2 20 6 11" xfId="37805" xr:uid="{00000000-0005-0000-0000-0000A0930000}"/>
    <cellStyle name="Normal 2 20 6 12" xfId="37806" xr:uid="{00000000-0005-0000-0000-0000A1930000}"/>
    <cellStyle name="Normal 2 20 6 13" xfId="37807" xr:uid="{00000000-0005-0000-0000-0000A2930000}"/>
    <cellStyle name="Normal 2 20 6 14" xfId="37808" xr:uid="{00000000-0005-0000-0000-0000A3930000}"/>
    <cellStyle name="Normal 2 20 6 15" xfId="37809" xr:uid="{00000000-0005-0000-0000-0000A4930000}"/>
    <cellStyle name="Normal 2 20 6 2" xfId="37810" xr:uid="{00000000-0005-0000-0000-0000A5930000}"/>
    <cellStyle name="Normal 2 20 6 3" xfId="37811" xr:uid="{00000000-0005-0000-0000-0000A6930000}"/>
    <cellStyle name="Normal 2 20 6 4" xfId="37812" xr:uid="{00000000-0005-0000-0000-0000A7930000}"/>
    <cellStyle name="Normal 2 20 6 5" xfId="37813" xr:uid="{00000000-0005-0000-0000-0000A8930000}"/>
    <cellStyle name="Normal 2 20 6 6" xfId="37814" xr:uid="{00000000-0005-0000-0000-0000A9930000}"/>
    <cellStyle name="Normal 2 20 6 7" xfId="37815" xr:uid="{00000000-0005-0000-0000-0000AA930000}"/>
    <cellStyle name="Normal 2 20 6 8" xfId="37816" xr:uid="{00000000-0005-0000-0000-0000AB930000}"/>
    <cellStyle name="Normal 2 20 6 9" xfId="37817" xr:uid="{00000000-0005-0000-0000-0000AC930000}"/>
    <cellStyle name="Normal 2 20 7" xfId="37818" xr:uid="{00000000-0005-0000-0000-0000AD930000}"/>
    <cellStyle name="Normal 2 20 7 10" xfId="37819" xr:uid="{00000000-0005-0000-0000-0000AE930000}"/>
    <cellStyle name="Normal 2 20 7 11" xfId="37820" xr:uid="{00000000-0005-0000-0000-0000AF930000}"/>
    <cellStyle name="Normal 2 20 7 12" xfId="37821" xr:uid="{00000000-0005-0000-0000-0000B0930000}"/>
    <cellStyle name="Normal 2 20 7 13" xfId="37822" xr:uid="{00000000-0005-0000-0000-0000B1930000}"/>
    <cellStyle name="Normal 2 20 7 14" xfId="37823" xr:uid="{00000000-0005-0000-0000-0000B2930000}"/>
    <cellStyle name="Normal 2 20 7 15" xfId="37824" xr:uid="{00000000-0005-0000-0000-0000B3930000}"/>
    <cellStyle name="Normal 2 20 7 2" xfId="37825" xr:uid="{00000000-0005-0000-0000-0000B4930000}"/>
    <cellStyle name="Normal 2 20 7 3" xfId="37826" xr:uid="{00000000-0005-0000-0000-0000B5930000}"/>
    <cellStyle name="Normal 2 20 7 4" xfId="37827" xr:uid="{00000000-0005-0000-0000-0000B6930000}"/>
    <cellStyle name="Normal 2 20 7 5" xfId="37828" xr:uid="{00000000-0005-0000-0000-0000B7930000}"/>
    <cellStyle name="Normal 2 20 7 6" xfId="37829" xr:uid="{00000000-0005-0000-0000-0000B8930000}"/>
    <cellStyle name="Normal 2 20 7 7" xfId="37830" xr:uid="{00000000-0005-0000-0000-0000B9930000}"/>
    <cellStyle name="Normal 2 20 7 8" xfId="37831" xr:uid="{00000000-0005-0000-0000-0000BA930000}"/>
    <cellStyle name="Normal 2 20 7 9" xfId="37832" xr:uid="{00000000-0005-0000-0000-0000BB930000}"/>
    <cellStyle name="Normal 2 20 8" xfId="37833" xr:uid="{00000000-0005-0000-0000-0000BC930000}"/>
    <cellStyle name="Normal 2 20 8 10" xfId="37834" xr:uid="{00000000-0005-0000-0000-0000BD930000}"/>
    <cellStyle name="Normal 2 20 8 11" xfId="37835" xr:uid="{00000000-0005-0000-0000-0000BE930000}"/>
    <cellStyle name="Normal 2 20 8 12" xfId="37836" xr:uid="{00000000-0005-0000-0000-0000BF930000}"/>
    <cellStyle name="Normal 2 20 8 13" xfId="37837" xr:uid="{00000000-0005-0000-0000-0000C0930000}"/>
    <cellStyle name="Normal 2 20 8 14" xfId="37838" xr:uid="{00000000-0005-0000-0000-0000C1930000}"/>
    <cellStyle name="Normal 2 20 8 15" xfId="37839" xr:uid="{00000000-0005-0000-0000-0000C2930000}"/>
    <cellStyle name="Normal 2 20 8 2" xfId="37840" xr:uid="{00000000-0005-0000-0000-0000C3930000}"/>
    <cellStyle name="Normal 2 20 8 3" xfId="37841" xr:uid="{00000000-0005-0000-0000-0000C4930000}"/>
    <cellStyle name="Normal 2 20 8 4" xfId="37842" xr:uid="{00000000-0005-0000-0000-0000C5930000}"/>
    <cellStyle name="Normal 2 20 8 5" xfId="37843" xr:uid="{00000000-0005-0000-0000-0000C6930000}"/>
    <cellStyle name="Normal 2 20 8 6" xfId="37844" xr:uid="{00000000-0005-0000-0000-0000C7930000}"/>
    <cellStyle name="Normal 2 20 8 7" xfId="37845" xr:uid="{00000000-0005-0000-0000-0000C8930000}"/>
    <cellStyle name="Normal 2 20 8 8" xfId="37846" xr:uid="{00000000-0005-0000-0000-0000C9930000}"/>
    <cellStyle name="Normal 2 20 8 9" xfId="37847" xr:uid="{00000000-0005-0000-0000-0000CA930000}"/>
    <cellStyle name="Normal 2 20 9" xfId="37848" xr:uid="{00000000-0005-0000-0000-0000CB930000}"/>
    <cellStyle name="Normal 2 20 9 10" xfId="37849" xr:uid="{00000000-0005-0000-0000-0000CC930000}"/>
    <cellStyle name="Normal 2 20 9 11" xfId="37850" xr:uid="{00000000-0005-0000-0000-0000CD930000}"/>
    <cellStyle name="Normal 2 20 9 12" xfId="37851" xr:uid="{00000000-0005-0000-0000-0000CE930000}"/>
    <cellStyle name="Normal 2 20 9 13" xfId="37852" xr:uid="{00000000-0005-0000-0000-0000CF930000}"/>
    <cellStyle name="Normal 2 20 9 14" xfId="37853" xr:uid="{00000000-0005-0000-0000-0000D0930000}"/>
    <cellStyle name="Normal 2 20 9 15" xfId="37854" xr:uid="{00000000-0005-0000-0000-0000D1930000}"/>
    <cellStyle name="Normal 2 20 9 2" xfId="37855" xr:uid="{00000000-0005-0000-0000-0000D2930000}"/>
    <cellStyle name="Normal 2 20 9 3" xfId="37856" xr:uid="{00000000-0005-0000-0000-0000D3930000}"/>
    <cellStyle name="Normal 2 20 9 4" xfId="37857" xr:uid="{00000000-0005-0000-0000-0000D4930000}"/>
    <cellStyle name="Normal 2 20 9 5" xfId="37858" xr:uid="{00000000-0005-0000-0000-0000D5930000}"/>
    <cellStyle name="Normal 2 20 9 6" xfId="37859" xr:uid="{00000000-0005-0000-0000-0000D6930000}"/>
    <cellStyle name="Normal 2 20 9 7" xfId="37860" xr:uid="{00000000-0005-0000-0000-0000D7930000}"/>
    <cellStyle name="Normal 2 20 9 8" xfId="37861" xr:uid="{00000000-0005-0000-0000-0000D8930000}"/>
    <cellStyle name="Normal 2 20 9 9" xfId="37862" xr:uid="{00000000-0005-0000-0000-0000D9930000}"/>
    <cellStyle name="Normal 2 21" xfId="37863" xr:uid="{00000000-0005-0000-0000-0000DA930000}"/>
    <cellStyle name="Normal 2 21 10" xfId="37864" xr:uid="{00000000-0005-0000-0000-0000DB930000}"/>
    <cellStyle name="Normal 2 21 11" xfId="37865" xr:uid="{00000000-0005-0000-0000-0000DC930000}"/>
    <cellStyle name="Normal 2 21 12" xfId="37866" xr:uid="{00000000-0005-0000-0000-0000DD930000}"/>
    <cellStyle name="Normal 2 21 13" xfId="37867" xr:uid="{00000000-0005-0000-0000-0000DE930000}"/>
    <cellStyle name="Normal 2 21 14" xfId="37868" xr:uid="{00000000-0005-0000-0000-0000DF930000}"/>
    <cellStyle name="Normal 2 21 15" xfId="37869" xr:uid="{00000000-0005-0000-0000-0000E0930000}"/>
    <cellStyle name="Normal 2 21 16" xfId="37870" xr:uid="{00000000-0005-0000-0000-0000E1930000}"/>
    <cellStyle name="Normal 2 21 17" xfId="37871" xr:uid="{00000000-0005-0000-0000-0000E2930000}"/>
    <cellStyle name="Normal 2 21 18" xfId="37872" xr:uid="{00000000-0005-0000-0000-0000E3930000}"/>
    <cellStyle name="Normal 2 21 19" xfId="37873" xr:uid="{00000000-0005-0000-0000-0000E4930000}"/>
    <cellStyle name="Normal 2 21 2" xfId="37874" xr:uid="{00000000-0005-0000-0000-0000E5930000}"/>
    <cellStyle name="Normal 2 21 2 10" xfId="37875" xr:uid="{00000000-0005-0000-0000-0000E6930000}"/>
    <cellStyle name="Normal 2 21 2 11" xfId="37876" xr:uid="{00000000-0005-0000-0000-0000E7930000}"/>
    <cellStyle name="Normal 2 21 2 12" xfId="37877" xr:uid="{00000000-0005-0000-0000-0000E8930000}"/>
    <cellStyle name="Normal 2 21 2 13" xfId="37878" xr:uid="{00000000-0005-0000-0000-0000E9930000}"/>
    <cellStyle name="Normal 2 21 2 14" xfId="37879" xr:uid="{00000000-0005-0000-0000-0000EA930000}"/>
    <cellStyle name="Normal 2 21 2 15" xfId="37880" xr:uid="{00000000-0005-0000-0000-0000EB930000}"/>
    <cellStyle name="Normal 2 21 2 16" xfId="37881" xr:uid="{00000000-0005-0000-0000-0000EC930000}"/>
    <cellStyle name="Normal 2 21 2 17" xfId="37882" xr:uid="{00000000-0005-0000-0000-0000ED930000}"/>
    <cellStyle name="Normal 2 21 2 2" xfId="37883" xr:uid="{00000000-0005-0000-0000-0000EE930000}"/>
    <cellStyle name="Normal 2 21 2 2 2" xfId="37884" xr:uid="{00000000-0005-0000-0000-0000EF930000}"/>
    <cellStyle name="Normal 2 21 2 2 3" xfId="37885" xr:uid="{00000000-0005-0000-0000-0000F0930000}"/>
    <cellStyle name="Normal 2 21 2 3" xfId="37886" xr:uid="{00000000-0005-0000-0000-0000F1930000}"/>
    <cellStyle name="Normal 2 21 2 3 2" xfId="37887" xr:uid="{00000000-0005-0000-0000-0000F2930000}"/>
    <cellStyle name="Normal 2 21 2 3 3" xfId="37888" xr:uid="{00000000-0005-0000-0000-0000F3930000}"/>
    <cellStyle name="Normal 2 21 2 4" xfId="37889" xr:uid="{00000000-0005-0000-0000-0000F4930000}"/>
    <cellStyle name="Normal 2 21 2 4 2" xfId="37890" xr:uid="{00000000-0005-0000-0000-0000F5930000}"/>
    <cellStyle name="Normal 2 21 2 4 3" xfId="37891" xr:uid="{00000000-0005-0000-0000-0000F6930000}"/>
    <cellStyle name="Normal 2 21 2 5" xfId="37892" xr:uid="{00000000-0005-0000-0000-0000F7930000}"/>
    <cellStyle name="Normal 2 21 2 5 2" xfId="37893" xr:uid="{00000000-0005-0000-0000-0000F8930000}"/>
    <cellStyle name="Normal 2 21 2 5 3" xfId="37894" xr:uid="{00000000-0005-0000-0000-0000F9930000}"/>
    <cellStyle name="Normal 2 21 2 6" xfId="37895" xr:uid="{00000000-0005-0000-0000-0000FA930000}"/>
    <cellStyle name="Normal 2 21 2 6 2" xfId="37896" xr:uid="{00000000-0005-0000-0000-0000FB930000}"/>
    <cellStyle name="Normal 2 21 2 6 3" xfId="37897" xr:uid="{00000000-0005-0000-0000-0000FC930000}"/>
    <cellStyle name="Normal 2 21 2 7" xfId="37898" xr:uid="{00000000-0005-0000-0000-0000FD930000}"/>
    <cellStyle name="Normal 2 21 2 7 2" xfId="37899" xr:uid="{00000000-0005-0000-0000-0000FE930000}"/>
    <cellStyle name="Normal 2 21 2 7 3" xfId="37900" xr:uid="{00000000-0005-0000-0000-0000FF930000}"/>
    <cellStyle name="Normal 2 21 2 8" xfId="37901" xr:uid="{00000000-0005-0000-0000-000000940000}"/>
    <cellStyle name="Normal 2 21 2 9" xfId="37902" xr:uid="{00000000-0005-0000-0000-000001940000}"/>
    <cellStyle name="Normal 2 21 20" xfId="37903" xr:uid="{00000000-0005-0000-0000-000002940000}"/>
    <cellStyle name="Normal 2 21 21" xfId="37904" xr:uid="{00000000-0005-0000-0000-000003940000}"/>
    <cellStyle name="Normal 2 21 22" xfId="37905" xr:uid="{00000000-0005-0000-0000-000004940000}"/>
    <cellStyle name="Normal 2 21 23" xfId="37906" xr:uid="{00000000-0005-0000-0000-000005940000}"/>
    <cellStyle name="Normal 2 21 24" xfId="37907" xr:uid="{00000000-0005-0000-0000-000006940000}"/>
    <cellStyle name="Normal 2 21 25" xfId="37908" xr:uid="{00000000-0005-0000-0000-000007940000}"/>
    <cellStyle name="Normal 2 21 26" xfId="37909" xr:uid="{00000000-0005-0000-0000-000008940000}"/>
    <cellStyle name="Normal 2 21 27" xfId="37910" xr:uid="{00000000-0005-0000-0000-000009940000}"/>
    <cellStyle name="Normal 2 21 28" xfId="37911" xr:uid="{00000000-0005-0000-0000-00000A940000}"/>
    <cellStyle name="Normal 2 21 29" xfId="37912" xr:uid="{00000000-0005-0000-0000-00000B940000}"/>
    <cellStyle name="Normal 2 21 29 2" xfId="37913" xr:uid="{00000000-0005-0000-0000-00000C940000}"/>
    <cellStyle name="Normal 2 21 29 3" xfId="37914" xr:uid="{00000000-0005-0000-0000-00000D940000}"/>
    <cellStyle name="Normal 2 21 3" xfId="37915" xr:uid="{00000000-0005-0000-0000-00000E940000}"/>
    <cellStyle name="Normal 2 21 3 10" xfId="37916" xr:uid="{00000000-0005-0000-0000-00000F940000}"/>
    <cellStyle name="Normal 2 21 3 11" xfId="37917" xr:uid="{00000000-0005-0000-0000-000010940000}"/>
    <cellStyle name="Normal 2 21 3 12" xfId="37918" xr:uid="{00000000-0005-0000-0000-000011940000}"/>
    <cellStyle name="Normal 2 21 3 13" xfId="37919" xr:uid="{00000000-0005-0000-0000-000012940000}"/>
    <cellStyle name="Normal 2 21 3 14" xfId="37920" xr:uid="{00000000-0005-0000-0000-000013940000}"/>
    <cellStyle name="Normal 2 21 3 15" xfId="37921" xr:uid="{00000000-0005-0000-0000-000014940000}"/>
    <cellStyle name="Normal 2 21 3 2" xfId="37922" xr:uid="{00000000-0005-0000-0000-000015940000}"/>
    <cellStyle name="Normal 2 21 3 3" xfId="37923" xr:uid="{00000000-0005-0000-0000-000016940000}"/>
    <cellStyle name="Normal 2 21 3 4" xfId="37924" xr:uid="{00000000-0005-0000-0000-000017940000}"/>
    <cellStyle name="Normal 2 21 3 5" xfId="37925" xr:uid="{00000000-0005-0000-0000-000018940000}"/>
    <cellStyle name="Normal 2 21 3 6" xfId="37926" xr:uid="{00000000-0005-0000-0000-000019940000}"/>
    <cellStyle name="Normal 2 21 3 7" xfId="37927" xr:uid="{00000000-0005-0000-0000-00001A940000}"/>
    <cellStyle name="Normal 2 21 3 8" xfId="37928" xr:uid="{00000000-0005-0000-0000-00001B940000}"/>
    <cellStyle name="Normal 2 21 3 9" xfId="37929" xr:uid="{00000000-0005-0000-0000-00001C940000}"/>
    <cellStyle name="Normal 2 21 30" xfId="37930" xr:uid="{00000000-0005-0000-0000-00001D940000}"/>
    <cellStyle name="Normal 2 21 31" xfId="37931" xr:uid="{00000000-0005-0000-0000-00001E940000}"/>
    <cellStyle name="Normal 2 21 32" xfId="37932" xr:uid="{00000000-0005-0000-0000-00001F940000}"/>
    <cellStyle name="Normal 2 21 33" xfId="37933" xr:uid="{00000000-0005-0000-0000-000020940000}"/>
    <cellStyle name="Normal 2 21 34" xfId="37934" xr:uid="{00000000-0005-0000-0000-000021940000}"/>
    <cellStyle name="Normal 2 21 35" xfId="37935" xr:uid="{00000000-0005-0000-0000-000022940000}"/>
    <cellStyle name="Normal 2 21 36" xfId="37936" xr:uid="{00000000-0005-0000-0000-000023940000}"/>
    <cellStyle name="Normal 2 21 4" xfId="37937" xr:uid="{00000000-0005-0000-0000-000024940000}"/>
    <cellStyle name="Normal 2 21 4 10" xfId="37938" xr:uid="{00000000-0005-0000-0000-000025940000}"/>
    <cellStyle name="Normal 2 21 4 11" xfId="37939" xr:uid="{00000000-0005-0000-0000-000026940000}"/>
    <cellStyle name="Normal 2 21 4 12" xfId="37940" xr:uid="{00000000-0005-0000-0000-000027940000}"/>
    <cellStyle name="Normal 2 21 4 13" xfId="37941" xr:uid="{00000000-0005-0000-0000-000028940000}"/>
    <cellStyle name="Normal 2 21 4 14" xfId="37942" xr:uid="{00000000-0005-0000-0000-000029940000}"/>
    <cellStyle name="Normal 2 21 4 15" xfId="37943" xr:uid="{00000000-0005-0000-0000-00002A940000}"/>
    <cellStyle name="Normal 2 21 4 2" xfId="37944" xr:uid="{00000000-0005-0000-0000-00002B940000}"/>
    <cellStyle name="Normal 2 21 4 3" xfId="37945" xr:uid="{00000000-0005-0000-0000-00002C940000}"/>
    <cellStyle name="Normal 2 21 4 4" xfId="37946" xr:uid="{00000000-0005-0000-0000-00002D940000}"/>
    <cellStyle name="Normal 2 21 4 5" xfId="37947" xr:uid="{00000000-0005-0000-0000-00002E940000}"/>
    <cellStyle name="Normal 2 21 4 6" xfId="37948" xr:uid="{00000000-0005-0000-0000-00002F940000}"/>
    <cellStyle name="Normal 2 21 4 7" xfId="37949" xr:uid="{00000000-0005-0000-0000-000030940000}"/>
    <cellStyle name="Normal 2 21 4 8" xfId="37950" xr:uid="{00000000-0005-0000-0000-000031940000}"/>
    <cellStyle name="Normal 2 21 4 9" xfId="37951" xr:uid="{00000000-0005-0000-0000-000032940000}"/>
    <cellStyle name="Normal 2 21 5" xfId="37952" xr:uid="{00000000-0005-0000-0000-000033940000}"/>
    <cellStyle name="Normal 2 21 5 10" xfId="37953" xr:uid="{00000000-0005-0000-0000-000034940000}"/>
    <cellStyle name="Normal 2 21 5 11" xfId="37954" xr:uid="{00000000-0005-0000-0000-000035940000}"/>
    <cellStyle name="Normal 2 21 5 12" xfId="37955" xr:uid="{00000000-0005-0000-0000-000036940000}"/>
    <cellStyle name="Normal 2 21 5 13" xfId="37956" xr:uid="{00000000-0005-0000-0000-000037940000}"/>
    <cellStyle name="Normal 2 21 5 14" xfId="37957" xr:uid="{00000000-0005-0000-0000-000038940000}"/>
    <cellStyle name="Normal 2 21 5 15" xfId="37958" xr:uid="{00000000-0005-0000-0000-000039940000}"/>
    <cellStyle name="Normal 2 21 5 2" xfId="37959" xr:uid="{00000000-0005-0000-0000-00003A940000}"/>
    <cellStyle name="Normal 2 21 5 3" xfId="37960" xr:uid="{00000000-0005-0000-0000-00003B940000}"/>
    <cellStyle name="Normal 2 21 5 4" xfId="37961" xr:uid="{00000000-0005-0000-0000-00003C940000}"/>
    <cellStyle name="Normal 2 21 5 5" xfId="37962" xr:uid="{00000000-0005-0000-0000-00003D940000}"/>
    <cellStyle name="Normal 2 21 5 6" xfId="37963" xr:uid="{00000000-0005-0000-0000-00003E940000}"/>
    <cellStyle name="Normal 2 21 5 7" xfId="37964" xr:uid="{00000000-0005-0000-0000-00003F940000}"/>
    <cellStyle name="Normal 2 21 5 8" xfId="37965" xr:uid="{00000000-0005-0000-0000-000040940000}"/>
    <cellStyle name="Normal 2 21 5 9" xfId="37966" xr:uid="{00000000-0005-0000-0000-000041940000}"/>
    <cellStyle name="Normal 2 21 6" xfId="37967" xr:uid="{00000000-0005-0000-0000-000042940000}"/>
    <cellStyle name="Normal 2 21 6 10" xfId="37968" xr:uid="{00000000-0005-0000-0000-000043940000}"/>
    <cellStyle name="Normal 2 21 6 11" xfId="37969" xr:uid="{00000000-0005-0000-0000-000044940000}"/>
    <cellStyle name="Normal 2 21 6 12" xfId="37970" xr:uid="{00000000-0005-0000-0000-000045940000}"/>
    <cellStyle name="Normal 2 21 6 13" xfId="37971" xr:uid="{00000000-0005-0000-0000-000046940000}"/>
    <cellStyle name="Normal 2 21 6 14" xfId="37972" xr:uid="{00000000-0005-0000-0000-000047940000}"/>
    <cellStyle name="Normal 2 21 6 15" xfId="37973" xr:uid="{00000000-0005-0000-0000-000048940000}"/>
    <cellStyle name="Normal 2 21 6 2" xfId="37974" xr:uid="{00000000-0005-0000-0000-000049940000}"/>
    <cellStyle name="Normal 2 21 6 3" xfId="37975" xr:uid="{00000000-0005-0000-0000-00004A940000}"/>
    <cellStyle name="Normal 2 21 6 4" xfId="37976" xr:uid="{00000000-0005-0000-0000-00004B940000}"/>
    <cellStyle name="Normal 2 21 6 5" xfId="37977" xr:uid="{00000000-0005-0000-0000-00004C940000}"/>
    <cellStyle name="Normal 2 21 6 6" xfId="37978" xr:uid="{00000000-0005-0000-0000-00004D940000}"/>
    <cellStyle name="Normal 2 21 6 7" xfId="37979" xr:uid="{00000000-0005-0000-0000-00004E940000}"/>
    <cellStyle name="Normal 2 21 6 8" xfId="37980" xr:uid="{00000000-0005-0000-0000-00004F940000}"/>
    <cellStyle name="Normal 2 21 6 9" xfId="37981" xr:uid="{00000000-0005-0000-0000-000050940000}"/>
    <cellStyle name="Normal 2 21 7" xfId="37982" xr:uid="{00000000-0005-0000-0000-000051940000}"/>
    <cellStyle name="Normal 2 21 7 10" xfId="37983" xr:uid="{00000000-0005-0000-0000-000052940000}"/>
    <cellStyle name="Normal 2 21 7 11" xfId="37984" xr:uid="{00000000-0005-0000-0000-000053940000}"/>
    <cellStyle name="Normal 2 21 7 12" xfId="37985" xr:uid="{00000000-0005-0000-0000-000054940000}"/>
    <cellStyle name="Normal 2 21 7 13" xfId="37986" xr:uid="{00000000-0005-0000-0000-000055940000}"/>
    <cellStyle name="Normal 2 21 7 14" xfId="37987" xr:uid="{00000000-0005-0000-0000-000056940000}"/>
    <cellStyle name="Normal 2 21 7 15" xfId="37988" xr:uid="{00000000-0005-0000-0000-000057940000}"/>
    <cellStyle name="Normal 2 21 7 2" xfId="37989" xr:uid="{00000000-0005-0000-0000-000058940000}"/>
    <cellStyle name="Normal 2 21 7 3" xfId="37990" xr:uid="{00000000-0005-0000-0000-000059940000}"/>
    <cellStyle name="Normal 2 21 7 4" xfId="37991" xr:uid="{00000000-0005-0000-0000-00005A940000}"/>
    <cellStyle name="Normal 2 21 7 5" xfId="37992" xr:uid="{00000000-0005-0000-0000-00005B940000}"/>
    <cellStyle name="Normal 2 21 7 6" xfId="37993" xr:uid="{00000000-0005-0000-0000-00005C940000}"/>
    <cellStyle name="Normal 2 21 7 7" xfId="37994" xr:uid="{00000000-0005-0000-0000-00005D940000}"/>
    <cellStyle name="Normal 2 21 7 8" xfId="37995" xr:uid="{00000000-0005-0000-0000-00005E940000}"/>
    <cellStyle name="Normal 2 21 7 9" xfId="37996" xr:uid="{00000000-0005-0000-0000-00005F940000}"/>
    <cellStyle name="Normal 2 21 8" xfId="37997" xr:uid="{00000000-0005-0000-0000-000060940000}"/>
    <cellStyle name="Normal 2 21 8 10" xfId="37998" xr:uid="{00000000-0005-0000-0000-000061940000}"/>
    <cellStyle name="Normal 2 21 8 11" xfId="37999" xr:uid="{00000000-0005-0000-0000-000062940000}"/>
    <cellStyle name="Normal 2 21 8 12" xfId="38000" xr:uid="{00000000-0005-0000-0000-000063940000}"/>
    <cellStyle name="Normal 2 21 8 13" xfId="38001" xr:uid="{00000000-0005-0000-0000-000064940000}"/>
    <cellStyle name="Normal 2 21 8 14" xfId="38002" xr:uid="{00000000-0005-0000-0000-000065940000}"/>
    <cellStyle name="Normal 2 21 8 15" xfId="38003" xr:uid="{00000000-0005-0000-0000-000066940000}"/>
    <cellStyle name="Normal 2 21 8 2" xfId="38004" xr:uid="{00000000-0005-0000-0000-000067940000}"/>
    <cellStyle name="Normal 2 21 8 3" xfId="38005" xr:uid="{00000000-0005-0000-0000-000068940000}"/>
    <cellStyle name="Normal 2 21 8 4" xfId="38006" xr:uid="{00000000-0005-0000-0000-000069940000}"/>
    <cellStyle name="Normal 2 21 8 5" xfId="38007" xr:uid="{00000000-0005-0000-0000-00006A940000}"/>
    <cellStyle name="Normal 2 21 8 6" xfId="38008" xr:uid="{00000000-0005-0000-0000-00006B940000}"/>
    <cellStyle name="Normal 2 21 8 7" xfId="38009" xr:uid="{00000000-0005-0000-0000-00006C940000}"/>
    <cellStyle name="Normal 2 21 8 8" xfId="38010" xr:uid="{00000000-0005-0000-0000-00006D940000}"/>
    <cellStyle name="Normal 2 21 8 9" xfId="38011" xr:uid="{00000000-0005-0000-0000-00006E940000}"/>
    <cellStyle name="Normal 2 21 9" xfId="38012" xr:uid="{00000000-0005-0000-0000-00006F940000}"/>
    <cellStyle name="Normal 2 21 9 10" xfId="38013" xr:uid="{00000000-0005-0000-0000-000070940000}"/>
    <cellStyle name="Normal 2 21 9 11" xfId="38014" xr:uid="{00000000-0005-0000-0000-000071940000}"/>
    <cellStyle name="Normal 2 21 9 12" xfId="38015" xr:uid="{00000000-0005-0000-0000-000072940000}"/>
    <cellStyle name="Normal 2 21 9 13" xfId="38016" xr:uid="{00000000-0005-0000-0000-000073940000}"/>
    <cellStyle name="Normal 2 21 9 14" xfId="38017" xr:uid="{00000000-0005-0000-0000-000074940000}"/>
    <cellStyle name="Normal 2 21 9 15" xfId="38018" xr:uid="{00000000-0005-0000-0000-000075940000}"/>
    <cellStyle name="Normal 2 21 9 2" xfId="38019" xr:uid="{00000000-0005-0000-0000-000076940000}"/>
    <cellStyle name="Normal 2 21 9 3" xfId="38020" xr:uid="{00000000-0005-0000-0000-000077940000}"/>
    <cellStyle name="Normal 2 21 9 4" xfId="38021" xr:uid="{00000000-0005-0000-0000-000078940000}"/>
    <cellStyle name="Normal 2 21 9 5" xfId="38022" xr:uid="{00000000-0005-0000-0000-000079940000}"/>
    <cellStyle name="Normal 2 21 9 6" xfId="38023" xr:uid="{00000000-0005-0000-0000-00007A940000}"/>
    <cellStyle name="Normal 2 21 9 7" xfId="38024" xr:uid="{00000000-0005-0000-0000-00007B940000}"/>
    <cellStyle name="Normal 2 21 9 8" xfId="38025" xr:uid="{00000000-0005-0000-0000-00007C940000}"/>
    <cellStyle name="Normal 2 21 9 9" xfId="38026" xr:uid="{00000000-0005-0000-0000-00007D940000}"/>
    <cellStyle name="Normal 2 22" xfId="38027" xr:uid="{00000000-0005-0000-0000-00007E940000}"/>
    <cellStyle name="Normal 2 22 10" xfId="38028" xr:uid="{00000000-0005-0000-0000-00007F940000}"/>
    <cellStyle name="Normal 2 22 11" xfId="38029" xr:uid="{00000000-0005-0000-0000-000080940000}"/>
    <cellStyle name="Normal 2 22 12" xfId="38030" xr:uid="{00000000-0005-0000-0000-000081940000}"/>
    <cellStyle name="Normal 2 22 13" xfId="38031" xr:uid="{00000000-0005-0000-0000-000082940000}"/>
    <cellStyle name="Normal 2 22 14" xfId="38032" xr:uid="{00000000-0005-0000-0000-000083940000}"/>
    <cellStyle name="Normal 2 22 15" xfId="38033" xr:uid="{00000000-0005-0000-0000-000084940000}"/>
    <cellStyle name="Normal 2 22 16" xfId="38034" xr:uid="{00000000-0005-0000-0000-000085940000}"/>
    <cellStyle name="Normal 2 22 17" xfId="38035" xr:uid="{00000000-0005-0000-0000-000086940000}"/>
    <cellStyle name="Normal 2 22 18" xfId="38036" xr:uid="{00000000-0005-0000-0000-000087940000}"/>
    <cellStyle name="Normal 2 22 19" xfId="38037" xr:uid="{00000000-0005-0000-0000-000088940000}"/>
    <cellStyle name="Normal 2 22 2" xfId="38038" xr:uid="{00000000-0005-0000-0000-000089940000}"/>
    <cellStyle name="Normal 2 22 2 10" xfId="38039" xr:uid="{00000000-0005-0000-0000-00008A940000}"/>
    <cellStyle name="Normal 2 22 2 11" xfId="38040" xr:uid="{00000000-0005-0000-0000-00008B940000}"/>
    <cellStyle name="Normal 2 22 2 12" xfId="38041" xr:uid="{00000000-0005-0000-0000-00008C940000}"/>
    <cellStyle name="Normal 2 22 2 13" xfId="38042" xr:uid="{00000000-0005-0000-0000-00008D940000}"/>
    <cellStyle name="Normal 2 22 2 14" xfId="38043" xr:uid="{00000000-0005-0000-0000-00008E940000}"/>
    <cellStyle name="Normal 2 22 2 15" xfId="38044" xr:uid="{00000000-0005-0000-0000-00008F940000}"/>
    <cellStyle name="Normal 2 22 2 16" xfId="38045" xr:uid="{00000000-0005-0000-0000-000090940000}"/>
    <cellStyle name="Normal 2 22 2 17" xfId="38046" xr:uid="{00000000-0005-0000-0000-000091940000}"/>
    <cellStyle name="Normal 2 22 2 2" xfId="38047" xr:uid="{00000000-0005-0000-0000-000092940000}"/>
    <cellStyle name="Normal 2 22 2 2 2" xfId="38048" xr:uid="{00000000-0005-0000-0000-000093940000}"/>
    <cellStyle name="Normal 2 22 2 2 3" xfId="38049" xr:uid="{00000000-0005-0000-0000-000094940000}"/>
    <cellStyle name="Normal 2 22 2 3" xfId="38050" xr:uid="{00000000-0005-0000-0000-000095940000}"/>
    <cellStyle name="Normal 2 22 2 3 2" xfId="38051" xr:uid="{00000000-0005-0000-0000-000096940000}"/>
    <cellStyle name="Normal 2 22 2 3 3" xfId="38052" xr:uid="{00000000-0005-0000-0000-000097940000}"/>
    <cellStyle name="Normal 2 22 2 4" xfId="38053" xr:uid="{00000000-0005-0000-0000-000098940000}"/>
    <cellStyle name="Normal 2 22 2 4 2" xfId="38054" xr:uid="{00000000-0005-0000-0000-000099940000}"/>
    <cellStyle name="Normal 2 22 2 4 3" xfId="38055" xr:uid="{00000000-0005-0000-0000-00009A940000}"/>
    <cellStyle name="Normal 2 22 2 5" xfId="38056" xr:uid="{00000000-0005-0000-0000-00009B940000}"/>
    <cellStyle name="Normal 2 22 2 5 2" xfId="38057" xr:uid="{00000000-0005-0000-0000-00009C940000}"/>
    <cellStyle name="Normal 2 22 2 5 3" xfId="38058" xr:uid="{00000000-0005-0000-0000-00009D940000}"/>
    <cellStyle name="Normal 2 22 2 6" xfId="38059" xr:uid="{00000000-0005-0000-0000-00009E940000}"/>
    <cellStyle name="Normal 2 22 2 6 2" xfId="38060" xr:uid="{00000000-0005-0000-0000-00009F940000}"/>
    <cellStyle name="Normal 2 22 2 6 3" xfId="38061" xr:uid="{00000000-0005-0000-0000-0000A0940000}"/>
    <cellStyle name="Normal 2 22 2 7" xfId="38062" xr:uid="{00000000-0005-0000-0000-0000A1940000}"/>
    <cellStyle name="Normal 2 22 2 7 2" xfId="38063" xr:uid="{00000000-0005-0000-0000-0000A2940000}"/>
    <cellStyle name="Normal 2 22 2 7 3" xfId="38064" xr:uid="{00000000-0005-0000-0000-0000A3940000}"/>
    <cellStyle name="Normal 2 22 2 8" xfId="38065" xr:uid="{00000000-0005-0000-0000-0000A4940000}"/>
    <cellStyle name="Normal 2 22 2 9" xfId="38066" xr:uid="{00000000-0005-0000-0000-0000A5940000}"/>
    <cellStyle name="Normal 2 22 20" xfId="38067" xr:uid="{00000000-0005-0000-0000-0000A6940000}"/>
    <cellStyle name="Normal 2 22 21" xfId="38068" xr:uid="{00000000-0005-0000-0000-0000A7940000}"/>
    <cellStyle name="Normal 2 22 22" xfId="38069" xr:uid="{00000000-0005-0000-0000-0000A8940000}"/>
    <cellStyle name="Normal 2 22 23" xfId="38070" xr:uid="{00000000-0005-0000-0000-0000A9940000}"/>
    <cellStyle name="Normal 2 22 24" xfId="38071" xr:uid="{00000000-0005-0000-0000-0000AA940000}"/>
    <cellStyle name="Normal 2 22 25" xfId="38072" xr:uid="{00000000-0005-0000-0000-0000AB940000}"/>
    <cellStyle name="Normal 2 22 26" xfId="38073" xr:uid="{00000000-0005-0000-0000-0000AC940000}"/>
    <cellStyle name="Normal 2 22 27" xfId="38074" xr:uid="{00000000-0005-0000-0000-0000AD940000}"/>
    <cellStyle name="Normal 2 22 28" xfId="38075" xr:uid="{00000000-0005-0000-0000-0000AE940000}"/>
    <cellStyle name="Normal 2 22 29" xfId="38076" xr:uid="{00000000-0005-0000-0000-0000AF940000}"/>
    <cellStyle name="Normal 2 22 29 2" xfId="38077" xr:uid="{00000000-0005-0000-0000-0000B0940000}"/>
    <cellStyle name="Normal 2 22 29 3" xfId="38078" xr:uid="{00000000-0005-0000-0000-0000B1940000}"/>
    <cellStyle name="Normal 2 22 3" xfId="38079" xr:uid="{00000000-0005-0000-0000-0000B2940000}"/>
    <cellStyle name="Normal 2 22 3 10" xfId="38080" xr:uid="{00000000-0005-0000-0000-0000B3940000}"/>
    <cellStyle name="Normal 2 22 3 11" xfId="38081" xr:uid="{00000000-0005-0000-0000-0000B4940000}"/>
    <cellStyle name="Normal 2 22 3 12" xfId="38082" xr:uid="{00000000-0005-0000-0000-0000B5940000}"/>
    <cellStyle name="Normal 2 22 3 13" xfId="38083" xr:uid="{00000000-0005-0000-0000-0000B6940000}"/>
    <cellStyle name="Normal 2 22 3 14" xfId="38084" xr:uid="{00000000-0005-0000-0000-0000B7940000}"/>
    <cellStyle name="Normal 2 22 3 15" xfId="38085" xr:uid="{00000000-0005-0000-0000-0000B8940000}"/>
    <cellStyle name="Normal 2 22 3 2" xfId="38086" xr:uid="{00000000-0005-0000-0000-0000B9940000}"/>
    <cellStyle name="Normal 2 22 3 3" xfId="38087" xr:uid="{00000000-0005-0000-0000-0000BA940000}"/>
    <cellStyle name="Normal 2 22 3 4" xfId="38088" xr:uid="{00000000-0005-0000-0000-0000BB940000}"/>
    <cellStyle name="Normal 2 22 3 5" xfId="38089" xr:uid="{00000000-0005-0000-0000-0000BC940000}"/>
    <cellStyle name="Normal 2 22 3 6" xfId="38090" xr:uid="{00000000-0005-0000-0000-0000BD940000}"/>
    <cellStyle name="Normal 2 22 3 7" xfId="38091" xr:uid="{00000000-0005-0000-0000-0000BE940000}"/>
    <cellStyle name="Normal 2 22 3 8" xfId="38092" xr:uid="{00000000-0005-0000-0000-0000BF940000}"/>
    <cellStyle name="Normal 2 22 3 9" xfId="38093" xr:uid="{00000000-0005-0000-0000-0000C0940000}"/>
    <cellStyle name="Normal 2 22 30" xfId="38094" xr:uid="{00000000-0005-0000-0000-0000C1940000}"/>
    <cellStyle name="Normal 2 22 31" xfId="38095" xr:uid="{00000000-0005-0000-0000-0000C2940000}"/>
    <cellStyle name="Normal 2 22 32" xfId="38096" xr:uid="{00000000-0005-0000-0000-0000C3940000}"/>
    <cellStyle name="Normal 2 22 33" xfId="38097" xr:uid="{00000000-0005-0000-0000-0000C4940000}"/>
    <cellStyle name="Normal 2 22 34" xfId="38098" xr:uid="{00000000-0005-0000-0000-0000C5940000}"/>
    <cellStyle name="Normal 2 22 35" xfId="38099" xr:uid="{00000000-0005-0000-0000-0000C6940000}"/>
    <cellStyle name="Normal 2 22 4" xfId="38100" xr:uid="{00000000-0005-0000-0000-0000C7940000}"/>
    <cellStyle name="Normal 2 22 4 10" xfId="38101" xr:uid="{00000000-0005-0000-0000-0000C8940000}"/>
    <cellStyle name="Normal 2 22 4 11" xfId="38102" xr:uid="{00000000-0005-0000-0000-0000C9940000}"/>
    <cellStyle name="Normal 2 22 4 12" xfId="38103" xr:uid="{00000000-0005-0000-0000-0000CA940000}"/>
    <cellStyle name="Normal 2 22 4 13" xfId="38104" xr:uid="{00000000-0005-0000-0000-0000CB940000}"/>
    <cellStyle name="Normal 2 22 4 14" xfId="38105" xr:uid="{00000000-0005-0000-0000-0000CC940000}"/>
    <cellStyle name="Normal 2 22 4 15" xfId="38106" xr:uid="{00000000-0005-0000-0000-0000CD940000}"/>
    <cellStyle name="Normal 2 22 4 2" xfId="38107" xr:uid="{00000000-0005-0000-0000-0000CE940000}"/>
    <cellStyle name="Normal 2 22 4 3" xfId="38108" xr:uid="{00000000-0005-0000-0000-0000CF940000}"/>
    <cellStyle name="Normal 2 22 4 4" xfId="38109" xr:uid="{00000000-0005-0000-0000-0000D0940000}"/>
    <cellStyle name="Normal 2 22 4 5" xfId="38110" xr:uid="{00000000-0005-0000-0000-0000D1940000}"/>
    <cellStyle name="Normal 2 22 4 6" xfId="38111" xr:uid="{00000000-0005-0000-0000-0000D2940000}"/>
    <cellStyle name="Normal 2 22 4 7" xfId="38112" xr:uid="{00000000-0005-0000-0000-0000D3940000}"/>
    <cellStyle name="Normal 2 22 4 8" xfId="38113" xr:uid="{00000000-0005-0000-0000-0000D4940000}"/>
    <cellStyle name="Normal 2 22 4 9" xfId="38114" xr:uid="{00000000-0005-0000-0000-0000D5940000}"/>
    <cellStyle name="Normal 2 22 5" xfId="38115" xr:uid="{00000000-0005-0000-0000-0000D6940000}"/>
    <cellStyle name="Normal 2 22 5 10" xfId="38116" xr:uid="{00000000-0005-0000-0000-0000D7940000}"/>
    <cellStyle name="Normal 2 22 5 11" xfId="38117" xr:uid="{00000000-0005-0000-0000-0000D8940000}"/>
    <cellStyle name="Normal 2 22 5 12" xfId="38118" xr:uid="{00000000-0005-0000-0000-0000D9940000}"/>
    <cellStyle name="Normal 2 22 5 13" xfId="38119" xr:uid="{00000000-0005-0000-0000-0000DA940000}"/>
    <cellStyle name="Normal 2 22 5 14" xfId="38120" xr:uid="{00000000-0005-0000-0000-0000DB940000}"/>
    <cellStyle name="Normal 2 22 5 15" xfId="38121" xr:uid="{00000000-0005-0000-0000-0000DC940000}"/>
    <cellStyle name="Normal 2 22 5 2" xfId="38122" xr:uid="{00000000-0005-0000-0000-0000DD940000}"/>
    <cellStyle name="Normal 2 22 5 3" xfId="38123" xr:uid="{00000000-0005-0000-0000-0000DE940000}"/>
    <cellStyle name="Normal 2 22 5 4" xfId="38124" xr:uid="{00000000-0005-0000-0000-0000DF940000}"/>
    <cellStyle name="Normal 2 22 5 5" xfId="38125" xr:uid="{00000000-0005-0000-0000-0000E0940000}"/>
    <cellStyle name="Normal 2 22 5 6" xfId="38126" xr:uid="{00000000-0005-0000-0000-0000E1940000}"/>
    <cellStyle name="Normal 2 22 5 7" xfId="38127" xr:uid="{00000000-0005-0000-0000-0000E2940000}"/>
    <cellStyle name="Normal 2 22 5 8" xfId="38128" xr:uid="{00000000-0005-0000-0000-0000E3940000}"/>
    <cellStyle name="Normal 2 22 5 9" xfId="38129" xr:uid="{00000000-0005-0000-0000-0000E4940000}"/>
    <cellStyle name="Normal 2 22 6" xfId="38130" xr:uid="{00000000-0005-0000-0000-0000E5940000}"/>
    <cellStyle name="Normal 2 22 6 10" xfId="38131" xr:uid="{00000000-0005-0000-0000-0000E6940000}"/>
    <cellStyle name="Normal 2 22 6 11" xfId="38132" xr:uid="{00000000-0005-0000-0000-0000E7940000}"/>
    <cellStyle name="Normal 2 22 6 12" xfId="38133" xr:uid="{00000000-0005-0000-0000-0000E8940000}"/>
    <cellStyle name="Normal 2 22 6 13" xfId="38134" xr:uid="{00000000-0005-0000-0000-0000E9940000}"/>
    <cellStyle name="Normal 2 22 6 14" xfId="38135" xr:uid="{00000000-0005-0000-0000-0000EA940000}"/>
    <cellStyle name="Normal 2 22 6 15" xfId="38136" xr:uid="{00000000-0005-0000-0000-0000EB940000}"/>
    <cellStyle name="Normal 2 22 6 2" xfId="38137" xr:uid="{00000000-0005-0000-0000-0000EC940000}"/>
    <cellStyle name="Normal 2 22 6 3" xfId="38138" xr:uid="{00000000-0005-0000-0000-0000ED940000}"/>
    <cellStyle name="Normal 2 22 6 4" xfId="38139" xr:uid="{00000000-0005-0000-0000-0000EE940000}"/>
    <cellStyle name="Normal 2 22 6 5" xfId="38140" xr:uid="{00000000-0005-0000-0000-0000EF940000}"/>
    <cellStyle name="Normal 2 22 6 6" xfId="38141" xr:uid="{00000000-0005-0000-0000-0000F0940000}"/>
    <cellStyle name="Normal 2 22 6 7" xfId="38142" xr:uid="{00000000-0005-0000-0000-0000F1940000}"/>
    <cellStyle name="Normal 2 22 6 8" xfId="38143" xr:uid="{00000000-0005-0000-0000-0000F2940000}"/>
    <cellStyle name="Normal 2 22 6 9" xfId="38144" xr:uid="{00000000-0005-0000-0000-0000F3940000}"/>
    <cellStyle name="Normal 2 22 7" xfId="38145" xr:uid="{00000000-0005-0000-0000-0000F4940000}"/>
    <cellStyle name="Normal 2 22 7 10" xfId="38146" xr:uid="{00000000-0005-0000-0000-0000F5940000}"/>
    <cellStyle name="Normal 2 22 7 11" xfId="38147" xr:uid="{00000000-0005-0000-0000-0000F6940000}"/>
    <cellStyle name="Normal 2 22 7 12" xfId="38148" xr:uid="{00000000-0005-0000-0000-0000F7940000}"/>
    <cellStyle name="Normal 2 22 7 13" xfId="38149" xr:uid="{00000000-0005-0000-0000-0000F8940000}"/>
    <cellStyle name="Normal 2 22 7 14" xfId="38150" xr:uid="{00000000-0005-0000-0000-0000F9940000}"/>
    <cellStyle name="Normal 2 22 7 15" xfId="38151" xr:uid="{00000000-0005-0000-0000-0000FA940000}"/>
    <cellStyle name="Normal 2 22 7 2" xfId="38152" xr:uid="{00000000-0005-0000-0000-0000FB940000}"/>
    <cellStyle name="Normal 2 22 7 3" xfId="38153" xr:uid="{00000000-0005-0000-0000-0000FC940000}"/>
    <cellStyle name="Normal 2 22 7 4" xfId="38154" xr:uid="{00000000-0005-0000-0000-0000FD940000}"/>
    <cellStyle name="Normal 2 22 7 5" xfId="38155" xr:uid="{00000000-0005-0000-0000-0000FE940000}"/>
    <cellStyle name="Normal 2 22 7 6" xfId="38156" xr:uid="{00000000-0005-0000-0000-0000FF940000}"/>
    <cellStyle name="Normal 2 22 7 7" xfId="38157" xr:uid="{00000000-0005-0000-0000-000000950000}"/>
    <cellStyle name="Normal 2 22 7 8" xfId="38158" xr:uid="{00000000-0005-0000-0000-000001950000}"/>
    <cellStyle name="Normal 2 22 7 9" xfId="38159" xr:uid="{00000000-0005-0000-0000-000002950000}"/>
    <cellStyle name="Normal 2 22 8" xfId="38160" xr:uid="{00000000-0005-0000-0000-000003950000}"/>
    <cellStyle name="Normal 2 22 8 10" xfId="38161" xr:uid="{00000000-0005-0000-0000-000004950000}"/>
    <cellStyle name="Normal 2 22 8 11" xfId="38162" xr:uid="{00000000-0005-0000-0000-000005950000}"/>
    <cellStyle name="Normal 2 22 8 12" xfId="38163" xr:uid="{00000000-0005-0000-0000-000006950000}"/>
    <cellStyle name="Normal 2 22 8 13" xfId="38164" xr:uid="{00000000-0005-0000-0000-000007950000}"/>
    <cellStyle name="Normal 2 22 8 14" xfId="38165" xr:uid="{00000000-0005-0000-0000-000008950000}"/>
    <cellStyle name="Normal 2 22 8 15" xfId="38166" xr:uid="{00000000-0005-0000-0000-000009950000}"/>
    <cellStyle name="Normal 2 22 8 2" xfId="38167" xr:uid="{00000000-0005-0000-0000-00000A950000}"/>
    <cellStyle name="Normal 2 22 8 3" xfId="38168" xr:uid="{00000000-0005-0000-0000-00000B950000}"/>
    <cellStyle name="Normal 2 22 8 4" xfId="38169" xr:uid="{00000000-0005-0000-0000-00000C950000}"/>
    <cellStyle name="Normal 2 22 8 5" xfId="38170" xr:uid="{00000000-0005-0000-0000-00000D950000}"/>
    <cellStyle name="Normal 2 22 8 6" xfId="38171" xr:uid="{00000000-0005-0000-0000-00000E950000}"/>
    <cellStyle name="Normal 2 22 8 7" xfId="38172" xr:uid="{00000000-0005-0000-0000-00000F950000}"/>
    <cellStyle name="Normal 2 22 8 8" xfId="38173" xr:uid="{00000000-0005-0000-0000-000010950000}"/>
    <cellStyle name="Normal 2 22 8 9" xfId="38174" xr:uid="{00000000-0005-0000-0000-000011950000}"/>
    <cellStyle name="Normal 2 22 9" xfId="38175" xr:uid="{00000000-0005-0000-0000-000012950000}"/>
    <cellStyle name="Normal 2 22 9 10" xfId="38176" xr:uid="{00000000-0005-0000-0000-000013950000}"/>
    <cellStyle name="Normal 2 22 9 11" xfId="38177" xr:uid="{00000000-0005-0000-0000-000014950000}"/>
    <cellStyle name="Normal 2 22 9 12" xfId="38178" xr:uid="{00000000-0005-0000-0000-000015950000}"/>
    <cellStyle name="Normal 2 22 9 13" xfId="38179" xr:uid="{00000000-0005-0000-0000-000016950000}"/>
    <cellStyle name="Normal 2 22 9 14" xfId="38180" xr:uid="{00000000-0005-0000-0000-000017950000}"/>
    <cellStyle name="Normal 2 22 9 15" xfId="38181" xr:uid="{00000000-0005-0000-0000-000018950000}"/>
    <cellStyle name="Normal 2 22 9 2" xfId="38182" xr:uid="{00000000-0005-0000-0000-000019950000}"/>
    <cellStyle name="Normal 2 22 9 3" xfId="38183" xr:uid="{00000000-0005-0000-0000-00001A950000}"/>
    <cellStyle name="Normal 2 22 9 4" xfId="38184" xr:uid="{00000000-0005-0000-0000-00001B950000}"/>
    <cellStyle name="Normal 2 22 9 5" xfId="38185" xr:uid="{00000000-0005-0000-0000-00001C950000}"/>
    <cellStyle name="Normal 2 22 9 6" xfId="38186" xr:uid="{00000000-0005-0000-0000-00001D950000}"/>
    <cellStyle name="Normal 2 22 9 7" xfId="38187" xr:uid="{00000000-0005-0000-0000-00001E950000}"/>
    <cellStyle name="Normal 2 22 9 8" xfId="38188" xr:uid="{00000000-0005-0000-0000-00001F950000}"/>
    <cellStyle name="Normal 2 22 9 9" xfId="38189" xr:uid="{00000000-0005-0000-0000-000020950000}"/>
    <cellStyle name="Normal 2 23" xfId="38190" xr:uid="{00000000-0005-0000-0000-000021950000}"/>
    <cellStyle name="Normal 2 23 10" xfId="38191" xr:uid="{00000000-0005-0000-0000-000022950000}"/>
    <cellStyle name="Normal 2 23 11" xfId="38192" xr:uid="{00000000-0005-0000-0000-000023950000}"/>
    <cellStyle name="Normal 2 23 12" xfId="38193" xr:uid="{00000000-0005-0000-0000-000024950000}"/>
    <cellStyle name="Normal 2 23 13" xfId="38194" xr:uid="{00000000-0005-0000-0000-000025950000}"/>
    <cellStyle name="Normal 2 23 14" xfId="38195" xr:uid="{00000000-0005-0000-0000-000026950000}"/>
    <cellStyle name="Normal 2 23 15" xfId="38196" xr:uid="{00000000-0005-0000-0000-000027950000}"/>
    <cellStyle name="Normal 2 23 16" xfId="38197" xr:uid="{00000000-0005-0000-0000-000028950000}"/>
    <cellStyle name="Normal 2 23 17" xfId="38198" xr:uid="{00000000-0005-0000-0000-000029950000}"/>
    <cellStyle name="Normal 2 23 18" xfId="38199" xr:uid="{00000000-0005-0000-0000-00002A950000}"/>
    <cellStyle name="Normal 2 23 19" xfId="38200" xr:uid="{00000000-0005-0000-0000-00002B950000}"/>
    <cellStyle name="Normal 2 23 2" xfId="38201" xr:uid="{00000000-0005-0000-0000-00002C950000}"/>
    <cellStyle name="Normal 2 23 2 2" xfId="38202" xr:uid="{00000000-0005-0000-0000-00002D950000}"/>
    <cellStyle name="Normal 2 23 2 2 2" xfId="38203" xr:uid="{00000000-0005-0000-0000-00002E950000}"/>
    <cellStyle name="Normal 2 23 2 2 3" xfId="38204" xr:uid="{00000000-0005-0000-0000-00002F950000}"/>
    <cellStyle name="Normal 2 23 2 3" xfId="38205" xr:uid="{00000000-0005-0000-0000-000030950000}"/>
    <cellStyle name="Normal 2 23 2 4" xfId="38206" xr:uid="{00000000-0005-0000-0000-000031950000}"/>
    <cellStyle name="Normal 2 23 2 5" xfId="38207" xr:uid="{00000000-0005-0000-0000-000032950000}"/>
    <cellStyle name="Normal 2 23 2 6" xfId="38208" xr:uid="{00000000-0005-0000-0000-000033950000}"/>
    <cellStyle name="Normal 2 23 2 7" xfId="38209" xr:uid="{00000000-0005-0000-0000-000034950000}"/>
    <cellStyle name="Normal 2 23 2 8" xfId="38210" xr:uid="{00000000-0005-0000-0000-000035950000}"/>
    <cellStyle name="Normal 2 23 20" xfId="38211" xr:uid="{00000000-0005-0000-0000-000036950000}"/>
    <cellStyle name="Normal 2 23 21" xfId="38212" xr:uid="{00000000-0005-0000-0000-000037950000}"/>
    <cellStyle name="Normal 2 23 22" xfId="38213" xr:uid="{00000000-0005-0000-0000-000038950000}"/>
    <cellStyle name="Normal 2 23 23" xfId="38214" xr:uid="{00000000-0005-0000-0000-000039950000}"/>
    <cellStyle name="Normal 2 23 24" xfId="38215" xr:uid="{00000000-0005-0000-0000-00003A950000}"/>
    <cellStyle name="Normal 2 23 25" xfId="38216" xr:uid="{00000000-0005-0000-0000-00003B950000}"/>
    <cellStyle name="Normal 2 23 26" xfId="38217" xr:uid="{00000000-0005-0000-0000-00003C950000}"/>
    <cellStyle name="Normal 2 23 27" xfId="38218" xr:uid="{00000000-0005-0000-0000-00003D950000}"/>
    <cellStyle name="Normal 2 23 28" xfId="38219" xr:uid="{00000000-0005-0000-0000-00003E950000}"/>
    <cellStyle name="Normal 2 23 29" xfId="38220" xr:uid="{00000000-0005-0000-0000-00003F950000}"/>
    <cellStyle name="Normal 2 23 29 2" xfId="38221" xr:uid="{00000000-0005-0000-0000-000040950000}"/>
    <cellStyle name="Normal 2 23 29 3" xfId="38222" xr:uid="{00000000-0005-0000-0000-000041950000}"/>
    <cellStyle name="Normal 2 23 3" xfId="38223" xr:uid="{00000000-0005-0000-0000-000042950000}"/>
    <cellStyle name="Normal 2 23 30" xfId="38224" xr:uid="{00000000-0005-0000-0000-000043950000}"/>
    <cellStyle name="Normal 2 23 31" xfId="38225" xr:uid="{00000000-0005-0000-0000-000044950000}"/>
    <cellStyle name="Normal 2 23 32" xfId="38226" xr:uid="{00000000-0005-0000-0000-000045950000}"/>
    <cellStyle name="Normal 2 23 33" xfId="38227" xr:uid="{00000000-0005-0000-0000-000046950000}"/>
    <cellStyle name="Normal 2 23 34" xfId="38228" xr:uid="{00000000-0005-0000-0000-000047950000}"/>
    <cellStyle name="Normal 2 23 4" xfId="38229" xr:uid="{00000000-0005-0000-0000-000048950000}"/>
    <cellStyle name="Normal 2 23 5" xfId="38230" xr:uid="{00000000-0005-0000-0000-000049950000}"/>
    <cellStyle name="Normal 2 23 6" xfId="38231" xr:uid="{00000000-0005-0000-0000-00004A950000}"/>
    <cellStyle name="Normal 2 23 7" xfId="38232" xr:uid="{00000000-0005-0000-0000-00004B950000}"/>
    <cellStyle name="Normal 2 23 8" xfId="38233" xr:uid="{00000000-0005-0000-0000-00004C950000}"/>
    <cellStyle name="Normal 2 23 9" xfId="38234" xr:uid="{00000000-0005-0000-0000-00004D950000}"/>
    <cellStyle name="Normal 2 24" xfId="38235" xr:uid="{00000000-0005-0000-0000-00004E950000}"/>
    <cellStyle name="Normal 2 24 10" xfId="38236" xr:uid="{00000000-0005-0000-0000-00004F950000}"/>
    <cellStyle name="Normal 2 24 11" xfId="38237" xr:uid="{00000000-0005-0000-0000-000050950000}"/>
    <cellStyle name="Normal 2 24 12" xfId="38238" xr:uid="{00000000-0005-0000-0000-000051950000}"/>
    <cellStyle name="Normal 2 24 13" xfId="38239" xr:uid="{00000000-0005-0000-0000-000052950000}"/>
    <cellStyle name="Normal 2 24 14" xfId="38240" xr:uid="{00000000-0005-0000-0000-000053950000}"/>
    <cellStyle name="Normal 2 24 15" xfId="38241" xr:uid="{00000000-0005-0000-0000-000054950000}"/>
    <cellStyle name="Normal 2 24 16" xfId="38242" xr:uid="{00000000-0005-0000-0000-000055950000}"/>
    <cellStyle name="Normal 2 24 17" xfId="38243" xr:uid="{00000000-0005-0000-0000-000056950000}"/>
    <cellStyle name="Normal 2 24 18" xfId="38244" xr:uid="{00000000-0005-0000-0000-000057950000}"/>
    <cellStyle name="Normal 2 24 19" xfId="38245" xr:uid="{00000000-0005-0000-0000-000058950000}"/>
    <cellStyle name="Normal 2 24 2" xfId="38246" xr:uid="{00000000-0005-0000-0000-000059950000}"/>
    <cellStyle name="Normal 2 24 2 2" xfId="38247" xr:uid="{00000000-0005-0000-0000-00005A950000}"/>
    <cellStyle name="Normal 2 24 2 2 2" xfId="38248" xr:uid="{00000000-0005-0000-0000-00005B950000}"/>
    <cellStyle name="Normal 2 24 2 2 3" xfId="38249" xr:uid="{00000000-0005-0000-0000-00005C950000}"/>
    <cellStyle name="Normal 2 24 2 3" xfId="38250" xr:uid="{00000000-0005-0000-0000-00005D950000}"/>
    <cellStyle name="Normal 2 24 2 4" xfId="38251" xr:uid="{00000000-0005-0000-0000-00005E950000}"/>
    <cellStyle name="Normal 2 24 2 5" xfId="38252" xr:uid="{00000000-0005-0000-0000-00005F950000}"/>
    <cellStyle name="Normal 2 24 2 6" xfId="38253" xr:uid="{00000000-0005-0000-0000-000060950000}"/>
    <cellStyle name="Normal 2 24 2 7" xfId="38254" xr:uid="{00000000-0005-0000-0000-000061950000}"/>
    <cellStyle name="Normal 2 24 2 8" xfId="38255" xr:uid="{00000000-0005-0000-0000-000062950000}"/>
    <cellStyle name="Normal 2 24 20" xfId="38256" xr:uid="{00000000-0005-0000-0000-000063950000}"/>
    <cellStyle name="Normal 2 24 21" xfId="38257" xr:uid="{00000000-0005-0000-0000-000064950000}"/>
    <cellStyle name="Normal 2 24 22" xfId="38258" xr:uid="{00000000-0005-0000-0000-000065950000}"/>
    <cellStyle name="Normal 2 24 23" xfId="38259" xr:uid="{00000000-0005-0000-0000-000066950000}"/>
    <cellStyle name="Normal 2 24 24" xfId="38260" xr:uid="{00000000-0005-0000-0000-000067950000}"/>
    <cellStyle name="Normal 2 24 25" xfId="38261" xr:uid="{00000000-0005-0000-0000-000068950000}"/>
    <cellStyle name="Normal 2 24 26" xfId="38262" xr:uid="{00000000-0005-0000-0000-000069950000}"/>
    <cellStyle name="Normal 2 24 27" xfId="38263" xr:uid="{00000000-0005-0000-0000-00006A950000}"/>
    <cellStyle name="Normal 2 24 28" xfId="38264" xr:uid="{00000000-0005-0000-0000-00006B950000}"/>
    <cellStyle name="Normal 2 24 29" xfId="38265" xr:uid="{00000000-0005-0000-0000-00006C950000}"/>
    <cellStyle name="Normal 2 24 29 2" xfId="38266" xr:uid="{00000000-0005-0000-0000-00006D950000}"/>
    <cellStyle name="Normal 2 24 29 3" xfId="38267" xr:uid="{00000000-0005-0000-0000-00006E950000}"/>
    <cellStyle name="Normal 2 24 3" xfId="38268" xr:uid="{00000000-0005-0000-0000-00006F950000}"/>
    <cellStyle name="Normal 2 24 30" xfId="38269" xr:uid="{00000000-0005-0000-0000-000070950000}"/>
    <cellStyle name="Normal 2 24 31" xfId="38270" xr:uid="{00000000-0005-0000-0000-000071950000}"/>
    <cellStyle name="Normal 2 24 32" xfId="38271" xr:uid="{00000000-0005-0000-0000-000072950000}"/>
    <cellStyle name="Normal 2 24 33" xfId="38272" xr:uid="{00000000-0005-0000-0000-000073950000}"/>
    <cellStyle name="Normal 2 24 34" xfId="38273" xr:uid="{00000000-0005-0000-0000-000074950000}"/>
    <cellStyle name="Normal 2 24 4" xfId="38274" xr:uid="{00000000-0005-0000-0000-000075950000}"/>
    <cellStyle name="Normal 2 24 5" xfId="38275" xr:uid="{00000000-0005-0000-0000-000076950000}"/>
    <cellStyle name="Normal 2 24 6" xfId="38276" xr:uid="{00000000-0005-0000-0000-000077950000}"/>
    <cellStyle name="Normal 2 24 7" xfId="38277" xr:uid="{00000000-0005-0000-0000-000078950000}"/>
    <cellStyle name="Normal 2 24 8" xfId="38278" xr:uid="{00000000-0005-0000-0000-000079950000}"/>
    <cellStyle name="Normal 2 24 9" xfId="38279" xr:uid="{00000000-0005-0000-0000-00007A950000}"/>
    <cellStyle name="Normal 2 25" xfId="38280" xr:uid="{00000000-0005-0000-0000-00007B950000}"/>
    <cellStyle name="Normal 2 25 10" xfId="38281" xr:uid="{00000000-0005-0000-0000-00007C950000}"/>
    <cellStyle name="Normal 2 25 11" xfId="38282" xr:uid="{00000000-0005-0000-0000-00007D950000}"/>
    <cellStyle name="Normal 2 25 12" xfId="38283" xr:uid="{00000000-0005-0000-0000-00007E950000}"/>
    <cellStyle name="Normal 2 25 13" xfId="38284" xr:uid="{00000000-0005-0000-0000-00007F950000}"/>
    <cellStyle name="Normal 2 25 14" xfId="38285" xr:uid="{00000000-0005-0000-0000-000080950000}"/>
    <cellStyle name="Normal 2 25 15" xfId="38286" xr:uid="{00000000-0005-0000-0000-000081950000}"/>
    <cellStyle name="Normal 2 25 16" xfId="38287" xr:uid="{00000000-0005-0000-0000-000082950000}"/>
    <cellStyle name="Normal 2 25 17" xfId="38288" xr:uid="{00000000-0005-0000-0000-000083950000}"/>
    <cellStyle name="Normal 2 25 18" xfId="38289" xr:uid="{00000000-0005-0000-0000-000084950000}"/>
    <cellStyle name="Normal 2 25 19" xfId="38290" xr:uid="{00000000-0005-0000-0000-000085950000}"/>
    <cellStyle name="Normal 2 25 2" xfId="38291" xr:uid="{00000000-0005-0000-0000-000086950000}"/>
    <cellStyle name="Normal 2 25 2 2" xfId="38292" xr:uid="{00000000-0005-0000-0000-000087950000}"/>
    <cellStyle name="Normal 2 25 2 2 2" xfId="38293" xr:uid="{00000000-0005-0000-0000-000088950000}"/>
    <cellStyle name="Normal 2 25 2 2 3" xfId="38294" xr:uid="{00000000-0005-0000-0000-000089950000}"/>
    <cellStyle name="Normal 2 25 2 3" xfId="38295" xr:uid="{00000000-0005-0000-0000-00008A950000}"/>
    <cellStyle name="Normal 2 25 2 4" xfId="38296" xr:uid="{00000000-0005-0000-0000-00008B950000}"/>
    <cellStyle name="Normal 2 25 2 5" xfId="38297" xr:uid="{00000000-0005-0000-0000-00008C950000}"/>
    <cellStyle name="Normal 2 25 2 6" xfId="38298" xr:uid="{00000000-0005-0000-0000-00008D950000}"/>
    <cellStyle name="Normal 2 25 2 7" xfId="38299" xr:uid="{00000000-0005-0000-0000-00008E950000}"/>
    <cellStyle name="Normal 2 25 2 8" xfId="38300" xr:uid="{00000000-0005-0000-0000-00008F950000}"/>
    <cellStyle name="Normal 2 25 20" xfId="38301" xr:uid="{00000000-0005-0000-0000-000090950000}"/>
    <cellStyle name="Normal 2 25 21" xfId="38302" xr:uid="{00000000-0005-0000-0000-000091950000}"/>
    <cellStyle name="Normal 2 25 22" xfId="38303" xr:uid="{00000000-0005-0000-0000-000092950000}"/>
    <cellStyle name="Normal 2 25 23" xfId="38304" xr:uid="{00000000-0005-0000-0000-000093950000}"/>
    <cellStyle name="Normal 2 25 24" xfId="38305" xr:uid="{00000000-0005-0000-0000-000094950000}"/>
    <cellStyle name="Normal 2 25 25" xfId="38306" xr:uid="{00000000-0005-0000-0000-000095950000}"/>
    <cellStyle name="Normal 2 25 26" xfId="38307" xr:uid="{00000000-0005-0000-0000-000096950000}"/>
    <cellStyle name="Normal 2 25 27" xfId="38308" xr:uid="{00000000-0005-0000-0000-000097950000}"/>
    <cellStyle name="Normal 2 25 28" xfId="38309" xr:uid="{00000000-0005-0000-0000-000098950000}"/>
    <cellStyle name="Normal 2 25 29" xfId="38310" xr:uid="{00000000-0005-0000-0000-000099950000}"/>
    <cellStyle name="Normal 2 25 29 2" xfId="38311" xr:uid="{00000000-0005-0000-0000-00009A950000}"/>
    <cellStyle name="Normal 2 25 29 3" xfId="38312" xr:uid="{00000000-0005-0000-0000-00009B950000}"/>
    <cellStyle name="Normal 2 25 3" xfId="38313" xr:uid="{00000000-0005-0000-0000-00009C950000}"/>
    <cellStyle name="Normal 2 25 30" xfId="38314" xr:uid="{00000000-0005-0000-0000-00009D950000}"/>
    <cellStyle name="Normal 2 25 31" xfId="38315" xr:uid="{00000000-0005-0000-0000-00009E950000}"/>
    <cellStyle name="Normal 2 25 32" xfId="38316" xr:uid="{00000000-0005-0000-0000-00009F950000}"/>
    <cellStyle name="Normal 2 25 33" xfId="38317" xr:uid="{00000000-0005-0000-0000-0000A0950000}"/>
    <cellStyle name="Normal 2 25 34" xfId="38318" xr:uid="{00000000-0005-0000-0000-0000A1950000}"/>
    <cellStyle name="Normal 2 25 4" xfId="38319" xr:uid="{00000000-0005-0000-0000-0000A2950000}"/>
    <cellStyle name="Normal 2 25 5" xfId="38320" xr:uid="{00000000-0005-0000-0000-0000A3950000}"/>
    <cellStyle name="Normal 2 25 6" xfId="38321" xr:uid="{00000000-0005-0000-0000-0000A4950000}"/>
    <cellStyle name="Normal 2 25 7" xfId="38322" xr:uid="{00000000-0005-0000-0000-0000A5950000}"/>
    <cellStyle name="Normal 2 25 8" xfId="38323" xr:uid="{00000000-0005-0000-0000-0000A6950000}"/>
    <cellStyle name="Normal 2 25 9" xfId="38324" xr:uid="{00000000-0005-0000-0000-0000A7950000}"/>
    <cellStyle name="Normal 2 26" xfId="38325" xr:uid="{00000000-0005-0000-0000-0000A8950000}"/>
    <cellStyle name="Normal 2 26 10" xfId="38326" xr:uid="{00000000-0005-0000-0000-0000A9950000}"/>
    <cellStyle name="Normal 2 26 11" xfId="38327" xr:uid="{00000000-0005-0000-0000-0000AA950000}"/>
    <cellStyle name="Normal 2 26 12" xfId="38328" xr:uid="{00000000-0005-0000-0000-0000AB950000}"/>
    <cellStyle name="Normal 2 26 13" xfId="38329" xr:uid="{00000000-0005-0000-0000-0000AC950000}"/>
    <cellStyle name="Normal 2 26 14" xfId="38330" xr:uid="{00000000-0005-0000-0000-0000AD950000}"/>
    <cellStyle name="Normal 2 26 15" xfId="38331" xr:uid="{00000000-0005-0000-0000-0000AE950000}"/>
    <cellStyle name="Normal 2 26 16" xfId="38332" xr:uid="{00000000-0005-0000-0000-0000AF950000}"/>
    <cellStyle name="Normal 2 26 17" xfId="38333" xr:uid="{00000000-0005-0000-0000-0000B0950000}"/>
    <cellStyle name="Normal 2 26 18" xfId="38334" xr:uid="{00000000-0005-0000-0000-0000B1950000}"/>
    <cellStyle name="Normal 2 26 19" xfId="38335" xr:uid="{00000000-0005-0000-0000-0000B2950000}"/>
    <cellStyle name="Normal 2 26 2" xfId="38336" xr:uid="{00000000-0005-0000-0000-0000B3950000}"/>
    <cellStyle name="Normal 2 26 2 2" xfId="38337" xr:uid="{00000000-0005-0000-0000-0000B4950000}"/>
    <cellStyle name="Normal 2 26 2 2 2" xfId="38338" xr:uid="{00000000-0005-0000-0000-0000B5950000}"/>
    <cellStyle name="Normal 2 26 2 2 3" xfId="38339" xr:uid="{00000000-0005-0000-0000-0000B6950000}"/>
    <cellStyle name="Normal 2 26 2 3" xfId="38340" xr:uid="{00000000-0005-0000-0000-0000B7950000}"/>
    <cellStyle name="Normal 2 26 2 4" xfId="38341" xr:uid="{00000000-0005-0000-0000-0000B8950000}"/>
    <cellStyle name="Normal 2 26 2 5" xfId="38342" xr:uid="{00000000-0005-0000-0000-0000B9950000}"/>
    <cellStyle name="Normal 2 26 2 6" xfId="38343" xr:uid="{00000000-0005-0000-0000-0000BA950000}"/>
    <cellStyle name="Normal 2 26 2 7" xfId="38344" xr:uid="{00000000-0005-0000-0000-0000BB950000}"/>
    <cellStyle name="Normal 2 26 2 8" xfId="38345" xr:uid="{00000000-0005-0000-0000-0000BC950000}"/>
    <cellStyle name="Normal 2 26 20" xfId="38346" xr:uid="{00000000-0005-0000-0000-0000BD950000}"/>
    <cellStyle name="Normal 2 26 21" xfId="38347" xr:uid="{00000000-0005-0000-0000-0000BE950000}"/>
    <cellStyle name="Normal 2 26 22" xfId="38348" xr:uid="{00000000-0005-0000-0000-0000BF950000}"/>
    <cellStyle name="Normal 2 26 23" xfId="38349" xr:uid="{00000000-0005-0000-0000-0000C0950000}"/>
    <cellStyle name="Normal 2 26 24" xfId="38350" xr:uid="{00000000-0005-0000-0000-0000C1950000}"/>
    <cellStyle name="Normal 2 26 25" xfId="38351" xr:uid="{00000000-0005-0000-0000-0000C2950000}"/>
    <cellStyle name="Normal 2 26 26" xfId="38352" xr:uid="{00000000-0005-0000-0000-0000C3950000}"/>
    <cellStyle name="Normal 2 26 27" xfId="38353" xr:uid="{00000000-0005-0000-0000-0000C4950000}"/>
    <cellStyle name="Normal 2 26 28" xfId="38354" xr:uid="{00000000-0005-0000-0000-0000C5950000}"/>
    <cellStyle name="Normal 2 26 29" xfId="38355" xr:uid="{00000000-0005-0000-0000-0000C6950000}"/>
    <cellStyle name="Normal 2 26 29 2" xfId="38356" xr:uid="{00000000-0005-0000-0000-0000C7950000}"/>
    <cellStyle name="Normal 2 26 29 3" xfId="38357" xr:uid="{00000000-0005-0000-0000-0000C8950000}"/>
    <cellStyle name="Normal 2 26 3" xfId="38358" xr:uid="{00000000-0005-0000-0000-0000C9950000}"/>
    <cellStyle name="Normal 2 26 30" xfId="38359" xr:uid="{00000000-0005-0000-0000-0000CA950000}"/>
    <cellStyle name="Normal 2 26 31" xfId="38360" xr:uid="{00000000-0005-0000-0000-0000CB950000}"/>
    <cellStyle name="Normal 2 26 32" xfId="38361" xr:uid="{00000000-0005-0000-0000-0000CC950000}"/>
    <cellStyle name="Normal 2 26 33" xfId="38362" xr:uid="{00000000-0005-0000-0000-0000CD950000}"/>
    <cellStyle name="Normal 2 26 34" xfId="38363" xr:uid="{00000000-0005-0000-0000-0000CE950000}"/>
    <cellStyle name="Normal 2 26 4" xfId="38364" xr:uid="{00000000-0005-0000-0000-0000CF950000}"/>
    <cellStyle name="Normal 2 26 5" xfId="38365" xr:uid="{00000000-0005-0000-0000-0000D0950000}"/>
    <cellStyle name="Normal 2 26 6" xfId="38366" xr:uid="{00000000-0005-0000-0000-0000D1950000}"/>
    <cellStyle name="Normal 2 26 7" xfId="38367" xr:uid="{00000000-0005-0000-0000-0000D2950000}"/>
    <cellStyle name="Normal 2 26 8" xfId="38368" xr:uid="{00000000-0005-0000-0000-0000D3950000}"/>
    <cellStyle name="Normal 2 26 9" xfId="38369" xr:uid="{00000000-0005-0000-0000-0000D4950000}"/>
    <cellStyle name="Normal 2 27" xfId="38370" xr:uid="{00000000-0005-0000-0000-0000D5950000}"/>
    <cellStyle name="Normal 2 28" xfId="38371" xr:uid="{00000000-0005-0000-0000-0000D6950000}"/>
    <cellStyle name="Normal 2 29" xfId="38372" xr:uid="{00000000-0005-0000-0000-0000D7950000}"/>
    <cellStyle name="Normal 2 3" xfId="38373" xr:uid="{00000000-0005-0000-0000-0000D8950000}"/>
    <cellStyle name="Normal 2 3 10" xfId="38374" xr:uid="{00000000-0005-0000-0000-0000D9950000}"/>
    <cellStyle name="Normal 2 3 100" xfId="38375" xr:uid="{00000000-0005-0000-0000-0000DA950000}"/>
    <cellStyle name="Normal 2 3 101" xfId="38376" xr:uid="{00000000-0005-0000-0000-0000DB950000}"/>
    <cellStyle name="Normal 2 3 11" xfId="38377" xr:uid="{00000000-0005-0000-0000-0000DC950000}"/>
    <cellStyle name="Normal 2 3 12" xfId="38378" xr:uid="{00000000-0005-0000-0000-0000DD950000}"/>
    <cellStyle name="Normal 2 3 13" xfId="38379" xr:uid="{00000000-0005-0000-0000-0000DE950000}"/>
    <cellStyle name="Normal 2 3 13 10" xfId="38380" xr:uid="{00000000-0005-0000-0000-0000DF950000}"/>
    <cellStyle name="Normal 2 3 13 11" xfId="38381" xr:uid="{00000000-0005-0000-0000-0000E0950000}"/>
    <cellStyle name="Normal 2 3 13 12" xfId="38382" xr:uid="{00000000-0005-0000-0000-0000E1950000}"/>
    <cellStyle name="Normal 2 3 13 13" xfId="38383" xr:uid="{00000000-0005-0000-0000-0000E2950000}"/>
    <cellStyle name="Normal 2 3 13 14" xfId="38384" xr:uid="{00000000-0005-0000-0000-0000E3950000}"/>
    <cellStyle name="Normal 2 3 13 15" xfId="38385" xr:uid="{00000000-0005-0000-0000-0000E4950000}"/>
    <cellStyle name="Normal 2 3 13 2" xfId="38386" xr:uid="{00000000-0005-0000-0000-0000E5950000}"/>
    <cellStyle name="Normal 2 3 13 3" xfId="38387" xr:uid="{00000000-0005-0000-0000-0000E6950000}"/>
    <cellStyle name="Normal 2 3 13 4" xfId="38388" xr:uid="{00000000-0005-0000-0000-0000E7950000}"/>
    <cellStyle name="Normal 2 3 13 5" xfId="38389" xr:uid="{00000000-0005-0000-0000-0000E8950000}"/>
    <cellStyle name="Normal 2 3 13 6" xfId="38390" xr:uid="{00000000-0005-0000-0000-0000E9950000}"/>
    <cellStyle name="Normal 2 3 13 7" xfId="38391" xr:uid="{00000000-0005-0000-0000-0000EA950000}"/>
    <cellStyle name="Normal 2 3 13 8" xfId="38392" xr:uid="{00000000-0005-0000-0000-0000EB950000}"/>
    <cellStyle name="Normal 2 3 13 9" xfId="38393" xr:uid="{00000000-0005-0000-0000-0000EC950000}"/>
    <cellStyle name="Normal 2 3 14" xfId="38394" xr:uid="{00000000-0005-0000-0000-0000ED950000}"/>
    <cellStyle name="Normal 2 3 14 10" xfId="38395" xr:uid="{00000000-0005-0000-0000-0000EE950000}"/>
    <cellStyle name="Normal 2 3 14 11" xfId="38396" xr:uid="{00000000-0005-0000-0000-0000EF950000}"/>
    <cellStyle name="Normal 2 3 14 12" xfId="38397" xr:uid="{00000000-0005-0000-0000-0000F0950000}"/>
    <cellStyle name="Normal 2 3 14 13" xfId="38398" xr:uid="{00000000-0005-0000-0000-0000F1950000}"/>
    <cellStyle name="Normal 2 3 14 14" xfId="38399" xr:uid="{00000000-0005-0000-0000-0000F2950000}"/>
    <cellStyle name="Normal 2 3 14 15" xfId="38400" xr:uid="{00000000-0005-0000-0000-0000F3950000}"/>
    <cellStyle name="Normal 2 3 14 2" xfId="38401" xr:uid="{00000000-0005-0000-0000-0000F4950000}"/>
    <cellStyle name="Normal 2 3 14 3" xfId="38402" xr:uid="{00000000-0005-0000-0000-0000F5950000}"/>
    <cellStyle name="Normal 2 3 14 4" xfId="38403" xr:uid="{00000000-0005-0000-0000-0000F6950000}"/>
    <cellStyle name="Normal 2 3 14 5" xfId="38404" xr:uid="{00000000-0005-0000-0000-0000F7950000}"/>
    <cellStyle name="Normal 2 3 14 6" xfId="38405" xr:uid="{00000000-0005-0000-0000-0000F8950000}"/>
    <cellStyle name="Normal 2 3 14 7" xfId="38406" xr:uid="{00000000-0005-0000-0000-0000F9950000}"/>
    <cellStyle name="Normal 2 3 14 8" xfId="38407" xr:uid="{00000000-0005-0000-0000-0000FA950000}"/>
    <cellStyle name="Normal 2 3 14 9" xfId="38408" xr:uid="{00000000-0005-0000-0000-0000FB950000}"/>
    <cellStyle name="Normal 2 3 15" xfId="38409" xr:uid="{00000000-0005-0000-0000-0000FC950000}"/>
    <cellStyle name="Normal 2 3 15 10" xfId="38410" xr:uid="{00000000-0005-0000-0000-0000FD950000}"/>
    <cellStyle name="Normal 2 3 15 11" xfId="38411" xr:uid="{00000000-0005-0000-0000-0000FE950000}"/>
    <cellStyle name="Normal 2 3 15 12" xfId="38412" xr:uid="{00000000-0005-0000-0000-0000FF950000}"/>
    <cellStyle name="Normal 2 3 15 13" xfId="38413" xr:uid="{00000000-0005-0000-0000-000000960000}"/>
    <cellStyle name="Normal 2 3 15 14" xfId="38414" xr:uid="{00000000-0005-0000-0000-000001960000}"/>
    <cellStyle name="Normal 2 3 15 15" xfId="38415" xr:uid="{00000000-0005-0000-0000-000002960000}"/>
    <cellStyle name="Normal 2 3 15 2" xfId="38416" xr:uid="{00000000-0005-0000-0000-000003960000}"/>
    <cellStyle name="Normal 2 3 15 3" xfId="38417" xr:uid="{00000000-0005-0000-0000-000004960000}"/>
    <cellStyle name="Normal 2 3 15 4" xfId="38418" xr:uid="{00000000-0005-0000-0000-000005960000}"/>
    <cellStyle name="Normal 2 3 15 5" xfId="38419" xr:uid="{00000000-0005-0000-0000-000006960000}"/>
    <cellStyle name="Normal 2 3 15 6" xfId="38420" xr:uid="{00000000-0005-0000-0000-000007960000}"/>
    <cellStyle name="Normal 2 3 15 7" xfId="38421" xr:uid="{00000000-0005-0000-0000-000008960000}"/>
    <cellStyle name="Normal 2 3 15 8" xfId="38422" xr:uid="{00000000-0005-0000-0000-000009960000}"/>
    <cellStyle name="Normal 2 3 15 9" xfId="38423" xr:uid="{00000000-0005-0000-0000-00000A960000}"/>
    <cellStyle name="Normal 2 3 16" xfId="38424" xr:uid="{00000000-0005-0000-0000-00000B960000}"/>
    <cellStyle name="Normal 2 3 16 10" xfId="38425" xr:uid="{00000000-0005-0000-0000-00000C960000}"/>
    <cellStyle name="Normal 2 3 16 11" xfId="38426" xr:uid="{00000000-0005-0000-0000-00000D960000}"/>
    <cellStyle name="Normal 2 3 16 12" xfId="38427" xr:uid="{00000000-0005-0000-0000-00000E960000}"/>
    <cellStyle name="Normal 2 3 16 13" xfId="38428" xr:uid="{00000000-0005-0000-0000-00000F960000}"/>
    <cellStyle name="Normal 2 3 16 14" xfId="38429" xr:uid="{00000000-0005-0000-0000-000010960000}"/>
    <cellStyle name="Normal 2 3 16 15" xfId="38430" xr:uid="{00000000-0005-0000-0000-000011960000}"/>
    <cellStyle name="Normal 2 3 16 2" xfId="38431" xr:uid="{00000000-0005-0000-0000-000012960000}"/>
    <cellStyle name="Normal 2 3 16 3" xfId="38432" xr:uid="{00000000-0005-0000-0000-000013960000}"/>
    <cellStyle name="Normal 2 3 16 4" xfId="38433" xr:uid="{00000000-0005-0000-0000-000014960000}"/>
    <cellStyle name="Normal 2 3 16 5" xfId="38434" xr:uid="{00000000-0005-0000-0000-000015960000}"/>
    <cellStyle name="Normal 2 3 16 6" xfId="38435" xr:uid="{00000000-0005-0000-0000-000016960000}"/>
    <cellStyle name="Normal 2 3 16 7" xfId="38436" xr:uid="{00000000-0005-0000-0000-000017960000}"/>
    <cellStyle name="Normal 2 3 16 8" xfId="38437" xr:uid="{00000000-0005-0000-0000-000018960000}"/>
    <cellStyle name="Normal 2 3 16 9" xfId="38438" xr:uid="{00000000-0005-0000-0000-000019960000}"/>
    <cellStyle name="Normal 2 3 17" xfId="38439" xr:uid="{00000000-0005-0000-0000-00001A960000}"/>
    <cellStyle name="Normal 2 3 17 10" xfId="38440" xr:uid="{00000000-0005-0000-0000-00001B960000}"/>
    <cellStyle name="Normal 2 3 17 11" xfId="38441" xr:uid="{00000000-0005-0000-0000-00001C960000}"/>
    <cellStyle name="Normal 2 3 17 12" xfId="38442" xr:uid="{00000000-0005-0000-0000-00001D960000}"/>
    <cellStyle name="Normal 2 3 17 13" xfId="38443" xr:uid="{00000000-0005-0000-0000-00001E960000}"/>
    <cellStyle name="Normal 2 3 17 14" xfId="38444" xr:uid="{00000000-0005-0000-0000-00001F960000}"/>
    <cellStyle name="Normal 2 3 17 15" xfId="38445" xr:uid="{00000000-0005-0000-0000-000020960000}"/>
    <cellStyle name="Normal 2 3 17 2" xfId="38446" xr:uid="{00000000-0005-0000-0000-000021960000}"/>
    <cellStyle name="Normal 2 3 17 3" xfId="38447" xr:uid="{00000000-0005-0000-0000-000022960000}"/>
    <cellStyle name="Normal 2 3 17 4" xfId="38448" xr:uid="{00000000-0005-0000-0000-000023960000}"/>
    <cellStyle name="Normal 2 3 17 5" xfId="38449" xr:uid="{00000000-0005-0000-0000-000024960000}"/>
    <cellStyle name="Normal 2 3 17 6" xfId="38450" xr:uid="{00000000-0005-0000-0000-000025960000}"/>
    <cellStyle name="Normal 2 3 17 7" xfId="38451" xr:uid="{00000000-0005-0000-0000-000026960000}"/>
    <cellStyle name="Normal 2 3 17 8" xfId="38452" xr:uid="{00000000-0005-0000-0000-000027960000}"/>
    <cellStyle name="Normal 2 3 17 9" xfId="38453" xr:uid="{00000000-0005-0000-0000-000028960000}"/>
    <cellStyle name="Normal 2 3 18" xfId="38454" xr:uid="{00000000-0005-0000-0000-000029960000}"/>
    <cellStyle name="Normal 2 3 18 10" xfId="38455" xr:uid="{00000000-0005-0000-0000-00002A960000}"/>
    <cellStyle name="Normal 2 3 18 11" xfId="38456" xr:uid="{00000000-0005-0000-0000-00002B960000}"/>
    <cellStyle name="Normal 2 3 18 12" xfId="38457" xr:uid="{00000000-0005-0000-0000-00002C960000}"/>
    <cellStyle name="Normal 2 3 18 13" xfId="38458" xr:uid="{00000000-0005-0000-0000-00002D960000}"/>
    <cellStyle name="Normal 2 3 18 14" xfId="38459" xr:uid="{00000000-0005-0000-0000-00002E960000}"/>
    <cellStyle name="Normal 2 3 18 15" xfId="38460" xr:uid="{00000000-0005-0000-0000-00002F960000}"/>
    <cellStyle name="Normal 2 3 18 2" xfId="38461" xr:uid="{00000000-0005-0000-0000-000030960000}"/>
    <cellStyle name="Normal 2 3 18 3" xfId="38462" xr:uid="{00000000-0005-0000-0000-000031960000}"/>
    <cellStyle name="Normal 2 3 18 4" xfId="38463" xr:uid="{00000000-0005-0000-0000-000032960000}"/>
    <cellStyle name="Normal 2 3 18 5" xfId="38464" xr:uid="{00000000-0005-0000-0000-000033960000}"/>
    <cellStyle name="Normal 2 3 18 6" xfId="38465" xr:uid="{00000000-0005-0000-0000-000034960000}"/>
    <cellStyle name="Normal 2 3 18 7" xfId="38466" xr:uid="{00000000-0005-0000-0000-000035960000}"/>
    <cellStyle name="Normal 2 3 18 8" xfId="38467" xr:uid="{00000000-0005-0000-0000-000036960000}"/>
    <cellStyle name="Normal 2 3 18 9" xfId="38468" xr:uid="{00000000-0005-0000-0000-000037960000}"/>
    <cellStyle name="Normal 2 3 19" xfId="38469" xr:uid="{00000000-0005-0000-0000-000038960000}"/>
    <cellStyle name="Normal 2 3 19 10" xfId="38470" xr:uid="{00000000-0005-0000-0000-000039960000}"/>
    <cellStyle name="Normal 2 3 19 11" xfId="38471" xr:uid="{00000000-0005-0000-0000-00003A960000}"/>
    <cellStyle name="Normal 2 3 19 12" xfId="38472" xr:uid="{00000000-0005-0000-0000-00003B960000}"/>
    <cellStyle name="Normal 2 3 19 13" xfId="38473" xr:uid="{00000000-0005-0000-0000-00003C960000}"/>
    <cellStyle name="Normal 2 3 19 14" xfId="38474" xr:uid="{00000000-0005-0000-0000-00003D960000}"/>
    <cellStyle name="Normal 2 3 19 15" xfId="38475" xr:uid="{00000000-0005-0000-0000-00003E960000}"/>
    <cellStyle name="Normal 2 3 19 2" xfId="38476" xr:uid="{00000000-0005-0000-0000-00003F960000}"/>
    <cellStyle name="Normal 2 3 19 3" xfId="38477" xr:uid="{00000000-0005-0000-0000-000040960000}"/>
    <cellStyle name="Normal 2 3 19 4" xfId="38478" xr:uid="{00000000-0005-0000-0000-000041960000}"/>
    <cellStyle name="Normal 2 3 19 5" xfId="38479" xr:uid="{00000000-0005-0000-0000-000042960000}"/>
    <cellStyle name="Normal 2 3 19 6" xfId="38480" xr:uid="{00000000-0005-0000-0000-000043960000}"/>
    <cellStyle name="Normal 2 3 19 7" xfId="38481" xr:uid="{00000000-0005-0000-0000-000044960000}"/>
    <cellStyle name="Normal 2 3 19 8" xfId="38482" xr:uid="{00000000-0005-0000-0000-000045960000}"/>
    <cellStyle name="Normal 2 3 19 9" xfId="38483" xr:uid="{00000000-0005-0000-0000-000046960000}"/>
    <cellStyle name="Normal 2 3 2" xfId="38484" xr:uid="{00000000-0005-0000-0000-000047960000}"/>
    <cellStyle name="Normal 2 3 2 10" xfId="38485" xr:uid="{00000000-0005-0000-0000-000048960000}"/>
    <cellStyle name="Normal 2 3 2 11" xfId="38486" xr:uid="{00000000-0005-0000-0000-000049960000}"/>
    <cellStyle name="Normal 2 3 2 12" xfId="38487" xr:uid="{00000000-0005-0000-0000-00004A960000}"/>
    <cellStyle name="Normal 2 3 2 13" xfId="38488" xr:uid="{00000000-0005-0000-0000-00004B960000}"/>
    <cellStyle name="Normal 2 3 2 14" xfId="38489" xr:uid="{00000000-0005-0000-0000-00004C960000}"/>
    <cellStyle name="Normal 2 3 2 15" xfId="38490" xr:uid="{00000000-0005-0000-0000-00004D960000}"/>
    <cellStyle name="Normal 2 3 2 16" xfId="38491" xr:uid="{00000000-0005-0000-0000-00004E960000}"/>
    <cellStyle name="Normal 2 3 2 17" xfId="38492" xr:uid="{00000000-0005-0000-0000-00004F960000}"/>
    <cellStyle name="Normal 2 3 2 18" xfId="38493" xr:uid="{00000000-0005-0000-0000-000050960000}"/>
    <cellStyle name="Normal 2 3 2 19" xfId="38494" xr:uid="{00000000-0005-0000-0000-000051960000}"/>
    <cellStyle name="Normal 2 3 2 2" xfId="38495" xr:uid="{00000000-0005-0000-0000-000052960000}"/>
    <cellStyle name="Normal 2 3 2 2 10" xfId="38496" xr:uid="{00000000-0005-0000-0000-000053960000}"/>
    <cellStyle name="Normal 2 3 2 2 11" xfId="38497" xr:uid="{00000000-0005-0000-0000-000054960000}"/>
    <cellStyle name="Normal 2 3 2 2 12" xfId="38498" xr:uid="{00000000-0005-0000-0000-000055960000}"/>
    <cellStyle name="Normal 2 3 2 2 13" xfId="38499" xr:uid="{00000000-0005-0000-0000-000056960000}"/>
    <cellStyle name="Normal 2 3 2 2 14" xfId="38500" xr:uid="{00000000-0005-0000-0000-000057960000}"/>
    <cellStyle name="Normal 2 3 2 2 15" xfId="38501" xr:uid="{00000000-0005-0000-0000-000058960000}"/>
    <cellStyle name="Normal 2 3 2 2 16" xfId="38502" xr:uid="{00000000-0005-0000-0000-000059960000}"/>
    <cellStyle name="Normal 2 3 2 2 17" xfId="38503" xr:uid="{00000000-0005-0000-0000-00005A960000}"/>
    <cellStyle name="Normal 2 3 2 2 18" xfId="38504" xr:uid="{00000000-0005-0000-0000-00005B960000}"/>
    <cellStyle name="Normal 2 3 2 2 19" xfId="38505" xr:uid="{00000000-0005-0000-0000-00005C960000}"/>
    <cellStyle name="Normal 2 3 2 2 2" xfId="38506" xr:uid="{00000000-0005-0000-0000-00005D960000}"/>
    <cellStyle name="Normal 2 3 2 2 2 10" xfId="38507" xr:uid="{00000000-0005-0000-0000-00005E960000}"/>
    <cellStyle name="Normal 2 3 2 2 2 11" xfId="38508" xr:uid="{00000000-0005-0000-0000-00005F960000}"/>
    <cellStyle name="Normal 2 3 2 2 2 12" xfId="38509" xr:uid="{00000000-0005-0000-0000-000060960000}"/>
    <cellStyle name="Normal 2 3 2 2 2 13" xfId="38510" xr:uid="{00000000-0005-0000-0000-000061960000}"/>
    <cellStyle name="Normal 2 3 2 2 2 14" xfId="38511" xr:uid="{00000000-0005-0000-0000-000062960000}"/>
    <cellStyle name="Normal 2 3 2 2 2 15" xfId="38512" xr:uid="{00000000-0005-0000-0000-000063960000}"/>
    <cellStyle name="Normal 2 3 2 2 2 16" xfId="38513" xr:uid="{00000000-0005-0000-0000-000064960000}"/>
    <cellStyle name="Normal 2 3 2 2 2 17" xfId="38514" xr:uid="{00000000-0005-0000-0000-000065960000}"/>
    <cellStyle name="Normal 2 3 2 2 2 18" xfId="38515" xr:uid="{00000000-0005-0000-0000-000066960000}"/>
    <cellStyle name="Normal 2 3 2 2 2 19" xfId="38516" xr:uid="{00000000-0005-0000-0000-000067960000}"/>
    <cellStyle name="Normal 2 3 2 2 2 2" xfId="38517" xr:uid="{00000000-0005-0000-0000-000068960000}"/>
    <cellStyle name="Normal 2 3 2 2 2 20" xfId="38518" xr:uid="{00000000-0005-0000-0000-000069960000}"/>
    <cellStyle name="Normal 2 3 2 2 2 21" xfId="38519" xr:uid="{00000000-0005-0000-0000-00006A960000}"/>
    <cellStyle name="Normal 2 3 2 2 2 22" xfId="38520" xr:uid="{00000000-0005-0000-0000-00006B960000}"/>
    <cellStyle name="Normal 2 3 2 2 2 23" xfId="38521" xr:uid="{00000000-0005-0000-0000-00006C960000}"/>
    <cellStyle name="Normal 2 3 2 2 2 24" xfId="38522" xr:uid="{00000000-0005-0000-0000-00006D960000}"/>
    <cellStyle name="Normal 2 3 2 2 2 25" xfId="38523" xr:uid="{00000000-0005-0000-0000-00006E960000}"/>
    <cellStyle name="Normal 2 3 2 2 2 26" xfId="38524" xr:uid="{00000000-0005-0000-0000-00006F960000}"/>
    <cellStyle name="Normal 2 3 2 2 2 27" xfId="38525" xr:uid="{00000000-0005-0000-0000-000070960000}"/>
    <cellStyle name="Normal 2 3 2 2 2 28" xfId="38526" xr:uid="{00000000-0005-0000-0000-000071960000}"/>
    <cellStyle name="Normal 2 3 2 2 2 29" xfId="38527" xr:uid="{00000000-0005-0000-0000-000072960000}"/>
    <cellStyle name="Normal 2 3 2 2 2 3" xfId="38528" xr:uid="{00000000-0005-0000-0000-000073960000}"/>
    <cellStyle name="Normal 2 3 2 2 2 30" xfId="38529" xr:uid="{00000000-0005-0000-0000-000074960000}"/>
    <cellStyle name="Normal 2 3 2 2 2 31" xfId="38530" xr:uid="{00000000-0005-0000-0000-000075960000}"/>
    <cellStyle name="Normal 2 3 2 2 2 4" xfId="38531" xr:uid="{00000000-0005-0000-0000-000076960000}"/>
    <cellStyle name="Normal 2 3 2 2 2 5" xfId="38532" xr:uid="{00000000-0005-0000-0000-000077960000}"/>
    <cellStyle name="Normal 2 3 2 2 2 6" xfId="38533" xr:uid="{00000000-0005-0000-0000-000078960000}"/>
    <cellStyle name="Normal 2 3 2 2 2 7" xfId="38534" xr:uid="{00000000-0005-0000-0000-000079960000}"/>
    <cellStyle name="Normal 2 3 2 2 2 8" xfId="38535" xr:uid="{00000000-0005-0000-0000-00007A960000}"/>
    <cellStyle name="Normal 2 3 2 2 2 9" xfId="38536" xr:uid="{00000000-0005-0000-0000-00007B960000}"/>
    <cellStyle name="Normal 2 3 2 2 20" xfId="38537" xr:uid="{00000000-0005-0000-0000-00007C960000}"/>
    <cellStyle name="Normal 2 3 2 2 21" xfId="38538" xr:uid="{00000000-0005-0000-0000-00007D960000}"/>
    <cellStyle name="Normal 2 3 2 2 22" xfId="38539" xr:uid="{00000000-0005-0000-0000-00007E960000}"/>
    <cellStyle name="Normal 2 3 2 2 23" xfId="38540" xr:uid="{00000000-0005-0000-0000-00007F960000}"/>
    <cellStyle name="Normal 2 3 2 2 24" xfId="38541" xr:uid="{00000000-0005-0000-0000-000080960000}"/>
    <cellStyle name="Normal 2 3 2 2 25" xfId="38542" xr:uid="{00000000-0005-0000-0000-000081960000}"/>
    <cellStyle name="Normal 2 3 2 2 26" xfId="38543" xr:uid="{00000000-0005-0000-0000-000082960000}"/>
    <cellStyle name="Normal 2 3 2 2 27" xfId="38544" xr:uid="{00000000-0005-0000-0000-000083960000}"/>
    <cellStyle name="Normal 2 3 2 2 28" xfId="38545" xr:uid="{00000000-0005-0000-0000-000084960000}"/>
    <cellStyle name="Normal 2 3 2 2 29" xfId="38546" xr:uid="{00000000-0005-0000-0000-000085960000}"/>
    <cellStyle name="Normal 2 3 2 2 3" xfId="38547" xr:uid="{00000000-0005-0000-0000-000086960000}"/>
    <cellStyle name="Normal 2 3 2 2 30" xfId="38548" xr:uid="{00000000-0005-0000-0000-000087960000}"/>
    <cellStyle name="Normal 2 3 2 2 31" xfId="38549" xr:uid="{00000000-0005-0000-0000-000088960000}"/>
    <cellStyle name="Normal 2 3 2 2 32" xfId="38550" xr:uid="{00000000-0005-0000-0000-000089960000}"/>
    <cellStyle name="Normal 2 3 2 2 4" xfId="38551" xr:uid="{00000000-0005-0000-0000-00008A960000}"/>
    <cellStyle name="Normal 2 3 2 2 5" xfId="38552" xr:uid="{00000000-0005-0000-0000-00008B960000}"/>
    <cellStyle name="Normal 2 3 2 2 6" xfId="38553" xr:uid="{00000000-0005-0000-0000-00008C960000}"/>
    <cellStyle name="Normal 2 3 2 2 7" xfId="38554" xr:uid="{00000000-0005-0000-0000-00008D960000}"/>
    <cellStyle name="Normal 2 3 2 2 8" xfId="38555" xr:uid="{00000000-0005-0000-0000-00008E960000}"/>
    <cellStyle name="Normal 2 3 2 2 9" xfId="38556" xr:uid="{00000000-0005-0000-0000-00008F960000}"/>
    <cellStyle name="Normal 2 3 2 20" xfId="38557" xr:uid="{00000000-0005-0000-0000-000090960000}"/>
    <cellStyle name="Normal 2 3 2 21" xfId="38558" xr:uid="{00000000-0005-0000-0000-000091960000}"/>
    <cellStyle name="Normal 2 3 2 22" xfId="38559" xr:uid="{00000000-0005-0000-0000-000092960000}"/>
    <cellStyle name="Normal 2 3 2 23" xfId="38560" xr:uid="{00000000-0005-0000-0000-000093960000}"/>
    <cellStyle name="Normal 2 3 2 24" xfId="38561" xr:uid="{00000000-0005-0000-0000-000094960000}"/>
    <cellStyle name="Normal 2 3 2 25" xfId="38562" xr:uid="{00000000-0005-0000-0000-000095960000}"/>
    <cellStyle name="Normal 2 3 2 26" xfId="38563" xr:uid="{00000000-0005-0000-0000-000096960000}"/>
    <cellStyle name="Normal 2 3 2 27" xfId="38564" xr:uid="{00000000-0005-0000-0000-000097960000}"/>
    <cellStyle name="Normal 2 3 2 28" xfId="38565" xr:uid="{00000000-0005-0000-0000-000098960000}"/>
    <cellStyle name="Normal 2 3 2 29" xfId="38566" xr:uid="{00000000-0005-0000-0000-000099960000}"/>
    <cellStyle name="Normal 2 3 2 3" xfId="38567" xr:uid="{00000000-0005-0000-0000-00009A960000}"/>
    <cellStyle name="Normal 2 3 2 30" xfId="38568" xr:uid="{00000000-0005-0000-0000-00009B960000}"/>
    <cellStyle name="Normal 2 3 2 31" xfId="38569" xr:uid="{00000000-0005-0000-0000-00009C960000}"/>
    <cellStyle name="Normal 2 3 2 32" xfId="38570" xr:uid="{00000000-0005-0000-0000-00009D960000}"/>
    <cellStyle name="Normal 2 3 2 33" xfId="38571" xr:uid="{00000000-0005-0000-0000-00009E960000}"/>
    <cellStyle name="Normal 2 3 2 34" xfId="38572" xr:uid="{00000000-0005-0000-0000-00009F960000}"/>
    <cellStyle name="Normal 2 3 2 35" xfId="38573" xr:uid="{00000000-0005-0000-0000-0000A0960000}"/>
    <cellStyle name="Normal 2 3 2 36" xfId="38574" xr:uid="{00000000-0005-0000-0000-0000A1960000}"/>
    <cellStyle name="Normal 2 3 2 37" xfId="38575" xr:uid="{00000000-0005-0000-0000-0000A2960000}"/>
    <cellStyle name="Normal 2 3 2 38" xfId="38576" xr:uid="{00000000-0005-0000-0000-0000A3960000}"/>
    <cellStyle name="Normal 2 3 2 39" xfId="38577" xr:uid="{00000000-0005-0000-0000-0000A4960000}"/>
    <cellStyle name="Normal 2 3 2 4" xfId="38578" xr:uid="{00000000-0005-0000-0000-0000A5960000}"/>
    <cellStyle name="Normal 2 3 2 40" xfId="38579" xr:uid="{00000000-0005-0000-0000-0000A6960000}"/>
    <cellStyle name="Normal 2 3 2 40 2" xfId="38580" xr:uid="{00000000-0005-0000-0000-0000A7960000}"/>
    <cellStyle name="Normal 2 3 2 41" xfId="38581" xr:uid="{00000000-0005-0000-0000-0000A8960000}"/>
    <cellStyle name="Normal 2 3 2 42" xfId="38582" xr:uid="{00000000-0005-0000-0000-0000A9960000}"/>
    <cellStyle name="Normal 2 3 2 43" xfId="38583" xr:uid="{00000000-0005-0000-0000-0000AA960000}"/>
    <cellStyle name="Normal 2 3 2 44" xfId="38584" xr:uid="{00000000-0005-0000-0000-0000AB960000}"/>
    <cellStyle name="Normal 2 3 2 45" xfId="38585" xr:uid="{00000000-0005-0000-0000-0000AC960000}"/>
    <cellStyle name="Normal 2 3 2 46" xfId="38586" xr:uid="{00000000-0005-0000-0000-0000AD960000}"/>
    <cellStyle name="Normal 2 3 2 47" xfId="38587" xr:uid="{00000000-0005-0000-0000-0000AE960000}"/>
    <cellStyle name="Normal 2 3 2 48" xfId="38588" xr:uid="{00000000-0005-0000-0000-0000AF960000}"/>
    <cellStyle name="Normal 2 3 2 49" xfId="38589" xr:uid="{00000000-0005-0000-0000-0000B0960000}"/>
    <cellStyle name="Normal 2 3 2 5" xfId="38590" xr:uid="{00000000-0005-0000-0000-0000B1960000}"/>
    <cellStyle name="Normal 2 3 2 50" xfId="38591" xr:uid="{00000000-0005-0000-0000-0000B2960000}"/>
    <cellStyle name="Normal 2 3 2 51" xfId="38592" xr:uid="{00000000-0005-0000-0000-0000B3960000}"/>
    <cellStyle name="Normal 2 3 2 52" xfId="38593" xr:uid="{00000000-0005-0000-0000-0000B4960000}"/>
    <cellStyle name="Normal 2 3 2 53" xfId="38594" xr:uid="{00000000-0005-0000-0000-0000B5960000}"/>
    <cellStyle name="Normal 2 3 2 54" xfId="38595" xr:uid="{00000000-0005-0000-0000-0000B6960000}"/>
    <cellStyle name="Normal 2 3 2 55" xfId="38596" xr:uid="{00000000-0005-0000-0000-0000B7960000}"/>
    <cellStyle name="Normal 2 3 2 56" xfId="38597" xr:uid="{00000000-0005-0000-0000-0000B8960000}"/>
    <cellStyle name="Normal 2 3 2 57" xfId="38598" xr:uid="{00000000-0005-0000-0000-0000B9960000}"/>
    <cellStyle name="Normal 2 3 2 58" xfId="38599" xr:uid="{00000000-0005-0000-0000-0000BA960000}"/>
    <cellStyle name="Normal 2 3 2 59" xfId="38600" xr:uid="{00000000-0005-0000-0000-0000BB960000}"/>
    <cellStyle name="Normal 2 3 2 6" xfId="38601" xr:uid="{00000000-0005-0000-0000-0000BC960000}"/>
    <cellStyle name="Normal 2 3 2 60" xfId="38602" xr:uid="{00000000-0005-0000-0000-0000BD960000}"/>
    <cellStyle name="Normal 2 3 2 61" xfId="38603" xr:uid="{00000000-0005-0000-0000-0000BE960000}"/>
    <cellStyle name="Normal 2 3 2 62" xfId="38604" xr:uid="{00000000-0005-0000-0000-0000BF960000}"/>
    <cellStyle name="Normal 2 3 2 63" xfId="38605" xr:uid="{00000000-0005-0000-0000-0000C0960000}"/>
    <cellStyle name="Normal 2 3 2 64" xfId="38606" xr:uid="{00000000-0005-0000-0000-0000C1960000}"/>
    <cellStyle name="Normal 2 3 2 65" xfId="38607" xr:uid="{00000000-0005-0000-0000-0000C2960000}"/>
    <cellStyle name="Normal 2 3 2 66" xfId="38608" xr:uid="{00000000-0005-0000-0000-0000C3960000}"/>
    <cellStyle name="Normal 2 3 2 67" xfId="38609" xr:uid="{00000000-0005-0000-0000-0000C4960000}"/>
    <cellStyle name="Normal 2 3 2 68" xfId="38610" xr:uid="{00000000-0005-0000-0000-0000C5960000}"/>
    <cellStyle name="Normal 2 3 2 69" xfId="38611" xr:uid="{00000000-0005-0000-0000-0000C6960000}"/>
    <cellStyle name="Normal 2 3 2 7" xfId="38612" xr:uid="{00000000-0005-0000-0000-0000C7960000}"/>
    <cellStyle name="Normal 2 3 2 70" xfId="38613" xr:uid="{00000000-0005-0000-0000-0000C8960000}"/>
    <cellStyle name="Normal 2 3 2 71" xfId="38614" xr:uid="{00000000-0005-0000-0000-0000C9960000}"/>
    <cellStyle name="Normal 2 3 2 72" xfId="38615" xr:uid="{00000000-0005-0000-0000-0000CA960000}"/>
    <cellStyle name="Normal 2 3 2 73" xfId="38616" xr:uid="{00000000-0005-0000-0000-0000CB960000}"/>
    <cellStyle name="Normal 2 3 2 74" xfId="38617" xr:uid="{00000000-0005-0000-0000-0000CC960000}"/>
    <cellStyle name="Normal 2 3 2 75" xfId="38618" xr:uid="{00000000-0005-0000-0000-0000CD960000}"/>
    <cellStyle name="Normal 2 3 2 76" xfId="38619" xr:uid="{00000000-0005-0000-0000-0000CE960000}"/>
    <cellStyle name="Normal 2 3 2 77" xfId="38620" xr:uid="{00000000-0005-0000-0000-0000CF960000}"/>
    <cellStyle name="Normal 2 3 2 78" xfId="38621" xr:uid="{00000000-0005-0000-0000-0000D0960000}"/>
    <cellStyle name="Normal 2 3 2 79" xfId="38622" xr:uid="{00000000-0005-0000-0000-0000D1960000}"/>
    <cellStyle name="Normal 2 3 2 8" xfId="38623" xr:uid="{00000000-0005-0000-0000-0000D2960000}"/>
    <cellStyle name="Normal 2 3 2 9" xfId="38624" xr:uid="{00000000-0005-0000-0000-0000D3960000}"/>
    <cellStyle name="Normal 2 3 20" xfId="38625" xr:uid="{00000000-0005-0000-0000-0000D4960000}"/>
    <cellStyle name="Normal 2 3 20 10" xfId="38626" xr:uid="{00000000-0005-0000-0000-0000D5960000}"/>
    <cellStyle name="Normal 2 3 20 11" xfId="38627" xr:uid="{00000000-0005-0000-0000-0000D6960000}"/>
    <cellStyle name="Normal 2 3 20 12" xfId="38628" xr:uid="{00000000-0005-0000-0000-0000D7960000}"/>
    <cellStyle name="Normal 2 3 20 13" xfId="38629" xr:uid="{00000000-0005-0000-0000-0000D8960000}"/>
    <cellStyle name="Normal 2 3 20 14" xfId="38630" xr:uid="{00000000-0005-0000-0000-0000D9960000}"/>
    <cellStyle name="Normal 2 3 20 15" xfId="38631" xr:uid="{00000000-0005-0000-0000-0000DA960000}"/>
    <cellStyle name="Normal 2 3 20 2" xfId="38632" xr:uid="{00000000-0005-0000-0000-0000DB960000}"/>
    <cellStyle name="Normal 2 3 20 3" xfId="38633" xr:uid="{00000000-0005-0000-0000-0000DC960000}"/>
    <cellStyle name="Normal 2 3 20 4" xfId="38634" xr:uid="{00000000-0005-0000-0000-0000DD960000}"/>
    <cellStyle name="Normal 2 3 20 5" xfId="38635" xr:uid="{00000000-0005-0000-0000-0000DE960000}"/>
    <cellStyle name="Normal 2 3 20 6" xfId="38636" xr:uid="{00000000-0005-0000-0000-0000DF960000}"/>
    <cellStyle name="Normal 2 3 20 7" xfId="38637" xr:uid="{00000000-0005-0000-0000-0000E0960000}"/>
    <cellStyle name="Normal 2 3 20 8" xfId="38638" xr:uid="{00000000-0005-0000-0000-0000E1960000}"/>
    <cellStyle name="Normal 2 3 20 9" xfId="38639" xr:uid="{00000000-0005-0000-0000-0000E2960000}"/>
    <cellStyle name="Normal 2 3 21" xfId="38640" xr:uid="{00000000-0005-0000-0000-0000E3960000}"/>
    <cellStyle name="Normal 2 3 21 10" xfId="38641" xr:uid="{00000000-0005-0000-0000-0000E4960000}"/>
    <cellStyle name="Normal 2 3 21 11" xfId="38642" xr:uid="{00000000-0005-0000-0000-0000E5960000}"/>
    <cellStyle name="Normal 2 3 21 12" xfId="38643" xr:uid="{00000000-0005-0000-0000-0000E6960000}"/>
    <cellStyle name="Normal 2 3 21 13" xfId="38644" xr:uid="{00000000-0005-0000-0000-0000E7960000}"/>
    <cellStyle name="Normal 2 3 21 14" xfId="38645" xr:uid="{00000000-0005-0000-0000-0000E8960000}"/>
    <cellStyle name="Normal 2 3 21 15" xfId="38646" xr:uid="{00000000-0005-0000-0000-0000E9960000}"/>
    <cellStyle name="Normal 2 3 21 2" xfId="38647" xr:uid="{00000000-0005-0000-0000-0000EA960000}"/>
    <cellStyle name="Normal 2 3 21 3" xfId="38648" xr:uid="{00000000-0005-0000-0000-0000EB960000}"/>
    <cellStyle name="Normal 2 3 21 4" xfId="38649" xr:uid="{00000000-0005-0000-0000-0000EC960000}"/>
    <cellStyle name="Normal 2 3 21 5" xfId="38650" xr:uid="{00000000-0005-0000-0000-0000ED960000}"/>
    <cellStyle name="Normal 2 3 21 6" xfId="38651" xr:uid="{00000000-0005-0000-0000-0000EE960000}"/>
    <cellStyle name="Normal 2 3 21 7" xfId="38652" xr:uid="{00000000-0005-0000-0000-0000EF960000}"/>
    <cellStyle name="Normal 2 3 21 8" xfId="38653" xr:uid="{00000000-0005-0000-0000-0000F0960000}"/>
    <cellStyle name="Normal 2 3 21 9" xfId="38654" xr:uid="{00000000-0005-0000-0000-0000F1960000}"/>
    <cellStyle name="Normal 2 3 22" xfId="38655" xr:uid="{00000000-0005-0000-0000-0000F2960000}"/>
    <cellStyle name="Normal 2 3 22 10" xfId="38656" xr:uid="{00000000-0005-0000-0000-0000F3960000}"/>
    <cellStyle name="Normal 2 3 22 11" xfId="38657" xr:uid="{00000000-0005-0000-0000-0000F4960000}"/>
    <cellStyle name="Normal 2 3 22 12" xfId="38658" xr:uid="{00000000-0005-0000-0000-0000F5960000}"/>
    <cellStyle name="Normal 2 3 22 13" xfId="38659" xr:uid="{00000000-0005-0000-0000-0000F6960000}"/>
    <cellStyle name="Normal 2 3 22 14" xfId="38660" xr:uid="{00000000-0005-0000-0000-0000F7960000}"/>
    <cellStyle name="Normal 2 3 22 15" xfId="38661" xr:uid="{00000000-0005-0000-0000-0000F8960000}"/>
    <cellStyle name="Normal 2 3 22 2" xfId="38662" xr:uid="{00000000-0005-0000-0000-0000F9960000}"/>
    <cellStyle name="Normal 2 3 22 3" xfId="38663" xr:uid="{00000000-0005-0000-0000-0000FA960000}"/>
    <cellStyle name="Normal 2 3 22 4" xfId="38664" xr:uid="{00000000-0005-0000-0000-0000FB960000}"/>
    <cellStyle name="Normal 2 3 22 5" xfId="38665" xr:uid="{00000000-0005-0000-0000-0000FC960000}"/>
    <cellStyle name="Normal 2 3 22 6" xfId="38666" xr:uid="{00000000-0005-0000-0000-0000FD960000}"/>
    <cellStyle name="Normal 2 3 22 7" xfId="38667" xr:uid="{00000000-0005-0000-0000-0000FE960000}"/>
    <cellStyle name="Normal 2 3 22 8" xfId="38668" xr:uid="{00000000-0005-0000-0000-0000FF960000}"/>
    <cellStyle name="Normal 2 3 22 9" xfId="38669" xr:uid="{00000000-0005-0000-0000-000000970000}"/>
    <cellStyle name="Normal 2 3 23" xfId="38670" xr:uid="{00000000-0005-0000-0000-000001970000}"/>
    <cellStyle name="Normal 2 3 23 10" xfId="38671" xr:uid="{00000000-0005-0000-0000-000002970000}"/>
    <cellStyle name="Normal 2 3 23 11" xfId="38672" xr:uid="{00000000-0005-0000-0000-000003970000}"/>
    <cellStyle name="Normal 2 3 23 12" xfId="38673" xr:uid="{00000000-0005-0000-0000-000004970000}"/>
    <cellStyle name="Normal 2 3 23 13" xfId="38674" xr:uid="{00000000-0005-0000-0000-000005970000}"/>
    <cellStyle name="Normal 2 3 23 14" xfId="38675" xr:uid="{00000000-0005-0000-0000-000006970000}"/>
    <cellStyle name="Normal 2 3 23 15" xfId="38676" xr:uid="{00000000-0005-0000-0000-000007970000}"/>
    <cellStyle name="Normal 2 3 23 2" xfId="38677" xr:uid="{00000000-0005-0000-0000-000008970000}"/>
    <cellStyle name="Normal 2 3 23 3" xfId="38678" xr:uid="{00000000-0005-0000-0000-000009970000}"/>
    <cellStyle name="Normal 2 3 23 4" xfId="38679" xr:uid="{00000000-0005-0000-0000-00000A970000}"/>
    <cellStyle name="Normal 2 3 23 5" xfId="38680" xr:uid="{00000000-0005-0000-0000-00000B970000}"/>
    <cellStyle name="Normal 2 3 23 6" xfId="38681" xr:uid="{00000000-0005-0000-0000-00000C970000}"/>
    <cellStyle name="Normal 2 3 23 7" xfId="38682" xr:uid="{00000000-0005-0000-0000-00000D970000}"/>
    <cellStyle name="Normal 2 3 23 8" xfId="38683" xr:uid="{00000000-0005-0000-0000-00000E970000}"/>
    <cellStyle name="Normal 2 3 23 9" xfId="38684" xr:uid="{00000000-0005-0000-0000-00000F970000}"/>
    <cellStyle name="Normal 2 3 24" xfId="38685" xr:uid="{00000000-0005-0000-0000-000010970000}"/>
    <cellStyle name="Normal 2 3 24 10" xfId="38686" xr:uid="{00000000-0005-0000-0000-000011970000}"/>
    <cellStyle name="Normal 2 3 24 11" xfId="38687" xr:uid="{00000000-0005-0000-0000-000012970000}"/>
    <cellStyle name="Normal 2 3 24 12" xfId="38688" xr:uid="{00000000-0005-0000-0000-000013970000}"/>
    <cellStyle name="Normal 2 3 24 13" xfId="38689" xr:uid="{00000000-0005-0000-0000-000014970000}"/>
    <cellStyle name="Normal 2 3 24 14" xfId="38690" xr:uid="{00000000-0005-0000-0000-000015970000}"/>
    <cellStyle name="Normal 2 3 24 15" xfId="38691" xr:uid="{00000000-0005-0000-0000-000016970000}"/>
    <cellStyle name="Normal 2 3 24 2" xfId="38692" xr:uid="{00000000-0005-0000-0000-000017970000}"/>
    <cellStyle name="Normal 2 3 24 3" xfId="38693" xr:uid="{00000000-0005-0000-0000-000018970000}"/>
    <cellStyle name="Normal 2 3 24 4" xfId="38694" xr:uid="{00000000-0005-0000-0000-000019970000}"/>
    <cellStyle name="Normal 2 3 24 5" xfId="38695" xr:uid="{00000000-0005-0000-0000-00001A970000}"/>
    <cellStyle name="Normal 2 3 24 6" xfId="38696" xr:uid="{00000000-0005-0000-0000-00001B970000}"/>
    <cellStyle name="Normal 2 3 24 7" xfId="38697" xr:uid="{00000000-0005-0000-0000-00001C970000}"/>
    <cellStyle name="Normal 2 3 24 8" xfId="38698" xr:uid="{00000000-0005-0000-0000-00001D970000}"/>
    <cellStyle name="Normal 2 3 24 9" xfId="38699" xr:uid="{00000000-0005-0000-0000-00001E970000}"/>
    <cellStyle name="Normal 2 3 25" xfId="38700" xr:uid="{00000000-0005-0000-0000-00001F970000}"/>
    <cellStyle name="Normal 2 3 25 10" xfId="38701" xr:uid="{00000000-0005-0000-0000-000020970000}"/>
    <cellStyle name="Normal 2 3 25 11" xfId="38702" xr:uid="{00000000-0005-0000-0000-000021970000}"/>
    <cellStyle name="Normal 2 3 25 12" xfId="38703" xr:uid="{00000000-0005-0000-0000-000022970000}"/>
    <cellStyle name="Normal 2 3 25 13" xfId="38704" xr:uid="{00000000-0005-0000-0000-000023970000}"/>
    <cellStyle name="Normal 2 3 25 14" xfId="38705" xr:uid="{00000000-0005-0000-0000-000024970000}"/>
    <cellStyle name="Normal 2 3 25 15" xfId="38706" xr:uid="{00000000-0005-0000-0000-000025970000}"/>
    <cellStyle name="Normal 2 3 25 2" xfId="38707" xr:uid="{00000000-0005-0000-0000-000026970000}"/>
    <cellStyle name="Normal 2 3 25 3" xfId="38708" xr:uid="{00000000-0005-0000-0000-000027970000}"/>
    <cellStyle name="Normal 2 3 25 4" xfId="38709" xr:uid="{00000000-0005-0000-0000-000028970000}"/>
    <cellStyle name="Normal 2 3 25 5" xfId="38710" xr:uid="{00000000-0005-0000-0000-000029970000}"/>
    <cellStyle name="Normal 2 3 25 6" xfId="38711" xr:uid="{00000000-0005-0000-0000-00002A970000}"/>
    <cellStyle name="Normal 2 3 25 7" xfId="38712" xr:uid="{00000000-0005-0000-0000-00002B970000}"/>
    <cellStyle name="Normal 2 3 25 8" xfId="38713" xr:uid="{00000000-0005-0000-0000-00002C970000}"/>
    <cellStyle name="Normal 2 3 25 9" xfId="38714" xr:uid="{00000000-0005-0000-0000-00002D970000}"/>
    <cellStyle name="Normal 2 3 26" xfId="38715" xr:uid="{00000000-0005-0000-0000-00002E970000}"/>
    <cellStyle name="Normal 2 3 26 10" xfId="38716" xr:uid="{00000000-0005-0000-0000-00002F970000}"/>
    <cellStyle name="Normal 2 3 26 11" xfId="38717" xr:uid="{00000000-0005-0000-0000-000030970000}"/>
    <cellStyle name="Normal 2 3 26 12" xfId="38718" xr:uid="{00000000-0005-0000-0000-000031970000}"/>
    <cellStyle name="Normal 2 3 26 13" xfId="38719" xr:uid="{00000000-0005-0000-0000-000032970000}"/>
    <cellStyle name="Normal 2 3 26 14" xfId="38720" xr:uid="{00000000-0005-0000-0000-000033970000}"/>
    <cellStyle name="Normal 2 3 26 15" xfId="38721" xr:uid="{00000000-0005-0000-0000-000034970000}"/>
    <cellStyle name="Normal 2 3 26 2" xfId="38722" xr:uid="{00000000-0005-0000-0000-000035970000}"/>
    <cellStyle name="Normal 2 3 26 3" xfId="38723" xr:uid="{00000000-0005-0000-0000-000036970000}"/>
    <cellStyle name="Normal 2 3 26 4" xfId="38724" xr:uid="{00000000-0005-0000-0000-000037970000}"/>
    <cellStyle name="Normal 2 3 26 5" xfId="38725" xr:uid="{00000000-0005-0000-0000-000038970000}"/>
    <cellStyle name="Normal 2 3 26 6" xfId="38726" xr:uid="{00000000-0005-0000-0000-000039970000}"/>
    <cellStyle name="Normal 2 3 26 7" xfId="38727" xr:uid="{00000000-0005-0000-0000-00003A970000}"/>
    <cellStyle name="Normal 2 3 26 8" xfId="38728" xr:uid="{00000000-0005-0000-0000-00003B970000}"/>
    <cellStyle name="Normal 2 3 26 9" xfId="38729" xr:uid="{00000000-0005-0000-0000-00003C970000}"/>
    <cellStyle name="Normal 2 3 27" xfId="38730" xr:uid="{00000000-0005-0000-0000-00003D970000}"/>
    <cellStyle name="Normal 2 3 27 10" xfId="38731" xr:uid="{00000000-0005-0000-0000-00003E970000}"/>
    <cellStyle name="Normal 2 3 27 11" xfId="38732" xr:uid="{00000000-0005-0000-0000-00003F970000}"/>
    <cellStyle name="Normal 2 3 27 12" xfId="38733" xr:uid="{00000000-0005-0000-0000-000040970000}"/>
    <cellStyle name="Normal 2 3 27 13" xfId="38734" xr:uid="{00000000-0005-0000-0000-000041970000}"/>
    <cellStyle name="Normal 2 3 27 14" xfId="38735" xr:uid="{00000000-0005-0000-0000-000042970000}"/>
    <cellStyle name="Normal 2 3 27 15" xfId="38736" xr:uid="{00000000-0005-0000-0000-000043970000}"/>
    <cellStyle name="Normal 2 3 27 2" xfId="38737" xr:uid="{00000000-0005-0000-0000-000044970000}"/>
    <cellStyle name="Normal 2 3 27 3" xfId="38738" xr:uid="{00000000-0005-0000-0000-000045970000}"/>
    <cellStyle name="Normal 2 3 27 4" xfId="38739" xr:uid="{00000000-0005-0000-0000-000046970000}"/>
    <cellStyle name="Normal 2 3 27 5" xfId="38740" xr:uid="{00000000-0005-0000-0000-000047970000}"/>
    <cellStyle name="Normal 2 3 27 6" xfId="38741" xr:uid="{00000000-0005-0000-0000-000048970000}"/>
    <cellStyle name="Normal 2 3 27 7" xfId="38742" xr:uid="{00000000-0005-0000-0000-000049970000}"/>
    <cellStyle name="Normal 2 3 27 8" xfId="38743" xr:uid="{00000000-0005-0000-0000-00004A970000}"/>
    <cellStyle name="Normal 2 3 27 9" xfId="38744" xr:uid="{00000000-0005-0000-0000-00004B970000}"/>
    <cellStyle name="Normal 2 3 28" xfId="38745" xr:uid="{00000000-0005-0000-0000-00004C970000}"/>
    <cellStyle name="Normal 2 3 28 10" xfId="38746" xr:uid="{00000000-0005-0000-0000-00004D970000}"/>
    <cellStyle name="Normal 2 3 28 11" xfId="38747" xr:uid="{00000000-0005-0000-0000-00004E970000}"/>
    <cellStyle name="Normal 2 3 28 12" xfId="38748" xr:uid="{00000000-0005-0000-0000-00004F970000}"/>
    <cellStyle name="Normal 2 3 28 13" xfId="38749" xr:uid="{00000000-0005-0000-0000-000050970000}"/>
    <cellStyle name="Normal 2 3 28 14" xfId="38750" xr:uid="{00000000-0005-0000-0000-000051970000}"/>
    <cellStyle name="Normal 2 3 28 15" xfId="38751" xr:uid="{00000000-0005-0000-0000-000052970000}"/>
    <cellStyle name="Normal 2 3 28 2" xfId="38752" xr:uid="{00000000-0005-0000-0000-000053970000}"/>
    <cellStyle name="Normal 2 3 28 3" xfId="38753" xr:uid="{00000000-0005-0000-0000-000054970000}"/>
    <cellStyle name="Normal 2 3 28 4" xfId="38754" xr:uid="{00000000-0005-0000-0000-000055970000}"/>
    <cellStyle name="Normal 2 3 28 5" xfId="38755" xr:uid="{00000000-0005-0000-0000-000056970000}"/>
    <cellStyle name="Normal 2 3 28 6" xfId="38756" xr:uid="{00000000-0005-0000-0000-000057970000}"/>
    <cellStyle name="Normal 2 3 28 7" xfId="38757" xr:uid="{00000000-0005-0000-0000-000058970000}"/>
    <cellStyle name="Normal 2 3 28 8" xfId="38758" xr:uid="{00000000-0005-0000-0000-000059970000}"/>
    <cellStyle name="Normal 2 3 28 9" xfId="38759" xr:uid="{00000000-0005-0000-0000-00005A970000}"/>
    <cellStyle name="Normal 2 3 29" xfId="38760" xr:uid="{00000000-0005-0000-0000-00005B970000}"/>
    <cellStyle name="Normal 2 3 29 10" xfId="38761" xr:uid="{00000000-0005-0000-0000-00005C970000}"/>
    <cellStyle name="Normal 2 3 29 11" xfId="38762" xr:uid="{00000000-0005-0000-0000-00005D970000}"/>
    <cellStyle name="Normal 2 3 29 12" xfId="38763" xr:uid="{00000000-0005-0000-0000-00005E970000}"/>
    <cellStyle name="Normal 2 3 29 13" xfId="38764" xr:uid="{00000000-0005-0000-0000-00005F970000}"/>
    <cellStyle name="Normal 2 3 29 14" xfId="38765" xr:uid="{00000000-0005-0000-0000-000060970000}"/>
    <cellStyle name="Normal 2 3 29 15" xfId="38766" xr:uid="{00000000-0005-0000-0000-000061970000}"/>
    <cellStyle name="Normal 2 3 29 2" xfId="38767" xr:uid="{00000000-0005-0000-0000-000062970000}"/>
    <cellStyle name="Normal 2 3 29 3" xfId="38768" xr:uid="{00000000-0005-0000-0000-000063970000}"/>
    <cellStyle name="Normal 2 3 29 4" xfId="38769" xr:uid="{00000000-0005-0000-0000-000064970000}"/>
    <cellStyle name="Normal 2 3 29 5" xfId="38770" xr:uid="{00000000-0005-0000-0000-000065970000}"/>
    <cellStyle name="Normal 2 3 29 6" xfId="38771" xr:uid="{00000000-0005-0000-0000-000066970000}"/>
    <cellStyle name="Normal 2 3 29 7" xfId="38772" xr:uid="{00000000-0005-0000-0000-000067970000}"/>
    <cellStyle name="Normal 2 3 29 8" xfId="38773" xr:uid="{00000000-0005-0000-0000-000068970000}"/>
    <cellStyle name="Normal 2 3 29 9" xfId="38774" xr:uid="{00000000-0005-0000-0000-000069970000}"/>
    <cellStyle name="Normal 2 3 3" xfId="38775" xr:uid="{00000000-0005-0000-0000-00006A970000}"/>
    <cellStyle name="Normal 2 3 3 2" xfId="38776" xr:uid="{00000000-0005-0000-0000-00006B970000}"/>
    <cellStyle name="Normal 2 3 3 2 2" xfId="38777" xr:uid="{00000000-0005-0000-0000-00006C970000}"/>
    <cellStyle name="Normal 2 3 3 3" xfId="38778" xr:uid="{00000000-0005-0000-0000-00006D970000}"/>
    <cellStyle name="Normal 2 3 3 4" xfId="38779" xr:uid="{00000000-0005-0000-0000-00006E970000}"/>
    <cellStyle name="Normal 2 3 30" xfId="38780" xr:uid="{00000000-0005-0000-0000-00006F970000}"/>
    <cellStyle name="Normal 2 3 30 10" xfId="38781" xr:uid="{00000000-0005-0000-0000-000070970000}"/>
    <cellStyle name="Normal 2 3 30 11" xfId="38782" xr:uid="{00000000-0005-0000-0000-000071970000}"/>
    <cellStyle name="Normal 2 3 30 12" xfId="38783" xr:uid="{00000000-0005-0000-0000-000072970000}"/>
    <cellStyle name="Normal 2 3 30 13" xfId="38784" xr:uid="{00000000-0005-0000-0000-000073970000}"/>
    <cellStyle name="Normal 2 3 30 14" xfId="38785" xr:uid="{00000000-0005-0000-0000-000074970000}"/>
    <cellStyle name="Normal 2 3 30 15" xfId="38786" xr:uid="{00000000-0005-0000-0000-000075970000}"/>
    <cellStyle name="Normal 2 3 30 2" xfId="38787" xr:uid="{00000000-0005-0000-0000-000076970000}"/>
    <cellStyle name="Normal 2 3 30 3" xfId="38788" xr:uid="{00000000-0005-0000-0000-000077970000}"/>
    <cellStyle name="Normal 2 3 30 4" xfId="38789" xr:uid="{00000000-0005-0000-0000-000078970000}"/>
    <cellStyle name="Normal 2 3 30 5" xfId="38790" xr:uid="{00000000-0005-0000-0000-000079970000}"/>
    <cellStyle name="Normal 2 3 30 6" xfId="38791" xr:uid="{00000000-0005-0000-0000-00007A970000}"/>
    <cellStyle name="Normal 2 3 30 7" xfId="38792" xr:uid="{00000000-0005-0000-0000-00007B970000}"/>
    <cellStyle name="Normal 2 3 30 8" xfId="38793" xr:uid="{00000000-0005-0000-0000-00007C970000}"/>
    <cellStyle name="Normal 2 3 30 9" xfId="38794" xr:uid="{00000000-0005-0000-0000-00007D970000}"/>
    <cellStyle name="Normal 2 3 31" xfId="38795" xr:uid="{00000000-0005-0000-0000-00007E970000}"/>
    <cellStyle name="Normal 2 3 31 10" xfId="38796" xr:uid="{00000000-0005-0000-0000-00007F970000}"/>
    <cellStyle name="Normal 2 3 31 11" xfId="38797" xr:uid="{00000000-0005-0000-0000-000080970000}"/>
    <cellStyle name="Normal 2 3 31 12" xfId="38798" xr:uid="{00000000-0005-0000-0000-000081970000}"/>
    <cellStyle name="Normal 2 3 31 13" xfId="38799" xr:uid="{00000000-0005-0000-0000-000082970000}"/>
    <cellStyle name="Normal 2 3 31 14" xfId="38800" xr:uid="{00000000-0005-0000-0000-000083970000}"/>
    <cellStyle name="Normal 2 3 31 15" xfId="38801" xr:uid="{00000000-0005-0000-0000-000084970000}"/>
    <cellStyle name="Normal 2 3 31 2" xfId="38802" xr:uid="{00000000-0005-0000-0000-000085970000}"/>
    <cellStyle name="Normal 2 3 31 3" xfId="38803" xr:uid="{00000000-0005-0000-0000-000086970000}"/>
    <cellStyle name="Normal 2 3 31 4" xfId="38804" xr:uid="{00000000-0005-0000-0000-000087970000}"/>
    <cellStyle name="Normal 2 3 31 5" xfId="38805" xr:uid="{00000000-0005-0000-0000-000088970000}"/>
    <cellStyle name="Normal 2 3 31 6" xfId="38806" xr:uid="{00000000-0005-0000-0000-000089970000}"/>
    <cellStyle name="Normal 2 3 31 7" xfId="38807" xr:uid="{00000000-0005-0000-0000-00008A970000}"/>
    <cellStyle name="Normal 2 3 31 8" xfId="38808" xr:uid="{00000000-0005-0000-0000-00008B970000}"/>
    <cellStyle name="Normal 2 3 31 9" xfId="38809" xr:uid="{00000000-0005-0000-0000-00008C970000}"/>
    <cellStyle name="Normal 2 3 32" xfId="38810" xr:uid="{00000000-0005-0000-0000-00008D970000}"/>
    <cellStyle name="Normal 2 3 32 10" xfId="38811" xr:uid="{00000000-0005-0000-0000-00008E970000}"/>
    <cellStyle name="Normal 2 3 32 11" xfId="38812" xr:uid="{00000000-0005-0000-0000-00008F970000}"/>
    <cellStyle name="Normal 2 3 32 12" xfId="38813" xr:uid="{00000000-0005-0000-0000-000090970000}"/>
    <cellStyle name="Normal 2 3 32 13" xfId="38814" xr:uid="{00000000-0005-0000-0000-000091970000}"/>
    <cellStyle name="Normal 2 3 32 14" xfId="38815" xr:uid="{00000000-0005-0000-0000-000092970000}"/>
    <cellStyle name="Normal 2 3 32 15" xfId="38816" xr:uid="{00000000-0005-0000-0000-000093970000}"/>
    <cellStyle name="Normal 2 3 32 2" xfId="38817" xr:uid="{00000000-0005-0000-0000-000094970000}"/>
    <cellStyle name="Normal 2 3 32 3" xfId="38818" xr:uid="{00000000-0005-0000-0000-000095970000}"/>
    <cellStyle name="Normal 2 3 32 4" xfId="38819" xr:uid="{00000000-0005-0000-0000-000096970000}"/>
    <cellStyle name="Normal 2 3 32 5" xfId="38820" xr:uid="{00000000-0005-0000-0000-000097970000}"/>
    <cellStyle name="Normal 2 3 32 6" xfId="38821" xr:uid="{00000000-0005-0000-0000-000098970000}"/>
    <cellStyle name="Normal 2 3 32 7" xfId="38822" xr:uid="{00000000-0005-0000-0000-000099970000}"/>
    <cellStyle name="Normal 2 3 32 8" xfId="38823" xr:uid="{00000000-0005-0000-0000-00009A970000}"/>
    <cellStyle name="Normal 2 3 32 9" xfId="38824" xr:uid="{00000000-0005-0000-0000-00009B970000}"/>
    <cellStyle name="Normal 2 3 33" xfId="38825" xr:uid="{00000000-0005-0000-0000-00009C970000}"/>
    <cellStyle name="Normal 2 3 33 10" xfId="38826" xr:uid="{00000000-0005-0000-0000-00009D970000}"/>
    <cellStyle name="Normal 2 3 33 11" xfId="38827" xr:uid="{00000000-0005-0000-0000-00009E970000}"/>
    <cellStyle name="Normal 2 3 33 12" xfId="38828" xr:uid="{00000000-0005-0000-0000-00009F970000}"/>
    <cellStyle name="Normal 2 3 33 13" xfId="38829" xr:uid="{00000000-0005-0000-0000-0000A0970000}"/>
    <cellStyle name="Normal 2 3 33 14" xfId="38830" xr:uid="{00000000-0005-0000-0000-0000A1970000}"/>
    <cellStyle name="Normal 2 3 33 15" xfId="38831" xr:uid="{00000000-0005-0000-0000-0000A2970000}"/>
    <cellStyle name="Normal 2 3 33 2" xfId="38832" xr:uid="{00000000-0005-0000-0000-0000A3970000}"/>
    <cellStyle name="Normal 2 3 33 3" xfId="38833" xr:uid="{00000000-0005-0000-0000-0000A4970000}"/>
    <cellStyle name="Normal 2 3 33 4" xfId="38834" xr:uid="{00000000-0005-0000-0000-0000A5970000}"/>
    <cellStyle name="Normal 2 3 33 5" xfId="38835" xr:uid="{00000000-0005-0000-0000-0000A6970000}"/>
    <cellStyle name="Normal 2 3 33 6" xfId="38836" xr:uid="{00000000-0005-0000-0000-0000A7970000}"/>
    <cellStyle name="Normal 2 3 33 7" xfId="38837" xr:uid="{00000000-0005-0000-0000-0000A8970000}"/>
    <cellStyle name="Normal 2 3 33 8" xfId="38838" xr:uid="{00000000-0005-0000-0000-0000A9970000}"/>
    <cellStyle name="Normal 2 3 33 9" xfId="38839" xr:uid="{00000000-0005-0000-0000-0000AA970000}"/>
    <cellStyle name="Normal 2 3 34" xfId="38840" xr:uid="{00000000-0005-0000-0000-0000AB970000}"/>
    <cellStyle name="Normal 2 3 34 10" xfId="38841" xr:uid="{00000000-0005-0000-0000-0000AC970000}"/>
    <cellStyle name="Normal 2 3 34 11" xfId="38842" xr:uid="{00000000-0005-0000-0000-0000AD970000}"/>
    <cellStyle name="Normal 2 3 34 12" xfId="38843" xr:uid="{00000000-0005-0000-0000-0000AE970000}"/>
    <cellStyle name="Normal 2 3 34 13" xfId="38844" xr:uid="{00000000-0005-0000-0000-0000AF970000}"/>
    <cellStyle name="Normal 2 3 34 14" xfId="38845" xr:uid="{00000000-0005-0000-0000-0000B0970000}"/>
    <cellStyle name="Normal 2 3 34 15" xfId="38846" xr:uid="{00000000-0005-0000-0000-0000B1970000}"/>
    <cellStyle name="Normal 2 3 34 2" xfId="38847" xr:uid="{00000000-0005-0000-0000-0000B2970000}"/>
    <cellStyle name="Normal 2 3 34 3" xfId="38848" xr:uid="{00000000-0005-0000-0000-0000B3970000}"/>
    <cellStyle name="Normal 2 3 34 4" xfId="38849" xr:uid="{00000000-0005-0000-0000-0000B4970000}"/>
    <cellStyle name="Normal 2 3 34 5" xfId="38850" xr:uid="{00000000-0005-0000-0000-0000B5970000}"/>
    <cellStyle name="Normal 2 3 34 6" xfId="38851" xr:uid="{00000000-0005-0000-0000-0000B6970000}"/>
    <cellStyle name="Normal 2 3 34 7" xfId="38852" xr:uid="{00000000-0005-0000-0000-0000B7970000}"/>
    <cellStyle name="Normal 2 3 34 8" xfId="38853" xr:uid="{00000000-0005-0000-0000-0000B8970000}"/>
    <cellStyle name="Normal 2 3 34 9" xfId="38854" xr:uid="{00000000-0005-0000-0000-0000B9970000}"/>
    <cellStyle name="Normal 2 3 35" xfId="38855" xr:uid="{00000000-0005-0000-0000-0000BA970000}"/>
    <cellStyle name="Normal 2 3 35 10" xfId="38856" xr:uid="{00000000-0005-0000-0000-0000BB970000}"/>
    <cellStyle name="Normal 2 3 35 11" xfId="38857" xr:uid="{00000000-0005-0000-0000-0000BC970000}"/>
    <cellStyle name="Normal 2 3 35 12" xfId="38858" xr:uid="{00000000-0005-0000-0000-0000BD970000}"/>
    <cellStyle name="Normal 2 3 35 13" xfId="38859" xr:uid="{00000000-0005-0000-0000-0000BE970000}"/>
    <cellStyle name="Normal 2 3 35 14" xfId="38860" xr:uid="{00000000-0005-0000-0000-0000BF970000}"/>
    <cellStyle name="Normal 2 3 35 15" xfId="38861" xr:uid="{00000000-0005-0000-0000-0000C0970000}"/>
    <cellStyle name="Normal 2 3 35 2" xfId="38862" xr:uid="{00000000-0005-0000-0000-0000C1970000}"/>
    <cellStyle name="Normal 2 3 35 3" xfId="38863" xr:uid="{00000000-0005-0000-0000-0000C2970000}"/>
    <cellStyle name="Normal 2 3 35 4" xfId="38864" xr:uid="{00000000-0005-0000-0000-0000C3970000}"/>
    <cellStyle name="Normal 2 3 35 5" xfId="38865" xr:uid="{00000000-0005-0000-0000-0000C4970000}"/>
    <cellStyle name="Normal 2 3 35 6" xfId="38866" xr:uid="{00000000-0005-0000-0000-0000C5970000}"/>
    <cellStyle name="Normal 2 3 35 7" xfId="38867" xr:uid="{00000000-0005-0000-0000-0000C6970000}"/>
    <cellStyle name="Normal 2 3 35 8" xfId="38868" xr:uid="{00000000-0005-0000-0000-0000C7970000}"/>
    <cellStyle name="Normal 2 3 35 9" xfId="38869" xr:uid="{00000000-0005-0000-0000-0000C8970000}"/>
    <cellStyle name="Normal 2 3 36" xfId="38870" xr:uid="{00000000-0005-0000-0000-0000C9970000}"/>
    <cellStyle name="Normal 2 3 37" xfId="38871" xr:uid="{00000000-0005-0000-0000-0000CA970000}"/>
    <cellStyle name="Normal 2 3 38" xfId="38872" xr:uid="{00000000-0005-0000-0000-0000CB970000}"/>
    <cellStyle name="Normal 2 3 39" xfId="38873" xr:uid="{00000000-0005-0000-0000-0000CC970000}"/>
    <cellStyle name="Normal 2 3 4" xfId="38874" xr:uid="{00000000-0005-0000-0000-0000CD970000}"/>
    <cellStyle name="Normal 2 3 4 2" xfId="38875" xr:uid="{00000000-0005-0000-0000-0000CE970000}"/>
    <cellStyle name="Normal 2 3 40" xfId="38876" xr:uid="{00000000-0005-0000-0000-0000CF970000}"/>
    <cellStyle name="Normal 2 3 40 2" xfId="38877" xr:uid="{00000000-0005-0000-0000-0000D0970000}"/>
    <cellStyle name="Normal 2 3 41" xfId="38878" xr:uid="{00000000-0005-0000-0000-0000D1970000}"/>
    <cellStyle name="Normal 2 3 41 2" xfId="38879" xr:uid="{00000000-0005-0000-0000-0000D2970000}"/>
    <cellStyle name="Normal 2 3 42" xfId="38880" xr:uid="{00000000-0005-0000-0000-0000D3970000}"/>
    <cellStyle name="Normal 2 3 42 2" xfId="38881" xr:uid="{00000000-0005-0000-0000-0000D4970000}"/>
    <cellStyle name="Normal 2 3 43" xfId="38882" xr:uid="{00000000-0005-0000-0000-0000D5970000}"/>
    <cellStyle name="Normal 2 3 43 2" xfId="38883" xr:uid="{00000000-0005-0000-0000-0000D6970000}"/>
    <cellStyle name="Normal 2 3 44" xfId="38884" xr:uid="{00000000-0005-0000-0000-0000D7970000}"/>
    <cellStyle name="Normal 2 3 44 2" xfId="38885" xr:uid="{00000000-0005-0000-0000-0000D8970000}"/>
    <cellStyle name="Normal 2 3 45" xfId="38886" xr:uid="{00000000-0005-0000-0000-0000D9970000}"/>
    <cellStyle name="Normal 2 3 45 2" xfId="38887" xr:uid="{00000000-0005-0000-0000-0000DA970000}"/>
    <cellStyle name="Normal 2 3 46" xfId="38888" xr:uid="{00000000-0005-0000-0000-0000DB970000}"/>
    <cellStyle name="Normal 2 3 46 2" xfId="38889" xr:uid="{00000000-0005-0000-0000-0000DC970000}"/>
    <cellStyle name="Normal 2 3 47" xfId="38890" xr:uid="{00000000-0005-0000-0000-0000DD970000}"/>
    <cellStyle name="Normal 2 3 47 2" xfId="38891" xr:uid="{00000000-0005-0000-0000-0000DE970000}"/>
    <cellStyle name="Normal 2 3 48" xfId="38892" xr:uid="{00000000-0005-0000-0000-0000DF970000}"/>
    <cellStyle name="Normal 2 3 48 2" xfId="38893" xr:uid="{00000000-0005-0000-0000-0000E0970000}"/>
    <cellStyle name="Normal 2 3 49" xfId="38894" xr:uid="{00000000-0005-0000-0000-0000E1970000}"/>
    <cellStyle name="Normal 2 3 49 2" xfId="38895" xr:uid="{00000000-0005-0000-0000-0000E2970000}"/>
    <cellStyle name="Normal 2 3 5" xfId="38896" xr:uid="{00000000-0005-0000-0000-0000E3970000}"/>
    <cellStyle name="Normal 2 3 50" xfId="38897" xr:uid="{00000000-0005-0000-0000-0000E4970000}"/>
    <cellStyle name="Normal 2 3 50 2" xfId="38898" xr:uid="{00000000-0005-0000-0000-0000E5970000}"/>
    <cellStyle name="Normal 2 3 51" xfId="38899" xr:uid="{00000000-0005-0000-0000-0000E6970000}"/>
    <cellStyle name="Normal 2 3 51 2" xfId="38900" xr:uid="{00000000-0005-0000-0000-0000E7970000}"/>
    <cellStyle name="Normal 2 3 52" xfId="38901" xr:uid="{00000000-0005-0000-0000-0000E8970000}"/>
    <cellStyle name="Normal 2 3 53" xfId="38902" xr:uid="{00000000-0005-0000-0000-0000E9970000}"/>
    <cellStyle name="Normal 2 3 54" xfId="38903" xr:uid="{00000000-0005-0000-0000-0000EA970000}"/>
    <cellStyle name="Normal 2 3 55" xfId="38904" xr:uid="{00000000-0005-0000-0000-0000EB970000}"/>
    <cellStyle name="Normal 2 3 56" xfId="38905" xr:uid="{00000000-0005-0000-0000-0000EC970000}"/>
    <cellStyle name="Normal 2 3 57" xfId="38906" xr:uid="{00000000-0005-0000-0000-0000ED970000}"/>
    <cellStyle name="Normal 2 3 58" xfId="38907" xr:uid="{00000000-0005-0000-0000-0000EE970000}"/>
    <cellStyle name="Normal 2 3 59" xfId="38908" xr:uid="{00000000-0005-0000-0000-0000EF970000}"/>
    <cellStyle name="Normal 2 3 6" xfId="38909" xr:uid="{00000000-0005-0000-0000-0000F0970000}"/>
    <cellStyle name="Normal 2 3 60" xfId="38910" xr:uid="{00000000-0005-0000-0000-0000F1970000}"/>
    <cellStyle name="Normal 2 3 61" xfId="38911" xr:uid="{00000000-0005-0000-0000-0000F2970000}"/>
    <cellStyle name="Normal 2 3 62" xfId="38912" xr:uid="{00000000-0005-0000-0000-0000F3970000}"/>
    <cellStyle name="Normal 2 3 63" xfId="38913" xr:uid="{00000000-0005-0000-0000-0000F4970000}"/>
    <cellStyle name="Normal 2 3 64" xfId="38914" xr:uid="{00000000-0005-0000-0000-0000F5970000}"/>
    <cellStyle name="Normal 2 3 65" xfId="38915" xr:uid="{00000000-0005-0000-0000-0000F6970000}"/>
    <cellStyle name="Normal 2 3 66" xfId="38916" xr:uid="{00000000-0005-0000-0000-0000F7970000}"/>
    <cellStyle name="Normal 2 3 67" xfId="38917" xr:uid="{00000000-0005-0000-0000-0000F8970000}"/>
    <cellStyle name="Normal 2 3 68" xfId="38918" xr:uid="{00000000-0005-0000-0000-0000F9970000}"/>
    <cellStyle name="Normal 2 3 69" xfId="38919" xr:uid="{00000000-0005-0000-0000-0000FA970000}"/>
    <cellStyle name="Normal 2 3 7" xfId="38920" xr:uid="{00000000-0005-0000-0000-0000FB970000}"/>
    <cellStyle name="Normal 2 3 70" xfId="38921" xr:uid="{00000000-0005-0000-0000-0000FC970000}"/>
    <cellStyle name="Normal 2 3 71" xfId="38922" xr:uid="{00000000-0005-0000-0000-0000FD970000}"/>
    <cellStyle name="Normal 2 3 72" xfId="38923" xr:uid="{00000000-0005-0000-0000-0000FE970000}"/>
    <cellStyle name="Normal 2 3 73" xfId="38924" xr:uid="{00000000-0005-0000-0000-0000FF970000}"/>
    <cellStyle name="Normal 2 3 74" xfId="38925" xr:uid="{00000000-0005-0000-0000-000000980000}"/>
    <cellStyle name="Normal 2 3 75" xfId="38926" xr:uid="{00000000-0005-0000-0000-000001980000}"/>
    <cellStyle name="Normal 2 3 76" xfId="38927" xr:uid="{00000000-0005-0000-0000-000002980000}"/>
    <cellStyle name="Normal 2 3 77" xfId="38928" xr:uid="{00000000-0005-0000-0000-000003980000}"/>
    <cellStyle name="Normal 2 3 78" xfId="38929" xr:uid="{00000000-0005-0000-0000-000004980000}"/>
    <cellStyle name="Normal 2 3 79" xfId="38930" xr:uid="{00000000-0005-0000-0000-000005980000}"/>
    <cellStyle name="Normal 2 3 8" xfId="38931" xr:uid="{00000000-0005-0000-0000-000006980000}"/>
    <cellStyle name="Normal 2 3 80" xfId="38932" xr:uid="{00000000-0005-0000-0000-000007980000}"/>
    <cellStyle name="Normal 2 3 81" xfId="38933" xr:uid="{00000000-0005-0000-0000-000008980000}"/>
    <cellStyle name="Normal 2 3 82" xfId="38934" xr:uid="{00000000-0005-0000-0000-000009980000}"/>
    <cellStyle name="Normal 2 3 83" xfId="38935" xr:uid="{00000000-0005-0000-0000-00000A980000}"/>
    <cellStyle name="Normal 2 3 84" xfId="38936" xr:uid="{00000000-0005-0000-0000-00000B980000}"/>
    <cellStyle name="Normal 2 3 85" xfId="38937" xr:uid="{00000000-0005-0000-0000-00000C980000}"/>
    <cellStyle name="Normal 2 3 86" xfId="38938" xr:uid="{00000000-0005-0000-0000-00000D980000}"/>
    <cellStyle name="Normal 2 3 87" xfId="38939" xr:uid="{00000000-0005-0000-0000-00000E980000}"/>
    <cellStyle name="Normal 2 3 88" xfId="38940" xr:uid="{00000000-0005-0000-0000-00000F980000}"/>
    <cellStyle name="Normal 2 3 89" xfId="38941" xr:uid="{00000000-0005-0000-0000-000010980000}"/>
    <cellStyle name="Normal 2 3 9" xfId="38942" xr:uid="{00000000-0005-0000-0000-000011980000}"/>
    <cellStyle name="Normal 2 3 90" xfId="38943" xr:uid="{00000000-0005-0000-0000-000012980000}"/>
    <cellStyle name="Normal 2 3 91" xfId="38944" xr:uid="{00000000-0005-0000-0000-000013980000}"/>
    <cellStyle name="Normal 2 3 92" xfId="38945" xr:uid="{00000000-0005-0000-0000-000014980000}"/>
    <cellStyle name="Normal 2 3 93" xfId="38946" xr:uid="{00000000-0005-0000-0000-000015980000}"/>
    <cellStyle name="Normal 2 3 94" xfId="38947" xr:uid="{00000000-0005-0000-0000-000016980000}"/>
    <cellStyle name="Normal 2 3 95" xfId="38948" xr:uid="{00000000-0005-0000-0000-000017980000}"/>
    <cellStyle name="Normal 2 3 96" xfId="38949" xr:uid="{00000000-0005-0000-0000-000018980000}"/>
    <cellStyle name="Normal 2 3 97" xfId="38950" xr:uid="{00000000-0005-0000-0000-000019980000}"/>
    <cellStyle name="Normal 2 3 98" xfId="38951" xr:uid="{00000000-0005-0000-0000-00001A980000}"/>
    <cellStyle name="Normal 2 3 99" xfId="38952" xr:uid="{00000000-0005-0000-0000-00001B980000}"/>
    <cellStyle name="Normal 2 3_Flow" xfId="38953" xr:uid="{00000000-0005-0000-0000-00001C980000}"/>
    <cellStyle name="Normal 2 30" xfId="38954" xr:uid="{00000000-0005-0000-0000-00001D980000}"/>
    <cellStyle name="Normal 2 31" xfId="38955" xr:uid="{00000000-0005-0000-0000-00001E980000}"/>
    <cellStyle name="Normal 2 32" xfId="38956" xr:uid="{00000000-0005-0000-0000-00001F980000}"/>
    <cellStyle name="Normal 2 32 10" xfId="38957" xr:uid="{00000000-0005-0000-0000-000020980000}"/>
    <cellStyle name="Normal 2 32 11" xfId="38958" xr:uid="{00000000-0005-0000-0000-000021980000}"/>
    <cellStyle name="Normal 2 32 12" xfId="38959" xr:uid="{00000000-0005-0000-0000-000022980000}"/>
    <cellStyle name="Normal 2 32 13" xfId="38960" xr:uid="{00000000-0005-0000-0000-000023980000}"/>
    <cellStyle name="Normal 2 32 14" xfId="38961" xr:uid="{00000000-0005-0000-0000-000024980000}"/>
    <cellStyle name="Normal 2 32 15" xfId="38962" xr:uid="{00000000-0005-0000-0000-000025980000}"/>
    <cellStyle name="Normal 2 32 2" xfId="38963" xr:uid="{00000000-0005-0000-0000-000026980000}"/>
    <cellStyle name="Normal 2 32 3" xfId="38964" xr:uid="{00000000-0005-0000-0000-000027980000}"/>
    <cellStyle name="Normal 2 32 4" xfId="38965" xr:uid="{00000000-0005-0000-0000-000028980000}"/>
    <cellStyle name="Normal 2 32 5" xfId="38966" xr:uid="{00000000-0005-0000-0000-000029980000}"/>
    <cellStyle name="Normal 2 32 6" xfId="38967" xr:uid="{00000000-0005-0000-0000-00002A980000}"/>
    <cellStyle name="Normal 2 32 7" xfId="38968" xr:uid="{00000000-0005-0000-0000-00002B980000}"/>
    <cellStyle name="Normal 2 32 8" xfId="38969" xr:uid="{00000000-0005-0000-0000-00002C980000}"/>
    <cellStyle name="Normal 2 32 9" xfId="38970" xr:uid="{00000000-0005-0000-0000-00002D980000}"/>
    <cellStyle name="Normal 2 33" xfId="38971" xr:uid="{00000000-0005-0000-0000-00002E980000}"/>
    <cellStyle name="Normal 2 33 10" xfId="38972" xr:uid="{00000000-0005-0000-0000-00002F980000}"/>
    <cellStyle name="Normal 2 33 11" xfId="38973" xr:uid="{00000000-0005-0000-0000-000030980000}"/>
    <cellStyle name="Normal 2 33 12" xfId="38974" xr:uid="{00000000-0005-0000-0000-000031980000}"/>
    <cellStyle name="Normal 2 33 13" xfId="38975" xr:uid="{00000000-0005-0000-0000-000032980000}"/>
    <cellStyle name="Normal 2 33 14" xfId="38976" xr:uid="{00000000-0005-0000-0000-000033980000}"/>
    <cellStyle name="Normal 2 33 15" xfId="38977" xr:uid="{00000000-0005-0000-0000-000034980000}"/>
    <cellStyle name="Normal 2 33 2" xfId="38978" xr:uid="{00000000-0005-0000-0000-000035980000}"/>
    <cellStyle name="Normal 2 33 3" xfId="38979" xr:uid="{00000000-0005-0000-0000-000036980000}"/>
    <cellStyle name="Normal 2 33 4" xfId="38980" xr:uid="{00000000-0005-0000-0000-000037980000}"/>
    <cellStyle name="Normal 2 33 5" xfId="38981" xr:uid="{00000000-0005-0000-0000-000038980000}"/>
    <cellStyle name="Normal 2 33 6" xfId="38982" xr:uid="{00000000-0005-0000-0000-000039980000}"/>
    <cellStyle name="Normal 2 33 7" xfId="38983" xr:uid="{00000000-0005-0000-0000-00003A980000}"/>
    <cellStyle name="Normal 2 33 8" xfId="38984" xr:uid="{00000000-0005-0000-0000-00003B980000}"/>
    <cellStyle name="Normal 2 33 9" xfId="38985" xr:uid="{00000000-0005-0000-0000-00003C980000}"/>
    <cellStyle name="Normal 2 34" xfId="38986" xr:uid="{00000000-0005-0000-0000-00003D980000}"/>
    <cellStyle name="Normal 2 34 10" xfId="38987" xr:uid="{00000000-0005-0000-0000-00003E980000}"/>
    <cellStyle name="Normal 2 34 11" xfId="38988" xr:uid="{00000000-0005-0000-0000-00003F980000}"/>
    <cellStyle name="Normal 2 34 12" xfId="38989" xr:uid="{00000000-0005-0000-0000-000040980000}"/>
    <cellStyle name="Normal 2 34 13" xfId="38990" xr:uid="{00000000-0005-0000-0000-000041980000}"/>
    <cellStyle name="Normal 2 34 14" xfId="38991" xr:uid="{00000000-0005-0000-0000-000042980000}"/>
    <cellStyle name="Normal 2 34 15" xfId="38992" xr:uid="{00000000-0005-0000-0000-000043980000}"/>
    <cellStyle name="Normal 2 34 2" xfId="38993" xr:uid="{00000000-0005-0000-0000-000044980000}"/>
    <cellStyle name="Normal 2 34 3" xfId="38994" xr:uid="{00000000-0005-0000-0000-000045980000}"/>
    <cellStyle name="Normal 2 34 4" xfId="38995" xr:uid="{00000000-0005-0000-0000-000046980000}"/>
    <cellStyle name="Normal 2 34 5" xfId="38996" xr:uid="{00000000-0005-0000-0000-000047980000}"/>
    <cellStyle name="Normal 2 34 6" xfId="38997" xr:uid="{00000000-0005-0000-0000-000048980000}"/>
    <cellStyle name="Normal 2 34 7" xfId="38998" xr:uid="{00000000-0005-0000-0000-000049980000}"/>
    <cellStyle name="Normal 2 34 8" xfId="38999" xr:uid="{00000000-0005-0000-0000-00004A980000}"/>
    <cellStyle name="Normal 2 34 9" xfId="39000" xr:uid="{00000000-0005-0000-0000-00004B980000}"/>
    <cellStyle name="Normal 2 35" xfId="39001" xr:uid="{00000000-0005-0000-0000-00004C980000}"/>
    <cellStyle name="Normal 2 35 10" xfId="39002" xr:uid="{00000000-0005-0000-0000-00004D980000}"/>
    <cellStyle name="Normal 2 35 11" xfId="39003" xr:uid="{00000000-0005-0000-0000-00004E980000}"/>
    <cellStyle name="Normal 2 35 12" xfId="39004" xr:uid="{00000000-0005-0000-0000-00004F980000}"/>
    <cellStyle name="Normal 2 35 13" xfId="39005" xr:uid="{00000000-0005-0000-0000-000050980000}"/>
    <cellStyle name="Normal 2 35 14" xfId="39006" xr:uid="{00000000-0005-0000-0000-000051980000}"/>
    <cellStyle name="Normal 2 35 15" xfId="39007" xr:uid="{00000000-0005-0000-0000-000052980000}"/>
    <cellStyle name="Normal 2 35 2" xfId="39008" xr:uid="{00000000-0005-0000-0000-000053980000}"/>
    <cellStyle name="Normal 2 35 3" xfId="39009" xr:uid="{00000000-0005-0000-0000-000054980000}"/>
    <cellStyle name="Normal 2 35 4" xfId="39010" xr:uid="{00000000-0005-0000-0000-000055980000}"/>
    <cellStyle name="Normal 2 35 5" xfId="39011" xr:uid="{00000000-0005-0000-0000-000056980000}"/>
    <cellStyle name="Normal 2 35 6" xfId="39012" xr:uid="{00000000-0005-0000-0000-000057980000}"/>
    <cellStyle name="Normal 2 35 7" xfId="39013" xr:uid="{00000000-0005-0000-0000-000058980000}"/>
    <cellStyle name="Normal 2 35 8" xfId="39014" xr:uid="{00000000-0005-0000-0000-000059980000}"/>
    <cellStyle name="Normal 2 35 9" xfId="39015" xr:uid="{00000000-0005-0000-0000-00005A980000}"/>
    <cellStyle name="Normal 2 36" xfId="39016" xr:uid="{00000000-0005-0000-0000-00005B980000}"/>
    <cellStyle name="Normal 2 36 10" xfId="39017" xr:uid="{00000000-0005-0000-0000-00005C980000}"/>
    <cellStyle name="Normal 2 36 11" xfId="39018" xr:uid="{00000000-0005-0000-0000-00005D980000}"/>
    <cellStyle name="Normal 2 36 12" xfId="39019" xr:uid="{00000000-0005-0000-0000-00005E980000}"/>
    <cellStyle name="Normal 2 36 13" xfId="39020" xr:uid="{00000000-0005-0000-0000-00005F980000}"/>
    <cellStyle name="Normal 2 36 14" xfId="39021" xr:uid="{00000000-0005-0000-0000-000060980000}"/>
    <cellStyle name="Normal 2 36 15" xfId="39022" xr:uid="{00000000-0005-0000-0000-000061980000}"/>
    <cellStyle name="Normal 2 36 2" xfId="39023" xr:uid="{00000000-0005-0000-0000-000062980000}"/>
    <cellStyle name="Normal 2 36 3" xfId="39024" xr:uid="{00000000-0005-0000-0000-000063980000}"/>
    <cellStyle name="Normal 2 36 4" xfId="39025" xr:uid="{00000000-0005-0000-0000-000064980000}"/>
    <cellStyle name="Normal 2 36 5" xfId="39026" xr:uid="{00000000-0005-0000-0000-000065980000}"/>
    <cellStyle name="Normal 2 36 6" xfId="39027" xr:uid="{00000000-0005-0000-0000-000066980000}"/>
    <cellStyle name="Normal 2 36 7" xfId="39028" xr:uid="{00000000-0005-0000-0000-000067980000}"/>
    <cellStyle name="Normal 2 36 8" xfId="39029" xr:uid="{00000000-0005-0000-0000-000068980000}"/>
    <cellStyle name="Normal 2 36 9" xfId="39030" xr:uid="{00000000-0005-0000-0000-000069980000}"/>
    <cellStyle name="Normal 2 37" xfId="39031" xr:uid="{00000000-0005-0000-0000-00006A980000}"/>
    <cellStyle name="Normal 2 37 10" xfId="39032" xr:uid="{00000000-0005-0000-0000-00006B980000}"/>
    <cellStyle name="Normal 2 37 11" xfId="39033" xr:uid="{00000000-0005-0000-0000-00006C980000}"/>
    <cellStyle name="Normal 2 37 12" xfId="39034" xr:uid="{00000000-0005-0000-0000-00006D980000}"/>
    <cellStyle name="Normal 2 37 13" xfId="39035" xr:uid="{00000000-0005-0000-0000-00006E980000}"/>
    <cellStyle name="Normal 2 37 14" xfId="39036" xr:uid="{00000000-0005-0000-0000-00006F980000}"/>
    <cellStyle name="Normal 2 37 15" xfId="39037" xr:uid="{00000000-0005-0000-0000-000070980000}"/>
    <cellStyle name="Normal 2 37 2" xfId="39038" xr:uid="{00000000-0005-0000-0000-000071980000}"/>
    <cellStyle name="Normal 2 37 3" xfId="39039" xr:uid="{00000000-0005-0000-0000-000072980000}"/>
    <cellStyle name="Normal 2 37 4" xfId="39040" xr:uid="{00000000-0005-0000-0000-000073980000}"/>
    <cellStyle name="Normal 2 37 5" xfId="39041" xr:uid="{00000000-0005-0000-0000-000074980000}"/>
    <cellStyle name="Normal 2 37 6" xfId="39042" xr:uid="{00000000-0005-0000-0000-000075980000}"/>
    <cellStyle name="Normal 2 37 7" xfId="39043" xr:uid="{00000000-0005-0000-0000-000076980000}"/>
    <cellStyle name="Normal 2 37 8" xfId="39044" xr:uid="{00000000-0005-0000-0000-000077980000}"/>
    <cellStyle name="Normal 2 37 9" xfId="39045" xr:uid="{00000000-0005-0000-0000-000078980000}"/>
    <cellStyle name="Normal 2 38" xfId="39046" xr:uid="{00000000-0005-0000-0000-000079980000}"/>
    <cellStyle name="Normal 2 38 10" xfId="39047" xr:uid="{00000000-0005-0000-0000-00007A980000}"/>
    <cellStyle name="Normal 2 38 11" xfId="39048" xr:uid="{00000000-0005-0000-0000-00007B980000}"/>
    <cellStyle name="Normal 2 38 12" xfId="39049" xr:uid="{00000000-0005-0000-0000-00007C980000}"/>
    <cellStyle name="Normal 2 38 13" xfId="39050" xr:uid="{00000000-0005-0000-0000-00007D980000}"/>
    <cellStyle name="Normal 2 38 14" xfId="39051" xr:uid="{00000000-0005-0000-0000-00007E980000}"/>
    <cellStyle name="Normal 2 38 15" xfId="39052" xr:uid="{00000000-0005-0000-0000-00007F980000}"/>
    <cellStyle name="Normal 2 38 2" xfId="39053" xr:uid="{00000000-0005-0000-0000-000080980000}"/>
    <cellStyle name="Normal 2 38 3" xfId="39054" xr:uid="{00000000-0005-0000-0000-000081980000}"/>
    <cellStyle name="Normal 2 38 4" xfId="39055" xr:uid="{00000000-0005-0000-0000-000082980000}"/>
    <cellStyle name="Normal 2 38 5" xfId="39056" xr:uid="{00000000-0005-0000-0000-000083980000}"/>
    <cellStyle name="Normal 2 38 6" xfId="39057" xr:uid="{00000000-0005-0000-0000-000084980000}"/>
    <cellStyle name="Normal 2 38 7" xfId="39058" xr:uid="{00000000-0005-0000-0000-000085980000}"/>
    <cellStyle name="Normal 2 38 8" xfId="39059" xr:uid="{00000000-0005-0000-0000-000086980000}"/>
    <cellStyle name="Normal 2 38 9" xfId="39060" xr:uid="{00000000-0005-0000-0000-000087980000}"/>
    <cellStyle name="Normal 2 39" xfId="39061" xr:uid="{00000000-0005-0000-0000-000088980000}"/>
    <cellStyle name="Normal 2 39 10" xfId="39062" xr:uid="{00000000-0005-0000-0000-000089980000}"/>
    <cellStyle name="Normal 2 39 11" xfId="39063" xr:uid="{00000000-0005-0000-0000-00008A980000}"/>
    <cellStyle name="Normal 2 39 12" xfId="39064" xr:uid="{00000000-0005-0000-0000-00008B980000}"/>
    <cellStyle name="Normal 2 39 13" xfId="39065" xr:uid="{00000000-0005-0000-0000-00008C980000}"/>
    <cellStyle name="Normal 2 39 14" xfId="39066" xr:uid="{00000000-0005-0000-0000-00008D980000}"/>
    <cellStyle name="Normal 2 39 15" xfId="39067" xr:uid="{00000000-0005-0000-0000-00008E980000}"/>
    <cellStyle name="Normal 2 39 2" xfId="39068" xr:uid="{00000000-0005-0000-0000-00008F980000}"/>
    <cellStyle name="Normal 2 39 3" xfId="39069" xr:uid="{00000000-0005-0000-0000-000090980000}"/>
    <cellStyle name="Normal 2 39 4" xfId="39070" xr:uid="{00000000-0005-0000-0000-000091980000}"/>
    <cellStyle name="Normal 2 39 5" xfId="39071" xr:uid="{00000000-0005-0000-0000-000092980000}"/>
    <cellStyle name="Normal 2 39 6" xfId="39072" xr:uid="{00000000-0005-0000-0000-000093980000}"/>
    <cellStyle name="Normal 2 39 7" xfId="39073" xr:uid="{00000000-0005-0000-0000-000094980000}"/>
    <cellStyle name="Normal 2 39 8" xfId="39074" xr:uid="{00000000-0005-0000-0000-000095980000}"/>
    <cellStyle name="Normal 2 39 9" xfId="39075" xr:uid="{00000000-0005-0000-0000-000096980000}"/>
    <cellStyle name="Normal 2 4" xfId="39076" xr:uid="{00000000-0005-0000-0000-000097980000}"/>
    <cellStyle name="Normal 2 4 10" xfId="39077" xr:uid="{00000000-0005-0000-0000-000098980000}"/>
    <cellStyle name="Normal 2 4 10 2" xfId="39078" xr:uid="{00000000-0005-0000-0000-000099980000}"/>
    <cellStyle name="Normal 2 4 11" xfId="39079" xr:uid="{00000000-0005-0000-0000-00009A980000}"/>
    <cellStyle name="Normal 2 4 11 2" xfId="39080" xr:uid="{00000000-0005-0000-0000-00009B980000}"/>
    <cellStyle name="Normal 2 4 12" xfId="39081" xr:uid="{00000000-0005-0000-0000-00009C980000}"/>
    <cellStyle name="Normal 2 4 12 2" xfId="39082" xr:uid="{00000000-0005-0000-0000-00009D980000}"/>
    <cellStyle name="Normal 2 4 13" xfId="39083" xr:uid="{00000000-0005-0000-0000-00009E980000}"/>
    <cellStyle name="Normal 2 4 13 2" xfId="39084" xr:uid="{00000000-0005-0000-0000-00009F980000}"/>
    <cellStyle name="Normal 2 4 14" xfId="39085" xr:uid="{00000000-0005-0000-0000-0000A0980000}"/>
    <cellStyle name="Normal 2 4 14 2" xfId="39086" xr:uid="{00000000-0005-0000-0000-0000A1980000}"/>
    <cellStyle name="Normal 2 4 15" xfId="39087" xr:uid="{00000000-0005-0000-0000-0000A2980000}"/>
    <cellStyle name="Normal 2 4 16" xfId="39088" xr:uid="{00000000-0005-0000-0000-0000A3980000}"/>
    <cellStyle name="Normal 2 4 17" xfId="39089" xr:uid="{00000000-0005-0000-0000-0000A4980000}"/>
    <cellStyle name="Normal 2 4 18" xfId="39090" xr:uid="{00000000-0005-0000-0000-0000A5980000}"/>
    <cellStyle name="Normal 2 4 19" xfId="39091" xr:uid="{00000000-0005-0000-0000-0000A6980000}"/>
    <cellStyle name="Normal 2 4 2" xfId="39092" xr:uid="{00000000-0005-0000-0000-0000A7980000}"/>
    <cellStyle name="Normal 2 4 2 2" xfId="39093" xr:uid="{00000000-0005-0000-0000-0000A8980000}"/>
    <cellStyle name="Normal 2 4 2 2 2" xfId="39094" xr:uid="{00000000-0005-0000-0000-0000A9980000}"/>
    <cellStyle name="Normal 2 4 2 2 3" xfId="39095" xr:uid="{00000000-0005-0000-0000-0000AA980000}"/>
    <cellStyle name="Normal 2 4 2 3" xfId="39096" xr:uid="{00000000-0005-0000-0000-0000AB980000}"/>
    <cellStyle name="Normal 2 4 2 4" xfId="39097" xr:uid="{00000000-0005-0000-0000-0000AC980000}"/>
    <cellStyle name="Normal 2 4 20" xfId="39098" xr:uid="{00000000-0005-0000-0000-0000AD980000}"/>
    <cellStyle name="Normal 2 4 21" xfId="39099" xr:uid="{00000000-0005-0000-0000-0000AE980000}"/>
    <cellStyle name="Normal 2 4 22" xfId="39100" xr:uid="{00000000-0005-0000-0000-0000AF980000}"/>
    <cellStyle name="Normal 2 4 23" xfId="39101" xr:uid="{00000000-0005-0000-0000-0000B0980000}"/>
    <cellStyle name="Normal 2 4 24" xfId="39102" xr:uid="{00000000-0005-0000-0000-0000B1980000}"/>
    <cellStyle name="Normal 2 4 25" xfId="39103" xr:uid="{00000000-0005-0000-0000-0000B2980000}"/>
    <cellStyle name="Normal 2 4 26" xfId="39104" xr:uid="{00000000-0005-0000-0000-0000B3980000}"/>
    <cellStyle name="Normal 2 4 27" xfId="39105" xr:uid="{00000000-0005-0000-0000-0000B4980000}"/>
    <cellStyle name="Normal 2 4 28" xfId="39106" xr:uid="{00000000-0005-0000-0000-0000B5980000}"/>
    <cellStyle name="Normal 2 4 29" xfId="39107" xr:uid="{00000000-0005-0000-0000-0000B6980000}"/>
    <cellStyle name="Normal 2 4 3" xfId="39108" xr:uid="{00000000-0005-0000-0000-0000B7980000}"/>
    <cellStyle name="Normal 2 4 3 2" xfId="39109" xr:uid="{00000000-0005-0000-0000-0000B8980000}"/>
    <cellStyle name="Normal 2 4 3 2 2" xfId="39110" xr:uid="{00000000-0005-0000-0000-0000B9980000}"/>
    <cellStyle name="Normal 2 4 3 2 3" xfId="39111" xr:uid="{00000000-0005-0000-0000-0000BA980000}"/>
    <cellStyle name="Normal 2 4 3 3" xfId="39112" xr:uid="{00000000-0005-0000-0000-0000BB980000}"/>
    <cellStyle name="Normal 2 4 3 4" xfId="39113" xr:uid="{00000000-0005-0000-0000-0000BC980000}"/>
    <cellStyle name="Normal 2 4 30" xfId="39114" xr:uid="{00000000-0005-0000-0000-0000BD980000}"/>
    <cellStyle name="Normal 2 4 31" xfId="39115" xr:uid="{00000000-0005-0000-0000-0000BE980000}"/>
    <cellStyle name="Normal 2 4 32" xfId="39116" xr:uid="{00000000-0005-0000-0000-0000BF980000}"/>
    <cellStyle name="Normal 2 4 4" xfId="39117" xr:uid="{00000000-0005-0000-0000-0000C0980000}"/>
    <cellStyle name="Normal 2 4 4 2" xfId="39118" xr:uid="{00000000-0005-0000-0000-0000C1980000}"/>
    <cellStyle name="Normal 2 4 5" xfId="39119" xr:uid="{00000000-0005-0000-0000-0000C2980000}"/>
    <cellStyle name="Normal 2 4 5 2" xfId="39120" xr:uid="{00000000-0005-0000-0000-0000C3980000}"/>
    <cellStyle name="Normal 2 4 6" xfId="39121" xr:uid="{00000000-0005-0000-0000-0000C4980000}"/>
    <cellStyle name="Normal 2 4 6 2" xfId="39122" xr:uid="{00000000-0005-0000-0000-0000C5980000}"/>
    <cellStyle name="Normal 2 4 7" xfId="39123" xr:uid="{00000000-0005-0000-0000-0000C6980000}"/>
    <cellStyle name="Normal 2 4 7 2" xfId="39124" xr:uid="{00000000-0005-0000-0000-0000C7980000}"/>
    <cellStyle name="Normal 2 4 8" xfId="39125" xr:uid="{00000000-0005-0000-0000-0000C8980000}"/>
    <cellStyle name="Normal 2 4 8 2" xfId="39126" xr:uid="{00000000-0005-0000-0000-0000C9980000}"/>
    <cellStyle name="Normal 2 4 9" xfId="39127" xr:uid="{00000000-0005-0000-0000-0000CA980000}"/>
    <cellStyle name="Normal 2 4 9 2" xfId="39128" xr:uid="{00000000-0005-0000-0000-0000CB980000}"/>
    <cellStyle name="Normal 2 40" xfId="39129" xr:uid="{00000000-0005-0000-0000-0000CC980000}"/>
    <cellStyle name="Normal 2 40 10" xfId="39130" xr:uid="{00000000-0005-0000-0000-0000CD980000}"/>
    <cellStyle name="Normal 2 40 11" xfId="39131" xr:uid="{00000000-0005-0000-0000-0000CE980000}"/>
    <cellStyle name="Normal 2 40 12" xfId="39132" xr:uid="{00000000-0005-0000-0000-0000CF980000}"/>
    <cellStyle name="Normal 2 40 13" xfId="39133" xr:uid="{00000000-0005-0000-0000-0000D0980000}"/>
    <cellStyle name="Normal 2 40 14" xfId="39134" xr:uid="{00000000-0005-0000-0000-0000D1980000}"/>
    <cellStyle name="Normal 2 40 15" xfId="39135" xr:uid="{00000000-0005-0000-0000-0000D2980000}"/>
    <cellStyle name="Normal 2 40 2" xfId="39136" xr:uid="{00000000-0005-0000-0000-0000D3980000}"/>
    <cellStyle name="Normal 2 40 3" xfId="39137" xr:uid="{00000000-0005-0000-0000-0000D4980000}"/>
    <cellStyle name="Normal 2 40 4" xfId="39138" xr:uid="{00000000-0005-0000-0000-0000D5980000}"/>
    <cellStyle name="Normal 2 40 5" xfId="39139" xr:uid="{00000000-0005-0000-0000-0000D6980000}"/>
    <cellStyle name="Normal 2 40 6" xfId="39140" xr:uid="{00000000-0005-0000-0000-0000D7980000}"/>
    <cellStyle name="Normal 2 40 7" xfId="39141" xr:uid="{00000000-0005-0000-0000-0000D8980000}"/>
    <cellStyle name="Normal 2 40 8" xfId="39142" xr:uid="{00000000-0005-0000-0000-0000D9980000}"/>
    <cellStyle name="Normal 2 40 9" xfId="39143" xr:uid="{00000000-0005-0000-0000-0000DA980000}"/>
    <cellStyle name="Normal 2 41" xfId="39144" xr:uid="{00000000-0005-0000-0000-0000DB980000}"/>
    <cellStyle name="Normal 2 41 10" xfId="39145" xr:uid="{00000000-0005-0000-0000-0000DC980000}"/>
    <cellStyle name="Normal 2 41 11" xfId="39146" xr:uid="{00000000-0005-0000-0000-0000DD980000}"/>
    <cellStyle name="Normal 2 41 12" xfId="39147" xr:uid="{00000000-0005-0000-0000-0000DE980000}"/>
    <cellStyle name="Normal 2 41 13" xfId="39148" xr:uid="{00000000-0005-0000-0000-0000DF980000}"/>
    <cellStyle name="Normal 2 41 14" xfId="39149" xr:uid="{00000000-0005-0000-0000-0000E0980000}"/>
    <cellStyle name="Normal 2 41 15" xfId="39150" xr:uid="{00000000-0005-0000-0000-0000E1980000}"/>
    <cellStyle name="Normal 2 41 2" xfId="39151" xr:uid="{00000000-0005-0000-0000-0000E2980000}"/>
    <cellStyle name="Normal 2 41 3" xfId="39152" xr:uid="{00000000-0005-0000-0000-0000E3980000}"/>
    <cellStyle name="Normal 2 41 4" xfId="39153" xr:uid="{00000000-0005-0000-0000-0000E4980000}"/>
    <cellStyle name="Normal 2 41 5" xfId="39154" xr:uid="{00000000-0005-0000-0000-0000E5980000}"/>
    <cellStyle name="Normal 2 41 6" xfId="39155" xr:uid="{00000000-0005-0000-0000-0000E6980000}"/>
    <cellStyle name="Normal 2 41 7" xfId="39156" xr:uid="{00000000-0005-0000-0000-0000E7980000}"/>
    <cellStyle name="Normal 2 41 8" xfId="39157" xr:uid="{00000000-0005-0000-0000-0000E8980000}"/>
    <cellStyle name="Normal 2 41 9" xfId="39158" xr:uid="{00000000-0005-0000-0000-0000E9980000}"/>
    <cellStyle name="Normal 2 42" xfId="39159" xr:uid="{00000000-0005-0000-0000-0000EA980000}"/>
    <cellStyle name="Normal 2 42 10" xfId="39160" xr:uid="{00000000-0005-0000-0000-0000EB980000}"/>
    <cellStyle name="Normal 2 42 11" xfId="39161" xr:uid="{00000000-0005-0000-0000-0000EC980000}"/>
    <cellStyle name="Normal 2 42 12" xfId="39162" xr:uid="{00000000-0005-0000-0000-0000ED980000}"/>
    <cellStyle name="Normal 2 42 13" xfId="39163" xr:uid="{00000000-0005-0000-0000-0000EE980000}"/>
    <cellStyle name="Normal 2 42 14" xfId="39164" xr:uid="{00000000-0005-0000-0000-0000EF980000}"/>
    <cellStyle name="Normal 2 42 15" xfId="39165" xr:uid="{00000000-0005-0000-0000-0000F0980000}"/>
    <cellStyle name="Normal 2 42 2" xfId="39166" xr:uid="{00000000-0005-0000-0000-0000F1980000}"/>
    <cellStyle name="Normal 2 42 3" xfId="39167" xr:uid="{00000000-0005-0000-0000-0000F2980000}"/>
    <cellStyle name="Normal 2 42 4" xfId="39168" xr:uid="{00000000-0005-0000-0000-0000F3980000}"/>
    <cellStyle name="Normal 2 42 5" xfId="39169" xr:uid="{00000000-0005-0000-0000-0000F4980000}"/>
    <cellStyle name="Normal 2 42 6" xfId="39170" xr:uid="{00000000-0005-0000-0000-0000F5980000}"/>
    <cellStyle name="Normal 2 42 7" xfId="39171" xr:uid="{00000000-0005-0000-0000-0000F6980000}"/>
    <cellStyle name="Normal 2 42 8" xfId="39172" xr:uid="{00000000-0005-0000-0000-0000F7980000}"/>
    <cellStyle name="Normal 2 42 9" xfId="39173" xr:uid="{00000000-0005-0000-0000-0000F8980000}"/>
    <cellStyle name="Normal 2 43" xfId="39174" xr:uid="{00000000-0005-0000-0000-0000F9980000}"/>
    <cellStyle name="Normal 2 43 10" xfId="39175" xr:uid="{00000000-0005-0000-0000-0000FA980000}"/>
    <cellStyle name="Normal 2 43 11" xfId="39176" xr:uid="{00000000-0005-0000-0000-0000FB980000}"/>
    <cellStyle name="Normal 2 43 12" xfId="39177" xr:uid="{00000000-0005-0000-0000-0000FC980000}"/>
    <cellStyle name="Normal 2 43 13" xfId="39178" xr:uid="{00000000-0005-0000-0000-0000FD980000}"/>
    <cellStyle name="Normal 2 43 14" xfId="39179" xr:uid="{00000000-0005-0000-0000-0000FE980000}"/>
    <cellStyle name="Normal 2 43 15" xfId="39180" xr:uid="{00000000-0005-0000-0000-0000FF980000}"/>
    <cellStyle name="Normal 2 43 2" xfId="39181" xr:uid="{00000000-0005-0000-0000-000000990000}"/>
    <cellStyle name="Normal 2 43 3" xfId="39182" xr:uid="{00000000-0005-0000-0000-000001990000}"/>
    <cellStyle name="Normal 2 43 4" xfId="39183" xr:uid="{00000000-0005-0000-0000-000002990000}"/>
    <cellStyle name="Normal 2 43 5" xfId="39184" xr:uid="{00000000-0005-0000-0000-000003990000}"/>
    <cellStyle name="Normal 2 43 6" xfId="39185" xr:uid="{00000000-0005-0000-0000-000004990000}"/>
    <cellStyle name="Normal 2 43 7" xfId="39186" xr:uid="{00000000-0005-0000-0000-000005990000}"/>
    <cellStyle name="Normal 2 43 8" xfId="39187" xr:uid="{00000000-0005-0000-0000-000006990000}"/>
    <cellStyle name="Normal 2 43 9" xfId="39188" xr:uid="{00000000-0005-0000-0000-000007990000}"/>
    <cellStyle name="Normal 2 44" xfId="39189" xr:uid="{00000000-0005-0000-0000-000008990000}"/>
    <cellStyle name="Normal 2 44 10" xfId="39190" xr:uid="{00000000-0005-0000-0000-000009990000}"/>
    <cellStyle name="Normal 2 44 11" xfId="39191" xr:uid="{00000000-0005-0000-0000-00000A990000}"/>
    <cellStyle name="Normal 2 44 12" xfId="39192" xr:uid="{00000000-0005-0000-0000-00000B990000}"/>
    <cellStyle name="Normal 2 44 13" xfId="39193" xr:uid="{00000000-0005-0000-0000-00000C990000}"/>
    <cellStyle name="Normal 2 44 14" xfId="39194" xr:uid="{00000000-0005-0000-0000-00000D990000}"/>
    <cellStyle name="Normal 2 44 15" xfId="39195" xr:uid="{00000000-0005-0000-0000-00000E990000}"/>
    <cellStyle name="Normal 2 44 2" xfId="39196" xr:uid="{00000000-0005-0000-0000-00000F990000}"/>
    <cellStyle name="Normal 2 44 3" xfId="39197" xr:uid="{00000000-0005-0000-0000-000010990000}"/>
    <cellStyle name="Normal 2 44 4" xfId="39198" xr:uid="{00000000-0005-0000-0000-000011990000}"/>
    <cellStyle name="Normal 2 44 5" xfId="39199" xr:uid="{00000000-0005-0000-0000-000012990000}"/>
    <cellStyle name="Normal 2 44 6" xfId="39200" xr:uid="{00000000-0005-0000-0000-000013990000}"/>
    <cellStyle name="Normal 2 44 7" xfId="39201" xr:uid="{00000000-0005-0000-0000-000014990000}"/>
    <cellStyle name="Normal 2 44 8" xfId="39202" xr:uid="{00000000-0005-0000-0000-000015990000}"/>
    <cellStyle name="Normal 2 44 9" xfId="39203" xr:uid="{00000000-0005-0000-0000-000016990000}"/>
    <cellStyle name="Normal 2 45" xfId="39204" xr:uid="{00000000-0005-0000-0000-000017990000}"/>
    <cellStyle name="Normal 2 45 10" xfId="39205" xr:uid="{00000000-0005-0000-0000-000018990000}"/>
    <cellStyle name="Normal 2 45 11" xfId="39206" xr:uid="{00000000-0005-0000-0000-000019990000}"/>
    <cellStyle name="Normal 2 45 12" xfId="39207" xr:uid="{00000000-0005-0000-0000-00001A990000}"/>
    <cellStyle name="Normal 2 45 13" xfId="39208" xr:uid="{00000000-0005-0000-0000-00001B990000}"/>
    <cellStyle name="Normal 2 45 14" xfId="39209" xr:uid="{00000000-0005-0000-0000-00001C990000}"/>
    <cellStyle name="Normal 2 45 15" xfId="39210" xr:uid="{00000000-0005-0000-0000-00001D990000}"/>
    <cellStyle name="Normal 2 45 2" xfId="39211" xr:uid="{00000000-0005-0000-0000-00001E990000}"/>
    <cellStyle name="Normal 2 45 3" xfId="39212" xr:uid="{00000000-0005-0000-0000-00001F990000}"/>
    <cellStyle name="Normal 2 45 4" xfId="39213" xr:uid="{00000000-0005-0000-0000-000020990000}"/>
    <cellStyle name="Normal 2 45 5" xfId="39214" xr:uid="{00000000-0005-0000-0000-000021990000}"/>
    <cellStyle name="Normal 2 45 6" xfId="39215" xr:uid="{00000000-0005-0000-0000-000022990000}"/>
    <cellStyle name="Normal 2 45 7" xfId="39216" xr:uid="{00000000-0005-0000-0000-000023990000}"/>
    <cellStyle name="Normal 2 45 8" xfId="39217" xr:uid="{00000000-0005-0000-0000-000024990000}"/>
    <cellStyle name="Normal 2 45 9" xfId="39218" xr:uid="{00000000-0005-0000-0000-000025990000}"/>
    <cellStyle name="Normal 2 46" xfId="39219" xr:uid="{00000000-0005-0000-0000-000026990000}"/>
    <cellStyle name="Normal 2 46 10" xfId="39220" xr:uid="{00000000-0005-0000-0000-000027990000}"/>
    <cellStyle name="Normal 2 46 11" xfId="39221" xr:uid="{00000000-0005-0000-0000-000028990000}"/>
    <cellStyle name="Normal 2 46 12" xfId="39222" xr:uid="{00000000-0005-0000-0000-000029990000}"/>
    <cellStyle name="Normal 2 46 13" xfId="39223" xr:uid="{00000000-0005-0000-0000-00002A990000}"/>
    <cellStyle name="Normal 2 46 14" xfId="39224" xr:uid="{00000000-0005-0000-0000-00002B990000}"/>
    <cellStyle name="Normal 2 46 15" xfId="39225" xr:uid="{00000000-0005-0000-0000-00002C990000}"/>
    <cellStyle name="Normal 2 46 2" xfId="39226" xr:uid="{00000000-0005-0000-0000-00002D990000}"/>
    <cellStyle name="Normal 2 46 3" xfId="39227" xr:uid="{00000000-0005-0000-0000-00002E990000}"/>
    <cellStyle name="Normal 2 46 4" xfId="39228" xr:uid="{00000000-0005-0000-0000-00002F990000}"/>
    <cellStyle name="Normal 2 46 5" xfId="39229" xr:uid="{00000000-0005-0000-0000-000030990000}"/>
    <cellStyle name="Normal 2 46 6" xfId="39230" xr:uid="{00000000-0005-0000-0000-000031990000}"/>
    <cellStyle name="Normal 2 46 7" xfId="39231" xr:uid="{00000000-0005-0000-0000-000032990000}"/>
    <cellStyle name="Normal 2 46 8" xfId="39232" xr:uid="{00000000-0005-0000-0000-000033990000}"/>
    <cellStyle name="Normal 2 46 9" xfId="39233" xr:uid="{00000000-0005-0000-0000-000034990000}"/>
    <cellStyle name="Normal 2 47" xfId="39234" xr:uid="{00000000-0005-0000-0000-000035990000}"/>
    <cellStyle name="Normal 2 47 10" xfId="39235" xr:uid="{00000000-0005-0000-0000-000036990000}"/>
    <cellStyle name="Normal 2 47 11" xfId="39236" xr:uid="{00000000-0005-0000-0000-000037990000}"/>
    <cellStyle name="Normal 2 47 12" xfId="39237" xr:uid="{00000000-0005-0000-0000-000038990000}"/>
    <cellStyle name="Normal 2 47 13" xfId="39238" xr:uid="{00000000-0005-0000-0000-000039990000}"/>
    <cellStyle name="Normal 2 47 14" xfId="39239" xr:uid="{00000000-0005-0000-0000-00003A990000}"/>
    <cellStyle name="Normal 2 47 15" xfId="39240" xr:uid="{00000000-0005-0000-0000-00003B990000}"/>
    <cellStyle name="Normal 2 47 2" xfId="39241" xr:uid="{00000000-0005-0000-0000-00003C990000}"/>
    <cellStyle name="Normal 2 47 3" xfId="39242" xr:uid="{00000000-0005-0000-0000-00003D990000}"/>
    <cellStyle name="Normal 2 47 4" xfId="39243" xr:uid="{00000000-0005-0000-0000-00003E990000}"/>
    <cellStyle name="Normal 2 47 5" xfId="39244" xr:uid="{00000000-0005-0000-0000-00003F990000}"/>
    <cellStyle name="Normal 2 47 6" xfId="39245" xr:uid="{00000000-0005-0000-0000-000040990000}"/>
    <cellStyle name="Normal 2 47 7" xfId="39246" xr:uid="{00000000-0005-0000-0000-000041990000}"/>
    <cellStyle name="Normal 2 47 8" xfId="39247" xr:uid="{00000000-0005-0000-0000-000042990000}"/>
    <cellStyle name="Normal 2 47 9" xfId="39248" xr:uid="{00000000-0005-0000-0000-000043990000}"/>
    <cellStyle name="Normal 2 48" xfId="39249" xr:uid="{00000000-0005-0000-0000-000044990000}"/>
    <cellStyle name="Normal 2 48 10" xfId="39250" xr:uid="{00000000-0005-0000-0000-000045990000}"/>
    <cellStyle name="Normal 2 48 11" xfId="39251" xr:uid="{00000000-0005-0000-0000-000046990000}"/>
    <cellStyle name="Normal 2 48 12" xfId="39252" xr:uid="{00000000-0005-0000-0000-000047990000}"/>
    <cellStyle name="Normal 2 48 13" xfId="39253" xr:uid="{00000000-0005-0000-0000-000048990000}"/>
    <cellStyle name="Normal 2 48 14" xfId="39254" xr:uid="{00000000-0005-0000-0000-000049990000}"/>
    <cellStyle name="Normal 2 48 15" xfId="39255" xr:uid="{00000000-0005-0000-0000-00004A990000}"/>
    <cellStyle name="Normal 2 48 2" xfId="39256" xr:uid="{00000000-0005-0000-0000-00004B990000}"/>
    <cellStyle name="Normal 2 48 3" xfId="39257" xr:uid="{00000000-0005-0000-0000-00004C990000}"/>
    <cellStyle name="Normal 2 48 4" xfId="39258" xr:uid="{00000000-0005-0000-0000-00004D990000}"/>
    <cellStyle name="Normal 2 48 5" xfId="39259" xr:uid="{00000000-0005-0000-0000-00004E990000}"/>
    <cellStyle name="Normal 2 48 6" xfId="39260" xr:uid="{00000000-0005-0000-0000-00004F990000}"/>
    <cellStyle name="Normal 2 48 7" xfId="39261" xr:uid="{00000000-0005-0000-0000-000050990000}"/>
    <cellStyle name="Normal 2 48 8" xfId="39262" xr:uid="{00000000-0005-0000-0000-000051990000}"/>
    <cellStyle name="Normal 2 48 9" xfId="39263" xr:uid="{00000000-0005-0000-0000-000052990000}"/>
    <cellStyle name="Normal 2 49" xfId="39264" xr:uid="{00000000-0005-0000-0000-000053990000}"/>
    <cellStyle name="Normal 2 49 10" xfId="39265" xr:uid="{00000000-0005-0000-0000-000054990000}"/>
    <cellStyle name="Normal 2 49 11" xfId="39266" xr:uid="{00000000-0005-0000-0000-000055990000}"/>
    <cellStyle name="Normal 2 49 12" xfId="39267" xr:uid="{00000000-0005-0000-0000-000056990000}"/>
    <cellStyle name="Normal 2 49 13" xfId="39268" xr:uid="{00000000-0005-0000-0000-000057990000}"/>
    <cellStyle name="Normal 2 49 14" xfId="39269" xr:uid="{00000000-0005-0000-0000-000058990000}"/>
    <cellStyle name="Normal 2 49 15" xfId="39270" xr:uid="{00000000-0005-0000-0000-000059990000}"/>
    <cellStyle name="Normal 2 49 2" xfId="39271" xr:uid="{00000000-0005-0000-0000-00005A990000}"/>
    <cellStyle name="Normal 2 49 3" xfId="39272" xr:uid="{00000000-0005-0000-0000-00005B990000}"/>
    <cellStyle name="Normal 2 49 4" xfId="39273" xr:uid="{00000000-0005-0000-0000-00005C990000}"/>
    <cellStyle name="Normal 2 49 5" xfId="39274" xr:uid="{00000000-0005-0000-0000-00005D990000}"/>
    <cellStyle name="Normal 2 49 6" xfId="39275" xr:uid="{00000000-0005-0000-0000-00005E990000}"/>
    <cellStyle name="Normal 2 49 7" xfId="39276" xr:uid="{00000000-0005-0000-0000-00005F990000}"/>
    <cellStyle name="Normal 2 49 8" xfId="39277" xr:uid="{00000000-0005-0000-0000-000060990000}"/>
    <cellStyle name="Normal 2 49 9" xfId="39278" xr:uid="{00000000-0005-0000-0000-000061990000}"/>
    <cellStyle name="Normal 2 5" xfId="39279" xr:uid="{00000000-0005-0000-0000-000062990000}"/>
    <cellStyle name="Normal 2 5 10" xfId="39280" xr:uid="{00000000-0005-0000-0000-000063990000}"/>
    <cellStyle name="Normal 2 5 10 2" xfId="39281" xr:uid="{00000000-0005-0000-0000-000064990000}"/>
    <cellStyle name="Normal 2 5 11" xfId="39282" xr:uid="{00000000-0005-0000-0000-000065990000}"/>
    <cellStyle name="Normal 2 5 11 2" xfId="39283" xr:uid="{00000000-0005-0000-0000-000066990000}"/>
    <cellStyle name="Normal 2 5 12" xfId="39284" xr:uid="{00000000-0005-0000-0000-000067990000}"/>
    <cellStyle name="Normal 2 5 12 2" xfId="39285" xr:uid="{00000000-0005-0000-0000-000068990000}"/>
    <cellStyle name="Normal 2 5 13" xfId="39286" xr:uid="{00000000-0005-0000-0000-000069990000}"/>
    <cellStyle name="Normal 2 5 13 2" xfId="39287" xr:uid="{00000000-0005-0000-0000-00006A990000}"/>
    <cellStyle name="Normal 2 5 14" xfId="39288" xr:uid="{00000000-0005-0000-0000-00006B990000}"/>
    <cellStyle name="Normal 2 5 14 2" xfId="39289" xr:uid="{00000000-0005-0000-0000-00006C990000}"/>
    <cellStyle name="Normal 2 5 15" xfId="39290" xr:uid="{00000000-0005-0000-0000-00006D990000}"/>
    <cellStyle name="Normal 2 5 16" xfId="39291" xr:uid="{00000000-0005-0000-0000-00006E990000}"/>
    <cellStyle name="Normal 2 5 17" xfId="39292" xr:uid="{00000000-0005-0000-0000-00006F990000}"/>
    <cellStyle name="Normal 2 5 18" xfId="39293" xr:uid="{00000000-0005-0000-0000-000070990000}"/>
    <cellStyle name="Normal 2 5 19" xfId="39294" xr:uid="{00000000-0005-0000-0000-000071990000}"/>
    <cellStyle name="Normal 2 5 2" xfId="39295" xr:uid="{00000000-0005-0000-0000-000072990000}"/>
    <cellStyle name="Normal 2 5 2 2" xfId="39296" xr:uid="{00000000-0005-0000-0000-000073990000}"/>
    <cellStyle name="Normal 2 5 2 2 2" xfId="39297" xr:uid="{00000000-0005-0000-0000-000074990000}"/>
    <cellStyle name="Normal 2 5 2 3" xfId="39298" xr:uid="{00000000-0005-0000-0000-000075990000}"/>
    <cellStyle name="Normal 2 5 2 3 2" xfId="39299" xr:uid="{00000000-0005-0000-0000-000076990000}"/>
    <cellStyle name="Normal 2 5 2 4" xfId="39300" xr:uid="{00000000-0005-0000-0000-000077990000}"/>
    <cellStyle name="Normal 2 5 20" xfId="39301" xr:uid="{00000000-0005-0000-0000-000078990000}"/>
    <cellStyle name="Normal 2 5 21" xfId="39302" xr:uid="{00000000-0005-0000-0000-000079990000}"/>
    <cellStyle name="Normal 2 5 22" xfId="39303" xr:uid="{00000000-0005-0000-0000-00007A990000}"/>
    <cellStyle name="Normal 2 5 23" xfId="39304" xr:uid="{00000000-0005-0000-0000-00007B990000}"/>
    <cellStyle name="Normal 2 5 24" xfId="39305" xr:uid="{00000000-0005-0000-0000-00007C990000}"/>
    <cellStyle name="Normal 2 5 25" xfId="39306" xr:uid="{00000000-0005-0000-0000-00007D990000}"/>
    <cellStyle name="Normal 2 5 26" xfId="39307" xr:uid="{00000000-0005-0000-0000-00007E990000}"/>
    <cellStyle name="Normal 2 5 27" xfId="39308" xr:uid="{00000000-0005-0000-0000-00007F990000}"/>
    <cellStyle name="Normal 2 5 28" xfId="39309" xr:uid="{00000000-0005-0000-0000-000080990000}"/>
    <cellStyle name="Normal 2 5 29" xfId="39310" xr:uid="{00000000-0005-0000-0000-000081990000}"/>
    <cellStyle name="Normal 2 5 3" xfId="39311" xr:uid="{00000000-0005-0000-0000-000082990000}"/>
    <cellStyle name="Normal 2 5 3 2" xfId="39312" xr:uid="{00000000-0005-0000-0000-000083990000}"/>
    <cellStyle name="Normal 2 5 3 2 2" xfId="39313" xr:uid="{00000000-0005-0000-0000-000084990000}"/>
    <cellStyle name="Normal 2 5 3 3" xfId="39314" xr:uid="{00000000-0005-0000-0000-000085990000}"/>
    <cellStyle name="Normal 2 5 3 3 2" xfId="39315" xr:uid="{00000000-0005-0000-0000-000086990000}"/>
    <cellStyle name="Normal 2 5 3 4" xfId="39316" xr:uid="{00000000-0005-0000-0000-000087990000}"/>
    <cellStyle name="Normal 2 5 30" xfId="39317" xr:uid="{00000000-0005-0000-0000-000088990000}"/>
    <cellStyle name="Normal 2 5 31" xfId="39318" xr:uid="{00000000-0005-0000-0000-000089990000}"/>
    <cellStyle name="Normal 2 5 32" xfId="39319" xr:uid="{00000000-0005-0000-0000-00008A990000}"/>
    <cellStyle name="Normal 2 5 4" xfId="39320" xr:uid="{00000000-0005-0000-0000-00008B990000}"/>
    <cellStyle name="Normal 2 5 4 2" xfId="39321" xr:uid="{00000000-0005-0000-0000-00008C990000}"/>
    <cellStyle name="Normal 2 5 4 2 2" xfId="39322" xr:uid="{00000000-0005-0000-0000-00008D990000}"/>
    <cellStyle name="Normal 2 5 4 3" xfId="39323" xr:uid="{00000000-0005-0000-0000-00008E990000}"/>
    <cellStyle name="Normal 2 5 4 3 2" xfId="39324" xr:uid="{00000000-0005-0000-0000-00008F990000}"/>
    <cellStyle name="Normal 2 5 4 4" xfId="39325" xr:uid="{00000000-0005-0000-0000-000090990000}"/>
    <cellStyle name="Normal 2 5 5" xfId="39326" xr:uid="{00000000-0005-0000-0000-000091990000}"/>
    <cellStyle name="Normal 2 5 5 2" xfId="39327" xr:uid="{00000000-0005-0000-0000-000092990000}"/>
    <cellStyle name="Normal 2 5 6" xfId="39328" xr:uid="{00000000-0005-0000-0000-000093990000}"/>
    <cellStyle name="Normal 2 5 6 2" xfId="39329" xr:uid="{00000000-0005-0000-0000-000094990000}"/>
    <cellStyle name="Normal 2 5 6 2 2" xfId="39330" xr:uid="{00000000-0005-0000-0000-000095990000}"/>
    <cellStyle name="Normal 2 5 6 3" xfId="39331" xr:uid="{00000000-0005-0000-0000-000096990000}"/>
    <cellStyle name="Normal 2 5 6 3 2" xfId="39332" xr:uid="{00000000-0005-0000-0000-000097990000}"/>
    <cellStyle name="Normal 2 5 6 4" xfId="39333" xr:uid="{00000000-0005-0000-0000-000098990000}"/>
    <cellStyle name="Normal 2 5 7" xfId="39334" xr:uid="{00000000-0005-0000-0000-000099990000}"/>
    <cellStyle name="Normal 2 5 7 2" xfId="39335" xr:uid="{00000000-0005-0000-0000-00009A990000}"/>
    <cellStyle name="Normal 2 5 8" xfId="39336" xr:uid="{00000000-0005-0000-0000-00009B990000}"/>
    <cellStyle name="Normal 2 5 8 2" xfId="39337" xr:uid="{00000000-0005-0000-0000-00009C990000}"/>
    <cellStyle name="Normal 2 5 9" xfId="39338" xr:uid="{00000000-0005-0000-0000-00009D990000}"/>
    <cellStyle name="Normal 2 5 9 2" xfId="39339" xr:uid="{00000000-0005-0000-0000-00009E990000}"/>
    <cellStyle name="Normal 2 50" xfId="39340" xr:uid="{00000000-0005-0000-0000-00009F990000}"/>
    <cellStyle name="Normal 2 50 10" xfId="39341" xr:uid="{00000000-0005-0000-0000-0000A0990000}"/>
    <cellStyle name="Normal 2 50 11" xfId="39342" xr:uid="{00000000-0005-0000-0000-0000A1990000}"/>
    <cellStyle name="Normal 2 50 12" xfId="39343" xr:uid="{00000000-0005-0000-0000-0000A2990000}"/>
    <cellStyle name="Normal 2 50 13" xfId="39344" xr:uid="{00000000-0005-0000-0000-0000A3990000}"/>
    <cellStyle name="Normal 2 50 14" xfId="39345" xr:uid="{00000000-0005-0000-0000-0000A4990000}"/>
    <cellStyle name="Normal 2 50 15" xfId="39346" xr:uid="{00000000-0005-0000-0000-0000A5990000}"/>
    <cellStyle name="Normal 2 50 2" xfId="39347" xr:uid="{00000000-0005-0000-0000-0000A6990000}"/>
    <cellStyle name="Normal 2 50 3" xfId="39348" xr:uid="{00000000-0005-0000-0000-0000A7990000}"/>
    <cellStyle name="Normal 2 50 4" xfId="39349" xr:uid="{00000000-0005-0000-0000-0000A8990000}"/>
    <cellStyle name="Normal 2 50 5" xfId="39350" xr:uid="{00000000-0005-0000-0000-0000A9990000}"/>
    <cellStyle name="Normal 2 50 6" xfId="39351" xr:uid="{00000000-0005-0000-0000-0000AA990000}"/>
    <cellStyle name="Normal 2 50 7" xfId="39352" xr:uid="{00000000-0005-0000-0000-0000AB990000}"/>
    <cellStyle name="Normal 2 50 8" xfId="39353" xr:uid="{00000000-0005-0000-0000-0000AC990000}"/>
    <cellStyle name="Normal 2 50 9" xfId="39354" xr:uid="{00000000-0005-0000-0000-0000AD990000}"/>
    <cellStyle name="Normal 2 51" xfId="39355" xr:uid="{00000000-0005-0000-0000-0000AE990000}"/>
    <cellStyle name="Normal 2 51 10" xfId="39356" xr:uid="{00000000-0005-0000-0000-0000AF990000}"/>
    <cellStyle name="Normal 2 51 11" xfId="39357" xr:uid="{00000000-0005-0000-0000-0000B0990000}"/>
    <cellStyle name="Normal 2 51 12" xfId="39358" xr:uid="{00000000-0005-0000-0000-0000B1990000}"/>
    <cellStyle name="Normal 2 51 13" xfId="39359" xr:uid="{00000000-0005-0000-0000-0000B2990000}"/>
    <cellStyle name="Normal 2 51 14" xfId="39360" xr:uid="{00000000-0005-0000-0000-0000B3990000}"/>
    <cellStyle name="Normal 2 51 15" xfId="39361" xr:uid="{00000000-0005-0000-0000-0000B4990000}"/>
    <cellStyle name="Normal 2 51 2" xfId="39362" xr:uid="{00000000-0005-0000-0000-0000B5990000}"/>
    <cellStyle name="Normal 2 51 3" xfId="39363" xr:uid="{00000000-0005-0000-0000-0000B6990000}"/>
    <cellStyle name="Normal 2 51 4" xfId="39364" xr:uid="{00000000-0005-0000-0000-0000B7990000}"/>
    <cellStyle name="Normal 2 51 5" xfId="39365" xr:uid="{00000000-0005-0000-0000-0000B8990000}"/>
    <cellStyle name="Normal 2 51 6" xfId="39366" xr:uid="{00000000-0005-0000-0000-0000B9990000}"/>
    <cellStyle name="Normal 2 51 7" xfId="39367" xr:uid="{00000000-0005-0000-0000-0000BA990000}"/>
    <cellStyle name="Normal 2 51 8" xfId="39368" xr:uid="{00000000-0005-0000-0000-0000BB990000}"/>
    <cellStyle name="Normal 2 51 9" xfId="39369" xr:uid="{00000000-0005-0000-0000-0000BC990000}"/>
    <cellStyle name="Normal 2 52" xfId="39370" xr:uid="{00000000-0005-0000-0000-0000BD990000}"/>
    <cellStyle name="Normal 2 52 10" xfId="39371" xr:uid="{00000000-0005-0000-0000-0000BE990000}"/>
    <cellStyle name="Normal 2 52 11" xfId="39372" xr:uid="{00000000-0005-0000-0000-0000BF990000}"/>
    <cellStyle name="Normal 2 52 12" xfId="39373" xr:uid="{00000000-0005-0000-0000-0000C0990000}"/>
    <cellStyle name="Normal 2 52 13" xfId="39374" xr:uid="{00000000-0005-0000-0000-0000C1990000}"/>
    <cellStyle name="Normal 2 52 14" xfId="39375" xr:uid="{00000000-0005-0000-0000-0000C2990000}"/>
    <cellStyle name="Normal 2 52 15" xfId="39376" xr:uid="{00000000-0005-0000-0000-0000C3990000}"/>
    <cellStyle name="Normal 2 52 2" xfId="39377" xr:uid="{00000000-0005-0000-0000-0000C4990000}"/>
    <cellStyle name="Normal 2 52 3" xfId="39378" xr:uid="{00000000-0005-0000-0000-0000C5990000}"/>
    <cellStyle name="Normal 2 52 4" xfId="39379" xr:uid="{00000000-0005-0000-0000-0000C6990000}"/>
    <cellStyle name="Normal 2 52 5" xfId="39380" xr:uid="{00000000-0005-0000-0000-0000C7990000}"/>
    <cellStyle name="Normal 2 52 6" xfId="39381" xr:uid="{00000000-0005-0000-0000-0000C8990000}"/>
    <cellStyle name="Normal 2 52 7" xfId="39382" xr:uid="{00000000-0005-0000-0000-0000C9990000}"/>
    <cellStyle name="Normal 2 52 8" xfId="39383" xr:uid="{00000000-0005-0000-0000-0000CA990000}"/>
    <cellStyle name="Normal 2 52 9" xfId="39384" xr:uid="{00000000-0005-0000-0000-0000CB990000}"/>
    <cellStyle name="Normal 2 53" xfId="39385" xr:uid="{00000000-0005-0000-0000-0000CC990000}"/>
    <cellStyle name="Normal 2 53 10" xfId="39386" xr:uid="{00000000-0005-0000-0000-0000CD990000}"/>
    <cellStyle name="Normal 2 53 11" xfId="39387" xr:uid="{00000000-0005-0000-0000-0000CE990000}"/>
    <cellStyle name="Normal 2 53 12" xfId="39388" xr:uid="{00000000-0005-0000-0000-0000CF990000}"/>
    <cellStyle name="Normal 2 53 13" xfId="39389" xr:uid="{00000000-0005-0000-0000-0000D0990000}"/>
    <cellStyle name="Normal 2 53 14" xfId="39390" xr:uid="{00000000-0005-0000-0000-0000D1990000}"/>
    <cellStyle name="Normal 2 53 15" xfId="39391" xr:uid="{00000000-0005-0000-0000-0000D2990000}"/>
    <cellStyle name="Normal 2 53 2" xfId="39392" xr:uid="{00000000-0005-0000-0000-0000D3990000}"/>
    <cellStyle name="Normal 2 53 3" xfId="39393" xr:uid="{00000000-0005-0000-0000-0000D4990000}"/>
    <cellStyle name="Normal 2 53 4" xfId="39394" xr:uid="{00000000-0005-0000-0000-0000D5990000}"/>
    <cellStyle name="Normal 2 53 5" xfId="39395" xr:uid="{00000000-0005-0000-0000-0000D6990000}"/>
    <cellStyle name="Normal 2 53 6" xfId="39396" xr:uid="{00000000-0005-0000-0000-0000D7990000}"/>
    <cellStyle name="Normal 2 53 7" xfId="39397" xr:uid="{00000000-0005-0000-0000-0000D8990000}"/>
    <cellStyle name="Normal 2 53 8" xfId="39398" xr:uid="{00000000-0005-0000-0000-0000D9990000}"/>
    <cellStyle name="Normal 2 53 9" xfId="39399" xr:uid="{00000000-0005-0000-0000-0000DA990000}"/>
    <cellStyle name="Normal 2 54" xfId="39400" xr:uid="{00000000-0005-0000-0000-0000DB990000}"/>
    <cellStyle name="Normal 2 54 10" xfId="39401" xr:uid="{00000000-0005-0000-0000-0000DC990000}"/>
    <cellStyle name="Normal 2 54 11" xfId="39402" xr:uid="{00000000-0005-0000-0000-0000DD990000}"/>
    <cellStyle name="Normal 2 54 12" xfId="39403" xr:uid="{00000000-0005-0000-0000-0000DE990000}"/>
    <cellStyle name="Normal 2 54 13" xfId="39404" xr:uid="{00000000-0005-0000-0000-0000DF990000}"/>
    <cellStyle name="Normal 2 54 14" xfId="39405" xr:uid="{00000000-0005-0000-0000-0000E0990000}"/>
    <cellStyle name="Normal 2 54 15" xfId="39406" xr:uid="{00000000-0005-0000-0000-0000E1990000}"/>
    <cellStyle name="Normal 2 54 2" xfId="39407" xr:uid="{00000000-0005-0000-0000-0000E2990000}"/>
    <cellStyle name="Normal 2 54 3" xfId="39408" xr:uid="{00000000-0005-0000-0000-0000E3990000}"/>
    <cellStyle name="Normal 2 54 4" xfId="39409" xr:uid="{00000000-0005-0000-0000-0000E4990000}"/>
    <cellStyle name="Normal 2 54 5" xfId="39410" xr:uid="{00000000-0005-0000-0000-0000E5990000}"/>
    <cellStyle name="Normal 2 54 6" xfId="39411" xr:uid="{00000000-0005-0000-0000-0000E6990000}"/>
    <cellStyle name="Normal 2 54 7" xfId="39412" xr:uid="{00000000-0005-0000-0000-0000E7990000}"/>
    <cellStyle name="Normal 2 54 8" xfId="39413" xr:uid="{00000000-0005-0000-0000-0000E8990000}"/>
    <cellStyle name="Normal 2 54 9" xfId="39414" xr:uid="{00000000-0005-0000-0000-0000E9990000}"/>
    <cellStyle name="Normal 2 55" xfId="39415" xr:uid="{00000000-0005-0000-0000-0000EA990000}"/>
    <cellStyle name="Normal 2 55 10" xfId="39416" xr:uid="{00000000-0005-0000-0000-0000EB990000}"/>
    <cellStyle name="Normal 2 55 11" xfId="39417" xr:uid="{00000000-0005-0000-0000-0000EC990000}"/>
    <cellStyle name="Normal 2 55 12" xfId="39418" xr:uid="{00000000-0005-0000-0000-0000ED990000}"/>
    <cellStyle name="Normal 2 55 13" xfId="39419" xr:uid="{00000000-0005-0000-0000-0000EE990000}"/>
    <cellStyle name="Normal 2 55 14" xfId="39420" xr:uid="{00000000-0005-0000-0000-0000EF990000}"/>
    <cellStyle name="Normal 2 55 15" xfId="39421" xr:uid="{00000000-0005-0000-0000-0000F0990000}"/>
    <cellStyle name="Normal 2 55 2" xfId="39422" xr:uid="{00000000-0005-0000-0000-0000F1990000}"/>
    <cellStyle name="Normal 2 55 3" xfId="39423" xr:uid="{00000000-0005-0000-0000-0000F2990000}"/>
    <cellStyle name="Normal 2 55 4" xfId="39424" xr:uid="{00000000-0005-0000-0000-0000F3990000}"/>
    <cellStyle name="Normal 2 55 5" xfId="39425" xr:uid="{00000000-0005-0000-0000-0000F4990000}"/>
    <cellStyle name="Normal 2 55 6" xfId="39426" xr:uid="{00000000-0005-0000-0000-0000F5990000}"/>
    <cellStyle name="Normal 2 55 7" xfId="39427" xr:uid="{00000000-0005-0000-0000-0000F6990000}"/>
    <cellStyle name="Normal 2 55 8" xfId="39428" xr:uid="{00000000-0005-0000-0000-0000F7990000}"/>
    <cellStyle name="Normal 2 55 9" xfId="39429" xr:uid="{00000000-0005-0000-0000-0000F8990000}"/>
    <cellStyle name="Normal 2 56" xfId="39430" xr:uid="{00000000-0005-0000-0000-0000F9990000}"/>
    <cellStyle name="Normal 2 56 10" xfId="39431" xr:uid="{00000000-0005-0000-0000-0000FA990000}"/>
    <cellStyle name="Normal 2 56 11" xfId="39432" xr:uid="{00000000-0005-0000-0000-0000FB990000}"/>
    <cellStyle name="Normal 2 56 12" xfId="39433" xr:uid="{00000000-0005-0000-0000-0000FC990000}"/>
    <cellStyle name="Normal 2 56 13" xfId="39434" xr:uid="{00000000-0005-0000-0000-0000FD990000}"/>
    <cellStyle name="Normal 2 56 14" xfId="39435" xr:uid="{00000000-0005-0000-0000-0000FE990000}"/>
    <cellStyle name="Normal 2 56 15" xfId="39436" xr:uid="{00000000-0005-0000-0000-0000FF990000}"/>
    <cellStyle name="Normal 2 56 2" xfId="39437" xr:uid="{00000000-0005-0000-0000-0000009A0000}"/>
    <cellStyle name="Normal 2 56 3" xfId="39438" xr:uid="{00000000-0005-0000-0000-0000019A0000}"/>
    <cellStyle name="Normal 2 56 4" xfId="39439" xr:uid="{00000000-0005-0000-0000-0000029A0000}"/>
    <cellStyle name="Normal 2 56 5" xfId="39440" xr:uid="{00000000-0005-0000-0000-0000039A0000}"/>
    <cellStyle name="Normal 2 56 6" xfId="39441" xr:uid="{00000000-0005-0000-0000-0000049A0000}"/>
    <cellStyle name="Normal 2 56 7" xfId="39442" xr:uid="{00000000-0005-0000-0000-0000059A0000}"/>
    <cellStyle name="Normal 2 56 8" xfId="39443" xr:uid="{00000000-0005-0000-0000-0000069A0000}"/>
    <cellStyle name="Normal 2 56 9" xfId="39444" xr:uid="{00000000-0005-0000-0000-0000079A0000}"/>
    <cellStyle name="Normal 2 57" xfId="39445" xr:uid="{00000000-0005-0000-0000-0000089A0000}"/>
    <cellStyle name="Normal 2 57 10" xfId="39446" xr:uid="{00000000-0005-0000-0000-0000099A0000}"/>
    <cellStyle name="Normal 2 57 11" xfId="39447" xr:uid="{00000000-0005-0000-0000-00000A9A0000}"/>
    <cellStyle name="Normal 2 57 12" xfId="39448" xr:uid="{00000000-0005-0000-0000-00000B9A0000}"/>
    <cellStyle name="Normal 2 57 13" xfId="39449" xr:uid="{00000000-0005-0000-0000-00000C9A0000}"/>
    <cellStyle name="Normal 2 57 14" xfId="39450" xr:uid="{00000000-0005-0000-0000-00000D9A0000}"/>
    <cellStyle name="Normal 2 57 15" xfId="39451" xr:uid="{00000000-0005-0000-0000-00000E9A0000}"/>
    <cellStyle name="Normal 2 57 2" xfId="39452" xr:uid="{00000000-0005-0000-0000-00000F9A0000}"/>
    <cellStyle name="Normal 2 57 3" xfId="39453" xr:uid="{00000000-0005-0000-0000-0000109A0000}"/>
    <cellStyle name="Normal 2 57 4" xfId="39454" xr:uid="{00000000-0005-0000-0000-0000119A0000}"/>
    <cellStyle name="Normal 2 57 5" xfId="39455" xr:uid="{00000000-0005-0000-0000-0000129A0000}"/>
    <cellStyle name="Normal 2 57 6" xfId="39456" xr:uid="{00000000-0005-0000-0000-0000139A0000}"/>
    <cellStyle name="Normal 2 57 7" xfId="39457" xr:uid="{00000000-0005-0000-0000-0000149A0000}"/>
    <cellStyle name="Normal 2 57 8" xfId="39458" xr:uid="{00000000-0005-0000-0000-0000159A0000}"/>
    <cellStyle name="Normal 2 57 9" xfId="39459" xr:uid="{00000000-0005-0000-0000-0000169A0000}"/>
    <cellStyle name="Normal 2 58" xfId="39460" xr:uid="{00000000-0005-0000-0000-0000179A0000}"/>
    <cellStyle name="Normal 2 58 10" xfId="39461" xr:uid="{00000000-0005-0000-0000-0000189A0000}"/>
    <cellStyle name="Normal 2 58 11" xfId="39462" xr:uid="{00000000-0005-0000-0000-0000199A0000}"/>
    <cellStyle name="Normal 2 58 12" xfId="39463" xr:uid="{00000000-0005-0000-0000-00001A9A0000}"/>
    <cellStyle name="Normal 2 58 13" xfId="39464" xr:uid="{00000000-0005-0000-0000-00001B9A0000}"/>
    <cellStyle name="Normal 2 58 14" xfId="39465" xr:uid="{00000000-0005-0000-0000-00001C9A0000}"/>
    <cellStyle name="Normal 2 58 15" xfId="39466" xr:uid="{00000000-0005-0000-0000-00001D9A0000}"/>
    <cellStyle name="Normal 2 58 2" xfId="39467" xr:uid="{00000000-0005-0000-0000-00001E9A0000}"/>
    <cellStyle name="Normal 2 58 3" xfId="39468" xr:uid="{00000000-0005-0000-0000-00001F9A0000}"/>
    <cellStyle name="Normal 2 58 4" xfId="39469" xr:uid="{00000000-0005-0000-0000-0000209A0000}"/>
    <cellStyle name="Normal 2 58 5" xfId="39470" xr:uid="{00000000-0005-0000-0000-0000219A0000}"/>
    <cellStyle name="Normal 2 58 6" xfId="39471" xr:uid="{00000000-0005-0000-0000-0000229A0000}"/>
    <cellStyle name="Normal 2 58 7" xfId="39472" xr:uid="{00000000-0005-0000-0000-0000239A0000}"/>
    <cellStyle name="Normal 2 58 8" xfId="39473" xr:uid="{00000000-0005-0000-0000-0000249A0000}"/>
    <cellStyle name="Normal 2 58 9" xfId="39474" xr:uid="{00000000-0005-0000-0000-0000259A0000}"/>
    <cellStyle name="Normal 2 59" xfId="39475" xr:uid="{00000000-0005-0000-0000-0000269A0000}"/>
    <cellStyle name="Normal 2 59 10" xfId="39476" xr:uid="{00000000-0005-0000-0000-0000279A0000}"/>
    <cellStyle name="Normal 2 59 11" xfId="39477" xr:uid="{00000000-0005-0000-0000-0000289A0000}"/>
    <cellStyle name="Normal 2 59 12" xfId="39478" xr:uid="{00000000-0005-0000-0000-0000299A0000}"/>
    <cellStyle name="Normal 2 59 13" xfId="39479" xr:uid="{00000000-0005-0000-0000-00002A9A0000}"/>
    <cellStyle name="Normal 2 59 14" xfId="39480" xr:uid="{00000000-0005-0000-0000-00002B9A0000}"/>
    <cellStyle name="Normal 2 59 15" xfId="39481" xr:uid="{00000000-0005-0000-0000-00002C9A0000}"/>
    <cellStyle name="Normal 2 59 2" xfId="39482" xr:uid="{00000000-0005-0000-0000-00002D9A0000}"/>
    <cellStyle name="Normal 2 59 3" xfId="39483" xr:uid="{00000000-0005-0000-0000-00002E9A0000}"/>
    <cellStyle name="Normal 2 59 4" xfId="39484" xr:uid="{00000000-0005-0000-0000-00002F9A0000}"/>
    <cellStyle name="Normal 2 59 5" xfId="39485" xr:uid="{00000000-0005-0000-0000-0000309A0000}"/>
    <cellStyle name="Normal 2 59 6" xfId="39486" xr:uid="{00000000-0005-0000-0000-0000319A0000}"/>
    <cellStyle name="Normal 2 59 7" xfId="39487" xr:uid="{00000000-0005-0000-0000-0000329A0000}"/>
    <cellStyle name="Normal 2 59 8" xfId="39488" xr:uid="{00000000-0005-0000-0000-0000339A0000}"/>
    <cellStyle name="Normal 2 59 9" xfId="39489" xr:uid="{00000000-0005-0000-0000-0000349A0000}"/>
    <cellStyle name="Normal 2 6" xfId="39490" xr:uid="{00000000-0005-0000-0000-0000359A0000}"/>
    <cellStyle name="Normal 2 6 10" xfId="39491" xr:uid="{00000000-0005-0000-0000-0000369A0000}"/>
    <cellStyle name="Normal 2 6 11" xfId="39492" xr:uid="{00000000-0005-0000-0000-0000379A0000}"/>
    <cellStyle name="Normal 2 6 2" xfId="39493" xr:uid="{00000000-0005-0000-0000-0000389A0000}"/>
    <cellStyle name="Normal 2 6 2 2" xfId="39494" xr:uid="{00000000-0005-0000-0000-0000399A0000}"/>
    <cellStyle name="Normal 2 6 3" xfId="39495" xr:uid="{00000000-0005-0000-0000-00003A9A0000}"/>
    <cellStyle name="Normal 2 6 3 2" xfId="39496" xr:uid="{00000000-0005-0000-0000-00003B9A0000}"/>
    <cellStyle name="Normal 2 6 4" xfId="39497" xr:uid="{00000000-0005-0000-0000-00003C9A0000}"/>
    <cellStyle name="Normal 2 6 4 2" xfId="39498" xr:uid="{00000000-0005-0000-0000-00003D9A0000}"/>
    <cellStyle name="Normal 2 6 5" xfId="39499" xr:uid="{00000000-0005-0000-0000-00003E9A0000}"/>
    <cellStyle name="Normal 2 6 6" xfId="39500" xr:uid="{00000000-0005-0000-0000-00003F9A0000}"/>
    <cellStyle name="Normal 2 6 7" xfId="39501" xr:uid="{00000000-0005-0000-0000-0000409A0000}"/>
    <cellStyle name="Normal 2 6 8" xfId="39502" xr:uid="{00000000-0005-0000-0000-0000419A0000}"/>
    <cellStyle name="Normal 2 6 9" xfId="39503" xr:uid="{00000000-0005-0000-0000-0000429A0000}"/>
    <cellStyle name="Normal 2 60" xfId="39504" xr:uid="{00000000-0005-0000-0000-0000439A0000}"/>
    <cellStyle name="Normal 2 60 10" xfId="39505" xr:uid="{00000000-0005-0000-0000-0000449A0000}"/>
    <cellStyle name="Normal 2 60 11" xfId="39506" xr:uid="{00000000-0005-0000-0000-0000459A0000}"/>
    <cellStyle name="Normal 2 60 12" xfId="39507" xr:uid="{00000000-0005-0000-0000-0000469A0000}"/>
    <cellStyle name="Normal 2 60 13" xfId="39508" xr:uid="{00000000-0005-0000-0000-0000479A0000}"/>
    <cellStyle name="Normal 2 60 14" xfId="39509" xr:uid="{00000000-0005-0000-0000-0000489A0000}"/>
    <cellStyle name="Normal 2 60 15" xfId="39510" xr:uid="{00000000-0005-0000-0000-0000499A0000}"/>
    <cellStyle name="Normal 2 60 2" xfId="39511" xr:uid="{00000000-0005-0000-0000-00004A9A0000}"/>
    <cellStyle name="Normal 2 60 3" xfId="39512" xr:uid="{00000000-0005-0000-0000-00004B9A0000}"/>
    <cellStyle name="Normal 2 60 4" xfId="39513" xr:uid="{00000000-0005-0000-0000-00004C9A0000}"/>
    <cellStyle name="Normal 2 60 5" xfId="39514" xr:uid="{00000000-0005-0000-0000-00004D9A0000}"/>
    <cellStyle name="Normal 2 60 6" xfId="39515" xr:uid="{00000000-0005-0000-0000-00004E9A0000}"/>
    <cellStyle name="Normal 2 60 7" xfId="39516" xr:uid="{00000000-0005-0000-0000-00004F9A0000}"/>
    <cellStyle name="Normal 2 60 8" xfId="39517" xr:uid="{00000000-0005-0000-0000-0000509A0000}"/>
    <cellStyle name="Normal 2 60 9" xfId="39518" xr:uid="{00000000-0005-0000-0000-0000519A0000}"/>
    <cellStyle name="Normal 2 61" xfId="39519" xr:uid="{00000000-0005-0000-0000-0000529A0000}"/>
    <cellStyle name="Normal 2 61 10" xfId="39520" xr:uid="{00000000-0005-0000-0000-0000539A0000}"/>
    <cellStyle name="Normal 2 61 11" xfId="39521" xr:uid="{00000000-0005-0000-0000-0000549A0000}"/>
    <cellStyle name="Normal 2 61 12" xfId="39522" xr:uid="{00000000-0005-0000-0000-0000559A0000}"/>
    <cellStyle name="Normal 2 61 13" xfId="39523" xr:uid="{00000000-0005-0000-0000-0000569A0000}"/>
    <cellStyle name="Normal 2 61 14" xfId="39524" xr:uid="{00000000-0005-0000-0000-0000579A0000}"/>
    <cellStyle name="Normal 2 61 15" xfId="39525" xr:uid="{00000000-0005-0000-0000-0000589A0000}"/>
    <cellStyle name="Normal 2 61 2" xfId="39526" xr:uid="{00000000-0005-0000-0000-0000599A0000}"/>
    <cellStyle name="Normal 2 61 3" xfId="39527" xr:uid="{00000000-0005-0000-0000-00005A9A0000}"/>
    <cellStyle name="Normal 2 61 4" xfId="39528" xr:uid="{00000000-0005-0000-0000-00005B9A0000}"/>
    <cellStyle name="Normal 2 61 5" xfId="39529" xr:uid="{00000000-0005-0000-0000-00005C9A0000}"/>
    <cellStyle name="Normal 2 61 6" xfId="39530" xr:uid="{00000000-0005-0000-0000-00005D9A0000}"/>
    <cellStyle name="Normal 2 61 7" xfId="39531" xr:uid="{00000000-0005-0000-0000-00005E9A0000}"/>
    <cellStyle name="Normal 2 61 8" xfId="39532" xr:uid="{00000000-0005-0000-0000-00005F9A0000}"/>
    <cellStyle name="Normal 2 61 9" xfId="39533" xr:uid="{00000000-0005-0000-0000-0000609A0000}"/>
    <cellStyle name="Normal 2 62" xfId="39534" xr:uid="{00000000-0005-0000-0000-0000619A0000}"/>
    <cellStyle name="Normal 2 62 10" xfId="39535" xr:uid="{00000000-0005-0000-0000-0000629A0000}"/>
    <cellStyle name="Normal 2 62 11" xfId="39536" xr:uid="{00000000-0005-0000-0000-0000639A0000}"/>
    <cellStyle name="Normal 2 62 12" xfId="39537" xr:uid="{00000000-0005-0000-0000-0000649A0000}"/>
    <cellStyle name="Normal 2 62 13" xfId="39538" xr:uid="{00000000-0005-0000-0000-0000659A0000}"/>
    <cellStyle name="Normal 2 62 14" xfId="39539" xr:uid="{00000000-0005-0000-0000-0000669A0000}"/>
    <cellStyle name="Normal 2 62 15" xfId="39540" xr:uid="{00000000-0005-0000-0000-0000679A0000}"/>
    <cellStyle name="Normal 2 62 2" xfId="39541" xr:uid="{00000000-0005-0000-0000-0000689A0000}"/>
    <cellStyle name="Normal 2 62 3" xfId="39542" xr:uid="{00000000-0005-0000-0000-0000699A0000}"/>
    <cellStyle name="Normal 2 62 4" xfId="39543" xr:uid="{00000000-0005-0000-0000-00006A9A0000}"/>
    <cellStyle name="Normal 2 62 5" xfId="39544" xr:uid="{00000000-0005-0000-0000-00006B9A0000}"/>
    <cellStyle name="Normal 2 62 6" xfId="39545" xr:uid="{00000000-0005-0000-0000-00006C9A0000}"/>
    <cellStyle name="Normal 2 62 7" xfId="39546" xr:uid="{00000000-0005-0000-0000-00006D9A0000}"/>
    <cellStyle name="Normal 2 62 8" xfId="39547" xr:uid="{00000000-0005-0000-0000-00006E9A0000}"/>
    <cellStyle name="Normal 2 62 9" xfId="39548" xr:uid="{00000000-0005-0000-0000-00006F9A0000}"/>
    <cellStyle name="Normal 2 63" xfId="39549" xr:uid="{00000000-0005-0000-0000-0000709A0000}"/>
    <cellStyle name="Normal 2 63 10" xfId="39550" xr:uid="{00000000-0005-0000-0000-0000719A0000}"/>
    <cellStyle name="Normal 2 63 11" xfId="39551" xr:uid="{00000000-0005-0000-0000-0000729A0000}"/>
    <cellStyle name="Normal 2 63 12" xfId="39552" xr:uid="{00000000-0005-0000-0000-0000739A0000}"/>
    <cellStyle name="Normal 2 63 13" xfId="39553" xr:uid="{00000000-0005-0000-0000-0000749A0000}"/>
    <cellStyle name="Normal 2 63 14" xfId="39554" xr:uid="{00000000-0005-0000-0000-0000759A0000}"/>
    <cellStyle name="Normal 2 63 15" xfId="39555" xr:uid="{00000000-0005-0000-0000-0000769A0000}"/>
    <cellStyle name="Normal 2 63 2" xfId="39556" xr:uid="{00000000-0005-0000-0000-0000779A0000}"/>
    <cellStyle name="Normal 2 63 3" xfId="39557" xr:uid="{00000000-0005-0000-0000-0000789A0000}"/>
    <cellStyle name="Normal 2 63 4" xfId="39558" xr:uid="{00000000-0005-0000-0000-0000799A0000}"/>
    <cellStyle name="Normal 2 63 5" xfId="39559" xr:uid="{00000000-0005-0000-0000-00007A9A0000}"/>
    <cellStyle name="Normal 2 63 6" xfId="39560" xr:uid="{00000000-0005-0000-0000-00007B9A0000}"/>
    <cellStyle name="Normal 2 63 7" xfId="39561" xr:uid="{00000000-0005-0000-0000-00007C9A0000}"/>
    <cellStyle name="Normal 2 63 8" xfId="39562" xr:uid="{00000000-0005-0000-0000-00007D9A0000}"/>
    <cellStyle name="Normal 2 63 9" xfId="39563" xr:uid="{00000000-0005-0000-0000-00007E9A0000}"/>
    <cellStyle name="Normal 2 64" xfId="39564" xr:uid="{00000000-0005-0000-0000-00007F9A0000}"/>
    <cellStyle name="Normal 2 64 10" xfId="39565" xr:uid="{00000000-0005-0000-0000-0000809A0000}"/>
    <cellStyle name="Normal 2 64 11" xfId="39566" xr:uid="{00000000-0005-0000-0000-0000819A0000}"/>
    <cellStyle name="Normal 2 64 12" xfId="39567" xr:uid="{00000000-0005-0000-0000-0000829A0000}"/>
    <cellStyle name="Normal 2 64 13" xfId="39568" xr:uid="{00000000-0005-0000-0000-0000839A0000}"/>
    <cellStyle name="Normal 2 64 14" xfId="39569" xr:uid="{00000000-0005-0000-0000-0000849A0000}"/>
    <cellStyle name="Normal 2 64 15" xfId="39570" xr:uid="{00000000-0005-0000-0000-0000859A0000}"/>
    <cellStyle name="Normal 2 64 2" xfId="39571" xr:uid="{00000000-0005-0000-0000-0000869A0000}"/>
    <cellStyle name="Normal 2 64 3" xfId="39572" xr:uid="{00000000-0005-0000-0000-0000879A0000}"/>
    <cellStyle name="Normal 2 64 4" xfId="39573" xr:uid="{00000000-0005-0000-0000-0000889A0000}"/>
    <cellStyle name="Normal 2 64 5" xfId="39574" xr:uid="{00000000-0005-0000-0000-0000899A0000}"/>
    <cellStyle name="Normal 2 64 6" xfId="39575" xr:uid="{00000000-0005-0000-0000-00008A9A0000}"/>
    <cellStyle name="Normal 2 64 7" xfId="39576" xr:uid="{00000000-0005-0000-0000-00008B9A0000}"/>
    <cellStyle name="Normal 2 64 8" xfId="39577" xr:uid="{00000000-0005-0000-0000-00008C9A0000}"/>
    <cellStyle name="Normal 2 64 9" xfId="39578" xr:uid="{00000000-0005-0000-0000-00008D9A0000}"/>
    <cellStyle name="Normal 2 65" xfId="39579" xr:uid="{00000000-0005-0000-0000-00008E9A0000}"/>
    <cellStyle name="Normal 2 66" xfId="39580" xr:uid="{00000000-0005-0000-0000-00008F9A0000}"/>
    <cellStyle name="Normal 2 67" xfId="39581" xr:uid="{00000000-0005-0000-0000-0000909A0000}"/>
    <cellStyle name="Normal 2 68" xfId="39582" xr:uid="{00000000-0005-0000-0000-0000919A0000}"/>
    <cellStyle name="Normal 2 69" xfId="39583" xr:uid="{00000000-0005-0000-0000-0000929A0000}"/>
    <cellStyle name="Normal 2 7" xfId="39584" xr:uid="{00000000-0005-0000-0000-0000939A0000}"/>
    <cellStyle name="Normal 2 7 10" xfId="39585" xr:uid="{00000000-0005-0000-0000-0000949A0000}"/>
    <cellStyle name="Normal 2 7 11" xfId="39586" xr:uid="{00000000-0005-0000-0000-0000959A0000}"/>
    <cellStyle name="Normal 2 7 2" xfId="39587" xr:uid="{00000000-0005-0000-0000-0000969A0000}"/>
    <cellStyle name="Normal 2 7 2 2" xfId="39588" xr:uid="{00000000-0005-0000-0000-0000979A0000}"/>
    <cellStyle name="Normal 2 7 3" xfId="39589" xr:uid="{00000000-0005-0000-0000-0000989A0000}"/>
    <cellStyle name="Normal 2 7 3 2" xfId="39590" xr:uid="{00000000-0005-0000-0000-0000999A0000}"/>
    <cellStyle name="Normal 2 7 4" xfId="39591" xr:uid="{00000000-0005-0000-0000-00009A9A0000}"/>
    <cellStyle name="Normal 2 7 4 2" xfId="39592" xr:uid="{00000000-0005-0000-0000-00009B9A0000}"/>
    <cellStyle name="Normal 2 7 5" xfId="39593" xr:uid="{00000000-0005-0000-0000-00009C9A0000}"/>
    <cellStyle name="Normal 2 7 6" xfId="39594" xr:uid="{00000000-0005-0000-0000-00009D9A0000}"/>
    <cellStyle name="Normal 2 7 7" xfId="39595" xr:uid="{00000000-0005-0000-0000-00009E9A0000}"/>
    <cellStyle name="Normal 2 7 8" xfId="39596" xr:uid="{00000000-0005-0000-0000-00009F9A0000}"/>
    <cellStyle name="Normal 2 7 9" xfId="39597" xr:uid="{00000000-0005-0000-0000-0000A09A0000}"/>
    <cellStyle name="Normal 2 70" xfId="39598" xr:uid="{00000000-0005-0000-0000-0000A19A0000}"/>
    <cellStyle name="Normal 2 71" xfId="39599" xr:uid="{00000000-0005-0000-0000-0000A29A0000}"/>
    <cellStyle name="Normal 2 72" xfId="39600" xr:uid="{00000000-0005-0000-0000-0000A39A0000}"/>
    <cellStyle name="Normal 2 73" xfId="39601" xr:uid="{00000000-0005-0000-0000-0000A49A0000}"/>
    <cellStyle name="Normal 2 74" xfId="39602" xr:uid="{00000000-0005-0000-0000-0000A59A0000}"/>
    <cellStyle name="Normal 2 75" xfId="39603" xr:uid="{00000000-0005-0000-0000-0000A69A0000}"/>
    <cellStyle name="Normal 2 76" xfId="39604" xr:uid="{00000000-0005-0000-0000-0000A79A0000}"/>
    <cellStyle name="Normal 2 77" xfId="39605" xr:uid="{00000000-0005-0000-0000-0000A89A0000}"/>
    <cellStyle name="Normal 2 78" xfId="39606" xr:uid="{00000000-0005-0000-0000-0000A99A0000}"/>
    <cellStyle name="Normal 2 79" xfId="39607" xr:uid="{00000000-0005-0000-0000-0000AA9A0000}"/>
    <cellStyle name="Normal 2 8" xfId="39608" xr:uid="{00000000-0005-0000-0000-0000AB9A0000}"/>
    <cellStyle name="Normal 2 8 10" xfId="39609" xr:uid="{00000000-0005-0000-0000-0000AC9A0000}"/>
    <cellStyle name="Normal 2 8 11" xfId="39610" xr:uid="{00000000-0005-0000-0000-0000AD9A0000}"/>
    <cellStyle name="Normal 2 8 2" xfId="39611" xr:uid="{00000000-0005-0000-0000-0000AE9A0000}"/>
    <cellStyle name="Normal 2 8 2 2" xfId="39612" xr:uid="{00000000-0005-0000-0000-0000AF9A0000}"/>
    <cellStyle name="Normal 2 8 3" xfId="39613" xr:uid="{00000000-0005-0000-0000-0000B09A0000}"/>
    <cellStyle name="Normal 2 8 3 2" xfId="39614" xr:uid="{00000000-0005-0000-0000-0000B19A0000}"/>
    <cellStyle name="Normal 2 8 4" xfId="39615" xr:uid="{00000000-0005-0000-0000-0000B29A0000}"/>
    <cellStyle name="Normal 2 8 5" xfId="39616" xr:uid="{00000000-0005-0000-0000-0000B39A0000}"/>
    <cellStyle name="Normal 2 8 6" xfId="39617" xr:uid="{00000000-0005-0000-0000-0000B49A0000}"/>
    <cellStyle name="Normal 2 8 7" xfId="39618" xr:uid="{00000000-0005-0000-0000-0000B59A0000}"/>
    <cellStyle name="Normal 2 8 8" xfId="39619" xr:uid="{00000000-0005-0000-0000-0000B69A0000}"/>
    <cellStyle name="Normal 2 8 9" xfId="39620" xr:uid="{00000000-0005-0000-0000-0000B79A0000}"/>
    <cellStyle name="Normal 2 80" xfId="39621" xr:uid="{00000000-0005-0000-0000-0000B89A0000}"/>
    <cellStyle name="Normal 2 81" xfId="39622" xr:uid="{00000000-0005-0000-0000-0000B99A0000}"/>
    <cellStyle name="Normal 2 81 10" xfId="39623" xr:uid="{00000000-0005-0000-0000-0000BA9A0000}"/>
    <cellStyle name="Normal 2 81 11" xfId="39624" xr:uid="{00000000-0005-0000-0000-0000BB9A0000}"/>
    <cellStyle name="Normal 2 81 12" xfId="39625" xr:uid="{00000000-0005-0000-0000-0000BC9A0000}"/>
    <cellStyle name="Normal 2 81 13" xfId="39626" xr:uid="{00000000-0005-0000-0000-0000BD9A0000}"/>
    <cellStyle name="Normal 2 81 14" xfId="39627" xr:uid="{00000000-0005-0000-0000-0000BE9A0000}"/>
    <cellStyle name="Normal 2 81 15" xfId="39628" xr:uid="{00000000-0005-0000-0000-0000BF9A0000}"/>
    <cellStyle name="Normal 2 81 16" xfId="39629" xr:uid="{00000000-0005-0000-0000-0000C09A0000}"/>
    <cellStyle name="Normal 2 81 17" xfId="39630" xr:uid="{00000000-0005-0000-0000-0000C19A0000}"/>
    <cellStyle name="Normal 2 81 18" xfId="39631" xr:uid="{00000000-0005-0000-0000-0000C29A0000}"/>
    <cellStyle name="Normal 2 81 19" xfId="39632" xr:uid="{00000000-0005-0000-0000-0000C39A0000}"/>
    <cellStyle name="Normal 2 81 2" xfId="39633" xr:uid="{00000000-0005-0000-0000-0000C49A0000}"/>
    <cellStyle name="Normal 2 81 2 2" xfId="39634" xr:uid="{00000000-0005-0000-0000-0000C59A0000}"/>
    <cellStyle name="Normal 2 81 20" xfId="39635" xr:uid="{00000000-0005-0000-0000-0000C69A0000}"/>
    <cellStyle name="Normal 2 81 21" xfId="39636" xr:uid="{00000000-0005-0000-0000-0000C79A0000}"/>
    <cellStyle name="Normal 2 81 22" xfId="39637" xr:uid="{00000000-0005-0000-0000-0000C89A0000}"/>
    <cellStyle name="Normal 2 81 23" xfId="39638" xr:uid="{00000000-0005-0000-0000-0000C99A0000}"/>
    <cellStyle name="Normal 2 81 24" xfId="39639" xr:uid="{00000000-0005-0000-0000-0000CA9A0000}"/>
    <cellStyle name="Normal 2 81 25" xfId="39640" xr:uid="{00000000-0005-0000-0000-0000CB9A0000}"/>
    <cellStyle name="Normal 2 81 26" xfId="39641" xr:uid="{00000000-0005-0000-0000-0000CC9A0000}"/>
    <cellStyle name="Normal 2 81 27" xfId="39642" xr:uid="{00000000-0005-0000-0000-0000CD9A0000}"/>
    <cellStyle name="Normal 2 81 28" xfId="39643" xr:uid="{00000000-0005-0000-0000-0000CE9A0000}"/>
    <cellStyle name="Normal 2 81 29" xfId="39644" xr:uid="{00000000-0005-0000-0000-0000CF9A0000}"/>
    <cellStyle name="Normal 2 81 3" xfId="39645" xr:uid="{00000000-0005-0000-0000-0000D09A0000}"/>
    <cellStyle name="Normal 2 81 30" xfId="39646" xr:uid="{00000000-0005-0000-0000-0000D19A0000}"/>
    <cellStyle name="Normal 2 81 31" xfId="39647" xr:uid="{00000000-0005-0000-0000-0000D29A0000}"/>
    <cellStyle name="Normal 2 81 4" xfId="39648" xr:uid="{00000000-0005-0000-0000-0000D39A0000}"/>
    <cellStyle name="Normal 2 81 5" xfId="39649" xr:uid="{00000000-0005-0000-0000-0000D49A0000}"/>
    <cellStyle name="Normal 2 81 6" xfId="39650" xr:uid="{00000000-0005-0000-0000-0000D59A0000}"/>
    <cellStyle name="Normal 2 81 7" xfId="39651" xr:uid="{00000000-0005-0000-0000-0000D69A0000}"/>
    <cellStyle name="Normal 2 81 8" xfId="39652" xr:uid="{00000000-0005-0000-0000-0000D79A0000}"/>
    <cellStyle name="Normal 2 81 9" xfId="39653" xr:uid="{00000000-0005-0000-0000-0000D89A0000}"/>
    <cellStyle name="Normal 2 82" xfId="39654" xr:uid="{00000000-0005-0000-0000-0000D99A0000}"/>
    <cellStyle name="Normal 2 83" xfId="39655" xr:uid="{00000000-0005-0000-0000-0000DA9A0000}"/>
    <cellStyle name="Normal 2 84" xfId="39656" xr:uid="{00000000-0005-0000-0000-0000DB9A0000}"/>
    <cellStyle name="Normal 2 85" xfId="39657" xr:uid="{00000000-0005-0000-0000-0000DC9A0000}"/>
    <cellStyle name="Normal 2 86" xfId="39658" xr:uid="{00000000-0005-0000-0000-0000DD9A0000}"/>
    <cellStyle name="Normal 2 87" xfId="39659" xr:uid="{00000000-0005-0000-0000-0000DE9A0000}"/>
    <cellStyle name="Normal 2 88" xfId="39660" xr:uid="{00000000-0005-0000-0000-0000DF9A0000}"/>
    <cellStyle name="Normal 2 89" xfId="39661" xr:uid="{00000000-0005-0000-0000-0000E09A0000}"/>
    <cellStyle name="Normal 2 9" xfId="39662" xr:uid="{00000000-0005-0000-0000-0000E19A0000}"/>
    <cellStyle name="Normal 2 9 10" xfId="39663" xr:uid="{00000000-0005-0000-0000-0000E29A0000}"/>
    <cellStyle name="Normal 2 9 11" xfId="39664" xr:uid="{00000000-0005-0000-0000-0000E39A0000}"/>
    <cellStyle name="Normal 2 9 2" xfId="39665" xr:uid="{00000000-0005-0000-0000-0000E49A0000}"/>
    <cellStyle name="Normal 2 9 2 2" xfId="39666" xr:uid="{00000000-0005-0000-0000-0000E59A0000}"/>
    <cellStyle name="Normal 2 9 3" xfId="39667" xr:uid="{00000000-0005-0000-0000-0000E69A0000}"/>
    <cellStyle name="Normal 2 9 3 2" xfId="39668" xr:uid="{00000000-0005-0000-0000-0000E79A0000}"/>
    <cellStyle name="Normal 2 9 4" xfId="39669" xr:uid="{00000000-0005-0000-0000-0000E89A0000}"/>
    <cellStyle name="Normal 2 9 5" xfId="39670" xr:uid="{00000000-0005-0000-0000-0000E99A0000}"/>
    <cellStyle name="Normal 2 9 6" xfId="39671" xr:uid="{00000000-0005-0000-0000-0000EA9A0000}"/>
    <cellStyle name="Normal 2 9 7" xfId="39672" xr:uid="{00000000-0005-0000-0000-0000EB9A0000}"/>
    <cellStyle name="Normal 2 9 8" xfId="39673" xr:uid="{00000000-0005-0000-0000-0000EC9A0000}"/>
    <cellStyle name="Normal 2 9 9" xfId="39674" xr:uid="{00000000-0005-0000-0000-0000ED9A0000}"/>
    <cellStyle name="Normal 2 90" xfId="39675" xr:uid="{00000000-0005-0000-0000-0000EE9A0000}"/>
    <cellStyle name="Normal 2 91" xfId="39676" xr:uid="{00000000-0005-0000-0000-0000EF9A0000}"/>
    <cellStyle name="Normal 2 92" xfId="39677" xr:uid="{00000000-0005-0000-0000-0000F09A0000}"/>
    <cellStyle name="Normal 2 93" xfId="39678" xr:uid="{00000000-0005-0000-0000-0000F19A0000}"/>
    <cellStyle name="Normal 2 94" xfId="39679" xr:uid="{00000000-0005-0000-0000-0000F29A0000}"/>
    <cellStyle name="Normal 2 95" xfId="39680" xr:uid="{00000000-0005-0000-0000-0000F39A0000}"/>
    <cellStyle name="Normal 2 96" xfId="39681" xr:uid="{00000000-0005-0000-0000-0000F49A0000}"/>
    <cellStyle name="Normal 2 97" xfId="39682" xr:uid="{00000000-0005-0000-0000-0000F59A0000}"/>
    <cellStyle name="Normal 2 98" xfId="39683" xr:uid="{00000000-0005-0000-0000-0000F69A0000}"/>
    <cellStyle name="Normal 2 99" xfId="39684" xr:uid="{00000000-0005-0000-0000-0000F79A0000}"/>
    <cellStyle name="Normal 2_ERDF Losses" xfId="39685" xr:uid="{00000000-0005-0000-0000-0000F89A0000}"/>
    <cellStyle name="Normal 20" xfId="39686" xr:uid="{00000000-0005-0000-0000-0000F99A0000}"/>
    <cellStyle name="Normal 20 10" xfId="39687" xr:uid="{00000000-0005-0000-0000-0000FA9A0000}"/>
    <cellStyle name="Normal 20 11" xfId="39688" xr:uid="{00000000-0005-0000-0000-0000FB9A0000}"/>
    <cellStyle name="Normal 20 12" xfId="39689" xr:uid="{00000000-0005-0000-0000-0000FC9A0000}"/>
    <cellStyle name="Normal 20 13" xfId="39690" xr:uid="{00000000-0005-0000-0000-0000FD9A0000}"/>
    <cellStyle name="Normal 20 14" xfId="39691" xr:uid="{00000000-0005-0000-0000-0000FE9A0000}"/>
    <cellStyle name="Normal 20 15" xfId="39692" xr:uid="{00000000-0005-0000-0000-0000FF9A0000}"/>
    <cellStyle name="Normal 20 16" xfId="39693" xr:uid="{00000000-0005-0000-0000-0000009B0000}"/>
    <cellStyle name="Normal 20 17" xfId="39694" xr:uid="{00000000-0005-0000-0000-0000019B0000}"/>
    <cellStyle name="Normal 20 18" xfId="39695" xr:uid="{00000000-0005-0000-0000-0000029B0000}"/>
    <cellStyle name="Normal 20 19" xfId="39696" xr:uid="{00000000-0005-0000-0000-0000039B0000}"/>
    <cellStyle name="Normal 20 2" xfId="39697" xr:uid="{00000000-0005-0000-0000-0000049B0000}"/>
    <cellStyle name="Normal 20 2 10" xfId="39698" xr:uid="{00000000-0005-0000-0000-0000059B0000}"/>
    <cellStyle name="Normal 20 2 11" xfId="39699" xr:uid="{00000000-0005-0000-0000-0000069B0000}"/>
    <cellStyle name="Normal 20 2 12" xfId="39700" xr:uid="{00000000-0005-0000-0000-0000079B0000}"/>
    <cellStyle name="Normal 20 2 13" xfId="39701" xr:uid="{00000000-0005-0000-0000-0000089B0000}"/>
    <cellStyle name="Normal 20 2 14" xfId="39702" xr:uid="{00000000-0005-0000-0000-0000099B0000}"/>
    <cellStyle name="Normal 20 2 15" xfId="39703" xr:uid="{00000000-0005-0000-0000-00000A9B0000}"/>
    <cellStyle name="Normal 20 2 16" xfId="39704" xr:uid="{00000000-0005-0000-0000-00000B9B0000}"/>
    <cellStyle name="Normal 20 2 17" xfId="39705" xr:uid="{00000000-0005-0000-0000-00000C9B0000}"/>
    <cellStyle name="Normal 20 2 18" xfId="39706" xr:uid="{00000000-0005-0000-0000-00000D9B0000}"/>
    <cellStyle name="Normal 20 2 19" xfId="39707" xr:uid="{00000000-0005-0000-0000-00000E9B0000}"/>
    <cellStyle name="Normal 20 2 2" xfId="39708" xr:uid="{00000000-0005-0000-0000-00000F9B0000}"/>
    <cellStyle name="Normal 20 2 20" xfId="39709" xr:uid="{00000000-0005-0000-0000-0000109B0000}"/>
    <cellStyle name="Normal 20 2 3" xfId="39710" xr:uid="{00000000-0005-0000-0000-0000119B0000}"/>
    <cellStyle name="Normal 20 2 4" xfId="39711" xr:uid="{00000000-0005-0000-0000-0000129B0000}"/>
    <cellStyle name="Normal 20 2 5" xfId="39712" xr:uid="{00000000-0005-0000-0000-0000139B0000}"/>
    <cellStyle name="Normal 20 2 6" xfId="39713" xr:uid="{00000000-0005-0000-0000-0000149B0000}"/>
    <cellStyle name="Normal 20 2 7" xfId="39714" xr:uid="{00000000-0005-0000-0000-0000159B0000}"/>
    <cellStyle name="Normal 20 2 8" xfId="39715" xr:uid="{00000000-0005-0000-0000-0000169B0000}"/>
    <cellStyle name="Normal 20 2 9" xfId="39716" xr:uid="{00000000-0005-0000-0000-0000179B0000}"/>
    <cellStyle name="Normal 20 20" xfId="39717" xr:uid="{00000000-0005-0000-0000-0000189B0000}"/>
    <cellStyle name="Normal 20 21" xfId="39718" xr:uid="{00000000-0005-0000-0000-0000199B0000}"/>
    <cellStyle name="Normal 20 22" xfId="39719" xr:uid="{00000000-0005-0000-0000-00001A9B0000}"/>
    <cellStyle name="Normal 20 23" xfId="39720" xr:uid="{00000000-0005-0000-0000-00001B9B0000}"/>
    <cellStyle name="Normal 20 24" xfId="39721" xr:uid="{00000000-0005-0000-0000-00001C9B0000}"/>
    <cellStyle name="Normal 20 25" xfId="39722" xr:uid="{00000000-0005-0000-0000-00001D9B0000}"/>
    <cellStyle name="Normal 20 26" xfId="39723" xr:uid="{00000000-0005-0000-0000-00001E9B0000}"/>
    <cellStyle name="Normal 20 27" xfId="39724" xr:uid="{00000000-0005-0000-0000-00001F9B0000}"/>
    <cellStyle name="Normal 20 28" xfId="39725" xr:uid="{00000000-0005-0000-0000-0000209B0000}"/>
    <cellStyle name="Normal 20 29" xfId="39726" xr:uid="{00000000-0005-0000-0000-0000219B0000}"/>
    <cellStyle name="Normal 20 3" xfId="39727" xr:uid="{00000000-0005-0000-0000-0000229B0000}"/>
    <cellStyle name="Normal 20 30" xfId="39728" xr:uid="{00000000-0005-0000-0000-0000239B0000}"/>
    <cellStyle name="Normal 20 31" xfId="39729" xr:uid="{00000000-0005-0000-0000-0000249B0000}"/>
    <cellStyle name="Normal 20 32" xfId="39730" xr:uid="{00000000-0005-0000-0000-0000259B0000}"/>
    <cellStyle name="Normal 20 33" xfId="39731" xr:uid="{00000000-0005-0000-0000-0000269B0000}"/>
    <cellStyle name="Normal 20 34" xfId="39732" xr:uid="{00000000-0005-0000-0000-0000279B0000}"/>
    <cellStyle name="Normal 20 35" xfId="39733" xr:uid="{00000000-0005-0000-0000-0000289B0000}"/>
    <cellStyle name="Normal 20 36" xfId="39734" xr:uid="{00000000-0005-0000-0000-0000299B0000}"/>
    <cellStyle name="Normal 20 4" xfId="39735" xr:uid="{00000000-0005-0000-0000-00002A9B0000}"/>
    <cellStyle name="Normal 20 5" xfId="39736" xr:uid="{00000000-0005-0000-0000-00002B9B0000}"/>
    <cellStyle name="Normal 20 6" xfId="39737" xr:uid="{00000000-0005-0000-0000-00002C9B0000}"/>
    <cellStyle name="Normal 20 7" xfId="39738" xr:uid="{00000000-0005-0000-0000-00002D9B0000}"/>
    <cellStyle name="Normal 20 8" xfId="39739" xr:uid="{00000000-0005-0000-0000-00002E9B0000}"/>
    <cellStyle name="Normal 20 9" xfId="39740" xr:uid="{00000000-0005-0000-0000-00002F9B0000}"/>
    <cellStyle name="Normal 21" xfId="39741" xr:uid="{00000000-0005-0000-0000-0000309B0000}"/>
    <cellStyle name="Normal 21 10" xfId="39742" xr:uid="{00000000-0005-0000-0000-0000319B0000}"/>
    <cellStyle name="Normal 21 11" xfId="39743" xr:uid="{00000000-0005-0000-0000-0000329B0000}"/>
    <cellStyle name="Normal 21 12" xfId="39744" xr:uid="{00000000-0005-0000-0000-0000339B0000}"/>
    <cellStyle name="Normal 21 13" xfId="39745" xr:uid="{00000000-0005-0000-0000-0000349B0000}"/>
    <cellStyle name="Normal 21 14" xfId="39746" xr:uid="{00000000-0005-0000-0000-0000359B0000}"/>
    <cellStyle name="Normal 21 15" xfId="39747" xr:uid="{00000000-0005-0000-0000-0000369B0000}"/>
    <cellStyle name="Normal 21 16" xfId="39748" xr:uid="{00000000-0005-0000-0000-0000379B0000}"/>
    <cellStyle name="Normal 21 17" xfId="39749" xr:uid="{00000000-0005-0000-0000-0000389B0000}"/>
    <cellStyle name="Normal 21 18" xfId="39750" xr:uid="{00000000-0005-0000-0000-0000399B0000}"/>
    <cellStyle name="Normal 21 19" xfId="39751" xr:uid="{00000000-0005-0000-0000-00003A9B0000}"/>
    <cellStyle name="Normal 21 2" xfId="39752" xr:uid="{00000000-0005-0000-0000-00003B9B0000}"/>
    <cellStyle name="Normal 21 2 10" xfId="39753" xr:uid="{00000000-0005-0000-0000-00003C9B0000}"/>
    <cellStyle name="Normal 21 2 11" xfId="39754" xr:uid="{00000000-0005-0000-0000-00003D9B0000}"/>
    <cellStyle name="Normal 21 2 12" xfId="39755" xr:uid="{00000000-0005-0000-0000-00003E9B0000}"/>
    <cellStyle name="Normal 21 2 13" xfId="39756" xr:uid="{00000000-0005-0000-0000-00003F9B0000}"/>
    <cellStyle name="Normal 21 2 14" xfId="39757" xr:uid="{00000000-0005-0000-0000-0000409B0000}"/>
    <cellStyle name="Normal 21 2 15" xfId="39758" xr:uid="{00000000-0005-0000-0000-0000419B0000}"/>
    <cellStyle name="Normal 21 2 16" xfId="39759" xr:uid="{00000000-0005-0000-0000-0000429B0000}"/>
    <cellStyle name="Normal 21 2 17" xfId="39760" xr:uid="{00000000-0005-0000-0000-0000439B0000}"/>
    <cellStyle name="Normal 21 2 18" xfId="39761" xr:uid="{00000000-0005-0000-0000-0000449B0000}"/>
    <cellStyle name="Normal 21 2 19" xfId="39762" xr:uid="{00000000-0005-0000-0000-0000459B0000}"/>
    <cellStyle name="Normal 21 2 2" xfId="39763" xr:uid="{00000000-0005-0000-0000-0000469B0000}"/>
    <cellStyle name="Normal 21 2 20" xfId="39764" xr:uid="{00000000-0005-0000-0000-0000479B0000}"/>
    <cellStyle name="Normal 21 2 3" xfId="39765" xr:uid="{00000000-0005-0000-0000-0000489B0000}"/>
    <cellStyle name="Normal 21 2 4" xfId="39766" xr:uid="{00000000-0005-0000-0000-0000499B0000}"/>
    <cellStyle name="Normal 21 2 5" xfId="39767" xr:uid="{00000000-0005-0000-0000-00004A9B0000}"/>
    <cellStyle name="Normal 21 2 6" xfId="39768" xr:uid="{00000000-0005-0000-0000-00004B9B0000}"/>
    <cellStyle name="Normal 21 2 7" xfId="39769" xr:uid="{00000000-0005-0000-0000-00004C9B0000}"/>
    <cellStyle name="Normal 21 2 8" xfId="39770" xr:uid="{00000000-0005-0000-0000-00004D9B0000}"/>
    <cellStyle name="Normal 21 2 9" xfId="39771" xr:uid="{00000000-0005-0000-0000-00004E9B0000}"/>
    <cellStyle name="Normal 21 20" xfId="39772" xr:uid="{00000000-0005-0000-0000-00004F9B0000}"/>
    <cellStyle name="Normal 21 21" xfId="39773" xr:uid="{00000000-0005-0000-0000-0000509B0000}"/>
    <cellStyle name="Normal 21 22" xfId="39774" xr:uid="{00000000-0005-0000-0000-0000519B0000}"/>
    <cellStyle name="Normal 21 23" xfId="39775" xr:uid="{00000000-0005-0000-0000-0000529B0000}"/>
    <cellStyle name="Normal 21 24" xfId="39776" xr:uid="{00000000-0005-0000-0000-0000539B0000}"/>
    <cellStyle name="Normal 21 25" xfId="39777" xr:uid="{00000000-0005-0000-0000-0000549B0000}"/>
    <cellStyle name="Normal 21 26" xfId="39778" xr:uid="{00000000-0005-0000-0000-0000559B0000}"/>
    <cellStyle name="Normal 21 27" xfId="39779" xr:uid="{00000000-0005-0000-0000-0000569B0000}"/>
    <cellStyle name="Normal 21 28" xfId="39780" xr:uid="{00000000-0005-0000-0000-0000579B0000}"/>
    <cellStyle name="Normal 21 29" xfId="39781" xr:uid="{00000000-0005-0000-0000-0000589B0000}"/>
    <cellStyle name="Normal 21 3" xfId="39782" xr:uid="{00000000-0005-0000-0000-0000599B0000}"/>
    <cellStyle name="Normal 21 30" xfId="39783" xr:uid="{00000000-0005-0000-0000-00005A9B0000}"/>
    <cellStyle name="Normal 21 31" xfId="39784" xr:uid="{00000000-0005-0000-0000-00005B9B0000}"/>
    <cellStyle name="Normal 21 32" xfId="39785" xr:uid="{00000000-0005-0000-0000-00005C9B0000}"/>
    <cellStyle name="Normal 21 33" xfId="39786" xr:uid="{00000000-0005-0000-0000-00005D9B0000}"/>
    <cellStyle name="Normal 21 34" xfId="39787" xr:uid="{00000000-0005-0000-0000-00005E9B0000}"/>
    <cellStyle name="Normal 21 35" xfId="39788" xr:uid="{00000000-0005-0000-0000-00005F9B0000}"/>
    <cellStyle name="Normal 21 36" xfId="39789" xr:uid="{00000000-0005-0000-0000-0000609B0000}"/>
    <cellStyle name="Normal 21 4" xfId="39790" xr:uid="{00000000-0005-0000-0000-0000619B0000}"/>
    <cellStyle name="Normal 21 5" xfId="39791" xr:uid="{00000000-0005-0000-0000-0000629B0000}"/>
    <cellStyle name="Normal 21 6" xfId="39792" xr:uid="{00000000-0005-0000-0000-0000639B0000}"/>
    <cellStyle name="Normal 21 7" xfId="39793" xr:uid="{00000000-0005-0000-0000-0000649B0000}"/>
    <cellStyle name="Normal 21 8" xfId="39794" xr:uid="{00000000-0005-0000-0000-0000659B0000}"/>
    <cellStyle name="Normal 21 9" xfId="39795" xr:uid="{00000000-0005-0000-0000-0000669B0000}"/>
    <cellStyle name="Normal 21_SEPS_Ext" xfId="39796" xr:uid="{00000000-0005-0000-0000-0000679B0000}"/>
    <cellStyle name="Normal 22" xfId="39797" xr:uid="{00000000-0005-0000-0000-0000689B0000}"/>
    <cellStyle name="Normal 22 10" xfId="39798" xr:uid="{00000000-0005-0000-0000-0000699B0000}"/>
    <cellStyle name="Normal 22 10 10" xfId="39799" xr:uid="{00000000-0005-0000-0000-00006A9B0000}"/>
    <cellStyle name="Normal 22 10 11" xfId="39800" xr:uid="{00000000-0005-0000-0000-00006B9B0000}"/>
    <cellStyle name="Normal 22 10 12" xfId="39801" xr:uid="{00000000-0005-0000-0000-00006C9B0000}"/>
    <cellStyle name="Normal 22 10 13" xfId="39802" xr:uid="{00000000-0005-0000-0000-00006D9B0000}"/>
    <cellStyle name="Normal 22 10 14" xfId="39803" xr:uid="{00000000-0005-0000-0000-00006E9B0000}"/>
    <cellStyle name="Normal 22 10 15" xfId="39804" xr:uid="{00000000-0005-0000-0000-00006F9B0000}"/>
    <cellStyle name="Normal 22 10 2" xfId="39805" xr:uid="{00000000-0005-0000-0000-0000709B0000}"/>
    <cellStyle name="Normal 22 10 3" xfId="39806" xr:uid="{00000000-0005-0000-0000-0000719B0000}"/>
    <cellStyle name="Normal 22 10 4" xfId="39807" xr:uid="{00000000-0005-0000-0000-0000729B0000}"/>
    <cellStyle name="Normal 22 10 5" xfId="39808" xr:uid="{00000000-0005-0000-0000-0000739B0000}"/>
    <cellStyle name="Normal 22 10 6" xfId="39809" xr:uid="{00000000-0005-0000-0000-0000749B0000}"/>
    <cellStyle name="Normal 22 10 7" xfId="39810" xr:uid="{00000000-0005-0000-0000-0000759B0000}"/>
    <cellStyle name="Normal 22 10 8" xfId="39811" xr:uid="{00000000-0005-0000-0000-0000769B0000}"/>
    <cellStyle name="Normal 22 10 9" xfId="39812" xr:uid="{00000000-0005-0000-0000-0000779B0000}"/>
    <cellStyle name="Normal 22 11" xfId="39813" xr:uid="{00000000-0005-0000-0000-0000789B0000}"/>
    <cellStyle name="Normal 22 11 10" xfId="39814" xr:uid="{00000000-0005-0000-0000-0000799B0000}"/>
    <cellStyle name="Normal 22 11 11" xfId="39815" xr:uid="{00000000-0005-0000-0000-00007A9B0000}"/>
    <cellStyle name="Normal 22 11 12" xfId="39816" xr:uid="{00000000-0005-0000-0000-00007B9B0000}"/>
    <cellStyle name="Normal 22 11 13" xfId="39817" xr:uid="{00000000-0005-0000-0000-00007C9B0000}"/>
    <cellStyle name="Normal 22 11 14" xfId="39818" xr:uid="{00000000-0005-0000-0000-00007D9B0000}"/>
    <cellStyle name="Normal 22 11 15" xfId="39819" xr:uid="{00000000-0005-0000-0000-00007E9B0000}"/>
    <cellStyle name="Normal 22 11 2" xfId="39820" xr:uid="{00000000-0005-0000-0000-00007F9B0000}"/>
    <cellStyle name="Normal 22 11 3" xfId="39821" xr:uid="{00000000-0005-0000-0000-0000809B0000}"/>
    <cellStyle name="Normal 22 11 4" xfId="39822" xr:uid="{00000000-0005-0000-0000-0000819B0000}"/>
    <cellStyle name="Normal 22 11 5" xfId="39823" xr:uid="{00000000-0005-0000-0000-0000829B0000}"/>
    <cellStyle name="Normal 22 11 6" xfId="39824" xr:uid="{00000000-0005-0000-0000-0000839B0000}"/>
    <cellStyle name="Normal 22 11 7" xfId="39825" xr:uid="{00000000-0005-0000-0000-0000849B0000}"/>
    <cellStyle name="Normal 22 11 8" xfId="39826" xr:uid="{00000000-0005-0000-0000-0000859B0000}"/>
    <cellStyle name="Normal 22 11 9" xfId="39827" xr:uid="{00000000-0005-0000-0000-0000869B0000}"/>
    <cellStyle name="Normal 22 12" xfId="39828" xr:uid="{00000000-0005-0000-0000-0000879B0000}"/>
    <cellStyle name="Normal 22 12 10" xfId="39829" xr:uid="{00000000-0005-0000-0000-0000889B0000}"/>
    <cellStyle name="Normal 22 12 11" xfId="39830" xr:uid="{00000000-0005-0000-0000-0000899B0000}"/>
    <cellStyle name="Normal 22 12 12" xfId="39831" xr:uid="{00000000-0005-0000-0000-00008A9B0000}"/>
    <cellStyle name="Normal 22 12 13" xfId="39832" xr:uid="{00000000-0005-0000-0000-00008B9B0000}"/>
    <cellStyle name="Normal 22 12 14" xfId="39833" xr:uid="{00000000-0005-0000-0000-00008C9B0000}"/>
    <cellStyle name="Normal 22 12 15" xfId="39834" xr:uid="{00000000-0005-0000-0000-00008D9B0000}"/>
    <cellStyle name="Normal 22 12 2" xfId="39835" xr:uid="{00000000-0005-0000-0000-00008E9B0000}"/>
    <cellStyle name="Normal 22 12 3" xfId="39836" xr:uid="{00000000-0005-0000-0000-00008F9B0000}"/>
    <cellStyle name="Normal 22 12 4" xfId="39837" xr:uid="{00000000-0005-0000-0000-0000909B0000}"/>
    <cellStyle name="Normal 22 12 5" xfId="39838" xr:uid="{00000000-0005-0000-0000-0000919B0000}"/>
    <cellStyle name="Normal 22 12 6" xfId="39839" xr:uid="{00000000-0005-0000-0000-0000929B0000}"/>
    <cellStyle name="Normal 22 12 7" xfId="39840" xr:uid="{00000000-0005-0000-0000-0000939B0000}"/>
    <cellStyle name="Normal 22 12 8" xfId="39841" xr:uid="{00000000-0005-0000-0000-0000949B0000}"/>
    <cellStyle name="Normal 22 12 9" xfId="39842" xr:uid="{00000000-0005-0000-0000-0000959B0000}"/>
    <cellStyle name="Normal 22 13" xfId="39843" xr:uid="{00000000-0005-0000-0000-0000969B0000}"/>
    <cellStyle name="Normal 22 13 10" xfId="39844" xr:uid="{00000000-0005-0000-0000-0000979B0000}"/>
    <cellStyle name="Normal 22 13 11" xfId="39845" xr:uid="{00000000-0005-0000-0000-0000989B0000}"/>
    <cellStyle name="Normal 22 13 12" xfId="39846" xr:uid="{00000000-0005-0000-0000-0000999B0000}"/>
    <cellStyle name="Normal 22 13 13" xfId="39847" xr:uid="{00000000-0005-0000-0000-00009A9B0000}"/>
    <cellStyle name="Normal 22 13 14" xfId="39848" xr:uid="{00000000-0005-0000-0000-00009B9B0000}"/>
    <cellStyle name="Normal 22 13 15" xfId="39849" xr:uid="{00000000-0005-0000-0000-00009C9B0000}"/>
    <cellStyle name="Normal 22 13 2" xfId="39850" xr:uid="{00000000-0005-0000-0000-00009D9B0000}"/>
    <cellStyle name="Normal 22 13 3" xfId="39851" xr:uid="{00000000-0005-0000-0000-00009E9B0000}"/>
    <cellStyle name="Normal 22 13 4" xfId="39852" xr:uid="{00000000-0005-0000-0000-00009F9B0000}"/>
    <cellStyle name="Normal 22 13 5" xfId="39853" xr:uid="{00000000-0005-0000-0000-0000A09B0000}"/>
    <cellStyle name="Normal 22 13 6" xfId="39854" xr:uid="{00000000-0005-0000-0000-0000A19B0000}"/>
    <cellStyle name="Normal 22 13 7" xfId="39855" xr:uid="{00000000-0005-0000-0000-0000A29B0000}"/>
    <cellStyle name="Normal 22 13 8" xfId="39856" xr:uid="{00000000-0005-0000-0000-0000A39B0000}"/>
    <cellStyle name="Normal 22 13 9" xfId="39857" xr:uid="{00000000-0005-0000-0000-0000A49B0000}"/>
    <cellStyle name="Normal 22 14" xfId="39858" xr:uid="{00000000-0005-0000-0000-0000A59B0000}"/>
    <cellStyle name="Normal 22 14 10" xfId="39859" xr:uid="{00000000-0005-0000-0000-0000A69B0000}"/>
    <cellStyle name="Normal 22 14 11" xfId="39860" xr:uid="{00000000-0005-0000-0000-0000A79B0000}"/>
    <cellStyle name="Normal 22 14 12" xfId="39861" xr:uid="{00000000-0005-0000-0000-0000A89B0000}"/>
    <cellStyle name="Normal 22 14 13" xfId="39862" xr:uid="{00000000-0005-0000-0000-0000A99B0000}"/>
    <cellStyle name="Normal 22 14 14" xfId="39863" xr:uid="{00000000-0005-0000-0000-0000AA9B0000}"/>
    <cellStyle name="Normal 22 14 15" xfId="39864" xr:uid="{00000000-0005-0000-0000-0000AB9B0000}"/>
    <cellStyle name="Normal 22 14 2" xfId="39865" xr:uid="{00000000-0005-0000-0000-0000AC9B0000}"/>
    <cellStyle name="Normal 22 14 3" xfId="39866" xr:uid="{00000000-0005-0000-0000-0000AD9B0000}"/>
    <cellStyle name="Normal 22 14 4" xfId="39867" xr:uid="{00000000-0005-0000-0000-0000AE9B0000}"/>
    <cellStyle name="Normal 22 14 5" xfId="39868" xr:uid="{00000000-0005-0000-0000-0000AF9B0000}"/>
    <cellStyle name="Normal 22 14 6" xfId="39869" xr:uid="{00000000-0005-0000-0000-0000B09B0000}"/>
    <cellStyle name="Normal 22 14 7" xfId="39870" xr:uid="{00000000-0005-0000-0000-0000B19B0000}"/>
    <cellStyle name="Normal 22 14 8" xfId="39871" xr:uid="{00000000-0005-0000-0000-0000B29B0000}"/>
    <cellStyle name="Normal 22 14 9" xfId="39872" xr:uid="{00000000-0005-0000-0000-0000B39B0000}"/>
    <cellStyle name="Normal 22 15" xfId="39873" xr:uid="{00000000-0005-0000-0000-0000B49B0000}"/>
    <cellStyle name="Normal 22 15 10" xfId="39874" xr:uid="{00000000-0005-0000-0000-0000B59B0000}"/>
    <cellStyle name="Normal 22 15 11" xfId="39875" xr:uid="{00000000-0005-0000-0000-0000B69B0000}"/>
    <cellStyle name="Normal 22 15 12" xfId="39876" xr:uid="{00000000-0005-0000-0000-0000B79B0000}"/>
    <cellStyle name="Normal 22 15 13" xfId="39877" xr:uid="{00000000-0005-0000-0000-0000B89B0000}"/>
    <cellStyle name="Normal 22 15 14" xfId="39878" xr:uid="{00000000-0005-0000-0000-0000B99B0000}"/>
    <cellStyle name="Normal 22 15 15" xfId="39879" xr:uid="{00000000-0005-0000-0000-0000BA9B0000}"/>
    <cellStyle name="Normal 22 15 2" xfId="39880" xr:uid="{00000000-0005-0000-0000-0000BB9B0000}"/>
    <cellStyle name="Normal 22 15 3" xfId="39881" xr:uid="{00000000-0005-0000-0000-0000BC9B0000}"/>
    <cellStyle name="Normal 22 15 4" xfId="39882" xr:uid="{00000000-0005-0000-0000-0000BD9B0000}"/>
    <cellStyle name="Normal 22 15 5" xfId="39883" xr:uid="{00000000-0005-0000-0000-0000BE9B0000}"/>
    <cellStyle name="Normal 22 15 6" xfId="39884" xr:uid="{00000000-0005-0000-0000-0000BF9B0000}"/>
    <cellStyle name="Normal 22 15 7" xfId="39885" xr:uid="{00000000-0005-0000-0000-0000C09B0000}"/>
    <cellStyle name="Normal 22 15 8" xfId="39886" xr:uid="{00000000-0005-0000-0000-0000C19B0000}"/>
    <cellStyle name="Normal 22 15 9" xfId="39887" xr:uid="{00000000-0005-0000-0000-0000C29B0000}"/>
    <cellStyle name="Normal 22 16" xfId="39888" xr:uid="{00000000-0005-0000-0000-0000C39B0000}"/>
    <cellStyle name="Normal 22 16 10" xfId="39889" xr:uid="{00000000-0005-0000-0000-0000C49B0000}"/>
    <cellStyle name="Normal 22 16 11" xfId="39890" xr:uid="{00000000-0005-0000-0000-0000C59B0000}"/>
    <cellStyle name="Normal 22 16 12" xfId="39891" xr:uid="{00000000-0005-0000-0000-0000C69B0000}"/>
    <cellStyle name="Normal 22 16 13" xfId="39892" xr:uid="{00000000-0005-0000-0000-0000C79B0000}"/>
    <cellStyle name="Normal 22 16 14" xfId="39893" xr:uid="{00000000-0005-0000-0000-0000C89B0000}"/>
    <cellStyle name="Normal 22 16 15" xfId="39894" xr:uid="{00000000-0005-0000-0000-0000C99B0000}"/>
    <cellStyle name="Normal 22 16 2" xfId="39895" xr:uid="{00000000-0005-0000-0000-0000CA9B0000}"/>
    <cellStyle name="Normal 22 16 3" xfId="39896" xr:uid="{00000000-0005-0000-0000-0000CB9B0000}"/>
    <cellStyle name="Normal 22 16 4" xfId="39897" xr:uid="{00000000-0005-0000-0000-0000CC9B0000}"/>
    <cellStyle name="Normal 22 16 5" xfId="39898" xr:uid="{00000000-0005-0000-0000-0000CD9B0000}"/>
    <cellStyle name="Normal 22 16 6" xfId="39899" xr:uid="{00000000-0005-0000-0000-0000CE9B0000}"/>
    <cellStyle name="Normal 22 16 7" xfId="39900" xr:uid="{00000000-0005-0000-0000-0000CF9B0000}"/>
    <cellStyle name="Normal 22 16 8" xfId="39901" xr:uid="{00000000-0005-0000-0000-0000D09B0000}"/>
    <cellStyle name="Normal 22 16 9" xfId="39902" xr:uid="{00000000-0005-0000-0000-0000D19B0000}"/>
    <cellStyle name="Normal 22 17" xfId="39903" xr:uid="{00000000-0005-0000-0000-0000D29B0000}"/>
    <cellStyle name="Normal 22 17 10" xfId="39904" xr:uid="{00000000-0005-0000-0000-0000D39B0000}"/>
    <cellStyle name="Normal 22 17 11" xfId="39905" xr:uid="{00000000-0005-0000-0000-0000D49B0000}"/>
    <cellStyle name="Normal 22 17 12" xfId="39906" xr:uid="{00000000-0005-0000-0000-0000D59B0000}"/>
    <cellStyle name="Normal 22 17 13" xfId="39907" xr:uid="{00000000-0005-0000-0000-0000D69B0000}"/>
    <cellStyle name="Normal 22 17 14" xfId="39908" xr:uid="{00000000-0005-0000-0000-0000D79B0000}"/>
    <cellStyle name="Normal 22 17 15" xfId="39909" xr:uid="{00000000-0005-0000-0000-0000D89B0000}"/>
    <cellStyle name="Normal 22 17 2" xfId="39910" xr:uid="{00000000-0005-0000-0000-0000D99B0000}"/>
    <cellStyle name="Normal 22 17 3" xfId="39911" xr:uid="{00000000-0005-0000-0000-0000DA9B0000}"/>
    <cellStyle name="Normal 22 17 4" xfId="39912" xr:uid="{00000000-0005-0000-0000-0000DB9B0000}"/>
    <cellStyle name="Normal 22 17 5" xfId="39913" xr:uid="{00000000-0005-0000-0000-0000DC9B0000}"/>
    <cellStyle name="Normal 22 17 6" xfId="39914" xr:uid="{00000000-0005-0000-0000-0000DD9B0000}"/>
    <cellStyle name="Normal 22 17 7" xfId="39915" xr:uid="{00000000-0005-0000-0000-0000DE9B0000}"/>
    <cellStyle name="Normal 22 17 8" xfId="39916" xr:uid="{00000000-0005-0000-0000-0000DF9B0000}"/>
    <cellStyle name="Normal 22 17 9" xfId="39917" xr:uid="{00000000-0005-0000-0000-0000E09B0000}"/>
    <cellStyle name="Normal 22 18" xfId="39918" xr:uid="{00000000-0005-0000-0000-0000E19B0000}"/>
    <cellStyle name="Normal 22 18 10" xfId="39919" xr:uid="{00000000-0005-0000-0000-0000E29B0000}"/>
    <cellStyle name="Normal 22 18 11" xfId="39920" xr:uid="{00000000-0005-0000-0000-0000E39B0000}"/>
    <cellStyle name="Normal 22 18 12" xfId="39921" xr:uid="{00000000-0005-0000-0000-0000E49B0000}"/>
    <cellStyle name="Normal 22 18 13" xfId="39922" xr:uid="{00000000-0005-0000-0000-0000E59B0000}"/>
    <cellStyle name="Normal 22 18 14" xfId="39923" xr:uid="{00000000-0005-0000-0000-0000E69B0000}"/>
    <cellStyle name="Normal 22 18 15" xfId="39924" xr:uid="{00000000-0005-0000-0000-0000E79B0000}"/>
    <cellStyle name="Normal 22 18 2" xfId="39925" xr:uid="{00000000-0005-0000-0000-0000E89B0000}"/>
    <cellStyle name="Normal 22 18 3" xfId="39926" xr:uid="{00000000-0005-0000-0000-0000E99B0000}"/>
    <cellStyle name="Normal 22 18 4" xfId="39927" xr:uid="{00000000-0005-0000-0000-0000EA9B0000}"/>
    <cellStyle name="Normal 22 18 5" xfId="39928" xr:uid="{00000000-0005-0000-0000-0000EB9B0000}"/>
    <cellStyle name="Normal 22 18 6" xfId="39929" xr:uid="{00000000-0005-0000-0000-0000EC9B0000}"/>
    <cellStyle name="Normal 22 18 7" xfId="39930" xr:uid="{00000000-0005-0000-0000-0000ED9B0000}"/>
    <cellStyle name="Normal 22 18 8" xfId="39931" xr:uid="{00000000-0005-0000-0000-0000EE9B0000}"/>
    <cellStyle name="Normal 22 18 9" xfId="39932" xr:uid="{00000000-0005-0000-0000-0000EF9B0000}"/>
    <cellStyle name="Normal 22 19" xfId="39933" xr:uid="{00000000-0005-0000-0000-0000F09B0000}"/>
    <cellStyle name="Normal 22 19 10" xfId="39934" xr:uid="{00000000-0005-0000-0000-0000F19B0000}"/>
    <cellStyle name="Normal 22 19 11" xfId="39935" xr:uid="{00000000-0005-0000-0000-0000F29B0000}"/>
    <cellStyle name="Normal 22 19 12" xfId="39936" xr:uid="{00000000-0005-0000-0000-0000F39B0000}"/>
    <cellStyle name="Normal 22 19 13" xfId="39937" xr:uid="{00000000-0005-0000-0000-0000F49B0000}"/>
    <cellStyle name="Normal 22 19 14" xfId="39938" xr:uid="{00000000-0005-0000-0000-0000F59B0000}"/>
    <cellStyle name="Normal 22 19 15" xfId="39939" xr:uid="{00000000-0005-0000-0000-0000F69B0000}"/>
    <cellStyle name="Normal 22 19 2" xfId="39940" xr:uid="{00000000-0005-0000-0000-0000F79B0000}"/>
    <cellStyle name="Normal 22 19 3" xfId="39941" xr:uid="{00000000-0005-0000-0000-0000F89B0000}"/>
    <cellStyle name="Normal 22 19 4" xfId="39942" xr:uid="{00000000-0005-0000-0000-0000F99B0000}"/>
    <cellStyle name="Normal 22 19 5" xfId="39943" xr:uid="{00000000-0005-0000-0000-0000FA9B0000}"/>
    <cellStyle name="Normal 22 19 6" xfId="39944" xr:uid="{00000000-0005-0000-0000-0000FB9B0000}"/>
    <cellStyle name="Normal 22 19 7" xfId="39945" xr:uid="{00000000-0005-0000-0000-0000FC9B0000}"/>
    <cellStyle name="Normal 22 19 8" xfId="39946" xr:uid="{00000000-0005-0000-0000-0000FD9B0000}"/>
    <cellStyle name="Normal 22 19 9" xfId="39947" xr:uid="{00000000-0005-0000-0000-0000FE9B0000}"/>
    <cellStyle name="Normal 22 2" xfId="39948" xr:uid="{00000000-0005-0000-0000-0000FF9B0000}"/>
    <cellStyle name="Normal 22 2 10" xfId="39949" xr:uid="{00000000-0005-0000-0000-0000009C0000}"/>
    <cellStyle name="Normal 22 2 11" xfId="39950" xr:uid="{00000000-0005-0000-0000-0000019C0000}"/>
    <cellStyle name="Normal 22 2 12" xfId="39951" xr:uid="{00000000-0005-0000-0000-0000029C0000}"/>
    <cellStyle name="Normal 22 2 13" xfId="39952" xr:uid="{00000000-0005-0000-0000-0000039C0000}"/>
    <cellStyle name="Normal 22 2 14" xfId="39953" xr:uid="{00000000-0005-0000-0000-0000049C0000}"/>
    <cellStyle name="Normal 22 2 15" xfId="39954" xr:uid="{00000000-0005-0000-0000-0000059C0000}"/>
    <cellStyle name="Normal 22 2 16" xfId="39955" xr:uid="{00000000-0005-0000-0000-0000069C0000}"/>
    <cellStyle name="Normal 22 2 2" xfId="39956" xr:uid="{00000000-0005-0000-0000-0000079C0000}"/>
    <cellStyle name="Normal 22 2 3" xfId="39957" xr:uid="{00000000-0005-0000-0000-0000089C0000}"/>
    <cellStyle name="Normal 22 2 4" xfId="39958" xr:uid="{00000000-0005-0000-0000-0000099C0000}"/>
    <cellStyle name="Normal 22 2 5" xfId="39959" xr:uid="{00000000-0005-0000-0000-00000A9C0000}"/>
    <cellStyle name="Normal 22 2 6" xfId="39960" xr:uid="{00000000-0005-0000-0000-00000B9C0000}"/>
    <cellStyle name="Normal 22 2 7" xfId="39961" xr:uid="{00000000-0005-0000-0000-00000C9C0000}"/>
    <cellStyle name="Normal 22 2 8" xfId="39962" xr:uid="{00000000-0005-0000-0000-00000D9C0000}"/>
    <cellStyle name="Normal 22 2 9" xfId="39963" xr:uid="{00000000-0005-0000-0000-00000E9C0000}"/>
    <cellStyle name="Normal 22 20" xfId="39964" xr:uid="{00000000-0005-0000-0000-00000F9C0000}"/>
    <cellStyle name="Normal 22 20 10" xfId="39965" xr:uid="{00000000-0005-0000-0000-0000109C0000}"/>
    <cellStyle name="Normal 22 20 11" xfId="39966" xr:uid="{00000000-0005-0000-0000-0000119C0000}"/>
    <cellStyle name="Normal 22 20 12" xfId="39967" xr:uid="{00000000-0005-0000-0000-0000129C0000}"/>
    <cellStyle name="Normal 22 20 13" xfId="39968" xr:uid="{00000000-0005-0000-0000-0000139C0000}"/>
    <cellStyle name="Normal 22 20 14" xfId="39969" xr:uid="{00000000-0005-0000-0000-0000149C0000}"/>
    <cellStyle name="Normal 22 20 15" xfId="39970" xr:uid="{00000000-0005-0000-0000-0000159C0000}"/>
    <cellStyle name="Normal 22 20 2" xfId="39971" xr:uid="{00000000-0005-0000-0000-0000169C0000}"/>
    <cellStyle name="Normal 22 20 3" xfId="39972" xr:uid="{00000000-0005-0000-0000-0000179C0000}"/>
    <cellStyle name="Normal 22 20 4" xfId="39973" xr:uid="{00000000-0005-0000-0000-0000189C0000}"/>
    <cellStyle name="Normal 22 20 5" xfId="39974" xr:uid="{00000000-0005-0000-0000-0000199C0000}"/>
    <cellStyle name="Normal 22 20 6" xfId="39975" xr:uid="{00000000-0005-0000-0000-00001A9C0000}"/>
    <cellStyle name="Normal 22 20 7" xfId="39976" xr:uid="{00000000-0005-0000-0000-00001B9C0000}"/>
    <cellStyle name="Normal 22 20 8" xfId="39977" xr:uid="{00000000-0005-0000-0000-00001C9C0000}"/>
    <cellStyle name="Normal 22 20 9" xfId="39978" xr:uid="{00000000-0005-0000-0000-00001D9C0000}"/>
    <cellStyle name="Normal 22 21" xfId="39979" xr:uid="{00000000-0005-0000-0000-00001E9C0000}"/>
    <cellStyle name="Normal 22 22" xfId="39980" xr:uid="{00000000-0005-0000-0000-00001F9C0000}"/>
    <cellStyle name="Normal 22 23" xfId="39981" xr:uid="{00000000-0005-0000-0000-0000209C0000}"/>
    <cellStyle name="Normal 22 24" xfId="39982" xr:uid="{00000000-0005-0000-0000-0000219C0000}"/>
    <cellStyle name="Normal 22 25" xfId="39983" xr:uid="{00000000-0005-0000-0000-0000229C0000}"/>
    <cellStyle name="Normal 22 26" xfId="39984" xr:uid="{00000000-0005-0000-0000-0000239C0000}"/>
    <cellStyle name="Normal 22 27" xfId="39985" xr:uid="{00000000-0005-0000-0000-0000249C0000}"/>
    <cellStyle name="Normal 22 28" xfId="39986" xr:uid="{00000000-0005-0000-0000-0000259C0000}"/>
    <cellStyle name="Normal 22 29" xfId="39987" xr:uid="{00000000-0005-0000-0000-0000269C0000}"/>
    <cellStyle name="Normal 22 3" xfId="39988" xr:uid="{00000000-0005-0000-0000-0000279C0000}"/>
    <cellStyle name="Normal 22 3 10" xfId="39989" xr:uid="{00000000-0005-0000-0000-0000289C0000}"/>
    <cellStyle name="Normal 22 3 11" xfId="39990" xr:uid="{00000000-0005-0000-0000-0000299C0000}"/>
    <cellStyle name="Normal 22 3 12" xfId="39991" xr:uid="{00000000-0005-0000-0000-00002A9C0000}"/>
    <cellStyle name="Normal 22 3 13" xfId="39992" xr:uid="{00000000-0005-0000-0000-00002B9C0000}"/>
    <cellStyle name="Normal 22 3 14" xfId="39993" xr:uid="{00000000-0005-0000-0000-00002C9C0000}"/>
    <cellStyle name="Normal 22 3 15" xfId="39994" xr:uid="{00000000-0005-0000-0000-00002D9C0000}"/>
    <cellStyle name="Normal 22 3 2" xfId="39995" xr:uid="{00000000-0005-0000-0000-00002E9C0000}"/>
    <cellStyle name="Normal 22 3 3" xfId="39996" xr:uid="{00000000-0005-0000-0000-00002F9C0000}"/>
    <cellStyle name="Normal 22 3 4" xfId="39997" xr:uid="{00000000-0005-0000-0000-0000309C0000}"/>
    <cellStyle name="Normal 22 3 5" xfId="39998" xr:uid="{00000000-0005-0000-0000-0000319C0000}"/>
    <cellStyle name="Normal 22 3 6" xfId="39999" xr:uid="{00000000-0005-0000-0000-0000329C0000}"/>
    <cellStyle name="Normal 22 3 7" xfId="40000" xr:uid="{00000000-0005-0000-0000-0000339C0000}"/>
    <cellStyle name="Normal 22 3 8" xfId="40001" xr:uid="{00000000-0005-0000-0000-0000349C0000}"/>
    <cellStyle name="Normal 22 3 9" xfId="40002" xr:uid="{00000000-0005-0000-0000-0000359C0000}"/>
    <cellStyle name="Normal 22 30" xfId="40003" xr:uid="{00000000-0005-0000-0000-0000369C0000}"/>
    <cellStyle name="Normal 22 31" xfId="40004" xr:uid="{00000000-0005-0000-0000-0000379C0000}"/>
    <cellStyle name="Normal 22 32" xfId="40005" xr:uid="{00000000-0005-0000-0000-0000389C0000}"/>
    <cellStyle name="Normal 22 33" xfId="40006" xr:uid="{00000000-0005-0000-0000-0000399C0000}"/>
    <cellStyle name="Normal 22 34" xfId="40007" xr:uid="{00000000-0005-0000-0000-00003A9C0000}"/>
    <cellStyle name="Normal 22 35" xfId="40008" xr:uid="{00000000-0005-0000-0000-00003B9C0000}"/>
    <cellStyle name="Normal 22 36" xfId="40009" xr:uid="{00000000-0005-0000-0000-00003C9C0000}"/>
    <cellStyle name="Normal 22 37" xfId="40010" xr:uid="{00000000-0005-0000-0000-00003D9C0000}"/>
    <cellStyle name="Normal 22 38" xfId="40011" xr:uid="{00000000-0005-0000-0000-00003E9C0000}"/>
    <cellStyle name="Normal 22 39" xfId="40012" xr:uid="{00000000-0005-0000-0000-00003F9C0000}"/>
    <cellStyle name="Normal 22 4" xfId="40013" xr:uid="{00000000-0005-0000-0000-0000409C0000}"/>
    <cellStyle name="Normal 22 4 10" xfId="40014" xr:uid="{00000000-0005-0000-0000-0000419C0000}"/>
    <cellStyle name="Normal 22 4 11" xfId="40015" xr:uid="{00000000-0005-0000-0000-0000429C0000}"/>
    <cellStyle name="Normal 22 4 12" xfId="40016" xr:uid="{00000000-0005-0000-0000-0000439C0000}"/>
    <cellStyle name="Normal 22 4 13" xfId="40017" xr:uid="{00000000-0005-0000-0000-0000449C0000}"/>
    <cellStyle name="Normal 22 4 14" xfId="40018" xr:uid="{00000000-0005-0000-0000-0000459C0000}"/>
    <cellStyle name="Normal 22 4 15" xfId="40019" xr:uid="{00000000-0005-0000-0000-0000469C0000}"/>
    <cellStyle name="Normal 22 4 2" xfId="40020" xr:uid="{00000000-0005-0000-0000-0000479C0000}"/>
    <cellStyle name="Normal 22 4 3" xfId="40021" xr:uid="{00000000-0005-0000-0000-0000489C0000}"/>
    <cellStyle name="Normal 22 4 4" xfId="40022" xr:uid="{00000000-0005-0000-0000-0000499C0000}"/>
    <cellStyle name="Normal 22 4 5" xfId="40023" xr:uid="{00000000-0005-0000-0000-00004A9C0000}"/>
    <cellStyle name="Normal 22 4 6" xfId="40024" xr:uid="{00000000-0005-0000-0000-00004B9C0000}"/>
    <cellStyle name="Normal 22 4 7" xfId="40025" xr:uid="{00000000-0005-0000-0000-00004C9C0000}"/>
    <cellStyle name="Normal 22 4 8" xfId="40026" xr:uid="{00000000-0005-0000-0000-00004D9C0000}"/>
    <cellStyle name="Normal 22 4 9" xfId="40027" xr:uid="{00000000-0005-0000-0000-00004E9C0000}"/>
    <cellStyle name="Normal 22 40" xfId="40028" xr:uid="{00000000-0005-0000-0000-00004F9C0000}"/>
    <cellStyle name="Normal 22 41" xfId="40029" xr:uid="{00000000-0005-0000-0000-0000509C0000}"/>
    <cellStyle name="Normal 22 5" xfId="40030" xr:uid="{00000000-0005-0000-0000-0000519C0000}"/>
    <cellStyle name="Normal 22 5 10" xfId="40031" xr:uid="{00000000-0005-0000-0000-0000529C0000}"/>
    <cellStyle name="Normal 22 5 11" xfId="40032" xr:uid="{00000000-0005-0000-0000-0000539C0000}"/>
    <cellStyle name="Normal 22 5 12" xfId="40033" xr:uid="{00000000-0005-0000-0000-0000549C0000}"/>
    <cellStyle name="Normal 22 5 13" xfId="40034" xr:uid="{00000000-0005-0000-0000-0000559C0000}"/>
    <cellStyle name="Normal 22 5 14" xfId="40035" xr:uid="{00000000-0005-0000-0000-0000569C0000}"/>
    <cellStyle name="Normal 22 5 15" xfId="40036" xr:uid="{00000000-0005-0000-0000-0000579C0000}"/>
    <cellStyle name="Normal 22 5 2" xfId="40037" xr:uid="{00000000-0005-0000-0000-0000589C0000}"/>
    <cellStyle name="Normal 22 5 3" xfId="40038" xr:uid="{00000000-0005-0000-0000-0000599C0000}"/>
    <cellStyle name="Normal 22 5 4" xfId="40039" xr:uid="{00000000-0005-0000-0000-00005A9C0000}"/>
    <cellStyle name="Normal 22 5 5" xfId="40040" xr:uid="{00000000-0005-0000-0000-00005B9C0000}"/>
    <cellStyle name="Normal 22 5 6" xfId="40041" xr:uid="{00000000-0005-0000-0000-00005C9C0000}"/>
    <cellStyle name="Normal 22 5 7" xfId="40042" xr:uid="{00000000-0005-0000-0000-00005D9C0000}"/>
    <cellStyle name="Normal 22 5 8" xfId="40043" xr:uid="{00000000-0005-0000-0000-00005E9C0000}"/>
    <cellStyle name="Normal 22 5 9" xfId="40044" xr:uid="{00000000-0005-0000-0000-00005F9C0000}"/>
    <cellStyle name="Normal 22 6" xfId="40045" xr:uid="{00000000-0005-0000-0000-0000609C0000}"/>
    <cellStyle name="Normal 22 6 10" xfId="40046" xr:uid="{00000000-0005-0000-0000-0000619C0000}"/>
    <cellStyle name="Normal 22 6 11" xfId="40047" xr:uid="{00000000-0005-0000-0000-0000629C0000}"/>
    <cellStyle name="Normal 22 6 12" xfId="40048" xr:uid="{00000000-0005-0000-0000-0000639C0000}"/>
    <cellStyle name="Normal 22 6 13" xfId="40049" xr:uid="{00000000-0005-0000-0000-0000649C0000}"/>
    <cellStyle name="Normal 22 6 14" xfId="40050" xr:uid="{00000000-0005-0000-0000-0000659C0000}"/>
    <cellStyle name="Normal 22 6 15" xfId="40051" xr:uid="{00000000-0005-0000-0000-0000669C0000}"/>
    <cellStyle name="Normal 22 6 2" xfId="40052" xr:uid="{00000000-0005-0000-0000-0000679C0000}"/>
    <cellStyle name="Normal 22 6 3" xfId="40053" xr:uid="{00000000-0005-0000-0000-0000689C0000}"/>
    <cellStyle name="Normal 22 6 4" xfId="40054" xr:uid="{00000000-0005-0000-0000-0000699C0000}"/>
    <cellStyle name="Normal 22 6 5" xfId="40055" xr:uid="{00000000-0005-0000-0000-00006A9C0000}"/>
    <cellStyle name="Normal 22 6 6" xfId="40056" xr:uid="{00000000-0005-0000-0000-00006B9C0000}"/>
    <cellStyle name="Normal 22 6 7" xfId="40057" xr:uid="{00000000-0005-0000-0000-00006C9C0000}"/>
    <cellStyle name="Normal 22 6 8" xfId="40058" xr:uid="{00000000-0005-0000-0000-00006D9C0000}"/>
    <cellStyle name="Normal 22 6 9" xfId="40059" xr:uid="{00000000-0005-0000-0000-00006E9C0000}"/>
    <cellStyle name="Normal 22 7" xfId="40060" xr:uid="{00000000-0005-0000-0000-00006F9C0000}"/>
    <cellStyle name="Normal 22 7 10" xfId="40061" xr:uid="{00000000-0005-0000-0000-0000709C0000}"/>
    <cellStyle name="Normal 22 7 11" xfId="40062" xr:uid="{00000000-0005-0000-0000-0000719C0000}"/>
    <cellStyle name="Normal 22 7 12" xfId="40063" xr:uid="{00000000-0005-0000-0000-0000729C0000}"/>
    <cellStyle name="Normal 22 7 13" xfId="40064" xr:uid="{00000000-0005-0000-0000-0000739C0000}"/>
    <cellStyle name="Normal 22 7 14" xfId="40065" xr:uid="{00000000-0005-0000-0000-0000749C0000}"/>
    <cellStyle name="Normal 22 7 15" xfId="40066" xr:uid="{00000000-0005-0000-0000-0000759C0000}"/>
    <cellStyle name="Normal 22 7 2" xfId="40067" xr:uid="{00000000-0005-0000-0000-0000769C0000}"/>
    <cellStyle name="Normal 22 7 3" xfId="40068" xr:uid="{00000000-0005-0000-0000-0000779C0000}"/>
    <cellStyle name="Normal 22 7 4" xfId="40069" xr:uid="{00000000-0005-0000-0000-0000789C0000}"/>
    <cellStyle name="Normal 22 7 5" xfId="40070" xr:uid="{00000000-0005-0000-0000-0000799C0000}"/>
    <cellStyle name="Normal 22 7 6" xfId="40071" xr:uid="{00000000-0005-0000-0000-00007A9C0000}"/>
    <cellStyle name="Normal 22 7 7" xfId="40072" xr:uid="{00000000-0005-0000-0000-00007B9C0000}"/>
    <cellStyle name="Normal 22 7 8" xfId="40073" xr:uid="{00000000-0005-0000-0000-00007C9C0000}"/>
    <cellStyle name="Normal 22 7 9" xfId="40074" xr:uid="{00000000-0005-0000-0000-00007D9C0000}"/>
    <cellStyle name="Normal 22 8" xfId="40075" xr:uid="{00000000-0005-0000-0000-00007E9C0000}"/>
    <cellStyle name="Normal 22 8 10" xfId="40076" xr:uid="{00000000-0005-0000-0000-00007F9C0000}"/>
    <cellStyle name="Normal 22 8 11" xfId="40077" xr:uid="{00000000-0005-0000-0000-0000809C0000}"/>
    <cellStyle name="Normal 22 8 12" xfId="40078" xr:uid="{00000000-0005-0000-0000-0000819C0000}"/>
    <cellStyle name="Normal 22 8 13" xfId="40079" xr:uid="{00000000-0005-0000-0000-0000829C0000}"/>
    <cellStyle name="Normal 22 8 14" xfId="40080" xr:uid="{00000000-0005-0000-0000-0000839C0000}"/>
    <cellStyle name="Normal 22 8 15" xfId="40081" xr:uid="{00000000-0005-0000-0000-0000849C0000}"/>
    <cellStyle name="Normal 22 8 2" xfId="40082" xr:uid="{00000000-0005-0000-0000-0000859C0000}"/>
    <cellStyle name="Normal 22 8 3" xfId="40083" xr:uid="{00000000-0005-0000-0000-0000869C0000}"/>
    <cellStyle name="Normal 22 8 4" xfId="40084" xr:uid="{00000000-0005-0000-0000-0000879C0000}"/>
    <cellStyle name="Normal 22 8 5" xfId="40085" xr:uid="{00000000-0005-0000-0000-0000889C0000}"/>
    <cellStyle name="Normal 22 8 6" xfId="40086" xr:uid="{00000000-0005-0000-0000-0000899C0000}"/>
    <cellStyle name="Normal 22 8 7" xfId="40087" xr:uid="{00000000-0005-0000-0000-00008A9C0000}"/>
    <cellStyle name="Normal 22 8 8" xfId="40088" xr:uid="{00000000-0005-0000-0000-00008B9C0000}"/>
    <cellStyle name="Normal 22 8 9" xfId="40089" xr:uid="{00000000-0005-0000-0000-00008C9C0000}"/>
    <cellStyle name="Normal 22 9" xfId="40090" xr:uid="{00000000-0005-0000-0000-00008D9C0000}"/>
    <cellStyle name="Normal 22 9 10" xfId="40091" xr:uid="{00000000-0005-0000-0000-00008E9C0000}"/>
    <cellStyle name="Normal 22 9 11" xfId="40092" xr:uid="{00000000-0005-0000-0000-00008F9C0000}"/>
    <cellStyle name="Normal 22 9 12" xfId="40093" xr:uid="{00000000-0005-0000-0000-0000909C0000}"/>
    <cellStyle name="Normal 22 9 13" xfId="40094" xr:uid="{00000000-0005-0000-0000-0000919C0000}"/>
    <cellStyle name="Normal 22 9 14" xfId="40095" xr:uid="{00000000-0005-0000-0000-0000929C0000}"/>
    <cellStyle name="Normal 22 9 15" xfId="40096" xr:uid="{00000000-0005-0000-0000-0000939C0000}"/>
    <cellStyle name="Normal 22 9 2" xfId="40097" xr:uid="{00000000-0005-0000-0000-0000949C0000}"/>
    <cellStyle name="Normal 22 9 3" xfId="40098" xr:uid="{00000000-0005-0000-0000-0000959C0000}"/>
    <cellStyle name="Normal 22 9 4" xfId="40099" xr:uid="{00000000-0005-0000-0000-0000969C0000}"/>
    <cellStyle name="Normal 22 9 5" xfId="40100" xr:uid="{00000000-0005-0000-0000-0000979C0000}"/>
    <cellStyle name="Normal 22 9 6" xfId="40101" xr:uid="{00000000-0005-0000-0000-0000989C0000}"/>
    <cellStyle name="Normal 22 9 7" xfId="40102" xr:uid="{00000000-0005-0000-0000-0000999C0000}"/>
    <cellStyle name="Normal 22 9 8" xfId="40103" xr:uid="{00000000-0005-0000-0000-00009A9C0000}"/>
    <cellStyle name="Normal 22 9 9" xfId="40104" xr:uid="{00000000-0005-0000-0000-00009B9C0000}"/>
    <cellStyle name="Normal 22_SEPS_Ext" xfId="40105" xr:uid="{00000000-0005-0000-0000-00009C9C0000}"/>
    <cellStyle name="Normal 23" xfId="40106" xr:uid="{00000000-0005-0000-0000-00009D9C0000}"/>
    <cellStyle name="Normal 23 2" xfId="40107" xr:uid="{00000000-0005-0000-0000-00009E9C0000}"/>
    <cellStyle name="Normal 23 2 2" xfId="40108" xr:uid="{00000000-0005-0000-0000-00009F9C0000}"/>
    <cellStyle name="Normal 23 3" xfId="40109" xr:uid="{00000000-0005-0000-0000-0000A09C0000}"/>
    <cellStyle name="Normal 23 4" xfId="40110" xr:uid="{00000000-0005-0000-0000-0000A19C0000}"/>
    <cellStyle name="Normal 23 5" xfId="40111" xr:uid="{00000000-0005-0000-0000-0000A29C0000}"/>
    <cellStyle name="Normal 24" xfId="40112" xr:uid="{00000000-0005-0000-0000-0000A39C0000}"/>
    <cellStyle name="Normal 24 2" xfId="40113" xr:uid="{00000000-0005-0000-0000-0000A49C0000}"/>
    <cellStyle name="Normal 24 2 2" xfId="40114" xr:uid="{00000000-0005-0000-0000-0000A59C0000}"/>
    <cellStyle name="Normal 24 3" xfId="40115" xr:uid="{00000000-0005-0000-0000-0000A69C0000}"/>
    <cellStyle name="Normal 24 4" xfId="40116" xr:uid="{00000000-0005-0000-0000-0000A79C0000}"/>
    <cellStyle name="Normal 24 5" xfId="40117" xr:uid="{00000000-0005-0000-0000-0000A89C0000}"/>
    <cellStyle name="Normal 24_SEPS_Ext" xfId="40118" xr:uid="{00000000-0005-0000-0000-0000A99C0000}"/>
    <cellStyle name="Normal 25" xfId="40119" xr:uid="{00000000-0005-0000-0000-0000AA9C0000}"/>
    <cellStyle name="Normal 25 10" xfId="40120" xr:uid="{00000000-0005-0000-0000-0000AB9C0000}"/>
    <cellStyle name="Normal 25 10 2" xfId="40121" xr:uid="{00000000-0005-0000-0000-0000AC9C0000}"/>
    <cellStyle name="Normal 25 11" xfId="40122" xr:uid="{00000000-0005-0000-0000-0000AD9C0000}"/>
    <cellStyle name="Normal 25 11 2" xfId="40123" xr:uid="{00000000-0005-0000-0000-0000AE9C0000}"/>
    <cellStyle name="Normal 25 12" xfId="40124" xr:uid="{00000000-0005-0000-0000-0000AF9C0000}"/>
    <cellStyle name="Normal 25 12 2" xfId="40125" xr:uid="{00000000-0005-0000-0000-0000B09C0000}"/>
    <cellStyle name="Normal 25 13" xfId="40126" xr:uid="{00000000-0005-0000-0000-0000B19C0000}"/>
    <cellStyle name="Normal 25 13 2" xfId="40127" xr:uid="{00000000-0005-0000-0000-0000B29C0000}"/>
    <cellStyle name="Normal 25 14" xfId="40128" xr:uid="{00000000-0005-0000-0000-0000B39C0000}"/>
    <cellStyle name="Normal 25 14 2" xfId="40129" xr:uid="{00000000-0005-0000-0000-0000B49C0000}"/>
    <cellStyle name="Normal 25 15" xfId="40130" xr:uid="{00000000-0005-0000-0000-0000B59C0000}"/>
    <cellStyle name="Normal 25 16" xfId="40131" xr:uid="{00000000-0005-0000-0000-0000B69C0000}"/>
    <cellStyle name="Normal 25 17" xfId="40132" xr:uid="{00000000-0005-0000-0000-0000B79C0000}"/>
    <cellStyle name="Normal 25 18" xfId="40133" xr:uid="{00000000-0005-0000-0000-0000B89C0000}"/>
    <cellStyle name="Normal 25 19" xfId="40134" xr:uid="{00000000-0005-0000-0000-0000B99C0000}"/>
    <cellStyle name="Normal 25 2" xfId="40135" xr:uid="{00000000-0005-0000-0000-0000BA9C0000}"/>
    <cellStyle name="Normal 25 2 2" xfId="40136" xr:uid="{00000000-0005-0000-0000-0000BB9C0000}"/>
    <cellStyle name="Normal 25 2 3" xfId="40137" xr:uid="{00000000-0005-0000-0000-0000BC9C0000}"/>
    <cellStyle name="Normal 25 20" xfId="40138" xr:uid="{00000000-0005-0000-0000-0000BD9C0000}"/>
    <cellStyle name="Normal 25 21" xfId="40139" xr:uid="{00000000-0005-0000-0000-0000BE9C0000}"/>
    <cellStyle name="Normal 25 22" xfId="40140" xr:uid="{00000000-0005-0000-0000-0000BF9C0000}"/>
    <cellStyle name="Normal 25 23" xfId="40141" xr:uid="{00000000-0005-0000-0000-0000C09C0000}"/>
    <cellStyle name="Normal 25 24" xfId="40142" xr:uid="{00000000-0005-0000-0000-0000C19C0000}"/>
    <cellStyle name="Normal 25 25" xfId="40143" xr:uid="{00000000-0005-0000-0000-0000C29C0000}"/>
    <cellStyle name="Normal 25 26" xfId="40144" xr:uid="{00000000-0005-0000-0000-0000C39C0000}"/>
    <cellStyle name="Normal 25 27" xfId="40145" xr:uid="{00000000-0005-0000-0000-0000C49C0000}"/>
    <cellStyle name="Normal 25 28" xfId="40146" xr:uid="{00000000-0005-0000-0000-0000C59C0000}"/>
    <cellStyle name="Normal 25 29" xfId="40147" xr:uid="{00000000-0005-0000-0000-0000C69C0000}"/>
    <cellStyle name="Normal 25 3" xfId="40148" xr:uid="{00000000-0005-0000-0000-0000C79C0000}"/>
    <cellStyle name="Normal 25 3 2" xfId="40149" xr:uid="{00000000-0005-0000-0000-0000C89C0000}"/>
    <cellStyle name="Normal 25 30" xfId="40150" xr:uid="{00000000-0005-0000-0000-0000C99C0000}"/>
    <cellStyle name="Normal 25 4" xfId="40151" xr:uid="{00000000-0005-0000-0000-0000CA9C0000}"/>
    <cellStyle name="Normal 25 4 2" xfId="40152" xr:uid="{00000000-0005-0000-0000-0000CB9C0000}"/>
    <cellStyle name="Normal 25 5" xfId="40153" xr:uid="{00000000-0005-0000-0000-0000CC9C0000}"/>
    <cellStyle name="Normal 25 5 2" xfId="40154" xr:uid="{00000000-0005-0000-0000-0000CD9C0000}"/>
    <cellStyle name="Normal 25 6" xfId="40155" xr:uid="{00000000-0005-0000-0000-0000CE9C0000}"/>
    <cellStyle name="Normal 25 6 2" xfId="40156" xr:uid="{00000000-0005-0000-0000-0000CF9C0000}"/>
    <cellStyle name="Normal 25 7" xfId="40157" xr:uid="{00000000-0005-0000-0000-0000D09C0000}"/>
    <cellStyle name="Normal 25 7 2" xfId="40158" xr:uid="{00000000-0005-0000-0000-0000D19C0000}"/>
    <cellStyle name="Normal 25 8" xfId="40159" xr:uid="{00000000-0005-0000-0000-0000D29C0000}"/>
    <cellStyle name="Normal 25 8 2" xfId="40160" xr:uid="{00000000-0005-0000-0000-0000D39C0000}"/>
    <cellStyle name="Normal 25 9" xfId="40161" xr:uid="{00000000-0005-0000-0000-0000D49C0000}"/>
    <cellStyle name="Normal 25 9 2" xfId="40162" xr:uid="{00000000-0005-0000-0000-0000D59C0000}"/>
    <cellStyle name="Normal 25_SEPS_Ext" xfId="40163" xr:uid="{00000000-0005-0000-0000-0000D69C0000}"/>
    <cellStyle name="Normal 26" xfId="40164" xr:uid="{00000000-0005-0000-0000-0000D79C0000}"/>
    <cellStyle name="Normal 26 2" xfId="40165" xr:uid="{00000000-0005-0000-0000-0000D89C0000}"/>
    <cellStyle name="Normal 26 2 2" xfId="40166" xr:uid="{00000000-0005-0000-0000-0000D99C0000}"/>
    <cellStyle name="Normal 26 2_SEPS_Ext" xfId="40167" xr:uid="{00000000-0005-0000-0000-0000DA9C0000}"/>
    <cellStyle name="Normal 26 3" xfId="40168" xr:uid="{00000000-0005-0000-0000-0000DB9C0000}"/>
    <cellStyle name="Normal 26 4" xfId="40169" xr:uid="{00000000-0005-0000-0000-0000DC9C0000}"/>
    <cellStyle name="Normal 26 5" xfId="40170" xr:uid="{00000000-0005-0000-0000-0000DD9C0000}"/>
    <cellStyle name="Normal 26_Flow" xfId="40171" xr:uid="{00000000-0005-0000-0000-0000DE9C0000}"/>
    <cellStyle name="Normal 27" xfId="40172" xr:uid="{00000000-0005-0000-0000-0000DF9C0000}"/>
    <cellStyle name="Normal 27 2" xfId="40173" xr:uid="{00000000-0005-0000-0000-0000E09C0000}"/>
    <cellStyle name="Normal 27 2 2" xfId="40174" xr:uid="{00000000-0005-0000-0000-0000E19C0000}"/>
    <cellStyle name="Normal 27 2_SEPS_Ext" xfId="40175" xr:uid="{00000000-0005-0000-0000-0000E29C0000}"/>
    <cellStyle name="Normal 27 3" xfId="40176" xr:uid="{00000000-0005-0000-0000-0000E39C0000}"/>
    <cellStyle name="Normal 27 4" xfId="40177" xr:uid="{00000000-0005-0000-0000-0000E49C0000}"/>
    <cellStyle name="Normal 27 5" xfId="40178" xr:uid="{00000000-0005-0000-0000-0000E59C0000}"/>
    <cellStyle name="Normal 27_Flow" xfId="40179" xr:uid="{00000000-0005-0000-0000-0000E69C0000}"/>
    <cellStyle name="Normal 28" xfId="40180" xr:uid="{00000000-0005-0000-0000-0000E79C0000}"/>
    <cellStyle name="Normal 28 2" xfId="40181" xr:uid="{00000000-0005-0000-0000-0000E89C0000}"/>
    <cellStyle name="Normal 28 2 2" xfId="40182" xr:uid="{00000000-0005-0000-0000-0000E99C0000}"/>
    <cellStyle name="Normal 28 3" xfId="40183" xr:uid="{00000000-0005-0000-0000-0000EA9C0000}"/>
    <cellStyle name="Normal 28 4" xfId="40184" xr:uid="{00000000-0005-0000-0000-0000EB9C0000}"/>
    <cellStyle name="Normal 28 5" xfId="40185" xr:uid="{00000000-0005-0000-0000-0000EC9C0000}"/>
    <cellStyle name="Normal 28_Külker-ExternalTrade" xfId="40186" xr:uid="{00000000-0005-0000-0000-0000ED9C0000}"/>
    <cellStyle name="Normal 29" xfId="40187" xr:uid="{00000000-0005-0000-0000-0000EE9C0000}"/>
    <cellStyle name="Normal 29 2" xfId="40188" xr:uid="{00000000-0005-0000-0000-0000EF9C0000}"/>
    <cellStyle name="Normal 29 2 2" xfId="40189" xr:uid="{00000000-0005-0000-0000-0000F09C0000}"/>
    <cellStyle name="Normal 29 3" xfId="40190" xr:uid="{00000000-0005-0000-0000-0000F19C0000}"/>
    <cellStyle name="Normal 29 4" xfId="40191" xr:uid="{00000000-0005-0000-0000-0000F29C0000}"/>
    <cellStyle name="Normal 29 5" xfId="40192" xr:uid="{00000000-0005-0000-0000-0000F39C0000}"/>
    <cellStyle name="Normal 3" xfId="40193" xr:uid="{00000000-0005-0000-0000-0000F49C0000}"/>
    <cellStyle name="Normal 3 10" xfId="40194" xr:uid="{00000000-0005-0000-0000-0000F59C0000}"/>
    <cellStyle name="Normal 3 11" xfId="40195" xr:uid="{00000000-0005-0000-0000-0000F69C0000}"/>
    <cellStyle name="Normal 3 12" xfId="40196" xr:uid="{00000000-0005-0000-0000-0000F79C0000}"/>
    <cellStyle name="Normal 3 13" xfId="40197" xr:uid="{00000000-0005-0000-0000-0000F89C0000}"/>
    <cellStyle name="Normal 3 14" xfId="40198" xr:uid="{00000000-0005-0000-0000-0000F99C0000}"/>
    <cellStyle name="Normal 3 15" xfId="40199" xr:uid="{00000000-0005-0000-0000-0000FA9C0000}"/>
    <cellStyle name="Normal 3 16" xfId="40200" xr:uid="{00000000-0005-0000-0000-0000FB9C0000}"/>
    <cellStyle name="Normal 3 17" xfId="40201" xr:uid="{00000000-0005-0000-0000-0000FC9C0000}"/>
    <cellStyle name="Normal 3 18" xfId="40202" xr:uid="{00000000-0005-0000-0000-0000FD9C0000}"/>
    <cellStyle name="Normal 3 19" xfId="40203" xr:uid="{00000000-0005-0000-0000-0000FE9C0000}"/>
    <cellStyle name="Normal 3 2" xfId="40204" xr:uid="{00000000-0005-0000-0000-0000FF9C0000}"/>
    <cellStyle name="Normal 3 2 10" xfId="40205" xr:uid="{00000000-0005-0000-0000-0000009D0000}"/>
    <cellStyle name="Normal 3 2 11" xfId="40206" xr:uid="{00000000-0005-0000-0000-0000019D0000}"/>
    <cellStyle name="Normal 3 2 12" xfId="40207" xr:uid="{00000000-0005-0000-0000-0000029D0000}"/>
    <cellStyle name="Normal 3 2 13" xfId="40208" xr:uid="{00000000-0005-0000-0000-0000039D0000}"/>
    <cellStyle name="Normal 3 2 14" xfId="40209" xr:uid="{00000000-0005-0000-0000-0000049D0000}"/>
    <cellStyle name="Normal 3 2 15" xfId="40210" xr:uid="{00000000-0005-0000-0000-0000059D0000}"/>
    <cellStyle name="Normal 3 2 16" xfId="40211" xr:uid="{00000000-0005-0000-0000-0000069D0000}"/>
    <cellStyle name="Normal 3 2 17" xfId="40212" xr:uid="{00000000-0005-0000-0000-0000079D0000}"/>
    <cellStyle name="Normal 3 2 18" xfId="40213" xr:uid="{00000000-0005-0000-0000-0000089D0000}"/>
    <cellStyle name="Normal 3 2 19" xfId="40214" xr:uid="{00000000-0005-0000-0000-0000099D0000}"/>
    <cellStyle name="Normal 3 2 2" xfId="40215" xr:uid="{00000000-0005-0000-0000-00000A9D0000}"/>
    <cellStyle name="Normal 3 2 2 2" xfId="40216" xr:uid="{00000000-0005-0000-0000-00000B9D0000}"/>
    <cellStyle name="Normal 3 2 2 3" xfId="40217" xr:uid="{00000000-0005-0000-0000-00000C9D0000}"/>
    <cellStyle name="Normal 3 2 2 4" xfId="40218" xr:uid="{00000000-0005-0000-0000-00000D9D0000}"/>
    <cellStyle name="Normal 3 2 2 5" xfId="40219" xr:uid="{00000000-0005-0000-0000-00000E9D0000}"/>
    <cellStyle name="Normal 3 2 2 6" xfId="40220" xr:uid="{00000000-0005-0000-0000-00000F9D0000}"/>
    <cellStyle name="Normal 3 2 2 7" xfId="40221" xr:uid="{00000000-0005-0000-0000-0000109D0000}"/>
    <cellStyle name="Normal 3 2 2 8" xfId="40222" xr:uid="{00000000-0005-0000-0000-0000119D0000}"/>
    <cellStyle name="Normal 3 2 20" xfId="40223" xr:uid="{00000000-0005-0000-0000-0000129D0000}"/>
    <cellStyle name="Normal 3 2 21" xfId="40224" xr:uid="{00000000-0005-0000-0000-0000139D0000}"/>
    <cellStyle name="Normal 3 2 22" xfId="40225" xr:uid="{00000000-0005-0000-0000-0000149D0000}"/>
    <cellStyle name="Normal 3 2 23" xfId="40226" xr:uid="{00000000-0005-0000-0000-0000159D0000}"/>
    <cellStyle name="Normal 3 2 24" xfId="40227" xr:uid="{00000000-0005-0000-0000-0000169D0000}"/>
    <cellStyle name="Normal 3 2 25" xfId="40228" xr:uid="{00000000-0005-0000-0000-0000179D0000}"/>
    <cellStyle name="Normal 3 2 26" xfId="40229" xr:uid="{00000000-0005-0000-0000-0000189D0000}"/>
    <cellStyle name="Normal 3 2 27" xfId="40230" xr:uid="{00000000-0005-0000-0000-0000199D0000}"/>
    <cellStyle name="Normal 3 2 28" xfId="40231" xr:uid="{00000000-0005-0000-0000-00001A9D0000}"/>
    <cellStyle name="Normal 3 2 29" xfId="40232" xr:uid="{00000000-0005-0000-0000-00001B9D0000}"/>
    <cellStyle name="Normal 3 2 3" xfId="40233" xr:uid="{00000000-0005-0000-0000-00001C9D0000}"/>
    <cellStyle name="Normal 3 2 30" xfId="40234" xr:uid="{00000000-0005-0000-0000-00001D9D0000}"/>
    <cellStyle name="Normal 3 2 4" xfId="40235" xr:uid="{00000000-0005-0000-0000-00001E9D0000}"/>
    <cellStyle name="Normal 3 2 5" xfId="40236" xr:uid="{00000000-0005-0000-0000-00001F9D0000}"/>
    <cellStyle name="Normal 3 2 6" xfId="40237" xr:uid="{00000000-0005-0000-0000-0000209D0000}"/>
    <cellStyle name="Normal 3 2 7" xfId="40238" xr:uid="{00000000-0005-0000-0000-0000219D0000}"/>
    <cellStyle name="Normal 3 2 8" xfId="40239" xr:uid="{00000000-0005-0000-0000-0000229D0000}"/>
    <cellStyle name="Normal 3 2 9" xfId="40240" xr:uid="{00000000-0005-0000-0000-0000239D0000}"/>
    <cellStyle name="Normal 3 20" xfId="40241" xr:uid="{00000000-0005-0000-0000-0000249D0000}"/>
    <cellStyle name="Normal 3 20 2" xfId="40242" xr:uid="{00000000-0005-0000-0000-0000259D0000}"/>
    <cellStyle name="Normal 3 20 3" xfId="40243" xr:uid="{00000000-0005-0000-0000-0000269D0000}"/>
    <cellStyle name="Normal 3 21" xfId="40244" xr:uid="{00000000-0005-0000-0000-0000279D0000}"/>
    <cellStyle name="Normal 3 22" xfId="40245" xr:uid="{00000000-0005-0000-0000-0000289D0000}"/>
    <cellStyle name="Normal 3 23" xfId="40246" xr:uid="{00000000-0005-0000-0000-0000299D0000}"/>
    <cellStyle name="Normal 3 24" xfId="40247" xr:uid="{00000000-0005-0000-0000-00002A9D0000}"/>
    <cellStyle name="Normal 3 24 2" xfId="40248" xr:uid="{00000000-0005-0000-0000-00002B9D0000}"/>
    <cellStyle name="Normal 3 25" xfId="40249" xr:uid="{00000000-0005-0000-0000-00002C9D0000}"/>
    <cellStyle name="Normal 3 25 2" xfId="40250" xr:uid="{00000000-0005-0000-0000-00002D9D0000}"/>
    <cellStyle name="Normal 3 26" xfId="40251" xr:uid="{00000000-0005-0000-0000-00002E9D0000}"/>
    <cellStyle name="Normal 3 26 2" xfId="40252" xr:uid="{00000000-0005-0000-0000-00002F9D0000}"/>
    <cellStyle name="Normal 3 27" xfId="40253" xr:uid="{00000000-0005-0000-0000-0000309D0000}"/>
    <cellStyle name="Normal 3 27 2" xfId="40254" xr:uid="{00000000-0005-0000-0000-0000319D0000}"/>
    <cellStyle name="Normal 3 28" xfId="40255" xr:uid="{00000000-0005-0000-0000-0000329D0000}"/>
    <cellStyle name="Normal 3 28 2" xfId="40256" xr:uid="{00000000-0005-0000-0000-0000339D0000}"/>
    <cellStyle name="Normal 3 29" xfId="40257" xr:uid="{00000000-0005-0000-0000-0000349D0000}"/>
    <cellStyle name="Normal 3 29 2" xfId="40258" xr:uid="{00000000-0005-0000-0000-0000359D0000}"/>
    <cellStyle name="Normal 3 3" xfId="40259" xr:uid="{00000000-0005-0000-0000-0000369D0000}"/>
    <cellStyle name="Normal 3 3 2" xfId="40260" xr:uid="{00000000-0005-0000-0000-0000379D0000}"/>
    <cellStyle name="Normal 3 3 2 2" xfId="40261" xr:uid="{00000000-0005-0000-0000-0000389D0000}"/>
    <cellStyle name="Normal 3 3 3" xfId="40262" xr:uid="{00000000-0005-0000-0000-0000399D0000}"/>
    <cellStyle name="Normal 3 3 3 2" xfId="40263" xr:uid="{00000000-0005-0000-0000-00003A9D0000}"/>
    <cellStyle name="Normal 3 3 4" xfId="40264" xr:uid="{00000000-0005-0000-0000-00003B9D0000}"/>
    <cellStyle name="Normal 3 30" xfId="40265" xr:uid="{00000000-0005-0000-0000-00003C9D0000}"/>
    <cellStyle name="Normal 3 30 2" xfId="40266" xr:uid="{00000000-0005-0000-0000-00003D9D0000}"/>
    <cellStyle name="Normal 3 31" xfId="40267" xr:uid="{00000000-0005-0000-0000-00003E9D0000}"/>
    <cellStyle name="Normal 3 31 2" xfId="40268" xr:uid="{00000000-0005-0000-0000-00003F9D0000}"/>
    <cellStyle name="Normal 3 32" xfId="40269" xr:uid="{00000000-0005-0000-0000-0000409D0000}"/>
    <cellStyle name="Normal 3 32 2" xfId="40270" xr:uid="{00000000-0005-0000-0000-0000419D0000}"/>
    <cellStyle name="Normal 3 33" xfId="40271" xr:uid="{00000000-0005-0000-0000-0000429D0000}"/>
    <cellStyle name="Normal 3 33 2" xfId="40272" xr:uid="{00000000-0005-0000-0000-0000439D0000}"/>
    <cellStyle name="Normal 3 34" xfId="40273" xr:uid="{00000000-0005-0000-0000-0000449D0000}"/>
    <cellStyle name="Normal 3 34 2" xfId="40274" xr:uid="{00000000-0005-0000-0000-0000459D0000}"/>
    <cellStyle name="Normal 3 35" xfId="40275" xr:uid="{00000000-0005-0000-0000-0000469D0000}"/>
    <cellStyle name="Normal 3 35 2" xfId="40276" xr:uid="{00000000-0005-0000-0000-0000479D0000}"/>
    <cellStyle name="Normal 3 36" xfId="40277" xr:uid="{00000000-0005-0000-0000-0000489D0000}"/>
    <cellStyle name="Normal 3 36 2" xfId="40278" xr:uid="{00000000-0005-0000-0000-0000499D0000}"/>
    <cellStyle name="Normal 3 37" xfId="40279" xr:uid="{00000000-0005-0000-0000-00004A9D0000}"/>
    <cellStyle name="Normal 3 38" xfId="40280" xr:uid="{00000000-0005-0000-0000-00004B9D0000}"/>
    <cellStyle name="Normal 3 39" xfId="40281" xr:uid="{00000000-0005-0000-0000-00004C9D0000}"/>
    <cellStyle name="Normal 3 4" xfId="40282" xr:uid="{00000000-0005-0000-0000-00004D9D0000}"/>
    <cellStyle name="Normal 3 4 2" xfId="40283" xr:uid="{00000000-0005-0000-0000-00004E9D0000}"/>
    <cellStyle name="Normal 3 4 3" xfId="40284" xr:uid="{00000000-0005-0000-0000-00004F9D0000}"/>
    <cellStyle name="Normal 3 4 4" xfId="40285" xr:uid="{00000000-0005-0000-0000-0000509D0000}"/>
    <cellStyle name="Normal 3 4 5" xfId="40286" xr:uid="{00000000-0005-0000-0000-0000519D0000}"/>
    <cellStyle name="Normal 3 4 6" xfId="40287" xr:uid="{00000000-0005-0000-0000-0000529D0000}"/>
    <cellStyle name="Normal 3 4 7" xfId="40288" xr:uid="{00000000-0005-0000-0000-0000539D0000}"/>
    <cellStyle name="Normal 3 40" xfId="40289" xr:uid="{00000000-0005-0000-0000-0000549D0000}"/>
    <cellStyle name="Normal 3 41" xfId="40290" xr:uid="{00000000-0005-0000-0000-0000559D0000}"/>
    <cellStyle name="Normal 3 42" xfId="40291" xr:uid="{00000000-0005-0000-0000-0000569D0000}"/>
    <cellStyle name="Normal 3 43" xfId="40292" xr:uid="{00000000-0005-0000-0000-0000579D0000}"/>
    <cellStyle name="Normal 3 44" xfId="40293" xr:uid="{00000000-0005-0000-0000-0000589D0000}"/>
    <cellStyle name="Normal 3 45" xfId="40294" xr:uid="{00000000-0005-0000-0000-0000599D0000}"/>
    <cellStyle name="Normal 3 46" xfId="40295" xr:uid="{00000000-0005-0000-0000-00005A9D0000}"/>
    <cellStyle name="Normal 3 5" xfId="40296" xr:uid="{00000000-0005-0000-0000-00005B9D0000}"/>
    <cellStyle name="Normal 3 5 2" xfId="40297" xr:uid="{00000000-0005-0000-0000-00005C9D0000}"/>
    <cellStyle name="Normal 3 5 3" xfId="40298" xr:uid="{00000000-0005-0000-0000-00005D9D0000}"/>
    <cellStyle name="Normal 3 6" xfId="40299" xr:uid="{00000000-0005-0000-0000-00005E9D0000}"/>
    <cellStyle name="Normal 3 7" xfId="40300" xr:uid="{00000000-0005-0000-0000-00005F9D0000}"/>
    <cellStyle name="Normal 3 8" xfId="40301" xr:uid="{00000000-0005-0000-0000-0000609D0000}"/>
    <cellStyle name="Normal 3 9" xfId="40302" xr:uid="{00000000-0005-0000-0000-0000619D0000}"/>
    <cellStyle name="Normal 3_Flow" xfId="40303" xr:uid="{00000000-0005-0000-0000-0000629D0000}"/>
    <cellStyle name="Normal 30" xfId="40304" xr:uid="{00000000-0005-0000-0000-0000639D0000}"/>
    <cellStyle name="Normal 30 2" xfId="40305" xr:uid="{00000000-0005-0000-0000-0000649D0000}"/>
    <cellStyle name="Normal 30 2 2" xfId="40306" xr:uid="{00000000-0005-0000-0000-0000659D0000}"/>
    <cellStyle name="Normal 30 3" xfId="40307" xr:uid="{00000000-0005-0000-0000-0000669D0000}"/>
    <cellStyle name="Normal 30 4" xfId="40308" xr:uid="{00000000-0005-0000-0000-0000679D0000}"/>
    <cellStyle name="Normal 30 5" xfId="40309" xr:uid="{00000000-0005-0000-0000-0000689D0000}"/>
    <cellStyle name="Normal 31" xfId="40310" xr:uid="{00000000-0005-0000-0000-0000699D0000}"/>
    <cellStyle name="Normal 31 2" xfId="40311" xr:uid="{00000000-0005-0000-0000-00006A9D0000}"/>
    <cellStyle name="Normal 31 3" xfId="40312" xr:uid="{00000000-0005-0000-0000-00006B9D0000}"/>
    <cellStyle name="Normal 31_Külker-ExternalTrade" xfId="40313" xr:uid="{00000000-0005-0000-0000-00006C9D0000}"/>
    <cellStyle name="Normal 32" xfId="40314" xr:uid="{00000000-0005-0000-0000-00006D9D0000}"/>
    <cellStyle name="Normal 32 2" xfId="40315" xr:uid="{00000000-0005-0000-0000-00006E9D0000}"/>
    <cellStyle name="Normal 32 3" xfId="40316" xr:uid="{00000000-0005-0000-0000-00006F9D0000}"/>
    <cellStyle name="Normal 32_Külker-ExternalTrade" xfId="40317" xr:uid="{00000000-0005-0000-0000-0000709D0000}"/>
    <cellStyle name="Normal 33" xfId="40318" xr:uid="{00000000-0005-0000-0000-0000719D0000}"/>
    <cellStyle name="Normal 33 2" xfId="40319" xr:uid="{00000000-0005-0000-0000-0000729D0000}"/>
    <cellStyle name="Normal 33 3" xfId="40320" xr:uid="{00000000-0005-0000-0000-0000739D0000}"/>
    <cellStyle name="Normal 34" xfId="40321" xr:uid="{00000000-0005-0000-0000-0000749D0000}"/>
    <cellStyle name="Normal 34 2" xfId="40322" xr:uid="{00000000-0005-0000-0000-0000759D0000}"/>
    <cellStyle name="Normal 34 3" xfId="40323" xr:uid="{00000000-0005-0000-0000-0000769D0000}"/>
    <cellStyle name="Normal 35" xfId="40324" xr:uid="{00000000-0005-0000-0000-0000779D0000}"/>
    <cellStyle name="Normal 36" xfId="40325" xr:uid="{00000000-0005-0000-0000-0000789D0000}"/>
    <cellStyle name="Normal 36 10" xfId="40326" xr:uid="{00000000-0005-0000-0000-0000799D0000}"/>
    <cellStyle name="Normal 36 11" xfId="40327" xr:uid="{00000000-0005-0000-0000-00007A9D0000}"/>
    <cellStyle name="Normal 36 12" xfId="40328" xr:uid="{00000000-0005-0000-0000-00007B9D0000}"/>
    <cellStyle name="Normal 36 13" xfId="40329" xr:uid="{00000000-0005-0000-0000-00007C9D0000}"/>
    <cellStyle name="Normal 36 14" xfId="40330" xr:uid="{00000000-0005-0000-0000-00007D9D0000}"/>
    <cellStyle name="Normal 36 15" xfId="40331" xr:uid="{00000000-0005-0000-0000-00007E9D0000}"/>
    <cellStyle name="Normal 36 16" xfId="40332" xr:uid="{00000000-0005-0000-0000-00007F9D0000}"/>
    <cellStyle name="Normal 36 17" xfId="40333" xr:uid="{00000000-0005-0000-0000-0000809D0000}"/>
    <cellStyle name="Normal 36 18" xfId="40334" xr:uid="{00000000-0005-0000-0000-0000819D0000}"/>
    <cellStyle name="Normal 36 19" xfId="40335" xr:uid="{00000000-0005-0000-0000-0000829D0000}"/>
    <cellStyle name="Normal 36 2" xfId="40336" xr:uid="{00000000-0005-0000-0000-0000839D0000}"/>
    <cellStyle name="Normal 36 2 2" xfId="40337" xr:uid="{00000000-0005-0000-0000-0000849D0000}"/>
    <cellStyle name="Normal 36 2 3" xfId="40338" xr:uid="{00000000-0005-0000-0000-0000859D0000}"/>
    <cellStyle name="Normal 36 20" xfId="40339" xr:uid="{00000000-0005-0000-0000-0000869D0000}"/>
    <cellStyle name="Normal 36 3" xfId="40340" xr:uid="{00000000-0005-0000-0000-0000879D0000}"/>
    <cellStyle name="Normal 36 4" xfId="40341" xr:uid="{00000000-0005-0000-0000-0000889D0000}"/>
    <cellStyle name="Normal 36 5" xfId="40342" xr:uid="{00000000-0005-0000-0000-0000899D0000}"/>
    <cellStyle name="Normal 36 6" xfId="40343" xr:uid="{00000000-0005-0000-0000-00008A9D0000}"/>
    <cellStyle name="Normal 36 7" xfId="40344" xr:uid="{00000000-0005-0000-0000-00008B9D0000}"/>
    <cellStyle name="Normal 36 8" xfId="40345" xr:uid="{00000000-0005-0000-0000-00008C9D0000}"/>
    <cellStyle name="Normal 36 9" xfId="40346" xr:uid="{00000000-0005-0000-0000-00008D9D0000}"/>
    <cellStyle name="Normal 37" xfId="40347" xr:uid="{00000000-0005-0000-0000-00008E9D0000}"/>
    <cellStyle name="Normal 37 10" xfId="40348" xr:uid="{00000000-0005-0000-0000-00008F9D0000}"/>
    <cellStyle name="Normal 37 11" xfId="40349" xr:uid="{00000000-0005-0000-0000-0000909D0000}"/>
    <cellStyle name="Normal 37 12" xfId="40350" xr:uid="{00000000-0005-0000-0000-0000919D0000}"/>
    <cellStyle name="Normal 37 13" xfId="40351" xr:uid="{00000000-0005-0000-0000-0000929D0000}"/>
    <cellStyle name="Normal 37 14" xfId="40352" xr:uid="{00000000-0005-0000-0000-0000939D0000}"/>
    <cellStyle name="Normal 37 15" xfId="40353" xr:uid="{00000000-0005-0000-0000-0000949D0000}"/>
    <cellStyle name="Normal 37 16" xfId="40354" xr:uid="{00000000-0005-0000-0000-0000959D0000}"/>
    <cellStyle name="Normal 37 17" xfId="40355" xr:uid="{00000000-0005-0000-0000-0000969D0000}"/>
    <cellStyle name="Normal 37 18" xfId="40356" xr:uid="{00000000-0005-0000-0000-0000979D0000}"/>
    <cellStyle name="Normal 37 19" xfId="40357" xr:uid="{00000000-0005-0000-0000-0000989D0000}"/>
    <cellStyle name="Normal 37 2" xfId="40358" xr:uid="{00000000-0005-0000-0000-0000999D0000}"/>
    <cellStyle name="Normal 37 2 2" xfId="40359" xr:uid="{00000000-0005-0000-0000-00009A9D0000}"/>
    <cellStyle name="Normal 37 2 3" xfId="40360" xr:uid="{00000000-0005-0000-0000-00009B9D0000}"/>
    <cellStyle name="Normal 37 20" xfId="40361" xr:uid="{00000000-0005-0000-0000-00009C9D0000}"/>
    <cellStyle name="Normal 37 3" xfId="40362" xr:uid="{00000000-0005-0000-0000-00009D9D0000}"/>
    <cellStyle name="Normal 37 4" xfId="40363" xr:uid="{00000000-0005-0000-0000-00009E9D0000}"/>
    <cellStyle name="Normal 37 5" xfId="40364" xr:uid="{00000000-0005-0000-0000-00009F9D0000}"/>
    <cellStyle name="Normal 37 6" xfId="40365" xr:uid="{00000000-0005-0000-0000-0000A09D0000}"/>
    <cellStyle name="Normal 37 7" xfId="40366" xr:uid="{00000000-0005-0000-0000-0000A19D0000}"/>
    <cellStyle name="Normal 37 8" xfId="40367" xr:uid="{00000000-0005-0000-0000-0000A29D0000}"/>
    <cellStyle name="Normal 37 9" xfId="40368" xr:uid="{00000000-0005-0000-0000-0000A39D0000}"/>
    <cellStyle name="Normal 38" xfId="40369" xr:uid="{00000000-0005-0000-0000-0000A49D0000}"/>
    <cellStyle name="Normal 38 10" xfId="40370" xr:uid="{00000000-0005-0000-0000-0000A59D0000}"/>
    <cellStyle name="Normal 38 11" xfId="40371" xr:uid="{00000000-0005-0000-0000-0000A69D0000}"/>
    <cellStyle name="Normal 38 12" xfId="40372" xr:uid="{00000000-0005-0000-0000-0000A79D0000}"/>
    <cellStyle name="Normal 38 13" xfId="40373" xr:uid="{00000000-0005-0000-0000-0000A89D0000}"/>
    <cellStyle name="Normal 38 14" xfId="40374" xr:uid="{00000000-0005-0000-0000-0000A99D0000}"/>
    <cellStyle name="Normal 38 15" xfId="40375" xr:uid="{00000000-0005-0000-0000-0000AA9D0000}"/>
    <cellStyle name="Normal 38 16" xfId="40376" xr:uid="{00000000-0005-0000-0000-0000AB9D0000}"/>
    <cellStyle name="Normal 38 17" xfId="40377" xr:uid="{00000000-0005-0000-0000-0000AC9D0000}"/>
    <cellStyle name="Normal 38 18" xfId="40378" xr:uid="{00000000-0005-0000-0000-0000AD9D0000}"/>
    <cellStyle name="Normal 38 19" xfId="40379" xr:uid="{00000000-0005-0000-0000-0000AE9D0000}"/>
    <cellStyle name="Normal 38 2" xfId="40380" xr:uid="{00000000-0005-0000-0000-0000AF9D0000}"/>
    <cellStyle name="Normal 38 2 2" xfId="40381" xr:uid="{00000000-0005-0000-0000-0000B09D0000}"/>
    <cellStyle name="Normal 38 2 3" xfId="40382" xr:uid="{00000000-0005-0000-0000-0000B19D0000}"/>
    <cellStyle name="Normal 38 20" xfId="40383" xr:uid="{00000000-0005-0000-0000-0000B29D0000}"/>
    <cellStyle name="Normal 38 3" xfId="40384" xr:uid="{00000000-0005-0000-0000-0000B39D0000}"/>
    <cellStyle name="Normal 38 4" xfId="40385" xr:uid="{00000000-0005-0000-0000-0000B49D0000}"/>
    <cellStyle name="Normal 38 5" xfId="40386" xr:uid="{00000000-0005-0000-0000-0000B59D0000}"/>
    <cellStyle name="Normal 38 6" xfId="40387" xr:uid="{00000000-0005-0000-0000-0000B69D0000}"/>
    <cellStyle name="Normal 38 7" xfId="40388" xr:uid="{00000000-0005-0000-0000-0000B79D0000}"/>
    <cellStyle name="Normal 38 8" xfId="40389" xr:uid="{00000000-0005-0000-0000-0000B89D0000}"/>
    <cellStyle name="Normal 38 9" xfId="40390" xr:uid="{00000000-0005-0000-0000-0000B99D0000}"/>
    <cellStyle name="Normal 39" xfId="40391" xr:uid="{00000000-0005-0000-0000-0000BA9D0000}"/>
    <cellStyle name="Normal 39 10" xfId="40392" xr:uid="{00000000-0005-0000-0000-0000BB9D0000}"/>
    <cellStyle name="Normal 39 11" xfId="40393" xr:uid="{00000000-0005-0000-0000-0000BC9D0000}"/>
    <cellStyle name="Normal 39 12" xfId="40394" xr:uid="{00000000-0005-0000-0000-0000BD9D0000}"/>
    <cellStyle name="Normal 39 13" xfId="40395" xr:uid="{00000000-0005-0000-0000-0000BE9D0000}"/>
    <cellStyle name="Normal 39 14" xfId="40396" xr:uid="{00000000-0005-0000-0000-0000BF9D0000}"/>
    <cellStyle name="Normal 39 15" xfId="40397" xr:uid="{00000000-0005-0000-0000-0000C09D0000}"/>
    <cellStyle name="Normal 39 16" xfId="40398" xr:uid="{00000000-0005-0000-0000-0000C19D0000}"/>
    <cellStyle name="Normal 39 17" xfId="40399" xr:uid="{00000000-0005-0000-0000-0000C29D0000}"/>
    <cellStyle name="Normal 39 18" xfId="40400" xr:uid="{00000000-0005-0000-0000-0000C39D0000}"/>
    <cellStyle name="Normal 39 19" xfId="40401" xr:uid="{00000000-0005-0000-0000-0000C49D0000}"/>
    <cellStyle name="Normal 39 2" xfId="40402" xr:uid="{00000000-0005-0000-0000-0000C59D0000}"/>
    <cellStyle name="Normal 39 2 2" xfId="40403" xr:uid="{00000000-0005-0000-0000-0000C69D0000}"/>
    <cellStyle name="Normal 39 2 3" xfId="40404" xr:uid="{00000000-0005-0000-0000-0000C79D0000}"/>
    <cellStyle name="Normal 39 20" xfId="40405" xr:uid="{00000000-0005-0000-0000-0000C89D0000}"/>
    <cellStyle name="Normal 39 3" xfId="40406" xr:uid="{00000000-0005-0000-0000-0000C99D0000}"/>
    <cellStyle name="Normal 39 4" xfId="40407" xr:uid="{00000000-0005-0000-0000-0000CA9D0000}"/>
    <cellStyle name="Normal 39 5" xfId="40408" xr:uid="{00000000-0005-0000-0000-0000CB9D0000}"/>
    <cellStyle name="Normal 39 6" xfId="40409" xr:uid="{00000000-0005-0000-0000-0000CC9D0000}"/>
    <cellStyle name="Normal 39 7" xfId="40410" xr:uid="{00000000-0005-0000-0000-0000CD9D0000}"/>
    <cellStyle name="Normal 39 8" xfId="40411" xr:uid="{00000000-0005-0000-0000-0000CE9D0000}"/>
    <cellStyle name="Normal 39 9" xfId="40412" xr:uid="{00000000-0005-0000-0000-0000CF9D0000}"/>
    <cellStyle name="Normal 4" xfId="40413" xr:uid="{00000000-0005-0000-0000-0000D09D0000}"/>
    <cellStyle name="Normal 4 10" xfId="40414" xr:uid="{00000000-0005-0000-0000-0000D19D0000}"/>
    <cellStyle name="Normal 4 10 2" xfId="40415" xr:uid="{00000000-0005-0000-0000-0000D29D0000}"/>
    <cellStyle name="Normal 4 11" xfId="40416" xr:uid="{00000000-0005-0000-0000-0000D39D0000}"/>
    <cellStyle name="Normal 4 12" xfId="40417" xr:uid="{00000000-0005-0000-0000-0000D49D0000}"/>
    <cellStyle name="Normal 4 13" xfId="40418" xr:uid="{00000000-0005-0000-0000-0000D59D0000}"/>
    <cellStyle name="Normal 4 14" xfId="40419" xr:uid="{00000000-0005-0000-0000-0000D69D0000}"/>
    <cellStyle name="Normal 4 15" xfId="40420" xr:uid="{00000000-0005-0000-0000-0000D79D0000}"/>
    <cellStyle name="Normal 4 16" xfId="40421" xr:uid="{00000000-0005-0000-0000-0000D89D0000}"/>
    <cellStyle name="Normal 4 17" xfId="40422" xr:uid="{00000000-0005-0000-0000-0000D99D0000}"/>
    <cellStyle name="Normal 4 18" xfId="40423" xr:uid="{00000000-0005-0000-0000-0000DA9D0000}"/>
    <cellStyle name="Normal 4 19" xfId="40424" xr:uid="{00000000-0005-0000-0000-0000DB9D0000}"/>
    <cellStyle name="Normal 4 2" xfId="40425" xr:uid="{00000000-0005-0000-0000-0000DC9D0000}"/>
    <cellStyle name="Normal 4 2 2" xfId="40426" xr:uid="{00000000-0005-0000-0000-0000DD9D0000}"/>
    <cellStyle name="Normal 4 2 3" xfId="40427" xr:uid="{00000000-0005-0000-0000-0000DE9D0000}"/>
    <cellStyle name="Normal 4 20" xfId="40428" xr:uid="{00000000-0005-0000-0000-0000DF9D0000}"/>
    <cellStyle name="Normal 4 20 2" xfId="40429" xr:uid="{00000000-0005-0000-0000-0000E09D0000}"/>
    <cellStyle name="Normal 4 21" xfId="40430" xr:uid="{00000000-0005-0000-0000-0000E19D0000}"/>
    <cellStyle name="Normal 4 22" xfId="40431" xr:uid="{00000000-0005-0000-0000-0000E29D0000}"/>
    <cellStyle name="Normal 4 3" xfId="40432" xr:uid="{00000000-0005-0000-0000-0000E39D0000}"/>
    <cellStyle name="Normal 4 3 2" xfId="40433" xr:uid="{00000000-0005-0000-0000-0000E49D0000}"/>
    <cellStyle name="Normal 4 4" xfId="40434" xr:uid="{00000000-0005-0000-0000-0000E59D0000}"/>
    <cellStyle name="Normal 4 4 2" xfId="40435" xr:uid="{00000000-0005-0000-0000-0000E69D0000}"/>
    <cellStyle name="Normal 4 4 3" xfId="40436" xr:uid="{00000000-0005-0000-0000-0000E79D0000}"/>
    <cellStyle name="Normal 4 5" xfId="40437" xr:uid="{00000000-0005-0000-0000-0000E89D0000}"/>
    <cellStyle name="Normal 4 6" xfId="40438" xr:uid="{00000000-0005-0000-0000-0000E99D0000}"/>
    <cellStyle name="Normal 4 7" xfId="40439" xr:uid="{00000000-0005-0000-0000-0000EA9D0000}"/>
    <cellStyle name="Normal 4 7 2" xfId="40440" xr:uid="{00000000-0005-0000-0000-0000EB9D0000}"/>
    <cellStyle name="Normal 4 7 2 2" xfId="40441" xr:uid="{00000000-0005-0000-0000-0000EC9D0000}"/>
    <cellStyle name="Normal 4 7 3" xfId="40442" xr:uid="{00000000-0005-0000-0000-0000ED9D0000}"/>
    <cellStyle name="Normal 4 7 3 2" xfId="40443" xr:uid="{00000000-0005-0000-0000-0000EE9D0000}"/>
    <cellStyle name="Normal 4 7 4" xfId="40444" xr:uid="{00000000-0005-0000-0000-0000EF9D0000}"/>
    <cellStyle name="Normal 4 8" xfId="40445" xr:uid="{00000000-0005-0000-0000-0000F09D0000}"/>
    <cellStyle name="Normal 4 8 2" xfId="40446" xr:uid="{00000000-0005-0000-0000-0000F19D0000}"/>
    <cellStyle name="Normal 4 8 3" xfId="40447" xr:uid="{00000000-0005-0000-0000-0000F29D0000}"/>
    <cellStyle name="Normal 4 9" xfId="40448" xr:uid="{00000000-0005-0000-0000-0000F39D0000}"/>
    <cellStyle name="Normal 4 9 2" xfId="40449" xr:uid="{00000000-0005-0000-0000-0000F49D0000}"/>
    <cellStyle name="Normal 40" xfId="40450" xr:uid="{00000000-0005-0000-0000-0000F59D0000}"/>
    <cellStyle name="Normal 40 10" xfId="40451" xr:uid="{00000000-0005-0000-0000-0000F69D0000}"/>
    <cellStyle name="Normal 40 11" xfId="40452" xr:uid="{00000000-0005-0000-0000-0000F79D0000}"/>
    <cellStyle name="Normal 40 12" xfId="40453" xr:uid="{00000000-0005-0000-0000-0000F89D0000}"/>
    <cellStyle name="Normal 40 13" xfId="40454" xr:uid="{00000000-0005-0000-0000-0000F99D0000}"/>
    <cellStyle name="Normal 40 14" xfId="40455" xr:uid="{00000000-0005-0000-0000-0000FA9D0000}"/>
    <cellStyle name="Normal 40 15" xfId="40456" xr:uid="{00000000-0005-0000-0000-0000FB9D0000}"/>
    <cellStyle name="Normal 40 16" xfId="40457" xr:uid="{00000000-0005-0000-0000-0000FC9D0000}"/>
    <cellStyle name="Normal 40 17" xfId="40458" xr:uid="{00000000-0005-0000-0000-0000FD9D0000}"/>
    <cellStyle name="Normal 40 18" xfId="40459" xr:uid="{00000000-0005-0000-0000-0000FE9D0000}"/>
    <cellStyle name="Normal 40 19" xfId="40460" xr:uid="{00000000-0005-0000-0000-0000FF9D0000}"/>
    <cellStyle name="Normal 40 2" xfId="40461" xr:uid="{00000000-0005-0000-0000-0000009E0000}"/>
    <cellStyle name="Normal 40 2 2" xfId="40462" xr:uid="{00000000-0005-0000-0000-0000019E0000}"/>
    <cellStyle name="Normal 40 2 3" xfId="40463" xr:uid="{00000000-0005-0000-0000-0000029E0000}"/>
    <cellStyle name="Normal 40 20" xfId="40464" xr:uid="{00000000-0005-0000-0000-0000039E0000}"/>
    <cellStyle name="Normal 40 3" xfId="40465" xr:uid="{00000000-0005-0000-0000-0000049E0000}"/>
    <cellStyle name="Normal 40 4" xfId="40466" xr:uid="{00000000-0005-0000-0000-0000059E0000}"/>
    <cellStyle name="Normal 40 5" xfId="40467" xr:uid="{00000000-0005-0000-0000-0000069E0000}"/>
    <cellStyle name="Normal 40 6" xfId="40468" xr:uid="{00000000-0005-0000-0000-0000079E0000}"/>
    <cellStyle name="Normal 40 7" xfId="40469" xr:uid="{00000000-0005-0000-0000-0000089E0000}"/>
    <cellStyle name="Normal 40 8" xfId="40470" xr:uid="{00000000-0005-0000-0000-0000099E0000}"/>
    <cellStyle name="Normal 40 9" xfId="40471" xr:uid="{00000000-0005-0000-0000-00000A9E0000}"/>
    <cellStyle name="Normal 41" xfId="40472" xr:uid="{00000000-0005-0000-0000-00000B9E0000}"/>
    <cellStyle name="Normal 41 10" xfId="40473" xr:uid="{00000000-0005-0000-0000-00000C9E0000}"/>
    <cellStyle name="Normal 41 11" xfId="40474" xr:uid="{00000000-0005-0000-0000-00000D9E0000}"/>
    <cellStyle name="Normal 41 12" xfId="40475" xr:uid="{00000000-0005-0000-0000-00000E9E0000}"/>
    <cellStyle name="Normal 41 13" xfId="40476" xr:uid="{00000000-0005-0000-0000-00000F9E0000}"/>
    <cellStyle name="Normal 41 14" xfId="40477" xr:uid="{00000000-0005-0000-0000-0000109E0000}"/>
    <cellStyle name="Normal 41 15" xfId="40478" xr:uid="{00000000-0005-0000-0000-0000119E0000}"/>
    <cellStyle name="Normal 41 16" xfId="40479" xr:uid="{00000000-0005-0000-0000-0000129E0000}"/>
    <cellStyle name="Normal 41 17" xfId="40480" xr:uid="{00000000-0005-0000-0000-0000139E0000}"/>
    <cellStyle name="Normal 41 18" xfId="40481" xr:uid="{00000000-0005-0000-0000-0000149E0000}"/>
    <cellStyle name="Normal 41 19" xfId="40482" xr:uid="{00000000-0005-0000-0000-0000159E0000}"/>
    <cellStyle name="Normal 41 2" xfId="40483" xr:uid="{00000000-0005-0000-0000-0000169E0000}"/>
    <cellStyle name="Normal 41 2 2" xfId="40484" xr:uid="{00000000-0005-0000-0000-0000179E0000}"/>
    <cellStyle name="Normal 41 2 3" xfId="40485" xr:uid="{00000000-0005-0000-0000-0000189E0000}"/>
    <cellStyle name="Normal 41 20" xfId="40486" xr:uid="{00000000-0005-0000-0000-0000199E0000}"/>
    <cellStyle name="Normal 41 3" xfId="40487" xr:uid="{00000000-0005-0000-0000-00001A9E0000}"/>
    <cellStyle name="Normal 41 4" xfId="40488" xr:uid="{00000000-0005-0000-0000-00001B9E0000}"/>
    <cellStyle name="Normal 41 5" xfId="40489" xr:uid="{00000000-0005-0000-0000-00001C9E0000}"/>
    <cellStyle name="Normal 41 6" xfId="40490" xr:uid="{00000000-0005-0000-0000-00001D9E0000}"/>
    <cellStyle name="Normal 41 7" xfId="40491" xr:uid="{00000000-0005-0000-0000-00001E9E0000}"/>
    <cellStyle name="Normal 41 8" xfId="40492" xr:uid="{00000000-0005-0000-0000-00001F9E0000}"/>
    <cellStyle name="Normal 41 9" xfId="40493" xr:uid="{00000000-0005-0000-0000-0000209E0000}"/>
    <cellStyle name="Normal 42" xfId="40494" xr:uid="{00000000-0005-0000-0000-0000219E0000}"/>
    <cellStyle name="Normal 42 10" xfId="40495" xr:uid="{00000000-0005-0000-0000-0000229E0000}"/>
    <cellStyle name="Normal 42 11" xfId="40496" xr:uid="{00000000-0005-0000-0000-0000239E0000}"/>
    <cellStyle name="Normal 42 12" xfId="40497" xr:uid="{00000000-0005-0000-0000-0000249E0000}"/>
    <cellStyle name="Normal 42 13" xfId="40498" xr:uid="{00000000-0005-0000-0000-0000259E0000}"/>
    <cellStyle name="Normal 42 14" xfId="40499" xr:uid="{00000000-0005-0000-0000-0000269E0000}"/>
    <cellStyle name="Normal 42 15" xfId="40500" xr:uid="{00000000-0005-0000-0000-0000279E0000}"/>
    <cellStyle name="Normal 42 16" xfId="40501" xr:uid="{00000000-0005-0000-0000-0000289E0000}"/>
    <cellStyle name="Normal 42 17" xfId="40502" xr:uid="{00000000-0005-0000-0000-0000299E0000}"/>
    <cellStyle name="Normal 42 18" xfId="40503" xr:uid="{00000000-0005-0000-0000-00002A9E0000}"/>
    <cellStyle name="Normal 42 19" xfId="40504" xr:uid="{00000000-0005-0000-0000-00002B9E0000}"/>
    <cellStyle name="Normal 42 2" xfId="40505" xr:uid="{00000000-0005-0000-0000-00002C9E0000}"/>
    <cellStyle name="Normal 42 2 2" xfId="40506" xr:uid="{00000000-0005-0000-0000-00002D9E0000}"/>
    <cellStyle name="Normal 42 20" xfId="40507" xr:uid="{00000000-0005-0000-0000-00002E9E0000}"/>
    <cellStyle name="Normal 42 3" xfId="40508" xr:uid="{00000000-0005-0000-0000-00002F9E0000}"/>
    <cellStyle name="Normal 42 4" xfId="40509" xr:uid="{00000000-0005-0000-0000-0000309E0000}"/>
    <cellStyle name="Normal 42 5" xfId="40510" xr:uid="{00000000-0005-0000-0000-0000319E0000}"/>
    <cellStyle name="Normal 42 6" xfId="40511" xr:uid="{00000000-0005-0000-0000-0000329E0000}"/>
    <cellStyle name="Normal 42 7" xfId="40512" xr:uid="{00000000-0005-0000-0000-0000339E0000}"/>
    <cellStyle name="Normal 42 8" xfId="40513" xr:uid="{00000000-0005-0000-0000-0000349E0000}"/>
    <cellStyle name="Normal 42 9" xfId="40514" xr:uid="{00000000-0005-0000-0000-0000359E0000}"/>
    <cellStyle name="Normal 43" xfId="40515" xr:uid="{00000000-0005-0000-0000-0000369E0000}"/>
    <cellStyle name="Normal 43 10" xfId="40516" xr:uid="{00000000-0005-0000-0000-0000379E0000}"/>
    <cellStyle name="Normal 43 11" xfId="40517" xr:uid="{00000000-0005-0000-0000-0000389E0000}"/>
    <cellStyle name="Normal 43 12" xfId="40518" xr:uid="{00000000-0005-0000-0000-0000399E0000}"/>
    <cellStyle name="Normal 43 13" xfId="40519" xr:uid="{00000000-0005-0000-0000-00003A9E0000}"/>
    <cellStyle name="Normal 43 14" xfId="40520" xr:uid="{00000000-0005-0000-0000-00003B9E0000}"/>
    <cellStyle name="Normal 43 15" xfId="40521" xr:uid="{00000000-0005-0000-0000-00003C9E0000}"/>
    <cellStyle name="Normal 43 16" xfId="40522" xr:uid="{00000000-0005-0000-0000-00003D9E0000}"/>
    <cellStyle name="Normal 43 17" xfId="40523" xr:uid="{00000000-0005-0000-0000-00003E9E0000}"/>
    <cellStyle name="Normal 43 18" xfId="40524" xr:uid="{00000000-0005-0000-0000-00003F9E0000}"/>
    <cellStyle name="Normal 43 19" xfId="40525" xr:uid="{00000000-0005-0000-0000-0000409E0000}"/>
    <cellStyle name="Normal 43 2" xfId="40526" xr:uid="{00000000-0005-0000-0000-0000419E0000}"/>
    <cellStyle name="Normal 43 2 2" xfId="40527" xr:uid="{00000000-0005-0000-0000-0000429E0000}"/>
    <cellStyle name="Normal 43 3" xfId="40528" xr:uid="{00000000-0005-0000-0000-0000439E0000}"/>
    <cellStyle name="Normal 43 4" xfId="40529" xr:uid="{00000000-0005-0000-0000-0000449E0000}"/>
    <cellStyle name="Normal 43 5" xfId="40530" xr:uid="{00000000-0005-0000-0000-0000459E0000}"/>
    <cellStyle name="Normal 43 6" xfId="40531" xr:uid="{00000000-0005-0000-0000-0000469E0000}"/>
    <cellStyle name="Normal 43 7" xfId="40532" xr:uid="{00000000-0005-0000-0000-0000479E0000}"/>
    <cellStyle name="Normal 43 8" xfId="40533" xr:uid="{00000000-0005-0000-0000-0000489E0000}"/>
    <cellStyle name="Normal 43 9" xfId="40534" xr:uid="{00000000-0005-0000-0000-0000499E0000}"/>
    <cellStyle name="Normal 44" xfId="40535" xr:uid="{00000000-0005-0000-0000-00004A9E0000}"/>
    <cellStyle name="Normal 44 10" xfId="40536" xr:uid="{00000000-0005-0000-0000-00004B9E0000}"/>
    <cellStyle name="Normal 44 11" xfId="40537" xr:uid="{00000000-0005-0000-0000-00004C9E0000}"/>
    <cellStyle name="Normal 44 12" xfId="40538" xr:uid="{00000000-0005-0000-0000-00004D9E0000}"/>
    <cellStyle name="Normal 44 13" xfId="40539" xr:uid="{00000000-0005-0000-0000-00004E9E0000}"/>
    <cellStyle name="Normal 44 14" xfId="40540" xr:uid="{00000000-0005-0000-0000-00004F9E0000}"/>
    <cellStyle name="Normal 44 15" xfId="40541" xr:uid="{00000000-0005-0000-0000-0000509E0000}"/>
    <cellStyle name="Normal 44 16" xfId="40542" xr:uid="{00000000-0005-0000-0000-0000519E0000}"/>
    <cellStyle name="Normal 44 17" xfId="40543" xr:uid="{00000000-0005-0000-0000-0000529E0000}"/>
    <cellStyle name="Normal 44 18" xfId="40544" xr:uid="{00000000-0005-0000-0000-0000539E0000}"/>
    <cellStyle name="Normal 44 19" xfId="40545" xr:uid="{00000000-0005-0000-0000-0000549E0000}"/>
    <cellStyle name="Normal 44 2" xfId="40546" xr:uid="{00000000-0005-0000-0000-0000559E0000}"/>
    <cellStyle name="Normal 44 2 2" xfId="40547" xr:uid="{00000000-0005-0000-0000-0000569E0000}"/>
    <cellStyle name="Normal 44 20" xfId="40548" xr:uid="{00000000-0005-0000-0000-0000579E0000}"/>
    <cellStyle name="Normal 44 3" xfId="40549" xr:uid="{00000000-0005-0000-0000-0000589E0000}"/>
    <cellStyle name="Normal 44 4" xfId="40550" xr:uid="{00000000-0005-0000-0000-0000599E0000}"/>
    <cellStyle name="Normal 44 5" xfId="40551" xr:uid="{00000000-0005-0000-0000-00005A9E0000}"/>
    <cellStyle name="Normal 44 6" xfId="40552" xr:uid="{00000000-0005-0000-0000-00005B9E0000}"/>
    <cellStyle name="Normal 44 7" xfId="40553" xr:uid="{00000000-0005-0000-0000-00005C9E0000}"/>
    <cellStyle name="Normal 44 8" xfId="40554" xr:uid="{00000000-0005-0000-0000-00005D9E0000}"/>
    <cellStyle name="Normal 44 9" xfId="40555" xr:uid="{00000000-0005-0000-0000-00005E9E0000}"/>
    <cellStyle name="Normal 45" xfId="40556" xr:uid="{00000000-0005-0000-0000-00005F9E0000}"/>
    <cellStyle name="Normal 45 10" xfId="40557" xr:uid="{00000000-0005-0000-0000-0000609E0000}"/>
    <cellStyle name="Normal 45 11" xfId="40558" xr:uid="{00000000-0005-0000-0000-0000619E0000}"/>
    <cellStyle name="Normal 45 12" xfId="40559" xr:uid="{00000000-0005-0000-0000-0000629E0000}"/>
    <cellStyle name="Normal 45 13" xfId="40560" xr:uid="{00000000-0005-0000-0000-0000639E0000}"/>
    <cellStyle name="Normal 45 14" xfId="40561" xr:uid="{00000000-0005-0000-0000-0000649E0000}"/>
    <cellStyle name="Normal 45 15" xfId="40562" xr:uid="{00000000-0005-0000-0000-0000659E0000}"/>
    <cellStyle name="Normal 45 16" xfId="40563" xr:uid="{00000000-0005-0000-0000-0000669E0000}"/>
    <cellStyle name="Normal 45 17" xfId="40564" xr:uid="{00000000-0005-0000-0000-0000679E0000}"/>
    <cellStyle name="Normal 45 18" xfId="40565" xr:uid="{00000000-0005-0000-0000-0000689E0000}"/>
    <cellStyle name="Normal 45 19" xfId="40566" xr:uid="{00000000-0005-0000-0000-0000699E0000}"/>
    <cellStyle name="Normal 45 2" xfId="40567" xr:uid="{00000000-0005-0000-0000-00006A9E0000}"/>
    <cellStyle name="Normal 45 2 2" xfId="40568" xr:uid="{00000000-0005-0000-0000-00006B9E0000}"/>
    <cellStyle name="Normal 45 20" xfId="40569" xr:uid="{00000000-0005-0000-0000-00006C9E0000}"/>
    <cellStyle name="Normal 45 3" xfId="40570" xr:uid="{00000000-0005-0000-0000-00006D9E0000}"/>
    <cellStyle name="Normal 45 4" xfId="40571" xr:uid="{00000000-0005-0000-0000-00006E9E0000}"/>
    <cellStyle name="Normal 45 5" xfId="40572" xr:uid="{00000000-0005-0000-0000-00006F9E0000}"/>
    <cellStyle name="Normal 45 6" xfId="40573" xr:uid="{00000000-0005-0000-0000-0000709E0000}"/>
    <cellStyle name="Normal 45 7" xfId="40574" xr:uid="{00000000-0005-0000-0000-0000719E0000}"/>
    <cellStyle name="Normal 45 8" xfId="40575" xr:uid="{00000000-0005-0000-0000-0000729E0000}"/>
    <cellStyle name="Normal 45 9" xfId="40576" xr:uid="{00000000-0005-0000-0000-0000739E0000}"/>
    <cellStyle name="Normal 46" xfId="40577" xr:uid="{00000000-0005-0000-0000-0000749E0000}"/>
    <cellStyle name="Normal 46 10" xfId="40578" xr:uid="{00000000-0005-0000-0000-0000759E0000}"/>
    <cellStyle name="Normal 46 11" xfId="40579" xr:uid="{00000000-0005-0000-0000-0000769E0000}"/>
    <cellStyle name="Normal 46 12" xfId="40580" xr:uid="{00000000-0005-0000-0000-0000779E0000}"/>
    <cellStyle name="Normal 46 13" xfId="40581" xr:uid="{00000000-0005-0000-0000-0000789E0000}"/>
    <cellStyle name="Normal 46 14" xfId="40582" xr:uid="{00000000-0005-0000-0000-0000799E0000}"/>
    <cellStyle name="Normal 46 15" xfId="40583" xr:uid="{00000000-0005-0000-0000-00007A9E0000}"/>
    <cellStyle name="Normal 46 16" xfId="40584" xr:uid="{00000000-0005-0000-0000-00007B9E0000}"/>
    <cellStyle name="Normal 46 17" xfId="40585" xr:uid="{00000000-0005-0000-0000-00007C9E0000}"/>
    <cellStyle name="Normal 46 18" xfId="40586" xr:uid="{00000000-0005-0000-0000-00007D9E0000}"/>
    <cellStyle name="Normal 46 19" xfId="40587" xr:uid="{00000000-0005-0000-0000-00007E9E0000}"/>
    <cellStyle name="Normal 46 2" xfId="40588" xr:uid="{00000000-0005-0000-0000-00007F9E0000}"/>
    <cellStyle name="Normal 46 2 2" xfId="40589" xr:uid="{00000000-0005-0000-0000-0000809E0000}"/>
    <cellStyle name="Normal 46 20" xfId="40590" xr:uid="{00000000-0005-0000-0000-0000819E0000}"/>
    <cellStyle name="Normal 46 3" xfId="40591" xr:uid="{00000000-0005-0000-0000-0000829E0000}"/>
    <cellStyle name="Normal 46 4" xfId="40592" xr:uid="{00000000-0005-0000-0000-0000839E0000}"/>
    <cellStyle name="Normal 46 5" xfId="40593" xr:uid="{00000000-0005-0000-0000-0000849E0000}"/>
    <cellStyle name="Normal 46 6" xfId="40594" xr:uid="{00000000-0005-0000-0000-0000859E0000}"/>
    <cellStyle name="Normal 46 7" xfId="40595" xr:uid="{00000000-0005-0000-0000-0000869E0000}"/>
    <cellStyle name="Normal 46 8" xfId="40596" xr:uid="{00000000-0005-0000-0000-0000879E0000}"/>
    <cellStyle name="Normal 46 9" xfId="40597" xr:uid="{00000000-0005-0000-0000-0000889E0000}"/>
    <cellStyle name="Normal 46_Flow" xfId="40598" xr:uid="{00000000-0005-0000-0000-0000899E0000}"/>
    <cellStyle name="Normal 47" xfId="40599" xr:uid="{00000000-0005-0000-0000-00008A9E0000}"/>
    <cellStyle name="Normal 47 2" xfId="40600" xr:uid="{00000000-0005-0000-0000-00008B9E0000}"/>
    <cellStyle name="Normal 48" xfId="40601" xr:uid="{00000000-0005-0000-0000-00008C9E0000}"/>
    <cellStyle name="Normal 49" xfId="40602" xr:uid="{00000000-0005-0000-0000-00008D9E0000}"/>
    <cellStyle name="Normal 5" xfId="40603" xr:uid="{00000000-0005-0000-0000-00008E9E0000}"/>
    <cellStyle name="Normal 5 10" xfId="40604" xr:uid="{00000000-0005-0000-0000-00008F9E0000}"/>
    <cellStyle name="Normal 5 10 2" xfId="40605" xr:uid="{00000000-0005-0000-0000-0000909E0000}"/>
    <cellStyle name="Normal 5 10 3" xfId="40606" xr:uid="{00000000-0005-0000-0000-0000919E0000}"/>
    <cellStyle name="Normal 5 10 4" xfId="40607" xr:uid="{00000000-0005-0000-0000-0000929E0000}"/>
    <cellStyle name="Normal 5 10 5" xfId="40608" xr:uid="{00000000-0005-0000-0000-0000939E0000}"/>
    <cellStyle name="Normal 5 10 6" xfId="40609" xr:uid="{00000000-0005-0000-0000-0000949E0000}"/>
    <cellStyle name="Normal 5 10 7" xfId="40610" xr:uid="{00000000-0005-0000-0000-0000959E0000}"/>
    <cellStyle name="Normal 5 10 8" xfId="40611" xr:uid="{00000000-0005-0000-0000-0000969E0000}"/>
    <cellStyle name="Normal 5 10 9" xfId="40612" xr:uid="{00000000-0005-0000-0000-0000979E0000}"/>
    <cellStyle name="Normal 5 11" xfId="40613" xr:uid="{00000000-0005-0000-0000-0000989E0000}"/>
    <cellStyle name="Normal 5 11 2" xfId="40614" xr:uid="{00000000-0005-0000-0000-0000999E0000}"/>
    <cellStyle name="Normal 5 11 3" xfId="40615" xr:uid="{00000000-0005-0000-0000-00009A9E0000}"/>
    <cellStyle name="Normal 5 11 4" xfId="40616" xr:uid="{00000000-0005-0000-0000-00009B9E0000}"/>
    <cellStyle name="Normal 5 11 5" xfId="40617" xr:uid="{00000000-0005-0000-0000-00009C9E0000}"/>
    <cellStyle name="Normal 5 11 6" xfId="40618" xr:uid="{00000000-0005-0000-0000-00009D9E0000}"/>
    <cellStyle name="Normal 5 11 7" xfId="40619" xr:uid="{00000000-0005-0000-0000-00009E9E0000}"/>
    <cellStyle name="Normal 5 11 8" xfId="40620" xr:uid="{00000000-0005-0000-0000-00009F9E0000}"/>
    <cellStyle name="Normal 5 11 9" xfId="40621" xr:uid="{00000000-0005-0000-0000-0000A09E0000}"/>
    <cellStyle name="Normal 5 12" xfId="40622" xr:uid="{00000000-0005-0000-0000-0000A19E0000}"/>
    <cellStyle name="Normal 5 12 2" xfId="40623" xr:uid="{00000000-0005-0000-0000-0000A29E0000}"/>
    <cellStyle name="Normal 5 12 3" xfId="40624" xr:uid="{00000000-0005-0000-0000-0000A39E0000}"/>
    <cellStyle name="Normal 5 12 4" xfId="40625" xr:uid="{00000000-0005-0000-0000-0000A49E0000}"/>
    <cellStyle name="Normal 5 12 5" xfId="40626" xr:uid="{00000000-0005-0000-0000-0000A59E0000}"/>
    <cellStyle name="Normal 5 12 6" xfId="40627" xr:uid="{00000000-0005-0000-0000-0000A69E0000}"/>
    <cellStyle name="Normal 5 12 7" xfId="40628" xr:uid="{00000000-0005-0000-0000-0000A79E0000}"/>
    <cellStyle name="Normal 5 12 8" xfId="40629" xr:uid="{00000000-0005-0000-0000-0000A89E0000}"/>
    <cellStyle name="Normal 5 12 9" xfId="40630" xr:uid="{00000000-0005-0000-0000-0000A99E0000}"/>
    <cellStyle name="Normal 5 13" xfId="40631" xr:uid="{00000000-0005-0000-0000-0000AA9E0000}"/>
    <cellStyle name="Normal 5 13 10" xfId="40632" xr:uid="{00000000-0005-0000-0000-0000AB9E0000}"/>
    <cellStyle name="Normal 5 13 11" xfId="40633" xr:uid="{00000000-0005-0000-0000-0000AC9E0000}"/>
    <cellStyle name="Normal 5 13 12" xfId="40634" xr:uid="{00000000-0005-0000-0000-0000AD9E0000}"/>
    <cellStyle name="Normal 5 13 13" xfId="40635" xr:uid="{00000000-0005-0000-0000-0000AE9E0000}"/>
    <cellStyle name="Normal 5 13 14" xfId="40636" xr:uid="{00000000-0005-0000-0000-0000AF9E0000}"/>
    <cellStyle name="Normal 5 13 15" xfId="40637" xr:uid="{00000000-0005-0000-0000-0000B09E0000}"/>
    <cellStyle name="Normal 5 13 16" xfId="40638" xr:uid="{00000000-0005-0000-0000-0000B19E0000}"/>
    <cellStyle name="Normal 5 13 17" xfId="40639" xr:uid="{00000000-0005-0000-0000-0000B29E0000}"/>
    <cellStyle name="Normal 5 13 18" xfId="40640" xr:uid="{00000000-0005-0000-0000-0000B39E0000}"/>
    <cellStyle name="Normal 5 13 19" xfId="40641" xr:uid="{00000000-0005-0000-0000-0000B49E0000}"/>
    <cellStyle name="Normal 5 13 2" xfId="40642" xr:uid="{00000000-0005-0000-0000-0000B59E0000}"/>
    <cellStyle name="Normal 5 13 2 10" xfId="40643" xr:uid="{00000000-0005-0000-0000-0000B69E0000}"/>
    <cellStyle name="Normal 5 13 2 11" xfId="40644" xr:uid="{00000000-0005-0000-0000-0000B79E0000}"/>
    <cellStyle name="Normal 5 13 2 12" xfId="40645" xr:uid="{00000000-0005-0000-0000-0000B89E0000}"/>
    <cellStyle name="Normal 5 13 2 13" xfId="40646" xr:uid="{00000000-0005-0000-0000-0000B99E0000}"/>
    <cellStyle name="Normal 5 13 2 14" xfId="40647" xr:uid="{00000000-0005-0000-0000-0000BA9E0000}"/>
    <cellStyle name="Normal 5 13 2 15" xfId="40648" xr:uid="{00000000-0005-0000-0000-0000BB9E0000}"/>
    <cellStyle name="Normal 5 13 2 2" xfId="40649" xr:uid="{00000000-0005-0000-0000-0000BC9E0000}"/>
    <cellStyle name="Normal 5 13 2 3" xfId="40650" xr:uid="{00000000-0005-0000-0000-0000BD9E0000}"/>
    <cellStyle name="Normal 5 13 2 4" xfId="40651" xr:uid="{00000000-0005-0000-0000-0000BE9E0000}"/>
    <cellStyle name="Normal 5 13 2 5" xfId="40652" xr:uid="{00000000-0005-0000-0000-0000BF9E0000}"/>
    <cellStyle name="Normal 5 13 2 6" xfId="40653" xr:uid="{00000000-0005-0000-0000-0000C09E0000}"/>
    <cellStyle name="Normal 5 13 2 7" xfId="40654" xr:uid="{00000000-0005-0000-0000-0000C19E0000}"/>
    <cellStyle name="Normal 5 13 2 8" xfId="40655" xr:uid="{00000000-0005-0000-0000-0000C29E0000}"/>
    <cellStyle name="Normal 5 13 2 9" xfId="40656" xr:uid="{00000000-0005-0000-0000-0000C39E0000}"/>
    <cellStyle name="Normal 5 13 20" xfId="40657" xr:uid="{00000000-0005-0000-0000-0000C49E0000}"/>
    <cellStyle name="Normal 5 13 21" xfId="40658" xr:uid="{00000000-0005-0000-0000-0000C59E0000}"/>
    <cellStyle name="Normal 5 13 22" xfId="40659" xr:uid="{00000000-0005-0000-0000-0000C69E0000}"/>
    <cellStyle name="Normal 5 13 23" xfId="40660" xr:uid="{00000000-0005-0000-0000-0000C79E0000}"/>
    <cellStyle name="Normal 5 13 24" xfId="40661" xr:uid="{00000000-0005-0000-0000-0000C89E0000}"/>
    <cellStyle name="Normal 5 13 25" xfId="40662" xr:uid="{00000000-0005-0000-0000-0000C99E0000}"/>
    <cellStyle name="Normal 5 13 26" xfId="40663" xr:uid="{00000000-0005-0000-0000-0000CA9E0000}"/>
    <cellStyle name="Normal 5 13 27" xfId="40664" xr:uid="{00000000-0005-0000-0000-0000CB9E0000}"/>
    <cellStyle name="Normal 5 13 28" xfId="40665" xr:uid="{00000000-0005-0000-0000-0000CC9E0000}"/>
    <cellStyle name="Normal 5 13 29" xfId="40666" xr:uid="{00000000-0005-0000-0000-0000CD9E0000}"/>
    <cellStyle name="Normal 5 13 3" xfId="40667" xr:uid="{00000000-0005-0000-0000-0000CE9E0000}"/>
    <cellStyle name="Normal 5 13 30" xfId="40668" xr:uid="{00000000-0005-0000-0000-0000CF9E0000}"/>
    <cellStyle name="Normal 5 13 31" xfId="40669" xr:uid="{00000000-0005-0000-0000-0000D09E0000}"/>
    <cellStyle name="Normal 5 13 32" xfId="40670" xr:uid="{00000000-0005-0000-0000-0000D19E0000}"/>
    <cellStyle name="Normal 5 13 33" xfId="40671" xr:uid="{00000000-0005-0000-0000-0000D29E0000}"/>
    <cellStyle name="Normal 5 13 34" xfId="40672" xr:uid="{00000000-0005-0000-0000-0000D39E0000}"/>
    <cellStyle name="Normal 5 13 35" xfId="40673" xr:uid="{00000000-0005-0000-0000-0000D49E0000}"/>
    <cellStyle name="Normal 5 13 36" xfId="40674" xr:uid="{00000000-0005-0000-0000-0000D59E0000}"/>
    <cellStyle name="Normal 5 13 37" xfId="40675" xr:uid="{00000000-0005-0000-0000-0000D69E0000}"/>
    <cellStyle name="Normal 5 13 4" xfId="40676" xr:uid="{00000000-0005-0000-0000-0000D79E0000}"/>
    <cellStyle name="Normal 5 13 5" xfId="40677" xr:uid="{00000000-0005-0000-0000-0000D89E0000}"/>
    <cellStyle name="Normal 5 13 6" xfId="40678" xr:uid="{00000000-0005-0000-0000-0000D99E0000}"/>
    <cellStyle name="Normal 5 13 7" xfId="40679" xr:uid="{00000000-0005-0000-0000-0000DA9E0000}"/>
    <cellStyle name="Normal 5 13 8" xfId="40680" xr:uid="{00000000-0005-0000-0000-0000DB9E0000}"/>
    <cellStyle name="Normal 5 13 9" xfId="40681" xr:uid="{00000000-0005-0000-0000-0000DC9E0000}"/>
    <cellStyle name="Normal 5 14" xfId="40682" xr:uid="{00000000-0005-0000-0000-0000DD9E0000}"/>
    <cellStyle name="Normal 5 14 2" xfId="40683" xr:uid="{00000000-0005-0000-0000-0000DE9E0000}"/>
    <cellStyle name="Normal 5 14 3" xfId="40684" xr:uid="{00000000-0005-0000-0000-0000DF9E0000}"/>
    <cellStyle name="Normal 5 14 4" xfId="40685" xr:uid="{00000000-0005-0000-0000-0000E09E0000}"/>
    <cellStyle name="Normal 5 14 5" xfId="40686" xr:uid="{00000000-0005-0000-0000-0000E19E0000}"/>
    <cellStyle name="Normal 5 14 6" xfId="40687" xr:uid="{00000000-0005-0000-0000-0000E29E0000}"/>
    <cellStyle name="Normal 5 14 7" xfId="40688" xr:uid="{00000000-0005-0000-0000-0000E39E0000}"/>
    <cellStyle name="Normal 5 14 8" xfId="40689" xr:uid="{00000000-0005-0000-0000-0000E49E0000}"/>
    <cellStyle name="Normal 5 14 9" xfId="40690" xr:uid="{00000000-0005-0000-0000-0000E59E0000}"/>
    <cellStyle name="Normal 5 15" xfId="40691" xr:uid="{00000000-0005-0000-0000-0000E69E0000}"/>
    <cellStyle name="Normal 5 15 2" xfId="40692" xr:uid="{00000000-0005-0000-0000-0000E79E0000}"/>
    <cellStyle name="Normal 5 15 3" xfId="40693" xr:uid="{00000000-0005-0000-0000-0000E89E0000}"/>
    <cellStyle name="Normal 5 15 4" xfId="40694" xr:uid="{00000000-0005-0000-0000-0000E99E0000}"/>
    <cellStyle name="Normal 5 15 5" xfId="40695" xr:uid="{00000000-0005-0000-0000-0000EA9E0000}"/>
    <cellStyle name="Normal 5 15 6" xfId="40696" xr:uid="{00000000-0005-0000-0000-0000EB9E0000}"/>
    <cellStyle name="Normal 5 15 7" xfId="40697" xr:uid="{00000000-0005-0000-0000-0000EC9E0000}"/>
    <cellStyle name="Normal 5 15 8" xfId="40698" xr:uid="{00000000-0005-0000-0000-0000ED9E0000}"/>
    <cellStyle name="Normal 5 15 9" xfId="40699" xr:uid="{00000000-0005-0000-0000-0000EE9E0000}"/>
    <cellStyle name="Normal 5 16" xfId="40700" xr:uid="{00000000-0005-0000-0000-0000EF9E0000}"/>
    <cellStyle name="Normal 5 16 2" xfId="40701" xr:uid="{00000000-0005-0000-0000-0000F09E0000}"/>
    <cellStyle name="Normal 5 16 3" xfId="40702" xr:uid="{00000000-0005-0000-0000-0000F19E0000}"/>
    <cellStyle name="Normal 5 16 4" xfId="40703" xr:uid="{00000000-0005-0000-0000-0000F29E0000}"/>
    <cellStyle name="Normal 5 16 5" xfId="40704" xr:uid="{00000000-0005-0000-0000-0000F39E0000}"/>
    <cellStyle name="Normal 5 16 6" xfId="40705" xr:uid="{00000000-0005-0000-0000-0000F49E0000}"/>
    <cellStyle name="Normal 5 16 7" xfId="40706" xr:uid="{00000000-0005-0000-0000-0000F59E0000}"/>
    <cellStyle name="Normal 5 16 8" xfId="40707" xr:uid="{00000000-0005-0000-0000-0000F69E0000}"/>
    <cellStyle name="Normal 5 16 9" xfId="40708" xr:uid="{00000000-0005-0000-0000-0000F79E0000}"/>
    <cellStyle name="Normal 5 17" xfId="40709" xr:uid="{00000000-0005-0000-0000-0000F89E0000}"/>
    <cellStyle name="Normal 5 17 2" xfId="40710" xr:uid="{00000000-0005-0000-0000-0000F99E0000}"/>
    <cellStyle name="Normal 5 17 3" xfId="40711" xr:uid="{00000000-0005-0000-0000-0000FA9E0000}"/>
    <cellStyle name="Normal 5 17 4" xfId="40712" xr:uid="{00000000-0005-0000-0000-0000FB9E0000}"/>
    <cellStyle name="Normal 5 17 5" xfId="40713" xr:uid="{00000000-0005-0000-0000-0000FC9E0000}"/>
    <cellStyle name="Normal 5 17 6" xfId="40714" xr:uid="{00000000-0005-0000-0000-0000FD9E0000}"/>
    <cellStyle name="Normal 5 17 7" xfId="40715" xr:uid="{00000000-0005-0000-0000-0000FE9E0000}"/>
    <cellStyle name="Normal 5 17 8" xfId="40716" xr:uid="{00000000-0005-0000-0000-0000FF9E0000}"/>
    <cellStyle name="Normal 5 17 9" xfId="40717" xr:uid="{00000000-0005-0000-0000-0000009F0000}"/>
    <cellStyle name="Normal 5 18" xfId="40718" xr:uid="{00000000-0005-0000-0000-0000019F0000}"/>
    <cellStyle name="Normal 5 18 2" xfId="40719" xr:uid="{00000000-0005-0000-0000-0000029F0000}"/>
    <cellStyle name="Normal 5 18 3" xfId="40720" xr:uid="{00000000-0005-0000-0000-0000039F0000}"/>
    <cellStyle name="Normal 5 18 4" xfId="40721" xr:uid="{00000000-0005-0000-0000-0000049F0000}"/>
    <cellStyle name="Normal 5 18 5" xfId="40722" xr:uid="{00000000-0005-0000-0000-0000059F0000}"/>
    <cellStyle name="Normal 5 18 6" xfId="40723" xr:uid="{00000000-0005-0000-0000-0000069F0000}"/>
    <cellStyle name="Normal 5 18 7" xfId="40724" xr:uid="{00000000-0005-0000-0000-0000079F0000}"/>
    <cellStyle name="Normal 5 18 8" xfId="40725" xr:uid="{00000000-0005-0000-0000-0000089F0000}"/>
    <cellStyle name="Normal 5 18 9" xfId="40726" xr:uid="{00000000-0005-0000-0000-0000099F0000}"/>
    <cellStyle name="Normal 5 19" xfId="40727" xr:uid="{00000000-0005-0000-0000-00000A9F0000}"/>
    <cellStyle name="Normal 5 19 10" xfId="40728" xr:uid="{00000000-0005-0000-0000-00000B9F0000}"/>
    <cellStyle name="Normal 5 19 11" xfId="40729" xr:uid="{00000000-0005-0000-0000-00000C9F0000}"/>
    <cellStyle name="Normal 5 19 12" xfId="40730" xr:uid="{00000000-0005-0000-0000-00000D9F0000}"/>
    <cellStyle name="Normal 5 19 13" xfId="40731" xr:uid="{00000000-0005-0000-0000-00000E9F0000}"/>
    <cellStyle name="Normal 5 19 14" xfId="40732" xr:uid="{00000000-0005-0000-0000-00000F9F0000}"/>
    <cellStyle name="Normal 5 19 15" xfId="40733" xr:uid="{00000000-0005-0000-0000-0000109F0000}"/>
    <cellStyle name="Normal 5 19 2" xfId="40734" xr:uid="{00000000-0005-0000-0000-0000119F0000}"/>
    <cellStyle name="Normal 5 19 3" xfId="40735" xr:uid="{00000000-0005-0000-0000-0000129F0000}"/>
    <cellStyle name="Normal 5 19 4" xfId="40736" xr:uid="{00000000-0005-0000-0000-0000139F0000}"/>
    <cellStyle name="Normal 5 19 5" xfId="40737" xr:uid="{00000000-0005-0000-0000-0000149F0000}"/>
    <cellStyle name="Normal 5 19 6" xfId="40738" xr:uid="{00000000-0005-0000-0000-0000159F0000}"/>
    <cellStyle name="Normal 5 19 7" xfId="40739" xr:uid="{00000000-0005-0000-0000-0000169F0000}"/>
    <cellStyle name="Normal 5 19 8" xfId="40740" xr:uid="{00000000-0005-0000-0000-0000179F0000}"/>
    <cellStyle name="Normal 5 19 9" xfId="40741" xr:uid="{00000000-0005-0000-0000-0000189F0000}"/>
    <cellStyle name="Normal 5 2" xfId="40742" xr:uid="{00000000-0005-0000-0000-0000199F0000}"/>
    <cellStyle name="Normal 5 2 10" xfId="40743" xr:uid="{00000000-0005-0000-0000-00001A9F0000}"/>
    <cellStyle name="Normal 5 2 11" xfId="40744" xr:uid="{00000000-0005-0000-0000-00001B9F0000}"/>
    <cellStyle name="Normal 5 2 12" xfId="40745" xr:uid="{00000000-0005-0000-0000-00001C9F0000}"/>
    <cellStyle name="Normal 5 2 13" xfId="40746" xr:uid="{00000000-0005-0000-0000-00001D9F0000}"/>
    <cellStyle name="Normal 5 2 2" xfId="40747" xr:uid="{00000000-0005-0000-0000-00001E9F0000}"/>
    <cellStyle name="Normal 5 2 2 2" xfId="40748" xr:uid="{00000000-0005-0000-0000-00001F9F0000}"/>
    <cellStyle name="Normal 5 2 2 2 2" xfId="40749" xr:uid="{00000000-0005-0000-0000-0000209F0000}"/>
    <cellStyle name="Normal 5 2 2 3" xfId="40750" xr:uid="{00000000-0005-0000-0000-0000219F0000}"/>
    <cellStyle name="Normal 5 2 2 4" xfId="40751" xr:uid="{00000000-0005-0000-0000-0000229F0000}"/>
    <cellStyle name="Normal 5 2 3" xfId="40752" xr:uid="{00000000-0005-0000-0000-0000239F0000}"/>
    <cellStyle name="Normal 5 2 3 2" xfId="40753" xr:uid="{00000000-0005-0000-0000-0000249F0000}"/>
    <cellStyle name="Normal 5 2 3 2 2" xfId="40754" xr:uid="{00000000-0005-0000-0000-0000259F0000}"/>
    <cellStyle name="Normal 5 2 3 3" xfId="40755" xr:uid="{00000000-0005-0000-0000-0000269F0000}"/>
    <cellStyle name="Normal 5 2 3 4" xfId="40756" xr:uid="{00000000-0005-0000-0000-0000279F0000}"/>
    <cellStyle name="Normal 5 2 4" xfId="40757" xr:uid="{00000000-0005-0000-0000-0000289F0000}"/>
    <cellStyle name="Normal 5 2 4 2" xfId="40758" xr:uid="{00000000-0005-0000-0000-0000299F0000}"/>
    <cellStyle name="Normal 5 2 5" xfId="40759" xr:uid="{00000000-0005-0000-0000-00002A9F0000}"/>
    <cellStyle name="Normal 5 2 6" xfId="40760" xr:uid="{00000000-0005-0000-0000-00002B9F0000}"/>
    <cellStyle name="Normal 5 2 7" xfId="40761" xr:uid="{00000000-0005-0000-0000-00002C9F0000}"/>
    <cellStyle name="Normal 5 2 8" xfId="40762" xr:uid="{00000000-0005-0000-0000-00002D9F0000}"/>
    <cellStyle name="Normal 5 2 9" xfId="40763" xr:uid="{00000000-0005-0000-0000-00002E9F0000}"/>
    <cellStyle name="Normal 5 20" xfId="40764" xr:uid="{00000000-0005-0000-0000-00002F9F0000}"/>
    <cellStyle name="Normal 5 20 10" xfId="40765" xr:uid="{00000000-0005-0000-0000-0000309F0000}"/>
    <cellStyle name="Normal 5 20 11" xfId="40766" xr:uid="{00000000-0005-0000-0000-0000319F0000}"/>
    <cellStyle name="Normal 5 20 12" xfId="40767" xr:uid="{00000000-0005-0000-0000-0000329F0000}"/>
    <cellStyle name="Normal 5 20 13" xfId="40768" xr:uid="{00000000-0005-0000-0000-0000339F0000}"/>
    <cellStyle name="Normal 5 20 14" xfId="40769" xr:uid="{00000000-0005-0000-0000-0000349F0000}"/>
    <cellStyle name="Normal 5 20 15" xfId="40770" xr:uid="{00000000-0005-0000-0000-0000359F0000}"/>
    <cellStyle name="Normal 5 20 2" xfId="40771" xr:uid="{00000000-0005-0000-0000-0000369F0000}"/>
    <cellStyle name="Normal 5 20 3" xfId="40772" xr:uid="{00000000-0005-0000-0000-0000379F0000}"/>
    <cellStyle name="Normal 5 20 4" xfId="40773" xr:uid="{00000000-0005-0000-0000-0000389F0000}"/>
    <cellStyle name="Normal 5 20 5" xfId="40774" xr:uid="{00000000-0005-0000-0000-0000399F0000}"/>
    <cellStyle name="Normal 5 20 6" xfId="40775" xr:uid="{00000000-0005-0000-0000-00003A9F0000}"/>
    <cellStyle name="Normal 5 20 7" xfId="40776" xr:uid="{00000000-0005-0000-0000-00003B9F0000}"/>
    <cellStyle name="Normal 5 20 8" xfId="40777" xr:uid="{00000000-0005-0000-0000-00003C9F0000}"/>
    <cellStyle name="Normal 5 20 9" xfId="40778" xr:uid="{00000000-0005-0000-0000-00003D9F0000}"/>
    <cellStyle name="Normal 5 21" xfId="40779" xr:uid="{00000000-0005-0000-0000-00003E9F0000}"/>
    <cellStyle name="Normal 5 21 10" xfId="40780" xr:uid="{00000000-0005-0000-0000-00003F9F0000}"/>
    <cellStyle name="Normal 5 21 11" xfId="40781" xr:uid="{00000000-0005-0000-0000-0000409F0000}"/>
    <cellStyle name="Normal 5 21 12" xfId="40782" xr:uid="{00000000-0005-0000-0000-0000419F0000}"/>
    <cellStyle name="Normal 5 21 13" xfId="40783" xr:uid="{00000000-0005-0000-0000-0000429F0000}"/>
    <cellStyle name="Normal 5 21 14" xfId="40784" xr:uid="{00000000-0005-0000-0000-0000439F0000}"/>
    <cellStyle name="Normal 5 21 15" xfId="40785" xr:uid="{00000000-0005-0000-0000-0000449F0000}"/>
    <cellStyle name="Normal 5 21 2" xfId="40786" xr:uid="{00000000-0005-0000-0000-0000459F0000}"/>
    <cellStyle name="Normal 5 21 3" xfId="40787" xr:uid="{00000000-0005-0000-0000-0000469F0000}"/>
    <cellStyle name="Normal 5 21 4" xfId="40788" xr:uid="{00000000-0005-0000-0000-0000479F0000}"/>
    <cellStyle name="Normal 5 21 5" xfId="40789" xr:uid="{00000000-0005-0000-0000-0000489F0000}"/>
    <cellStyle name="Normal 5 21 6" xfId="40790" xr:uid="{00000000-0005-0000-0000-0000499F0000}"/>
    <cellStyle name="Normal 5 21 7" xfId="40791" xr:uid="{00000000-0005-0000-0000-00004A9F0000}"/>
    <cellStyle name="Normal 5 21 8" xfId="40792" xr:uid="{00000000-0005-0000-0000-00004B9F0000}"/>
    <cellStyle name="Normal 5 21 9" xfId="40793" xr:uid="{00000000-0005-0000-0000-00004C9F0000}"/>
    <cellStyle name="Normal 5 22" xfId="40794" xr:uid="{00000000-0005-0000-0000-00004D9F0000}"/>
    <cellStyle name="Normal 5 22 10" xfId="40795" xr:uid="{00000000-0005-0000-0000-00004E9F0000}"/>
    <cellStyle name="Normal 5 22 11" xfId="40796" xr:uid="{00000000-0005-0000-0000-00004F9F0000}"/>
    <cellStyle name="Normal 5 22 12" xfId="40797" xr:uid="{00000000-0005-0000-0000-0000509F0000}"/>
    <cellStyle name="Normal 5 22 13" xfId="40798" xr:uid="{00000000-0005-0000-0000-0000519F0000}"/>
    <cellStyle name="Normal 5 22 14" xfId="40799" xr:uid="{00000000-0005-0000-0000-0000529F0000}"/>
    <cellStyle name="Normal 5 22 15" xfId="40800" xr:uid="{00000000-0005-0000-0000-0000539F0000}"/>
    <cellStyle name="Normal 5 22 2" xfId="40801" xr:uid="{00000000-0005-0000-0000-0000549F0000}"/>
    <cellStyle name="Normal 5 22 3" xfId="40802" xr:uid="{00000000-0005-0000-0000-0000559F0000}"/>
    <cellStyle name="Normal 5 22 4" xfId="40803" xr:uid="{00000000-0005-0000-0000-0000569F0000}"/>
    <cellStyle name="Normal 5 22 5" xfId="40804" xr:uid="{00000000-0005-0000-0000-0000579F0000}"/>
    <cellStyle name="Normal 5 22 6" xfId="40805" xr:uid="{00000000-0005-0000-0000-0000589F0000}"/>
    <cellStyle name="Normal 5 22 7" xfId="40806" xr:uid="{00000000-0005-0000-0000-0000599F0000}"/>
    <cellStyle name="Normal 5 22 8" xfId="40807" xr:uid="{00000000-0005-0000-0000-00005A9F0000}"/>
    <cellStyle name="Normal 5 22 9" xfId="40808" xr:uid="{00000000-0005-0000-0000-00005B9F0000}"/>
    <cellStyle name="Normal 5 23" xfId="40809" xr:uid="{00000000-0005-0000-0000-00005C9F0000}"/>
    <cellStyle name="Normal 5 23 2" xfId="40810" xr:uid="{00000000-0005-0000-0000-00005D9F0000}"/>
    <cellStyle name="Normal 5 24" xfId="40811" xr:uid="{00000000-0005-0000-0000-00005E9F0000}"/>
    <cellStyle name="Normal 5 24 2" xfId="40812" xr:uid="{00000000-0005-0000-0000-00005F9F0000}"/>
    <cellStyle name="Normal 5 25" xfId="40813" xr:uid="{00000000-0005-0000-0000-0000609F0000}"/>
    <cellStyle name="Normal 5 25 2" xfId="40814" xr:uid="{00000000-0005-0000-0000-0000619F0000}"/>
    <cellStyle name="Normal 5 26" xfId="40815" xr:uid="{00000000-0005-0000-0000-0000629F0000}"/>
    <cellStyle name="Normal 5 26 2" xfId="40816" xr:uid="{00000000-0005-0000-0000-0000639F0000}"/>
    <cellStyle name="Normal 5 27" xfId="40817" xr:uid="{00000000-0005-0000-0000-0000649F0000}"/>
    <cellStyle name="Normal 5 27 2" xfId="40818" xr:uid="{00000000-0005-0000-0000-0000659F0000}"/>
    <cellStyle name="Normal 5 28" xfId="40819" xr:uid="{00000000-0005-0000-0000-0000669F0000}"/>
    <cellStyle name="Normal 5 28 2" xfId="40820" xr:uid="{00000000-0005-0000-0000-0000679F0000}"/>
    <cellStyle name="Normal 5 29" xfId="40821" xr:uid="{00000000-0005-0000-0000-0000689F0000}"/>
    <cellStyle name="Normal 5 29 2" xfId="40822" xr:uid="{00000000-0005-0000-0000-0000699F0000}"/>
    <cellStyle name="Normal 5 3" xfId="40823" xr:uid="{00000000-0005-0000-0000-00006A9F0000}"/>
    <cellStyle name="Normal 5 3 10" xfId="40824" xr:uid="{00000000-0005-0000-0000-00006B9F0000}"/>
    <cellStyle name="Normal 5 3 11" xfId="40825" xr:uid="{00000000-0005-0000-0000-00006C9F0000}"/>
    <cellStyle name="Normal 5 3 12" xfId="40826" xr:uid="{00000000-0005-0000-0000-00006D9F0000}"/>
    <cellStyle name="Normal 5 3 2" xfId="40827" xr:uid="{00000000-0005-0000-0000-00006E9F0000}"/>
    <cellStyle name="Normal 5 3 2 2" xfId="40828" xr:uid="{00000000-0005-0000-0000-00006F9F0000}"/>
    <cellStyle name="Normal 5 3 3" xfId="40829" xr:uid="{00000000-0005-0000-0000-0000709F0000}"/>
    <cellStyle name="Normal 5 3 4" xfId="40830" xr:uid="{00000000-0005-0000-0000-0000719F0000}"/>
    <cellStyle name="Normal 5 3 5" xfId="40831" xr:uid="{00000000-0005-0000-0000-0000729F0000}"/>
    <cellStyle name="Normal 5 3 6" xfId="40832" xr:uid="{00000000-0005-0000-0000-0000739F0000}"/>
    <cellStyle name="Normal 5 3 7" xfId="40833" xr:uid="{00000000-0005-0000-0000-0000749F0000}"/>
    <cellStyle name="Normal 5 3 8" xfId="40834" xr:uid="{00000000-0005-0000-0000-0000759F0000}"/>
    <cellStyle name="Normal 5 3 9" xfId="40835" xr:uid="{00000000-0005-0000-0000-0000769F0000}"/>
    <cellStyle name="Normal 5 30" xfId="40836" xr:uid="{00000000-0005-0000-0000-0000779F0000}"/>
    <cellStyle name="Normal 5 30 2" xfId="40837" xr:uid="{00000000-0005-0000-0000-0000789F0000}"/>
    <cellStyle name="Normal 5 31" xfId="40838" xr:uid="{00000000-0005-0000-0000-0000799F0000}"/>
    <cellStyle name="Normal 5 31 2" xfId="40839" xr:uid="{00000000-0005-0000-0000-00007A9F0000}"/>
    <cellStyle name="Normal 5 32" xfId="40840" xr:uid="{00000000-0005-0000-0000-00007B9F0000}"/>
    <cellStyle name="Normal 5 32 2" xfId="40841" xr:uid="{00000000-0005-0000-0000-00007C9F0000}"/>
    <cellStyle name="Normal 5 33" xfId="40842" xr:uid="{00000000-0005-0000-0000-00007D9F0000}"/>
    <cellStyle name="Normal 5 33 2" xfId="40843" xr:uid="{00000000-0005-0000-0000-00007E9F0000}"/>
    <cellStyle name="Normal 5 34" xfId="40844" xr:uid="{00000000-0005-0000-0000-00007F9F0000}"/>
    <cellStyle name="Normal 5 34 2" xfId="40845" xr:uid="{00000000-0005-0000-0000-0000809F0000}"/>
    <cellStyle name="Normal 5 35" xfId="40846" xr:uid="{00000000-0005-0000-0000-0000819F0000}"/>
    <cellStyle name="Normal 5 36" xfId="40847" xr:uid="{00000000-0005-0000-0000-0000829F0000}"/>
    <cellStyle name="Normal 5 37" xfId="40848" xr:uid="{00000000-0005-0000-0000-0000839F0000}"/>
    <cellStyle name="Normal 5 38" xfId="40849" xr:uid="{00000000-0005-0000-0000-0000849F0000}"/>
    <cellStyle name="Normal 5 39" xfId="40850" xr:uid="{00000000-0005-0000-0000-0000859F0000}"/>
    <cellStyle name="Normal 5 4" xfId="40851" xr:uid="{00000000-0005-0000-0000-0000869F0000}"/>
    <cellStyle name="Normal 5 4 10" xfId="40852" xr:uid="{00000000-0005-0000-0000-0000879F0000}"/>
    <cellStyle name="Normal 5 4 11" xfId="40853" xr:uid="{00000000-0005-0000-0000-0000889F0000}"/>
    <cellStyle name="Normal 5 4 12" xfId="40854" xr:uid="{00000000-0005-0000-0000-0000899F0000}"/>
    <cellStyle name="Normal 5 4 2" xfId="40855" xr:uid="{00000000-0005-0000-0000-00008A9F0000}"/>
    <cellStyle name="Normal 5 4 2 2" xfId="40856" xr:uid="{00000000-0005-0000-0000-00008B9F0000}"/>
    <cellStyle name="Normal 5 4 3" xfId="40857" xr:uid="{00000000-0005-0000-0000-00008C9F0000}"/>
    <cellStyle name="Normal 5 4 4" xfId="40858" xr:uid="{00000000-0005-0000-0000-00008D9F0000}"/>
    <cellStyle name="Normal 5 4 5" xfId="40859" xr:uid="{00000000-0005-0000-0000-00008E9F0000}"/>
    <cellStyle name="Normal 5 4 6" xfId="40860" xr:uid="{00000000-0005-0000-0000-00008F9F0000}"/>
    <cellStyle name="Normal 5 4 7" xfId="40861" xr:uid="{00000000-0005-0000-0000-0000909F0000}"/>
    <cellStyle name="Normal 5 4 8" xfId="40862" xr:uid="{00000000-0005-0000-0000-0000919F0000}"/>
    <cellStyle name="Normal 5 4 9" xfId="40863" xr:uid="{00000000-0005-0000-0000-0000929F0000}"/>
    <cellStyle name="Normal 5 40" xfId="40864" xr:uid="{00000000-0005-0000-0000-0000939F0000}"/>
    <cellStyle name="Normal 5 41" xfId="40865" xr:uid="{00000000-0005-0000-0000-0000949F0000}"/>
    <cellStyle name="Normal 5 42" xfId="40866" xr:uid="{00000000-0005-0000-0000-0000959F0000}"/>
    <cellStyle name="Normal 5 43" xfId="40867" xr:uid="{00000000-0005-0000-0000-0000969F0000}"/>
    <cellStyle name="Normal 5 5" xfId="40868" xr:uid="{00000000-0005-0000-0000-0000979F0000}"/>
    <cellStyle name="Normal 5 5 10" xfId="40869" xr:uid="{00000000-0005-0000-0000-0000989F0000}"/>
    <cellStyle name="Normal 5 5 11" xfId="40870" xr:uid="{00000000-0005-0000-0000-0000999F0000}"/>
    <cellStyle name="Normal 5 5 2" xfId="40871" xr:uid="{00000000-0005-0000-0000-00009A9F0000}"/>
    <cellStyle name="Normal 5 5 3" xfId="40872" xr:uid="{00000000-0005-0000-0000-00009B9F0000}"/>
    <cellStyle name="Normal 5 5 4" xfId="40873" xr:uid="{00000000-0005-0000-0000-00009C9F0000}"/>
    <cellStyle name="Normal 5 5 5" xfId="40874" xr:uid="{00000000-0005-0000-0000-00009D9F0000}"/>
    <cellStyle name="Normal 5 5 6" xfId="40875" xr:uid="{00000000-0005-0000-0000-00009E9F0000}"/>
    <cellStyle name="Normal 5 5 7" xfId="40876" xr:uid="{00000000-0005-0000-0000-00009F9F0000}"/>
    <cellStyle name="Normal 5 5 8" xfId="40877" xr:uid="{00000000-0005-0000-0000-0000A09F0000}"/>
    <cellStyle name="Normal 5 5 9" xfId="40878" xr:uid="{00000000-0005-0000-0000-0000A19F0000}"/>
    <cellStyle name="Normal 5 6" xfId="40879" xr:uid="{00000000-0005-0000-0000-0000A29F0000}"/>
    <cellStyle name="Normal 5 6 2" xfId="40880" xr:uid="{00000000-0005-0000-0000-0000A39F0000}"/>
    <cellStyle name="Normal 5 6 3" xfId="40881" xr:uid="{00000000-0005-0000-0000-0000A49F0000}"/>
    <cellStyle name="Normal 5 6 4" xfId="40882" xr:uid="{00000000-0005-0000-0000-0000A59F0000}"/>
    <cellStyle name="Normal 5 6 5" xfId="40883" xr:uid="{00000000-0005-0000-0000-0000A69F0000}"/>
    <cellStyle name="Normal 5 6 6" xfId="40884" xr:uid="{00000000-0005-0000-0000-0000A79F0000}"/>
    <cellStyle name="Normal 5 6 7" xfId="40885" xr:uid="{00000000-0005-0000-0000-0000A89F0000}"/>
    <cellStyle name="Normal 5 6 8" xfId="40886" xr:uid="{00000000-0005-0000-0000-0000A99F0000}"/>
    <cellStyle name="Normal 5 6 9" xfId="40887" xr:uid="{00000000-0005-0000-0000-0000AA9F0000}"/>
    <cellStyle name="Normal 5 7" xfId="40888" xr:uid="{00000000-0005-0000-0000-0000AB9F0000}"/>
    <cellStyle name="Normal 5 7 2" xfId="40889" xr:uid="{00000000-0005-0000-0000-0000AC9F0000}"/>
    <cellStyle name="Normal 5 7 2 2" xfId="40890" xr:uid="{00000000-0005-0000-0000-0000AD9F0000}"/>
    <cellStyle name="Normal 5 7 3" xfId="40891" xr:uid="{00000000-0005-0000-0000-0000AE9F0000}"/>
    <cellStyle name="Normal 5 7 3 2" xfId="40892" xr:uid="{00000000-0005-0000-0000-0000AF9F0000}"/>
    <cellStyle name="Normal 5 7 4" xfId="40893" xr:uid="{00000000-0005-0000-0000-0000B09F0000}"/>
    <cellStyle name="Normal 5 7 5" xfId="40894" xr:uid="{00000000-0005-0000-0000-0000B19F0000}"/>
    <cellStyle name="Normal 5 7 6" xfId="40895" xr:uid="{00000000-0005-0000-0000-0000B29F0000}"/>
    <cellStyle name="Normal 5 7 7" xfId="40896" xr:uid="{00000000-0005-0000-0000-0000B39F0000}"/>
    <cellStyle name="Normal 5 7 8" xfId="40897" xr:uid="{00000000-0005-0000-0000-0000B49F0000}"/>
    <cellStyle name="Normal 5 7 9" xfId="40898" xr:uid="{00000000-0005-0000-0000-0000B59F0000}"/>
    <cellStyle name="Normal 5 8" xfId="40899" xr:uid="{00000000-0005-0000-0000-0000B69F0000}"/>
    <cellStyle name="Normal 5 8 2" xfId="40900" xr:uid="{00000000-0005-0000-0000-0000B79F0000}"/>
    <cellStyle name="Normal 5 8 3" xfId="40901" xr:uid="{00000000-0005-0000-0000-0000B89F0000}"/>
    <cellStyle name="Normal 5 8 4" xfId="40902" xr:uid="{00000000-0005-0000-0000-0000B99F0000}"/>
    <cellStyle name="Normal 5 8 5" xfId="40903" xr:uid="{00000000-0005-0000-0000-0000BA9F0000}"/>
    <cellStyle name="Normal 5 8 6" xfId="40904" xr:uid="{00000000-0005-0000-0000-0000BB9F0000}"/>
    <cellStyle name="Normal 5 8 7" xfId="40905" xr:uid="{00000000-0005-0000-0000-0000BC9F0000}"/>
    <cellStyle name="Normal 5 8 8" xfId="40906" xr:uid="{00000000-0005-0000-0000-0000BD9F0000}"/>
    <cellStyle name="Normal 5 8 9" xfId="40907" xr:uid="{00000000-0005-0000-0000-0000BE9F0000}"/>
    <cellStyle name="Normal 5 9" xfId="40908" xr:uid="{00000000-0005-0000-0000-0000BF9F0000}"/>
    <cellStyle name="Normal 5 9 2" xfId="40909" xr:uid="{00000000-0005-0000-0000-0000C09F0000}"/>
    <cellStyle name="Normal 5 9 3" xfId="40910" xr:uid="{00000000-0005-0000-0000-0000C19F0000}"/>
    <cellStyle name="Normal 5 9 4" xfId="40911" xr:uid="{00000000-0005-0000-0000-0000C29F0000}"/>
    <cellStyle name="Normal 5 9 5" xfId="40912" xr:uid="{00000000-0005-0000-0000-0000C39F0000}"/>
    <cellStyle name="Normal 5 9 6" xfId="40913" xr:uid="{00000000-0005-0000-0000-0000C49F0000}"/>
    <cellStyle name="Normal 5 9 7" xfId="40914" xr:uid="{00000000-0005-0000-0000-0000C59F0000}"/>
    <cellStyle name="Normal 5 9 8" xfId="40915" xr:uid="{00000000-0005-0000-0000-0000C69F0000}"/>
    <cellStyle name="Normal 5 9 9" xfId="40916" xr:uid="{00000000-0005-0000-0000-0000C79F0000}"/>
    <cellStyle name="Normal 5_Oct V3 PL" xfId="40917" xr:uid="{00000000-0005-0000-0000-0000C89F0000}"/>
    <cellStyle name="Normal 50" xfId="40918" xr:uid="{00000000-0005-0000-0000-0000C99F0000}"/>
    <cellStyle name="Normal 51" xfId="40919" xr:uid="{00000000-0005-0000-0000-0000CA9F0000}"/>
    <cellStyle name="Normal 52" xfId="40920" xr:uid="{00000000-0005-0000-0000-0000CB9F0000}"/>
    <cellStyle name="Normal 53" xfId="40921" xr:uid="{00000000-0005-0000-0000-0000CC9F0000}"/>
    <cellStyle name="Normal 54" xfId="40922" xr:uid="{00000000-0005-0000-0000-0000CD9F0000}"/>
    <cellStyle name="Normal 55" xfId="40923" xr:uid="{00000000-0005-0000-0000-0000CE9F0000}"/>
    <cellStyle name="Normal 56" xfId="40924" xr:uid="{00000000-0005-0000-0000-0000CF9F0000}"/>
    <cellStyle name="Normal 57" xfId="40925" xr:uid="{00000000-0005-0000-0000-0000D09F0000}"/>
    <cellStyle name="Normal 58" xfId="40926" xr:uid="{00000000-0005-0000-0000-0000D19F0000}"/>
    <cellStyle name="Normal 59" xfId="40927" xr:uid="{00000000-0005-0000-0000-0000D29F0000}"/>
    <cellStyle name="Normal 6" xfId="40928" xr:uid="{00000000-0005-0000-0000-0000D39F0000}"/>
    <cellStyle name="Normal 6 10" xfId="40929" xr:uid="{00000000-0005-0000-0000-0000D49F0000}"/>
    <cellStyle name="Normal 6 10 2" xfId="40930" xr:uid="{00000000-0005-0000-0000-0000D59F0000}"/>
    <cellStyle name="Normal 6 10 3" xfId="40931" xr:uid="{00000000-0005-0000-0000-0000D69F0000}"/>
    <cellStyle name="Normal 6 10 4" xfId="40932" xr:uid="{00000000-0005-0000-0000-0000D79F0000}"/>
    <cellStyle name="Normal 6 10 5" xfId="40933" xr:uid="{00000000-0005-0000-0000-0000D89F0000}"/>
    <cellStyle name="Normal 6 10 6" xfId="40934" xr:uid="{00000000-0005-0000-0000-0000D99F0000}"/>
    <cellStyle name="Normal 6 10 7" xfId="40935" xr:uid="{00000000-0005-0000-0000-0000DA9F0000}"/>
    <cellStyle name="Normal 6 10 8" xfId="40936" xr:uid="{00000000-0005-0000-0000-0000DB9F0000}"/>
    <cellStyle name="Normal 6 10 9" xfId="40937" xr:uid="{00000000-0005-0000-0000-0000DC9F0000}"/>
    <cellStyle name="Normal 6 11" xfId="40938" xr:uid="{00000000-0005-0000-0000-0000DD9F0000}"/>
    <cellStyle name="Normal 6 11 2" xfId="40939" xr:uid="{00000000-0005-0000-0000-0000DE9F0000}"/>
    <cellStyle name="Normal 6 11 3" xfId="40940" xr:uid="{00000000-0005-0000-0000-0000DF9F0000}"/>
    <cellStyle name="Normal 6 11 4" xfId="40941" xr:uid="{00000000-0005-0000-0000-0000E09F0000}"/>
    <cellStyle name="Normal 6 11 5" xfId="40942" xr:uid="{00000000-0005-0000-0000-0000E19F0000}"/>
    <cellStyle name="Normal 6 11 6" xfId="40943" xr:uid="{00000000-0005-0000-0000-0000E29F0000}"/>
    <cellStyle name="Normal 6 11 7" xfId="40944" xr:uid="{00000000-0005-0000-0000-0000E39F0000}"/>
    <cellStyle name="Normal 6 11 8" xfId="40945" xr:uid="{00000000-0005-0000-0000-0000E49F0000}"/>
    <cellStyle name="Normal 6 11 9" xfId="40946" xr:uid="{00000000-0005-0000-0000-0000E59F0000}"/>
    <cellStyle name="Normal 6 12" xfId="40947" xr:uid="{00000000-0005-0000-0000-0000E69F0000}"/>
    <cellStyle name="Normal 6 12 2" xfId="40948" xr:uid="{00000000-0005-0000-0000-0000E79F0000}"/>
    <cellStyle name="Normal 6 12 3" xfId="40949" xr:uid="{00000000-0005-0000-0000-0000E89F0000}"/>
    <cellStyle name="Normal 6 12 4" xfId="40950" xr:uid="{00000000-0005-0000-0000-0000E99F0000}"/>
    <cellStyle name="Normal 6 12 5" xfId="40951" xr:uid="{00000000-0005-0000-0000-0000EA9F0000}"/>
    <cellStyle name="Normal 6 12 6" xfId="40952" xr:uid="{00000000-0005-0000-0000-0000EB9F0000}"/>
    <cellStyle name="Normal 6 12 7" xfId="40953" xr:uid="{00000000-0005-0000-0000-0000EC9F0000}"/>
    <cellStyle name="Normal 6 12 8" xfId="40954" xr:uid="{00000000-0005-0000-0000-0000ED9F0000}"/>
    <cellStyle name="Normal 6 12 9" xfId="40955" xr:uid="{00000000-0005-0000-0000-0000EE9F0000}"/>
    <cellStyle name="Normal 6 13" xfId="40956" xr:uid="{00000000-0005-0000-0000-0000EF9F0000}"/>
    <cellStyle name="Normal 6 13 2" xfId="40957" xr:uid="{00000000-0005-0000-0000-0000F09F0000}"/>
    <cellStyle name="Normal 6 13 3" xfId="40958" xr:uid="{00000000-0005-0000-0000-0000F19F0000}"/>
    <cellStyle name="Normal 6 13 4" xfId="40959" xr:uid="{00000000-0005-0000-0000-0000F29F0000}"/>
    <cellStyle name="Normal 6 13 5" xfId="40960" xr:uid="{00000000-0005-0000-0000-0000F39F0000}"/>
    <cellStyle name="Normal 6 13 6" xfId="40961" xr:uid="{00000000-0005-0000-0000-0000F49F0000}"/>
    <cellStyle name="Normal 6 13 7" xfId="40962" xr:uid="{00000000-0005-0000-0000-0000F59F0000}"/>
    <cellStyle name="Normal 6 13 8" xfId="40963" xr:uid="{00000000-0005-0000-0000-0000F69F0000}"/>
    <cellStyle name="Normal 6 13 9" xfId="40964" xr:uid="{00000000-0005-0000-0000-0000F79F0000}"/>
    <cellStyle name="Normal 6 14" xfId="40965" xr:uid="{00000000-0005-0000-0000-0000F89F0000}"/>
    <cellStyle name="Normal 6 14 2" xfId="40966" xr:uid="{00000000-0005-0000-0000-0000F99F0000}"/>
    <cellStyle name="Normal 6 14 3" xfId="40967" xr:uid="{00000000-0005-0000-0000-0000FA9F0000}"/>
    <cellStyle name="Normal 6 14 4" xfId="40968" xr:uid="{00000000-0005-0000-0000-0000FB9F0000}"/>
    <cellStyle name="Normal 6 14 5" xfId="40969" xr:uid="{00000000-0005-0000-0000-0000FC9F0000}"/>
    <cellStyle name="Normal 6 14 6" xfId="40970" xr:uid="{00000000-0005-0000-0000-0000FD9F0000}"/>
    <cellStyle name="Normal 6 14 7" xfId="40971" xr:uid="{00000000-0005-0000-0000-0000FE9F0000}"/>
    <cellStyle name="Normal 6 14 8" xfId="40972" xr:uid="{00000000-0005-0000-0000-0000FF9F0000}"/>
    <cellStyle name="Normal 6 14 9" xfId="40973" xr:uid="{00000000-0005-0000-0000-000000A00000}"/>
    <cellStyle name="Normal 6 15" xfId="40974" xr:uid="{00000000-0005-0000-0000-000001A00000}"/>
    <cellStyle name="Normal 6 15 2" xfId="40975" xr:uid="{00000000-0005-0000-0000-000002A00000}"/>
    <cellStyle name="Normal 6 15 3" xfId="40976" xr:uid="{00000000-0005-0000-0000-000003A00000}"/>
    <cellStyle name="Normal 6 15 4" xfId="40977" xr:uid="{00000000-0005-0000-0000-000004A00000}"/>
    <cellStyle name="Normal 6 15 5" xfId="40978" xr:uid="{00000000-0005-0000-0000-000005A00000}"/>
    <cellStyle name="Normal 6 15 6" xfId="40979" xr:uid="{00000000-0005-0000-0000-000006A00000}"/>
    <cellStyle name="Normal 6 15 7" xfId="40980" xr:uid="{00000000-0005-0000-0000-000007A00000}"/>
    <cellStyle name="Normal 6 15 8" xfId="40981" xr:uid="{00000000-0005-0000-0000-000008A00000}"/>
    <cellStyle name="Normal 6 15 9" xfId="40982" xr:uid="{00000000-0005-0000-0000-000009A00000}"/>
    <cellStyle name="Normal 6 16" xfId="40983" xr:uid="{00000000-0005-0000-0000-00000AA00000}"/>
    <cellStyle name="Normal 6 16 2" xfId="40984" xr:uid="{00000000-0005-0000-0000-00000BA00000}"/>
    <cellStyle name="Normal 6 16 3" xfId="40985" xr:uid="{00000000-0005-0000-0000-00000CA00000}"/>
    <cellStyle name="Normal 6 16 4" xfId="40986" xr:uid="{00000000-0005-0000-0000-00000DA00000}"/>
    <cellStyle name="Normal 6 16 5" xfId="40987" xr:uid="{00000000-0005-0000-0000-00000EA00000}"/>
    <cellStyle name="Normal 6 16 6" xfId="40988" xr:uid="{00000000-0005-0000-0000-00000FA00000}"/>
    <cellStyle name="Normal 6 16 7" xfId="40989" xr:uid="{00000000-0005-0000-0000-000010A00000}"/>
    <cellStyle name="Normal 6 16 8" xfId="40990" xr:uid="{00000000-0005-0000-0000-000011A00000}"/>
    <cellStyle name="Normal 6 16 9" xfId="40991" xr:uid="{00000000-0005-0000-0000-000012A00000}"/>
    <cellStyle name="Normal 6 17" xfId="40992" xr:uid="{00000000-0005-0000-0000-000013A00000}"/>
    <cellStyle name="Normal 6 17 2" xfId="40993" xr:uid="{00000000-0005-0000-0000-000014A00000}"/>
    <cellStyle name="Normal 6 17 3" xfId="40994" xr:uid="{00000000-0005-0000-0000-000015A00000}"/>
    <cellStyle name="Normal 6 17 4" xfId="40995" xr:uid="{00000000-0005-0000-0000-000016A00000}"/>
    <cellStyle name="Normal 6 17 5" xfId="40996" xr:uid="{00000000-0005-0000-0000-000017A00000}"/>
    <cellStyle name="Normal 6 17 6" xfId="40997" xr:uid="{00000000-0005-0000-0000-000018A00000}"/>
    <cellStyle name="Normal 6 17 7" xfId="40998" xr:uid="{00000000-0005-0000-0000-000019A00000}"/>
    <cellStyle name="Normal 6 17 8" xfId="40999" xr:uid="{00000000-0005-0000-0000-00001AA00000}"/>
    <cellStyle name="Normal 6 17 9" xfId="41000" xr:uid="{00000000-0005-0000-0000-00001BA00000}"/>
    <cellStyle name="Normal 6 18" xfId="41001" xr:uid="{00000000-0005-0000-0000-00001CA00000}"/>
    <cellStyle name="Normal 6 18 2" xfId="41002" xr:uid="{00000000-0005-0000-0000-00001DA00000}"/>
    <cellStyle name="Normal 6 18 3" xfId="41003" xr:uid="{00000000-0005-0000-0000-00001EA00000}"/>
    <cellStyle name="Normal 6 18 4" xfId="41004" xr:uid="{00000000-0005-0000-0000-00001FA00000}"/>
    <cellStyle name="Normal 6 18 5" xfId="41005" xr:uid="{00000000-0005-0000-0000-000020A00000}"/>
    <cellStyle name="Normal 6 18 6" xfId="41006" xr:uid="{00000000-0005-0000-0000-000021A00000}"/>
    <cellStyle name="Normal 6 18 7" xfId="41007" xr:uid="{00000000-0005-0000-0000-000022A00000}"/>
    <cellStyle name="Normal 6 18 8" xfId="41008" xr:uid="{00000000-0005-0000-0000-000023A00000}"/>
    <cellStyle name="Normal 6 18 9" xfId="41009" xr:uid="{00000000-0005-0000-0000-000024A00000}"/>
    <cellStyle name="Normal 6 19" xfId="41010" xr:uid="{00000000-0005-0000-0000-000025A00000}"/>
    <cellStyle name="Normal 6 2" xfId="41011" xr:uid="{00000000-0005-0000-0000-000026A00000}"/>
    <cellStyle name="Normal 6 2 10" xfId="41012" xr:uid="{00000000-0005-0000-0000-000027A00000}"/>
    <cellStyle name="Normal 6 2 11" xfId="41013" xr:uid="{00000000-0005-0000-0000-000028A00000}"/>
    <cellStyle name="Normal 6 2 12" xfId="41014" xr:uid="{00000000-0005-0000-0000-000029A00000}"/>
    <cellStyle name="Normal 6 2 13" xfId="41015" xr:uid="{00000000-0005-0000-0000-00002AA00000}"/>
    <cellStyle name="Normal 6 2 2" xfId="41016" xr:uid="{00000000-0005-0000-0000-00002BA00000}"/>
    <cellStyle name="Normal 6 2 2 2" xfId="41017" xr:uid="{00000000-0005-0000-0000-00002CA00000}"/>
    <cellStyle name="Normal 6 2 2 2 2" xfId="41018" xr:uid="{00000000-0005-0000-0000-00002DA00000}"/>
    <cellStyle name="Normal 6 2 2 3" xfId="41019" xr:uid="{00000000-0005-0000-0000-00002EA00000}"/>
    <cellStyle name="Normal 6 2 2 4" xfId="41020" xr:uid="{00000000-0005-0000-0000-00002FA00000}"/>
    <cellStyle name="Normal 6 2 3" xfId="41021" xr:uid="{00000000-0005-0000-0000-000030A00000}"/>
    <cellStyle name="Normal 6 2 3 2" xfId="41022" xr:uid="{00000000-0005-0000-0000-000031A00000}"/>
    <cellStyle name="Normal 6 2 3 2 2" xfId="41023" xr:uid="{00000000-0005-0000-0000-000032A00000}"/>
    <cellStyle name="Normal 6 2 3 3" xfId="41024" xr:uid="{00000000-0005-0000-0000-000033A00000}"/>
    <cellStyle name="Normal 6 2 3 4" xfId="41025" xr:uid="{00000000-0005-0000-0000-000034A00000}"/>
    <cellStyle name="Normal 6 2 4" xfId="41026" xr:uid="{00000000-0005-0000-0000-000035A00000}"/>
    <cellStyle name="Normal 6 2 4 2" xfId="41027" xr:uid="{00000000-0005-0000-0000-000036A00000}"/>
    <cellStyle name="Normal 6 2 5" xfId="41028" xr:uid="{00000000-0005-0000-0000-000037A00000}"/>
    <cellStyle name="Normal 6 2 6" xfId="41029" xr:uid="{00000000-0005-0000-0000-000038A00000}"/>
    <cellStyle name="Normal 6 2 7" xfId="41030" xr:uid="{00000000-0005-0000-0000-000039A00000}"/>
    <cellStyle name="Normal 6 2 8" xfId="41031" xr:uid="{00000000-0005-0000-0000-00003AA00000}"/>
    <cellStyle name="Normal 6 2 9" xfId="41032" xr:uid="{00000000-0005-0000-0000-00003BA00000}"/>
    <cellStyle name="Normal 6 20" xfId="41033" xr:uid="{00000000-0005-0000-0000-00003CA00000}"/>
    <cellStyle name="Normal 6 21" xfId="41034" xr:uid="{00000000-0005-0000-0000-00003DA00000}"/>
    <cellStyle name="Normal 6 22" xfId="41035" xr:uid="{00000000-0005-0000-0000-00003EA00000}"/>
    <cellStyle name="Normal 6 23" xfId="41036" xr:uid="{00000000-0005-0000-0000-00003FA00000}"/>
    <cellStyle name="Normal 6 24" xfId="41037" xr:uid="{00000000-0005-0000-0000-000040A00000}"/>
    <cellStyle name="Normal 6 25" xfId="41038" xr:uid="{00000000-0005-0000-0000-000041A00000}"/>
    <cellStyle name="Normal 6 26" xfId="41039" xr:uid="{00000000-0005-0000-0000-000042A00000}"/>
    <cellStyle name="Normal 6 3" xfId="41040" xr:uid="{00000000-0005-0000-0000-000043A00000}"/>
    <cellStyle name="Normal 6 3 10" xfId="41041" xr:uid="{00000000-0005-0000-0000-000044A00000}"/>
    <cellStyle name="Normal 6 3 11" xfId="41042" xr:uid="{00000000-0005-0000-0000-000045A00000}"/>
    <cellStyle name="Normal 6 3 12" xfId="41043" xr:uid="{00000000-0005-0000-0000-000046A00000}"/>
    <cellStyle name="Normal 6 3 2" xfId="41044" xr:uid="{00000000-0005-0000-0000-000047A00000}"/>
    <cellStyle name="Normal 6 3 2 2" xfId="41045" xr:uid="{00000000-0005-0000-0000-000048A00000}"/>
    <cellStyle name="Normal 6 3 3" xfId="41046" xr:uid="{00000000-0005-0000-0000-000049A00000}"/>
    <cellStyle name="Normal 6 3 4" xfId="41047" xr:uid="{00000000-0005-0000-0000-00004AA00000}"/>
    <cellStyle name="Normal 6 3 5" xfId="41048" xr:uid="{00000000-0005-0000-0000-00004BA00000}"/>
    <cellStyle name="Normal 6 3 6" xfId="41049" xr:uid="{00000000-0005-0000-0000-00004CA00000}"/>
    <cellStyle name="Normal 6 3 7" xfId="41050" xr:uid="{00000000-0005-0000-0000-00004DA00000}"/>
    <cellStyle name="Normal 6 3 8" xfId="41051" xr:uid="{00000000-0005-0000-0000-00004EA00000}"/>
    <cellStyle name="Normal 6 3 9" xfId="41052" xr:uid="{00000000-0005-0000-0000-00004FA00000}"/>
    <cellStyle name="Normal 6 4" xfId="41053" xr:uid="{00000000-0005-0000-0000-000050A00000}"/>
    <cellStyle name="Normal 6 4 10" xfId="41054" xr:uid="{00000000-0005-0000-0000-000051A00000}"/>
    <cellStyle name="Normal 6 4 11" xfId="41055" xr:uid="{00000000-0005-0000-0000-000052A00000}"/>
    <cellStyle name="Normal 6 4 12" xfId="41056" xr:uid="{00000000-0005-0000-0000-000053A00000}"/>
    <cellStyle name="Normal 6 4 2" xfId="41057" xr:uid="{00000000-0005-0000-0000-000054A00000}"/>
    <cellStyle name="Normal 6 4 2 2" xfId="41058" xr:uid="{00000000-0005-0000-0000-000055A00000}"/>
    <cellStyle name="Normal 6 4 3" xfId="41059" xr:uid="{00000000-0005-0000-0000-000056A00000}"/>
    <cellStyle name="Normal 6 4 4" xfId="41060" xr:uid="{00000000-0005-0000-0000-000057A00000}"/>
    <cellStyle name="Normal 6 4 5" xfId="41061" xr:uid="{00000000-0005-0000-0000-000058A00000}"/>
    <cellStyle name="Normal 6 4 6" xfId="41062" xr:uid="{00000000-0005-0000-0000-000059A00000}"/>
    <cellStyle name="Normal 6 4 7" xfId="41063" xr:uid="{00000000-0005-0000-0000-00005AA00000}"/>
    <cellStyle name="Normal 6 4 8" xfId="41064" xr:uid="{00000000-0005-0000-0000-00005BA00000}"/>
    <cellStyle name="Normal 6 4 9" xfId="41065" xr:uid="{00000000-0005-0000-0000-00005CA00000}"/>
    <cellStyle name="Normal 6 5" xfId="41066" xr:uid="{00000000-0005-0000-0000-00005DA00000}"/>
    <cellStyle name="Normal 6 5 10" xfId="41067" xr:uid="{00000000-0005-0000-0000-00005EA00000}"/>
    <cellStyle name="Normal 6 5 2" xfId="41068" xr:uid="{00000000-0005-0000-0000-00005FA00000}"/>
    <cellStyle name="Normal 6 5 3" xfId="41069" xr:uid="{00000000-0005-0000-0000-000060A00000}"/>
    <cellStyle name="Normal 6 5 4" xfId="41070" xr:uid="{00000000-0005-0000-0000-000061A00000}"/>
    <cellStyle name="Normal 6 5 5" xfId="41071" xr:uid="{00000000-0005-0000-0000-000062A00000}"/>
    <cellStyle name="Normal 6 5 6" xfId="41072" xr:uid="{00000000-0005-0000-0000-000063A00000}"/>
    <cellStyle name="Normal 6 5 7" xfId="41073" xr:uid="{00000000-0005-0000-0000-000064A00000}"/>
    <cellStyle name="Normal 6 5 8" xfId="41074" xr:uid="{00000000-0005-0000-0000-000065A00000}"/>
    <cellStyle name="Normal 6 5 9" xfId="41075" xr:uid="{00000000-0005-0000-0000-000066A00000}"/>
    <cellStyle name="Normal 6 6" xfId="41076" xr:uid="{00000000-0005-0000-0000-000067A00000}"/>
    <cellStyle name="Normal 6 6 2" xfId="41077" xr:uid="{00000000-0005-0000-0000-000068A00000}"/>
    <cellStyle name="Normal 6 6 2 2" xfId="41078" xr:uid="{00000000-0005-0000-0000-000069A00000}"/>
    <cellStyle name="Normal 6 6 3" xfId="41079" xr:uid="{00000000-0005-0000-0000-00006AA00000}"/>
    <cellStyle name="Normal 6 6 3 2" xfId="41080" xr:uid="{00000000-0005-0000-0000-00006BA00000}"/>
    <cellStyle name="Normal 6 6 4" xfId="41081" xr:uid="{00000000-0005-0000-0000-00006CA00000}"/>
    <cellStyle name="Normal 6 6 5" xfId="41082" xr:uid="{00000000-0005-0000-0000-00006DA00000}"/>
    <cellStyle name="Normal 6 6 6" xfId="41083" xr:uid="{00000000-0005-0000-0000-00006EA00000}"/>
    <cellStyle name="Normal 6 6 7" xfId="41084" xr:uid="{00000000-0005-0000-0000-00006FA00000}"/>
    <cellStyle name="Normal 6 6 8" xfId="41085" xr:uid="{00000000-0005-0000-0000-000070A00000}"/>
    <cellStyle name="Normal 6 6 9" xfId="41086" xr:uid="{00000000-0005-0000-0000-000071A00000}"/>
    <cellStyle name="Normal 6 7" xfId="41087" xr:uid="{00000000-0005-0000-0000-000072A00000}"/>
    <cellStyle name="Normal 6 7 2" xfId="41088" xr:uid="{00000000-0005-0000-0000-000073A00000}"/>
    <cellStyle name="Normal 6 7 2 2" xfId="41089" xr:uid="{00000000-0005-0000-0000-000074A00000}"/>
    <cellStyle name="Normal 6 7 3" xfId="41090" xr:uid="{00000000-0005-0000-0000-000075A00000}"/>
    <cellStyle name="Normal 6 7 3 2" xfId="41091" xr:uid="{00000000-0005-0000-0000-000076A00000}"/>
    <cellStyle name="Normal 6 7 4" xfId="41092" xr:uid="{00000000-0005-0000-0000-000077A00000}"/>
    <cellStyle name="Normal 6 7 5" xfId="41093" xr:uid="{00000000-0005-0000-0000-000078A00000}"/>
    <cellStyle name="Normal 6 7 6" xfId="41094" xr:uid="{00000000-0005-0000-0000-000079A00000}"/>
    <cellStyle name="Normal 6 7 7" xfId="41095" xr:uid="{00000000-0005-0000-0000-00007AA00000}"/>
    <cellStyle name="Normal 6 7 8" xfId="41096" xr:uid="{00000000-0005-0000-0000-00007BA00000}"/>
    <cellStyle name="Normal 6 7 9" xfId="41097" xr:uid="{00000000-0005-0000-0000-00007CA00000}"/>
    <cellStyle name="Normal 6 8" xfId="41098" xr:uid="{00000000-0005-0000-0000-00007DA00000}"/>
    <cellStyle name="Normal 6 8 2" xfId="41099" xr:uid="{00000000-0005-0000-0000-00007EA00000}"/>
    <cellStyle name="Normal 6 8 3" xfId="41100" xr:uid="{00000000-0005-0000-0000-00007FA00000}"/>
    <cellStyle name="Normal 6 8 4" xfId="41101" xr:uid="{00000000-0005-0000-0000-000080A00000}"/>
    <cellStyle name="Normal 6 8 5" xfId="41102" xr:uid="{00000000-0005-0000-0000-000081A00000}"/>
    <cellStyle name="Normal 6 8 6" xfId="41103" xr:uid="{00000000-0005-0000-0000-000082A00000}"/>
    <cellStyle name="Normal 6 8 7" xfId="41104" xr:uid="{00000000-0005-0000-0000-000083A00000}"/>
    <cellStyle name="Normal 6 8 8" xfId="41105" xr:uid="{00000000-0005-0000-0000-000084A00000}"/>
    <cellStyle name="Normal 6 8 9" xfId="41106" xr:uid="{00000000-0005-0000-0000-000085A00000}"/>
    <cellStyle name="Normal 6 9" xfId="41107" xr:uid="{00000000-0005-0000-0000-000086A00000}"/>
    <cellStyle name="Normal 6 9 2" xfId="41108" xr:uid="{00000000-0005-0000-0000-000087A00000}"/>
    <cellStyle name="Normal 6 9 3" xfId="41109" xr:uid="{00000000-0005-0000-0000-000088A00000}"/>
    <cellStyle name="Normal 6 9 4" xfId="41110" xr:uid="{00000000-0005-0000-0000-000089A00000}"/>
    <cellStyle name="Normal 6 9 5" xfId="41111" xr:uid="{00000000-0005-0000-0000-00008AA00000}"/>
    <cellStyle name="Normal 6 9 6" xfId="41112" xr:uid="{00000000-0005-0000-0000-00008BA00000}"/>
    <cellStyle name="Normal 6 9 7" xfId="41113" xr:uid="{00000000-0005-0000-0000-00008CA00000}"/>
    <cellStyle name="Normal 6 9 8" xfId="41114" xr:uid="{00000000-0005-0000-0000-00008DA00000}"/>
    <cellStyle name="Normal 6 9 9" xfId="41115" xr:uid="{00000000-0005-0000-0000-00008EA00000}"/>
    <cellStyle name="Normal 6_Flow" xfId="41116" xr:uid="{00000000-0005-0000-0000-00008FA00000}"/>
    <cellStyle name="Normal 60" xfId="41117" xr:uid="{00000000-0005-0000-0000-000090A00000}"/>
    <cellStyle name="Normal 60 10" xfId="41118" xr:uid="{00000000-0005-0000-0000-000091A00000}"/>
    <cellStyle name="Normal 60 11" xfId="41119" xr:uid="{00000000-0005-0000-0000-000092A00000}"/>
    <cellStyle name="Normal 60 12" xfId="41120" xr:uid="{00000000-0005-0000-0000-000093A00000}"/>
    <cellStyle name="Normal 60 13" xfId="41121" xr:uid="{00000000-0005-0000-0000-000094A00000}"/>
    <cellStyle name="Normal 60 14" xfId="41122" xr:uid="{00000000-0005-0000-0000-000095A00000}"/>
    <cellStyle name="Normal 60 15" xfId="41123" xr:uid="{00000000-0005-0000-0000-000096A00000}"/>
    <cellStyle name="Normal 60 16" xfId="41124" xr:uid="{00000000-0005-0000-0000-000097A00000}"/>
    <cellStyle name="Normal 60 17" xfId="41125" xr:uid="{00000000-0005-0000-0000-000098A00000}"/>
    <cellStyle name="Normal 60 18" xfId="41126" xr:uid="{00000000-0005-0000-0000-000099A00000}"/>
    <cellStyle name="Normal 60 19" xfId="41127" xr:uid="{00000000-0005-0000-0000-00009AA00000}"/>
    <cellStyle name="Normal 60 2" xfId="41128" xr:uid="{00000000-0005-0000-0000-00009BA00000}"/>
    <cellStyle name="Normal 60 2 2" xfId="41129" xr:uid="{00000000-0005-0000-0000-00009CA00000}"/>
    <cellStyle name="Normal 60 3" xfId="41130" xr:uid="{00000000-0005-0000-0000-00009DA00000}"/>
    <cellStyle name="Normal 60 4" xfId="41131" xr:uid="{00000000-0005-0000-0000-00009EA00000}"/>
    <cellStyle name="Normal 60 5" xfId="41132" xr:uid="{00000000-0005-0000-0000-00009FA00000}"/>
    <cellStyle name="Normal 60 6" xfId="41133" xr:uid="{00000000-0005-0000-0000-0000A0A00000}"/>
    <cellStyle name="Normal 60 7" xfId="41134" xr:uid="{00000000-0005-0000-0000-0000A1A00000}"/>
    <cellStyle name="Normal 60 8" xfId="41135" xr:uid="{00000000-0005-0000-0000-0000A2A00000}"/>
    <cellStyle name="Normal 60 9" xfId="41136" xr:uid="{00000000-0005-0000-0000-0000A3A00000}"/>
    <cellStyle name="Normal 61" xfId="41137" xr:uid="{00000000-0005-0000-0000-0000A4A00000}"/>
    <cellStyle name="Normal 61 2" xfId="41138" xr:uid="{00000000-0005-0000-0000-0000A5A00000}"/>
    <cellStyle name="Normal 62" xfId="41139" xr:uid="{00000000-0005-0000-0000-0000A6A00000}"/>
    <cellStyle name="Normal 62 2" xfId="41140" xr:uid="{00000000-0005-0000-0000-0000A7A00000}"/>
    <cellStyle name="Normal 63" xfId="41141" xr:uid="{00000000-0005-0000-0000-0000A8A00000}"/>
    <cellStyle name="Normal 63 2" xfId="41142" xr:uid="{00000000-0005-0000-0000-0000A9A00000}"/>
    <cellStyle name="Normal 64" xfId="41143" xr:uid="{00000000-0005-0000-0000-0000AAA00000}"/>
    <cellStyle name="Normal 64 2" xfId="41144" xr:uid="{00000000-0005-0000-0000-0000ABA00000}"/>
    <cellStyle name="Normal 65" xfId="41145" xr:uid="{00000000-0005-0000-0000-0000ACA00000}"/>
    <cellStyle name="Normal 65 2" xfId="41146" xr:uid="{00000000-0005-0000-0000-0000ADA00000}"/>
    <cellStyle name="Normal 66" xfId="41147" xr:uid="{00000000-0005-0000-0000-0000AEA00000}"/>
    <cellStyle name="Normal 66 2" xfId="41148" xr:uid="{00000000-0005-0000-0000-0000AFA00000}"/>
    <cellStyle name="Normal 67" xfId="41149" xr:uid="{00000000-0005-0000-0000-0000B0A00000}"/>
    <cellStyle name="Normal 67 2" xfId="41150" xr:uid="{00000000-0005-0000-0000-0000B1A00000}"/>
    <cellStyle name="Normal 68" xfId="41151" xr:uid="{00000000-0005-0000-0000-0000B2A00000}"/>
    <cellStyle name="Normal 68 2" xfId="41152" xr:uid="{00000000-0005-0000-0000-0000B3A00000}"/>
    <cellStyle name="Normal 69" xfId="41153" xr:uid="{00000000-0005-0000-0000-0000B4A00000}"/>
    <cellStyle name="Normal 69 2" xfId="41154" xr:uid="{00000000-0005-0000-0000-0000B5A00000}"/>
    <cellStyle name="Normal 7" xfId="41155" xr:uid="{00000000-0005-0000-0000-0000B6A00000}"/>
    <cellStyle name="Normal 7 10" xfId="41156" xr:uid="{00000000-0005-0000-0000-0000B7A00000}"/>
    <cellStyle name="Normal 7 10 10" xfId="41157" xr:uid="{00000000-0005-0000-0000-0000B8A00000}"/>
    <cellStyle name="Normal 7 10 11" xfId="41158" xr:uid="{00000000-0005-0000-0000-0000B9A00000}"/>
    <cellStyle name="Normal 7 10 12" xfId="41159" xr:uid="{00000000-0005-0000-0000-0000BAA00000}"/>
    <cellStyle name="Normal 7 10 13" xfId="41160" xr:uid="{00000000-0005-0000-0000-0000BBA00000}"/>
    <cellStyle name="Normal 7 10 14" xfId="41161" xr:uid="{00000000-0005-0000-0000-0000BCA00000}"/>
    <cellStyle name="Normal 7 10 15" xfId="41162" xr:uid="{00000000-0005-0000-0000-0000BDA00000}"/>
    <cellStyle name="Normal 7 10 2" xfId="41163" xr:uid="{00000000-0005-0000-0000-0000BEA00000}"/>
    <cellStyle name="Normal 7 10 3" xfId="41164" xr:uid="{00000000-0005-0000-0000-0000BFA00000}"/>
    <cellStyle name="Normal 7 10 4" xfId="41165" xr:uid="{00000000-0005-0000-0000-0000C0A00000}"/>
    <cellStyle name="Normal 7 10 5" xfId="41166" xr:uid="{00000000-0005-0000-0000-0000C1A00000}"/>
    <cellStyle name="Normal 7 10 6" xfId="41167" xr:uid="{00000000-0005-0000-0000-0000C2A00000}"/>
    <cellStyle name="Normal 7 10 7" xfId="41168" xr:uid="{00000000-0005-0000-0000-0000C3A00000}"/>
    <cellStyle name="Normal 7 10 8" xfId="41169" xr:uid="{00000000-0005-0000-0000-0000C4A00000}"/>
    <cellStyle name="Normal 7 10 9" xfId="41170" xr:uid="{00000000-0005-0000-0000-0000C5A00000}"/>
    <cellStyle name="Normal 7 11" xfId="41171" xr:uid="{00000000-0005-0000-0000-0000C6A00000}"/>
    <cellStyle name="Normal 7 11 10" xfId="41172" xr:uid="{00000000-0005-0000-0000-0000C7A00000}"/>
    <cellStyle name="Normal 7 11 11" xfId="41173" xr:uid="{00000000-0005-0000-0000-0000C8A00000}"/>
    <cellStyle name="Normal 7 11 12" xfId="41174" xr:uid="{00000000-0005-0000-0000-0000C9A00000}"/>
    <cellStyle name="Normal 7 11 13" xfId="41175" xr:uid="{00000000-0005-0000-0000-0000CAA00000}"/>
    <cellStyle name="Normal 7 11 14" xfId="41176" xr:uid="{00000000-0005-0000-0000-0000CBA00000}"/>
    <cellStyle name="Normal 7 11 15" xfId="41177" xr:uid="{00000000-0005-0000-0000-0000CCA00000}"/>
    <cellStyle name="Normal 7 11 2" xfId="41178" xr:uid="{00000000-0005-0000-0000-0000CDA00000}"/>
    <cellStyle name="Normal 7 11 3" xfId="41179" xr:uid="{00000000-0005-0000-0000-0000CEA00000}"/>
    <cellStyle name="Normal 7 11 4" xfId="41180" xr:uid="{00000000-0005-0000-0000-0000CFA00000}"/>
    <cellStyle name="Normal 7 11 5" xfId="41181" xr:uid="{00000000-0005-0000-0000-0000D0A00000}"/>
    <cellStyle name="Normal 7 11 6" xfId="41182" xr:uid="{00000000-0005-0000-0000-0000D1A00000}"/>
    <cellStyle name="Normal 7 11 7" xfId="41183" xr:uid="{00000000-0005-0000-0000-0000D2A00000}"/>
    <cellStyle name="Normal 7 11 8" xfId="41184" xr:uid="{00000000-0005-0000-0000-0000D3A00000}"/>
    <cellStyle name="Normal 7 11 9" xfId="41185" xr:uid="{00000000-0005-0000-0000-0000D4A00000}"/>
    <cellStyle name="Normal 7 12" xfId="41186" xr:uid="{00000000-0005-0000-0000-0000D5A00000}"/>
    <cellStyle name="Normal 7 12 10" xfId="41187" xr:uid="{00000000-0005-0000-0000-0000D6A00000}"/>
    <cellStyle name="Normal 7 12 11" xfId="41188" xr:uid="{00000000-0005-0000-0000-0000D7A00000}"/>
    <cellStyle name="Normal 7 12 12" xfId="41189" xr:uid="{00000000-0005-0000-0000-0000D8A00000}"/>
    <cellStyle name="Normal 7 12 13" xfId="41190" xr:uid="{00000000-0005-0000-0000-0000D9A00000}"/>
    <cellStyle name="Normal 7 12 14" xfId="41191" xr:uid="{00000000-0005-0000-0000-0000DAA00000}"/>
    <cellStyle name="Normal 7 12 15" xfId="41192" xr:uid="{00000000-0005-0000-0000-0000DBA00000}"/>
    <cellStyle name="Normal 7 12 2" xfId="41193" xr:uid="{00000000-0005-0000-0000-0000DCA00000}"/>
    <cellStyle name="Normal 7 12 3" xfId="41194" xr:uid="{00000000-0005-0000-0000-0000DDA00000}"/>
    <cellStyle name="Normal 7 12 4" xfId="41195" xr:uid="{00000000-0005-0000-0000-0000DEA00000}"/>
    <cellStyle name="Normal 7 12 5" xfId="41196" xr:uid="{00000000-0005-0000-0000-0000DFA00000}"/>
    <cellStyle name="Normal 7 12 6" xfId="41197" xr:uid="{00000000-0005-0000-0000-0000E0A00000}"/>
    <cellStyle name="Normal 7 12 7" xfId="41198" xr:uid="{00000000-0005-0000-0000-0000E1A00000}"/>
    <cellStyle name="Normal 7 12 8" xfId="41199" xr:uid="{00000000-0005-0000-0000-0000E2A00000}"/>
    <cellStyle name="Normal 7 12 9" xfId="41200" xr:uid="{00000000-0005-0000-0000-0000E3A00000}"/>
    <cellStyle name="Normal 7 13" xfId="41201" xr:uid="{00000000-0005-0000-0000-0000E4A00000}"/>
    <cellStyle name="Normal 7 14" xfId="41202" xr:uid="{00000000-0005-0000-0000-0000E5A00000}"/>
    <cellStyle name="Normal 7 15" xfId="41203" xr:uid="{00000000-0005-0000-0000-0000E6A00000}"/>
    <cellStyle name="Normal 7 16" xfId="41204" xr:uid="{00000000-0005-0000-0000-0000E7A00000}"/>
    <cellStyle name="Normal 7 17" xfId="41205" xr:uid="{00000000-0005-0000-0000-0000E8A00000}"/>
    <cellStyle name="Normal 7 18" xfId="41206" xr:uid="{00000000-0005-0000-0000-0000E9A00000}"/>
    <cellStyle name="Normal 7 2" xfId="41207" xr:uid="{00000000-0005-0000-0000-0000EAA00000}"/>
    <cellStyle name="Normal 7 2 10" xfId="41208" xr:uid="{00000000-0005-0000-0000-0000EBA00000}"/>
    <cellStyle name="Normal 7 2 11" xfId="41209" xr:uid="{00000000-0005-0000-0000-0000ECA00000}"/>
    <cellStyle name="Normal 7 2 12" xfId="41210" xr:uid="{00000000-0005-0000-0000-0000EDA00000}"/>
    <cellStyle name="Normal 7 2 13" xfId="41211" xr:uid="{00000000-0005-0000-0000-0000EEA00000}"/>
    <cellStyle name="Normal 7 2 14" xfId="41212" xr:uid="{00000000-0005-0000-0000-0000EFA00000}"/>
    <cellStyle name="Normal 7 2 15" xfId="41213" xr:uid="{00000000-0005-0000-0000-0000F0A00000}"/>
    <cellStyle name="Normal 7 2 16" xfId="41214" xr:uid="{00000000-0005-0000-0000-0000F1A00000}"/>
    <cellStyle name="Normal 7 2 17" xfId="41215" xr:uid="{00000000-0005-0000-0000-0000F2A00000}"/>
    <cellStyle name="Normal 7 2 18" xfId="41216" xr:uid="{00000000-0005-0000-0000-0000F3A00000}"/>
    <cellStyle name="Normal 7 2 19" xfId="41217" xr:uid="{00000000-0005-0000-0000-0000F4A00000}"/>
    <cellStyle name="Normal 7 2 2" xfId="41218" xr:uid="{00000000-0005-0000-0000-0000F5A00000}"/>
    <cellStyle name="Normal 7 2 2 10" xfId="41219" xr:uid="{00000000-0005-0000-0000-0000F6A00000}"/>
    <cellStyle name="Normal 7 2 2 11" xfId="41220" xr:uid="{00000000-0005-0000-0000-0000F7A00000}"/>
    <cellStyle name="Normal 7 2 2 12" xfId="41221" xr:uid="{00000000-0005-0000-0000-0000F8A00000}"/>
    <cellStyle name="Normal 7 2 2 13" xfId="41222" xr:uid="{00000000-0005-0000-0000-0000F9A00000}"/>
    <cellStyle name="Normal 7 2 2 14" xfId="41223" xr:uid="{00000000-0005-0000-0000-0000FAA00000}"/>
    <cellStyle name="Normal 7 2 2 15" xfId="41224" xr:uid="{00000000-0005-0000-0000-0000FBA00000}"/>
    <cellStyle name="Normal 7 2 2 16" xfId="41225" xr:uid="{00000000-0005-0000-0000-0000FCA00000}"/>
    <cellStyle name="Normal 7 2 2 17" xfId="41226" xr:uid="{00000000-0005-0000-0000-0000FDA00000}"/>
    <cellStyle name="Normal 7 2 2 18" xfId="41227" xr:uid="{00000000-0005-0000-0000-0000FEA00000}"/>
    <cellStyle name="Normal 7 2 2 19" xfId="41228" xr:uid="{00000000-0005-0000-0000-0000FFA00000}"/>
    <cellStyle name="Normal 7 2 2 2" xfId="41229" xr:uid="{00000000-0005-0000-0000-000000A10000}"/>
    <cellStyle name="Normal 7 2 2 2 2" xfId="41230" xr:uid="{00000000-0005-0000-0000-000001A10000}"/>
    <cellStyle name="Normal 7 2 2 20" xfId="41231" xr:uid="{00000000-0005-0000-0000-000002A10000}"/>
    <cellStyle name="Normal 7 2 2 21" xfId="41232" xr:uid="{00000000-0005-0000-0000-000003A10000}"/>
    <cellStyle name="Normal 7 2 2 22" xfId="41233" xr:uid="{00000000-0005-0000-0000-000004A10000}"/>
    <cellStyle name="Normal 7 2 2 23" xfId="41234" xr:uid="{00000000-0005-0000-0000-000005A10000}"/>
    <cellStyle name="Normal 7 2 2 24" xfId="41235" xr:uid="{00000000-0005-0000-0000-000006A10000}"/>
    <cellStyle name="Normal 7 2 2 25" xfId="41236" xr:uid="{00000000-0005-0000-0000-000007A10000}"/>
    <cellStyle name="Normal 7 2 2 26" xfId="41237" xr:uid="{00000000-0005-0000-0000-000008A10000}"/>
    <cellStyle name="Normal 7 2 2 27" xfId="41238" xr:uid="{00000000-0005-0000-0000-000009A10000}"/>
    <cellStyle name="Normal 7 2 2 28" xfId="41239" xr:uid="{00000000-0005-0000-0000-00000AA10000}"/>
    <cellStyle name="Normal 7 2 2 29" xfId="41240" xr:uid="{00000000-0005-0000-0000-00000BA10000}"/>
    <cellStyle name="Normal 7 2 2 3" xfId="41241" xr:uid="{00000000-0005-0000-0000-00000CA10000}"/>
    <cellStyle name="Normal 7 2 2 3 2" xfId="41242" xr:uid="{00000000-0005-0000-0000-00000DA10000}"/>
    <cellStyle name="Normal 7 2 2 30" xfId="41243" xr:uid="{00000000-0005-0000-0000-00000EA10000}"/>
    <cellStyle name="Normal 7 2 2 31" xfId="41244" xr:uid="{00000000-0005-0000-0000-00000FA10000}"/>
    <cellStyle name="Normal 7 2 2 4" xfId="41245" xr:uid="{00000000-0005-0000-0000-000010A10000}"/>
    <cellStyle name="Normal 7 2 2 5" xfId="41246" xr:uid="{00000000-0005-0000-0000-000011A10000}"/>
    <cellStyle name="Normal 7 2 2 6" xfId="41247" xr:uid="{00000000-0005-0000-0000-000012A10000}"/>
    <cellStyle name="Normal 7 2 2 7" xfId="41248" xr:uid="{00000000-0005-0000-0000-000013A10000}"/>
    <cellStyle name="Normal 7 2 2 8" xfId="41249" xr:uid="{00000000-0005-0000-0000-000014A10000}"/>
    <cellStyle name="Normal 7 2 2 9" xfId="41250" xr:uid="{00000000-0005-0000-0000-000015A10000}"/>
    <cellStyle name="Normal 7 2 20" xfId="41251" xr:uid="{00000000-0005-0000-0000-000016A10000}"/>
    <cellStyle name="Normal 7 2 21" xfId="41252" xr:uid="{00000000-0005-0000-0000-000017A10000}"/>
    <cellStyle name="Normal 7 2 22" xfId="41253" xr:uid="{00000000-0005-0000-0000-000018A10000}"/>
    <cellStyle name="Normal 7 2 23" xfId="41254" xr:uid="{00000000-0005-0000-0000-000019A10000}"/>
    <cellStyle name="Normal 7 2 24" xfId="41255" xr:uid="{00000000-0005-0000-0000-00001AA10000}"/>
    <cellStyle name="Normal 7 2 25" xfId="41256" xr:uid="{00000000-0005-0000-0000-00001BA10000}"/>
    <cellStyle name="Normal 7 2 26" xfId="41257" xr:uid="{00000000-0005-0000-0000-00001CA10000}"/>
    <cellStyle name="Normal 7 2 27" xfId="41258" xr:uid="{00000000-0005-0000-0000-00001DA10000}"/>
    <cellStyle name="Normal 7 2 28" xfId="41259" xr:uid="{00000000-0005-0000-0000-00001EA10000}"/>
    <cellStyle name="Normal 7 2 29" xfId="41260" xr:uid="{00000000-0005-0000-0000-00001FA10000}"/>
    <cellStyle name="Normal 7 2 3" xfId="41261" xr:uid="{00000000-0005-0000-0000-000020A10000}"/>
    <cellStyle name="Normal 7 2 3 2" xfId="41262" xr:uid="{00000000-0005-0000-0000-000021A10000}"/>
    <cellStyle name="Normal 7 2 30" xfId="41263" xr:uid="{00000000-0005-0000-0000-000022A10000}"/>
    <cellStyle name="Normal 7 2 31" xfId="41264" xr:uid="{00000000-0005-0000-0000-000023A10000}"/>
    <cellStyle name="Normal 7 2 32" xfId="41265" xr:uid="{00000000-0005-0000-0000-000024A10000}"/>
    <cellStyle name="Normal 7 2 33" xfId="41266" xr:uid="{00000000-0005-0000-0000-000025A10000}"/>
    <cellStyle name="Normal 7 2 34" xfId="41267" xr:uid="{00000000-0005-0000-0000-000026A10000}"/>
    <cellStyle name="Normal 7 2 35" xfId="41268" xr:uid="{00000000-0005-0000-0000-000027A10000}"/>
    <cellStyle name="Normal 7 2 36" xfId="41269" xr:uid="{00000000-0005-0000-0000-000028A10000}"/>
    <cellStyle name="Normal 7 2 37" xfId="41270" xr:uid="{00000000-0005-0000-0000-000029A10000}"/>
    <cellStyle name="Normal 7 2 38" xfId="41271" xr:uid="{00000000-0005-0000-0000-00002AA10000}"/>
    <cellStyle name="Normal 7 2 39" xfId="41272" xr:uid="{00000000-0005-0000-0000-00002BA10000}"/>
    <cellStyle name="Normal 7 2 4" xfId="41273" xr:uid="{00000000-0005-0000-0000-00002CA10000}"/>
    <cellStyle name="Normal 7 2 4 2" xfId="41274" xr:uid="{00000000-0005-0000-0000-00002DA10000}"/>
    <cellStyle name="Normal 7 2 40" xfId="41275" xr:uid="{00000000-0005-0000-0000-00002EA10000}"/>
    <cellStyle name="Normal 7 2 41" xfId="41276" xr:uid="{00000000-0005-0000-0000-00002FA10000}"/>
    <cellStyle name="Normal 7 2 42" xfId="41277" xr:uid="{00000000-0005-0000-0000-000030A10000}"/>
    <cellStyle name="Normal 7 2 43" xfId="41278" xr:uid="{00000000-0005-0000-0000-000031A10000}"/>
    <cellStyle name="Normal 7 2 44" xfId="41279" xr:uid="{00000000-0005-0000-0000-000032A10000}"/>
    <cellStyle name="Normal 7 2 45" xfId="41280" xr:uid="{00000000-0005-0000-0000-000033A10000}"/>
    <cellStyle name="Normal 7 2 46" xfId="41281" xr:uid="{00000000-0005-0000-0000-000034A10000}"/>
    <cellStyle name="Normal 7 2 47" xfId="41282" xr:uid="{00000000-0005-0000-0000-000035A10000}"/>
    <cellStyle name="Normal 7 2 48" xfId="41283" xr:uid="{00000000-0005-0000-0000-000036A10000}"/>
    <cellStyle name="Normal 7 2 49" xfId="41284" xr:uid="{00000000-0005-0000-0000-000037A10000}"/>
    <cellStyle name="Normal 7 2 5" xfId="41285" xr:uid="{00000000-0005-0000-0000-000038A10000}"/>
    <cellStyle name="Normal 7 2 50" xfId="41286" xr:uid="{00000000-0005-0000-0000-000039A10000}"/>
    <cellStyle name="Normal 7 2 51" xfId="41287" xr:uid="{00000000-0005-0000-0000-00003AA10000}"/>
    <cellStyle name="Normal 7 2 52" xfId="41288" xr:uid="{00000000-0005-0000-0000-00003BA10000}"/>
    <cellStyle name="Normal 7 2 53" xfId="41289" xr:uid="{00000000-0005-0000-0000-00003CA10000}"/>
    <cellStyle name="Normal 7 2 54" xfId="41290" xr:uid="{00000000-0005-0000-0000-00003DA10000}"/>
    <cellStyle name="Normal 7 2 6" xfId="41291" xr:uid="{00000000-0005-0000-0000-00003EA10000}"/>
    <cellStyle name="Normal 7 2 7" xfId="41292" xr:uid="{00000000-0005-0000-0000-00003FA10000}"/>
    <cellStyle name="Normal 7 2 8" xfId="41293" xr:uid="{00000000-0005-0000-0000-000040A10000}"/>
    <cellStyle name="Normal 7 2 9" xfId="41294" xr:uid="{00000000-0005-0000-0000-000041A10000}"/>
    <cellStyle name="Normal 7 3" xfId="41295" xr:uid="{00000000-0005-0000-0000-000042A10000}"/>
    <cellStyle name="Normal 7 3 10" xfId="41296" xr:uid="{00000000-0005-0000-0000-000043A10000}"/>
    <cellStyle name="Normal 7 3 11" xfId="41297" xr:uid="{00000000-0005-0000-0000-000044A10000}"/>
    <cellStyle name="Normal 7 3 12" xfId="41298" xr:uid="{00000000-0005-0000-0000-000045A10000}"/>
    <cellStyle name="Normal 7 3 13" xfId="41299" xr:uid="{00000000-0005-0000-0000-000046A10000}"/>
    <cellStyle name="Normal 7 3 14" xfId="41300" xr:uid="{00000000-0005-0000-0000-000047A10000}"/>
    <cellStyle name="Normal 7 3 15" xfId="41301" xr:uid="{00000000-0005-0000-0000-000048A10000}"/>
    <cellStyle name="Normal 7 3 16" xfId="41302" xr:uid="{00000000-0005-0000-0000-000049A10000}"/>
    <cellStyle name="Normal 7 3 17" xfId="41303" xr:uid="{00000000-0005-0000-0000-00004AA10000}"/>
    <cellStyle name="Normal 7 3 18" xfId="41304" xr:uid="{00000000-0005-0000-0000-00004BA10000}"/>
    <cellStyle name="Normal 7 3 2" xfId="41305" xr:uid="{00000000-0005-0000-0000-00004CA10000}"/>
    <cellStyle name="Normal 7 3 2 2" xfId="41306" xr:uid="{00000000-0005-0000-0000-00004DA10000}"/>
    <cellStyle name="Normal 7 3 2 2 2" xfId="41307" xr:uid="{00000000-0005-0000-0000-00004EA10000}"/>
    <cellStyle name="Normal 7 3 2 2 2 2" xfId="41308" xr:uid="{00000000-0005-0000-0000-00004FA10000}"/>
    <cellStyle name="Normal 7 3 2 2 3" xfId="41309" xr:uid="{00000000-0005-0000-0000-000050A10000}"/>
    <cellStyle name="Normal 7 3 2 2 3 2" xfId="41310" xr:uid="{00000000-0005-0000-0000-000051A10000}"/>
    <cellStyle name="Normal 7 3 2 2 4" xfId="41311" xr:uid="{00000000-0005-0000-0000-000052A10000}"/>
    <cellStyle name="Normal 7 3 2 3" xfId="41312" xr:uid="{00000000-0005-0000-0000-000053A10000}"/>
    <cellStyle name="Normal 7 3 2 3 2" xfId="41313" xr:uid="{00000000-0005-0000-0000-000054A10000}"/>
    <cellStyle name="Normal 7 3 2 4" xfId="41314" xr:uid="{00000000-0005-0000-0000-000055A10000}"/>
    <cellStyle name="Normal 7 3 2 4 2" xfId="41315" xr:uid="{00000000-0005-0000-0000-000056A10000}"/>
    <cellStyle name="Normal 7 3 2 5" xfId="41316" xr:uid="{00000000-0005-0000-0000-000057A10000}"/>
    <cellStyle name="Normal 7 3 3" xfId="41317" xr:uid="{00000000-0005-0000-0000-000058A10000}"/>
    <cellStyle name="Normal 7 3 3 2" xfId="41318" xr:uid="{00000000-0005-0000-0000-000059A10000}"/>
    <cellStyle name="Normal 7 3 3 2 2" xfId="41319" xr:uid="{00000000-0005-0000-0000-00005AA10000}"/>
    <cellStyle name="Normal 7 3 3 3" xfId="41320" xr:uid="{00000000-0005-0000-0000-00005BA10000}"/>
    <cellStyle name="Normal 7 3 3 3 2" xfId="41321" xr:uid="{00000000-0005-0000-0000-00005CA10000}"/>
    <cellStyle name="Normal 7 3 3 4" xfId="41322" xr:uid="{00000000-0005-0000-0000-00005DA10000}"/>
    <cellStyle name="Normal 7 3 4" xfId="41323" xr:uid="{00000000-0005-0000-0000-00005EA10000}"/>
    <cellStyle name="Normal 7 3 4 2" xfId="41324" xr:uid="{00000000-0005-0000-0000-00005FA10000}"/>
    <cellStyle name="Normal 7 3 4 2 2" xfId="41325" xr:uid="{00000000-0005-0000-0000-000060A10000}"/>
    <cellStyle name="Normal 7 3 4 3" xfId="41326" xr:uid="{00000000-0005-0000-0000-000061A10000}"/>
    <cellStyle name="Normal 7 3 4 3 2" xfId="41327" xr:uid="{00000000-0005-0000-0000-000062A10000}"/>
    <cellStyle name="Normal 7 3 4 4" xfId="41328" xr:uid="{00000000-0005-0000-0000-000063A10000}"/>
    <cellStyle name="Normal 7 3 5" xfId="41329" xr:uid="{00000000-0005-0000-0000-000064A10000}"/>
    <cellStyle name="Normal 7 3 5 2" xfId="41330" xr:uid="{00000000-0005-0000-0000-000065A10000}"/>
    <cellStyle name="Normal 7 3 5 2 2" xfId="41331" xr:uid="{00000000-0005-0000-0000-000066A10000}"/>
    <cellStyle name="Normal 7 3 5 3" xfId="41332" xr:uid="{00000000-0005-0000-0000-000067A10000}"/>
    <cellStyle name="Normal 7 3 5 3 2" xfId="41333" xr:uid="{00000000-0005-0000-0000-000068A10000}"/>
    <cellStyle name="Normal 7 3 5 4" xfId="41334" xr:uid="{00000000-0005-0000-0000-000069A10000}"/>
    <cellStyle name="Normal 7 3 6" xfId="41335" xr:uid="{00000000-0005-0000-0000-00006AA10000}"/>
    <cellStyle name="Normal 7 3 7" xfId="41336" xr:uid="{00000000-0005-0000-0000-00006BA10000}"/>
    <cellStyle name="Normal 7 3 7 2" xfId="41337" xr:uid="{00000000-0005-0000-0000-00006CA10000}"/>
    <cellStyle name="Normal 7 3 8" xfId="41338" xr:uid="{00000000-0005-0000-0000-00006DA10000}"/>
    <cellStyle name="Normal 7 3 8 2" xfId="41339" xr:uid="{00000000-0005-0000-0000-00006EA10000}"/>
    <cellStyle name="Normal 7 3 9" xfId="41340" xr:uid="{00000000-0005-0000-0000-00006FA10000}"/>
    <cellStyle name="Normal 7 4" xfId="41341" xr:uid="{00000000-0005-0000-0000-000070A10000}"/>
    <cellStyle name="Normal 7 4 10" xfId="41342" xr:uid="{00000000-0005-0000-0000-000071A10000}"/>
    <cellStyle name="Normal 7 4 11" xfId="41343" xr:uid="{00000000-0005-0000-0000-000072A10000}"/>
    <cellStyle name="Normal 7 4 12" xfId="41344" xr:uid="{00000000-0005-0000-0000-000073A10000}"/>
    <cellStyle name="Normal 7 4 13" xfId="41345" xr:uid="{00000000-0005-0000-0000-000074A10000}"/>
    <cellStyle name="Normal 7 4 14" xfId="41346" xr:uid="{00000000-0005-0000-0000-000075A10000}"/>
    <cellStyle name="Normal 7 4 15" xfId="41347" xr:uid="{00000000-0005-0000-0000-000076A10000}"/>
    <cellStyle name="Normal 7 4 2" xfId="41348" xr:uid="{00000000-0005-0000-0000-000077A10000}"/>
    <cellStyle name="Normal 7 4 2 2" xfId="41349" xr:uid="{00000000-0005-0000-0000-000078A10000}"/>
    <cellStyle name="Normal 7 4 2 2 2" xfId="41350" xr:uid="{00000000-0005-0000-0000-000079A10000}"/>
    <cellStyle name="Normal 7 4 2 3" xfId="41351" xr:uid="{00000000-0005-0000-0000-00007AA10000}"/>
    <cellStyle name="Normal 7 4 2 3 2" xfId="41352" xr:uid="{00000000-0005-0000-0000-00007BA10000}"/>
    <cellStyle name="Normal 7 4 2 4" xfId="41353" xr:uid="{00000000-0005-0000-0000-00007CA10000}"/>
    <cellStyle name="Normal 7 4 3" xfId="41354" xr:uid="{00000000-0005-0000-0000-00007DA10000}"/>
    <cellStyle name="Normal 7 4 3 2" xfId="41355" xr:uid="{00000000-0005-0000-0000-00007EA10000}"/>
    <cellStyle name="Normal 7 4 4" xfId="41356" xr:uid="{00000000-0005-0000-0000-00007FA10000}"/>
    <cellStyle name="Normal 7 4 4 2" xfId="41357" xr:uid="{00000000-0005-0000-0000-000080A10000}"/>
    <cellStyle name="Normal 7 4 5" xfId="41358" xr:uid="{00000000-0005-0000-0000-000081A10000}"/>
    <cellStyle name="Normal 7 4 6" xfId="41359" xr:uid="{00000000-0005-0000-0000-000082A10000}"/>
    <cellStyle name="Normal 7 4 7" xfId="41360" xr:uid="{00000000-0005-0000-0000-000083A10000}"/>
    <cellStyle name="Normal 7 4 8" xfId="41361" xr:uid="{00000000-0005-0000-0000-000084A10000}"/>
    <cellStyle name="Normal 7 4 9" xfId="41362" xr:uid="{00000000-0005-0000-0000-000085A10000}"/>
    <cellStyle name="Normal 7 5" xfId="41363" xr:uid="{00000000-0005-0000-0000-000086A10000}"/>
    <cellStyle name="Normal 7 5 10" xfId="41364" xr:uid="{00000000-0005-0000-0000-000087A10000}"/>
    <cellStyle name="Normal 7 5 11" xfId="41365" xr:uid="{00000000-0005-0000-0000-000088A10000}"/>
    <cellStyle name="Normal 7 5 12" xfId="41366" xr:uid="{00000000-0005-0000-0000-000089A10000}"/>
    <cellStyle name="Normal 7 5 13" xfId="41367" xr:uid="{00000000-0005-0000-0000-00008AA10000}"/>
    <cellStyle name="Normal 7 5 14" xfId="41368" xr:uid="{00000000-0005-0000-0000-00008BA10000}"/>
    <cellStyle name="Normal 7 5 15" xfId="41369" xr:uid="{00000000-0005-0000-0000-00008CA10000}"/>
    <cellStyle name="Normal 7 5 2" xfId="41370" xr:uid="{00000000-0005-0000-0000-00008DA10000}"/>
    <cellStyle name="Normal 7 5 2 2" xfId="41371" xr:uid="{00000000-0005-0000-0000-00008EA10000}"/>
    <cellStyle name="Normal 7 5 2 2 2" xfId="41372" xr:uid="{00000000-0005-0000-0000-00008FA10000}"/>
    <cellStyle name="Normal 7 5 2 3" xfId="41373" xr:uid="{00000000-0005-0000-0000-000090A10000}"/>
    <cellStyle name="Normal 7 5 2 3 2" xfId="41374" xr:uid="{00000000-0005-0000-0000-000091A10000}"/>
    <cellStyle name="Normal 7 5 2 4" xfId="41375" xr:uid="{00000000-0005-0000-0000-000092A10000}"/>
    <cellStyle name="Normal 7 5 3" xfId="41376" xr:uid="{00000000-0005-0000-0000-000093A10000}"/>
    <cellStyle name="Normal 7 5 3 2" xfId="41377" xr:uid="{00000000-0005-0000-0000-000094A10000}"/>
    <cellStyle name="Normal 7 5 4" xfId="41378" xr:uid="{00000000-0005-0000-0000-000095A10000}"/>
    <cellStyle name="Normal 7 5 4 2" xfId="41379" xr:uid="{00000000-0005-0000-0000-000096A10000}"/>
    <cellStyle name="Normal 7 5 5" xfId="41380" xr:uid="{00000000-0005-0000-0000-000097A10000}"/>
    <cellStyle name="Normal 7 5 6" xfId="41381" xr:uid="{00000000-0005-0000-0000-000098A10000}"/>
    <cellStyle name="Normal 7 5 7" xfId="41382" xr:uid="{00000000-0005-0000-0000-000099A10000}"/>
    <cellStyle name="Normal 7 5 8" xfId="41383" xr:uid="{00000000-0005-0000-0000-00009AA10000}"/>
    <cellStyle name="Normal 7 5 9" xfId="41384" xr:uid="{00000000-0005-0000-0000-00009BA10000}"/>
    <cellStyle name="Normal 7 6" xfId="41385" xr:uid="{00000000-0005-0000-0000-00009CA10000}"/>
    <cellStyle name="Normal 7 6 10" xfId="41386" xr:uid="{00000000-0005-0000-0000-00009DA10000}"/>
    <cellStyle name="Normal 7 6 11" xfId="41387" xr:uid="{00000000-0005-0000-0000-00009EA10000}"/>
    <cellStyle name="Normal 7 6 12" xfId="41388" xr:uid="{00000000-0005-0000-0000-00009FA10000}"/>
    <cellStyle name="Normal 7 6 13" xfId="41389" xr:uid="{00000000-0005-0000-0000-0000A0A10000}"/>
    <cellStyle name="Normal 7 6 14" xfId="41390" xr:uid="{00000000-0005-0000-0000-0000A1A10000}"/>
    <cellStyle name="Normal 7 6 15" xfId="41391" xr:uid="{00000000-0005-0000-0000-0000A2A10000}"/>
    <cellStyle name="Normal 7 6 2" xfId="41392" xr:uid="{00000000-0005-0000-0000-0000A3A10000}"/>
    <cellStyle name="Normal 7 6 2 2" xfId="41393" xr:uid="{00000000-0005-0000-0000-0000A4A10000}"/>
    <cellStyle name="Normal 7 6 2 2 2" xfId="41394" xr:uid="{00000000-0005-0000-0000-0000A5A10000}"/>
    <cellStyle name="Normal 7 6 2 3" xfId="41395" xr:uid="{00000000-0005-0000-0000-0000A6A10000}"/>
    <cellStyle name="Normal 7 6 2 3 2" xfId="41396" xr:uid="{00000000-0005-0000-0000-0000A7A10000}"/>
    <cellStyle name="Normal 7 6 2 4" xfId="41397" xr:uid="{00000000-0005-0000-0000-0000A8A10000}"/>
    <cellStyle name="Normal 7 6 3" xfId="41398" xr:uid="{00000000-0005-0000-0000-0000A9A10000}"/>
    <cellStyle name="Normal 7 6 3 2" xfId="41399" xr:uid="{00000000-0005-0000-0000-0000AAA10000}"/>
    <cellStyle name="Normal 7 6 4" xfId="41400" xr:uid="{00000000-0005-0000-0000-0000ABA10000}"/>
    <cellStyle name="Normal 7 6 4 2" xfId="41401" xr:uid="{00000000-0005-0000-0000-0000ACA10000}"/>
    <cellStyle name="Normal 7 6 5" xfId="41402" xr:uid="{00000000-0005-0000-0000-0000ADA10000}"/>
    <cellStyle name="Normal 7 6 6" xfId="41403" xr:uid="{00000000-0005-0000-0000-0000AEA10000}"/>
    <cellStyle name="Normal 7 6 7" xfId="41404" xr:uid="{00000000-0005-0000-0000-0000AFA10000}"/>
    <cellStyle name="Normal 7 6 8" xfId="41405" xr:uid="{00000000-0005-0000-0000-0000B0A10000}"/>
    <cellStyle name="Normal 7 6 9" xfId="41406" xr:uid="{00000000-0005-0000-0000-0000B1A10000}"/>
    <cellStyle name="Normal 7 7" xfId="41407" xr:uid="{00000000-0005-0000-0000-0000B2A10000}"/>
    <cellStyle name="Normal 7 7 10" xfId="41408" xr:uid="{00000000-0005-0000-0000-0000B3A10000}"/>
    <cellStyle name="Normal 7 7 11" xfId="41409" xr:uid="{00000000-0005-0000-0000-0000B4A10000}"/>
    <cellStyle name="Normal 7 7 12" xfId="41410" xr:uid="{00000000-0005-0000-0000-0000B5A10000}"/>
    <cellStyle name="Normal 7 7 13" xfId="41411" xr:uid="{00000000-0005-0000-0000-0000B6A10000}"/>
    <cellStyle name="Normal 7 7 14" xfId="41412" xr:uid="{00000000-0005-0000-0000-0000B7A10000}"/>
    <cellStyle name="Normal 7 7 15" xfId="41413" xr:uid="{00000000-0005-0000-0000-0000B8A10000}"/>
    <cellStyle name="Normal 7 7 2" xfId="41414" xr:uid="{00000000-0005-0000-0000-0000B9A10000}"/>
    <cellStyle name="Normal 7 7 2 2" xfId="41415" xr:uid="{00000000-0005-0000-0000-0000BAA10000}"/>
    <cellStyle name="Normal 7 7 2 2 2" xfId="41416" xr:uid="{00000000-0005-0000-0000-0000BBA10000}"/>
    <cellStyle name="Normal 7 7 2 3" xfId="41417" xr:uid="{00000000-0005-0000-0000-0000BCA10000}"/>
    <cellStyle name="Normal 7 7 2 3 2" xfId="41418" xr:uid="{00000000-0005-0000-0000-0000BDA10000}"/>
    <cellStyle name="Normal 7 7 2 4" xfId="41419" xr:uid="{00000000-0005-0000-0000-0000BEA10000}"/>
    <cellStyle name="Normal 7 7 3" xfId="41420" xr:uid="{00000000-0005-0000-0000-0000BFA10000}"/>
    <cellStyle name="Normal 7 7 3 2" xfId="41421" xr:uid="{00000000-0005-0000-0000-0000C0A10000}"/>
    <cellStyle name="Normal 7 7 4" xfId="41422" xr:uid="{00000000-0005-0000-0000-0000C1A10000}"/>
    <cellStyle name="Normal 7 7 4 2" xfId="41423" xr:uid="{00000000-0005-0000-0000-0000C2A10000}"/>
    <cellStyle name="Normal 7 7 5" xfId="41424" xr:uid="{00000000-0005-0000-0000-0000C3A10000}"/>
    <cellStyle name="Normal 7 7 6" xfId="41425" xr:uid="{00000000-0005-0000-0000-0000C4A10000}"/>
    <cellStyle name="Normal 7 7 7" xfId="41426" xr:uid="{00000000-0005-0000-0000-0000C5A10000}"/>
    <cellStyle name="Normal 7 7 8" xfId="41427" xr:uid="{00000000-0005-0000-0000-0000C6A10000}"/>
    <cellStyle name="Normal 7 7 9" xfId="41428" xr:uid="{00000000-0005-0000-0000-0000C7A10000}"/>
    <cellStyle name="Normal 7 8" xfId="41429" xr:uid="{00000000-0005-0000-0000-0000C8A10000}"/>
    <cellStyle name="Normal 7 8 10" xfId="41430" xr:uid="{00000000-0005-0000-0000-0000C9A10000}"/>
    <cellStyle name="Normal 7 8 11" xfId="41431" xr:uid="{00000000-0005-0000-0000-0000CAA10000}"/>
    <cellStyle name="Normal 7 8 12" xfId="41432" xr:uid="{00000000-0005-0000-0000-0000CBA10000}"/>
    <cellStyle name="Normal 7 8 13" xfId="41433" xr:uid="{00000000-0005-0000-0000-0000CCA10000}"/>
    <cellStyle name="Normal 7 8 14" xfId="41434" xr:uid="{00000000-0005-0000-0000-0000CDA10000}"/>
    <cellStyle name="Normal 7 8 15" xfId="41435" xr:uid="{00000000-0005-0000-0000-0000CEA10000}"/>
    <cellStyle name="Normal 7 8 2" xfId="41436" xr:uid="{00000000-0005-0000-0000-0000CFA10000}"/>
    <cellStyle name="Normal 7 8 3" xfId="41437" xr:uid="{00000000-0005-0000-0000-0000D0A10000}"/>
    <cellStyle name="Normal 7 8 4" xfId="41438" xr:uid="{00000000-0005-0000-0000-0000D1A10000}"/>
    <cellStyle name="Normal 7 8 5" xfId="41439" xr:uid="{00000000-0005-0000-0000-0000D2A10000}"/>
    <cellStyle name="Normal 7 8 6" xfId="41440" xr:uid="{00000000-0005-0000-0000-0000D3A10000}"/>
    <cellStyle name="Normal 7 8 7" xfId="41441" xr:uid="{00000000-0005-0000-0000-0000D4A10000}"/>
    <cellStyle name="Normal 7 8 8" xfId="41442" xr:uid="{00000000-0005-0000-0000-0000D5A10000}"/>
    <cellStyle name="Normal 7 8 9" xfId="41443" xr:uid="{00000000-0005-0000-0000-0000D6A10000}"/>
    <cellStyle name="Normal 7 9" xfId="41444" xr:uid="{00000000-0005-0000-0000-0000D7A10000}"/>
    <cellStyle name="Normal 7 9 10" xfId="41445" xr:uid="{00000000-0005-0000-0000-0000D8A10000}"/>
    <cellStyle name="Normal 7 9 11" xfId="41446" xr:uid="{00000000-0005-0000-0000-0000D9A10000}"/>
    <cellStyle name="Normal 7 9 12" xfId="41447" xr:uid="{00000000-0005-0000-0000-0000DAA10000}"/>
    <cellStyle name="Normal 7 9 13" xfId="41448" xr:uid="{00000000-0005-0000-0000-0000DBA10000}"/>
    <cellStyle name="Normal 7 9 14" xfId="41449" xr:uid="{00000000-0005-0000-0000-0000DCA10000}"/>
    <cellStyle name="Normal 7 9 15" xfId="41450" xr:uid="{00000000-0005-0000-0000-0000DDA10000}"/>
    <cellStyle name="Normal 7 9 2" xfId="41451" xr:uid="{00000000-0005-0000-0000-0000DEA10000}"/>
    <cellStyle name="Normal 7 9 3" xfId="41452" xr:uid="{00000000-0005-0000-0000-0000DFA10000}"/>
    <cellStyle name="Normal 7 9 4" xfId="41453" xr:uid="{00000000-0005-0000-0000-0000E0A10000}"/>
    <cellStyle name="Normal 7 9 5" xfId="41454" xr:uid="{00000000-0005-0000-0000-0000E1A10000}"/>
    <cellStyle name="Normal 7 9 6" xfId="41455" xr:uid="{00000000-0005-0000-0000-0000E2A10000}"/>
    <cellStyle name="Normal 7 9 7" xfId="41456" xr:uid="{00000000-0005-0000-0000-0000E3A10000}"/>
    <cellStyle name="Normal 7 9 8" xfId="41457" xr:uid="{00000000-0005-0000-0000-0000E4A10000}"/>
    <cellStyle name="Normal 7 9 9" xfId="41458" xr:uid="{00000000-0005-0000-0000-0000E5A10000}"/>
    <cellStyle name="Normal 70" xfId="41459" xr:uid="{00000000-0005-0000-0000-0000E6A10000}"/>
    <cellStyle name="Normal 70 2" xfId="41460" xr:uid="{00000000-0005-0000-0000-0000E7A10000}"/>
    <cellStyle name="Normal 71" xfId="41461" xr:uid="{00000000-0005-0000-0000-0000E8A10000}"/>
    <cellStyle name="Normal 71 2" xfId="41462" xr:uid="{00000000-0005-0000-0000-0000E9A10000}"/>
    <cellStyle name="Normal 72" xfId="41463" xr:uid="{00000000-0005-0000-0000-0000EAA10000}"/>
    <cellStyle name="Normal 73" xfId="41464" xr:uid="{00000000-0005-0000-0000-0000EBA10000}"/>
    <cellStyle name="Normal 73 2" xfId="41465" xr:uid="{00000000-0005-0000-0000-0000ECA10000}"/>
    <cellStyle name="Normal 73 3" xfId="41466" xr:uid="{00000000-0005-0000-0000-0000EDA10000}"/>
    <cellStyle name="Normal 73 4" xfId="41467" xr:uid="{00000000-0005-0000-0000-0000EEA10000}"/>
    <cellStyle name="Normal 73 5" xfId="41468" xr:uid="{00000000-0005-0000-0000-0000EFA10000}"/>
    <cellStyle name="Normal 73 6" xfId="41469" xr:uid="{00000000-0005-0000-0000-0000F0A10000}"/>
    <cellStyle name="Normal 73 7" xfId="41470" xr:uid="{00000000-0005-0000-0000-0000F1A10000}"/>
    <cellStyle name="Normal 73 7 2" xfId="41471" xr:uid="{00000000-0005-0000-0000-0000F2A10000}"/>
    <cellStyle name="Normal 73 7 2 2" xfId="41472" xr:uid="{00000000-0005-0000-0000-0000F3A10000}"/>
    <cellStyle name="Normal 73 7 3" xfId="41473" xr:uid="{00000000-0005-0000-0000-0000F4A10000}"/>
    <cellStyle name="Normal 73 7 3 2" xfId="41474" xr:uid="{00000000-0005-0000-0000-0000F5A10000}"/>
    <cellStyle name="Normal 73 7 4" xfId="41475" xr:uid="{00000000-0005-0000-0000-0000F6A10000}"/>
    <cellStyle name="Normal 73 8" xfId="41476" xr:uid="{00000000-0005-0000-0000-0000F7A10000}"/>
    <cellStyle name="Normal 73 8 2" xfId="41477" xr:uid="{00000000-0005-0000-0000-0000F8A10000}"/>
    <cellStyle name="Normal 73 8 2 2" xfId="41478" xr:uid="{00000000-0005-0000-0000-0000F9A10000}"/>
    <cellStyle name="Normal 73 8 3" xfId="41479" xr:uid="{00000000-0005-0000-0000-0000FAA10000}"/>
    <cellStyle name="Normal 73 8 3 2" xfId="41480" xr:uid="{00000000-0005-0000-0000-0000FBA10000}"/>
    <cellStyle name="Normal 73 8 4" xfId="41481" xr:uid="{00000000-0005-0000-0000-0000FCA10000}"/>
    <cellStyle name="Normal 74" xfId="41482" xr:uid="{00000000-0005-0000-0000-0000FDA10000}"/>
    <cellStyle name="Normal 74 2" xfId="41483" xr:uid="{00000000-0005-0000-0000-0000FEA10000}"/>
    <cellStyle name="Normal 74 2 2" xfId="41484" xr:uid="{00000000-0005-0000-0000-0000FFA10000}"/>
    <cellStyle name="Normal 74 2 2 2" xfId="41485" xr:uid="{00000000-0005-0000-0000-000000A20000}"/>
    <cellStyle name="Normal 74 2 3" xfId="41486" xr:uid="{00000000-0005-0000-0000-000001A20000}"/>
    <cellStyle name="Normal 74 2 3 2" xfId="41487" xr:uid="{00000000-0005-0000-0000-000002A20000}"/>
    <cellStyle name="Normal 74 2 4" xfId="41488" xr:uid="{00000000-0005-0000-0000-000003A20000}"/>
    <cellStyle name="Normal 74 3" xfId="41489" xr:uid="{00000000-0005-0000-0000-000004A20000}"/>
    <cellStyle name="Normal 74 3 2" xfId="41490" xr:uid="{00000000-0005-0000-0000-000005A20000}"/>
    <cellStyle name="Normal 74 3 2 2" xfId="41491" xr:uid="{00000000-0005-0000-0000-000006A20000}"/>
    <cellStyle name="Normal 74 3 3" xfId="41492" xr:uid="{00000000-0005-0000-0000-000007A20000}"/>
    <cellStyle name="Normal 74 3 3 2" xfId="41493" xr:uid="{00000000-0005-0000-0000-000008A20000}"/>
    <cellStyle name="Normal 74 3 4" xfId="41494" xr:uid="{00000000-0005-0000-0000-000009A20000}"/>
    <cellStyle name="Normal 75" xfId="41495" xr:uid="{00000000-0005-0000-0000-00000AA20000}"/>
    <cellStyle name="Normal 75 2" xfId="41496" xr:uid="{00000000-0005-0000-0000-00000BA20000}"/>
    <cellStyle name="Normal 75 2 2" xfId="41497" xr:uid="{00000000-0005-0000-0000-00000CA20000}"/>
    <cellStyle name="Normal 75 2 2 2" xfId="41498" xr:uid="{00000000-0005-0000-0000-00000DA20000}"/>
    <cellStyle name="Normal 75 2 3" xfId="41499" xr:uid="{00000000-0005-0000-0000-00000EA20000}"/>
    <cellStyle name="Normal 75 2 3 2" xfId="41500" xr:uid="{00000000-0005-0000-0000-00000FA20000}"/>
    <cellStyle name="Normal 75 2 4" xfId="41501" xr:uid="{00000000-0005-0000-0000-000010A20000}"/>
    <cellStyle name="Normal 76" xfId="41502" xr:uid="{00000000-0005-0000-0000-000011A20000}"/>
    <cellStyle name="Normal 77" xfId="41503" xr:uid="{00000000-0005-0000-0000-000012A20000}"/>
    <cellStyle name="Normal 77 2" xfId="41504" xr:uid="{00000000-0005-0000-0000-000013A20000}"/>
    <cellStyle name="Normal 77 2 2" xfId="41505" xr:uid="{00000000-0005-0000-0000-000014A20000}"/>
    <cellStyle name="Normal 77 2 2 2" xfId="41506" xr:uid="{00000000-0005-0000-0000-000015A20000}"/>
    <cellStyle name="Normal 77 2 3" xfId="41507" xr:uid="{00000000-0005-0000-0000-000016A20000}"/>
    <cellStyle name="Normal 77 2 3 2" xfId="41508" xr:uid="{00000000-0005-0000-0000-000017A20000}"/>
    <cellStyle name="Normal 77 2 4" xfId="41509" xr:uid="{00000000-0005-0000-0000-000018A20000}"/>
    <cellStyle name="Normal 78" xfId="41510" xr:uid="{00000000-0005-0000-0000-000019A20000}"/>
    <cellStyle name="Normal 78 2" xfId="41511" xr:uid="{00000000-0005-0000-0000-00001AA20000}"/>
    <cellStyle name="Normal 78 2 2" xfId="41512" xr:uid="{00000000-0005-0000-0000-00001BA20000}"/>
    <cellStyle name="Normal 78 2 2 2" xfId="41513" xr:uid="{00000000-0005-0000-0000-00001CA20000}"/>
    <cellStyle name="Normal 78 2 3" xfId="41514" xr:uid="{00000000-0005-0000-0000-00001DA20000}"/>
    <cellStyle name="Normal 78 2 3 2" xfId="41515" xr:uid="{00000000-0005-0000-0000-00001EA20000}"/>
    <cellStyle name="Normal 78 2 4" xfId="41516" xr:uid="{00000000-0005-0000-0000-00001FA20000}"/>
    <cellStyle name="Normal 78 3" xfId="41517" xr:uid="{00000000-0005-0000-0000-000020A20000}"/>
    <cellStyle name="Normal 78 3 2" xfId="41518" xr:uid="{00000000-0005-0000-0000-000021A20000}"/>
    <cellStyle name="Normal 78 3 2 2" xfId="41519" xr:uid="{00000000-0005-0000-0000-000022A20000}"/>
    <cellStyle name="Normal 78 3 3" xfId="41520" xr:uid="{00000000-0005-0000-0000-000023A20000}"/>
    <cellStyle name="Normal 78 3 3 2" xfId="41521" xr:uid="{00000000-0005-0000-0000-000024A20000}"/>
    <cellStyle name="Normal 78 3 4" xfId="41522" xr:uid="{00000000-0005-0000-0000-000025A20000}"/>
    <cellStyle name="Normal 78 4" xfId="41523" xr:uid="{00000000-0005-0000-0000-000026A20000}"/>
    <cellStyle name="Normal 78 4 2" xfId="41524" xr:uid="{00000000-0005-0000-0000-000027A20000}"/>
    <cellStyle name="Normal 78 4 2 2" xfId="41525" xr:uid="{00000000-0005-0000-0000-000028A20000}"/>
    <cellStyle name="Normal 78 4 3" xfId="41526" xr:uid="{00000000-0005-0000-0000-000029A20000}"/>
    <cellStyle name="Normal 78 4 3 2" xfId="41527" xr:uid="{00000000-0005-0000-0000-00002AA20000}"/>
    <cellStyle name="Normal 78 4 4" xfId="41528" xr:uid="{00000000-0005-0000-0000-00002BA20000}"/>
    <cellStyle name="Normal 78 5" xfId="41529" xr:uid="{00000000-0005-0000-0000-00002CA20000}"/>
    <cellStyle name="Normal 78 5 2" xfId="41530" xr:uid="{00000000-0005-0000-0000-00002DA20000}"/>
    <cellStyle name="Normal 78 5 2 2" xfId="41531" xr:uid="{00000000-0005-0000-0000-00002EA20000}"/>
    <cellStyle name="Normal 78 5 3" xfId="41532" xr:uid="{00000000-0005-0000-0000-00002FA20000}"/>
    <cellStyle name="Normal 78 5 3 2" xfId="41533" xr:uid="{00000000-0005-0000-0000-000030A20000}"/>
    <cellStyle name="Normal 78 5 4" xfId="41534" xr:uid="{00000000-0005-0000-0000-000031A20000}"/>
    <cellStyle name="Normal 79" xfId="41535" xr:uid="{00000000-0005-0000-0000-000032A20000}"/>
    <cellStyle name="Normal 8" xfId="41536" xr:uid="{00000000-0005-0000-0000-000033A20000}"/>
    <cellStyle name="Normal 8 10" xfId="41537" xr:uid="{00000000-0005-0000-0000-000034A20000}"/>
    <cellStyle name="Normal 8 11" xfId="41538" xr:uid="{00000000-0005-0000-0000-000035A20000}"/>
    <cellStyle name="Normal 8 11 2" xfId="41539" xr:uid="{00000000-0005-0000-0000-000036A20000}"/>
    <cellStyle name="Normal 8 12" xfId="41540" xr:uid="{00000000-0005-0000-0000-000037A20000}"/>
    <cellStyle name="Normal 8 12 2" xfId="41541" xr:uid="{00000000-0005-0000-0000-000038A20000}"/>
    <cellStyle name="Normal 8 13" xfId="41542" xr:uid="{00000000-0005-0000-0000-000039A20000}"/>
    <cellStyle name="Normal 8 14" xfId="41543" xr:uid="{00000000-0005-0000-0000-00003AA20000}"/>
    <cellStyle name="Normal 8 15" xfId="41544" xr:uid="{00000000-0005-0000-0000-00003BA20000}"/>
    <cellStyle name="Normal 8 16" xfId="41545" xr:uid="{00000000-0005-0000-0000-00003CA20000}"/>
    <cellStyle name="Normal 8 17" xfId="41546" xr:uid="{00000000-0005-0000-0000-00003DA20000}"/>
    <cellStyle name="Normal 8 18" xfId="41547" xr:uid="{00000000-0005-0000-0000-00003EA20000}"/>
    <cellStyle name="Normal 8 19" xfId="41548" xr:uid="{00000000-0005-0000-0000-00003FA20000}"/>
    <cellStyle name="Normal 8 2" xfId="41549" xr:uid="{00000000-0005-0000-0000-000040A20000}"/>
    <cellStyle name="Normal 8 2 2" xfId="41550" xr:uid="{00000000-0005-0000-0000-000041A20000}"/>
    <cellStyle name="Normal 8 2 2 2" xfId="41551" xr:uid="{00000000-0005-0000-0000-000042A20000}"/>
    <cellStyle name="Normal 8 2 2 2 2" xfId="41552" xr:uid="{00000000-0005-0000-0000-000043A20000}"/>
    <cellStyle name="Normal 8 2 2 3" xfId="41553" xr:uid="{00000000-0005-0000-0000-000044A20000}"/>
    <cellStyle name="Normal 8 2 2 3 2" xfId="41554" xr:uid="{00000000-0005-0000-0000-000045A20000}"/>
    <cellStyle name="Normal 8 2 2 4" xfId="41555" xr:uid="{00000000-0005-0000-0000-000046A20000}"/>
    <cellStyle name="Normal 8 2 3" xfId="41556" xr:uid="{00000000-0005-0000-0000-000047A20000}"/>
    <cellStyle name="Normal 8 2 3 2" xfId="41557" xr:uid="{00000000-0005-0000-0000-000048A20000}"/>
    <cellStyle name="Normal 8 2 3 2 2" xfId="41558" xr:uid="{00000000-0005-0000-0000-000049A20000}"/>
    <cellStyle name="Normal 8 2 3 3" xfId="41559" xr:uid="{00000000-0005-0000-0000-00004AA20000}"/>
    <cellStyle name="Normal 8 2 3 4" xfId="41560" xr:uid="{00000000-0005-0000-0000-00004BA20000}"/>
    <cellStyle name="Normal 8 2 4" xfId="41561" xr:uid="{00000000-0005-0000-0000-00004CA20000}"/>
    <cellStyle name="Normal 8 2 4 2" xfId="41562" xr:uid="{00000000-0005-0000-0000-00004DA20000}"/>
    <cellStyle name="Normal 8 2 5" xfId="41563" xr:uid="{00000000-0005-0000-0000-00004EA20000}"/>
    <cellStyle name="Normal 8 2 6" xfId="41564" xr:uid="{00000000-0005-0000-0000-00004FA20000}"/>
    <cellStyle name="Normal 8 2 7" xfId="41565" xr:uid="{00000000-0005-0000-0000-000050A20000}"/>
    <cellStyle name="Normal 8 20" xfId="41566" xr:uid="{00000000-0005-0000-0000-000051A20000}"/>
    <cellStyle name="Normal 8 21" xfId="41567" xr:uid="{00000000-0005-0000-0000-000052A20000}"/>
    <cellStyle name="Normal 8 22" xfId="41568" xr:uid="{00000000-0005-0000-0000-000053A20000}"/>
    <cellStyle name="Normal 8 23" xfId="41569" xr:uid="{00000000-0005-0000-0000-000054A20000}"/>
    <cellStyle name="Normal 8 24" xfId="41570" xr:uid="{00000000-0005-0000-0000-000055A20000}"/>
    <cellStyle name="Normal 8 25" xfId="41571" xr:uid="{00000000-0005-0000-0000-000056A20000}"/>
    <cellStyle name="Normal 8 26" xfId="41572" xr:uid="{00000000-0005-0000-0000-000057A20000}"/>
    <cellStyle name="Normal 8 27" xfId="41573" xr:uid="{00000000-0005-0000-0000-000058A20000}"/>
    <cellStyle name="Normal 8 28" xfId="41574" xr:uid="{00000000-0005-0000-0000-000059A20000}"/>
    <cellStyle name="Normal 8 29" xfId="41575" xr:uid="{00000000-0005-0000-0000-00005AA20000}"/>
    <cellStyle name="Normal 8 3" xfId="41576" xr:uid="{00000000-0005-0000-0000-00005BA20000}"/>
    <cellStyle name="Normal 8 3 2" xfId="41577" xr:uid="{00000000-0005-0000-0000-00005CA20000}"/>
    <cellStyle name="Normal 8 3 2 2" xfId="41578" xr:uid="{00000000-0005-0000-0000-00005DA20000}"/>
    <cellStyle name="Normal 8 3 2 2 2" xfId="41579" xr:uid="{00000000-0005-0000-0000-00005EA20000}"/>
    <cellStyle name="Normal 8 3 2 2 2 2" xfId="41580" xr:uid="{00000000-0005-0000-0000-00005FA20000}"/>
    <cellStyle name="Normal 8 3 2 2 3" xfId="41581" xr:uid="{00000000-0005-0000-0000-000060A20000}"/>
    <cellStyle name="Normal 8 3 2 2 3 2" xfId="41582" xr:uid="{00000000-0005-0000-0000-000061A20000}"/>
    <cellStyle name="Normal 8 3 2 2 4" xfId="41583" xr:uid="{00000000-0005-0000-0000-000062A20000}"/>
    <cellStyle name="Normal 8 3 2 3" xfId="41584" xr:uid="{00000000-0005-0000-0000-000063A20000}"/>
    <cellStyle name="Normal 8 3 2 3 2" xfId="41585" xr:uid="{00000000-0005-0000-0000-000064A20000}"/>
    <cellStyle name="Normal 8 3 2 4" xfId="41586" xr:uid="{00000000-0005-0000-0000-000065A20000}"/>
    <cellStyle name="Normal 8 3 2 4 2" xfId="41587" xr:uid="{00000000-0005-0000-0000-000066A20000}"/>
    <cellStyle name="Normal 8 3 2 5" xfId="41588" xr:uid="{00000000-0005-0000-0000-000067A20000}"/>
    <cellStyle name="Normal 8 3 3" xfId="41589" xr:uid="{00000000-0005-0000-0000-000068A20000}"/>
    <cellStyle name="Normal 8 3 3 2" xfId="41590" xr:uid="{00000000-0005-0000-0000-000069A20000}"/>
    <cellStyle name="Normal 8 3 3 2 2" xfId="41591" xr:uid="{00000000-0005-0000-0000-00006AA20000}"/>
    <cellStyle name="Normal 8 3 3 3" xfId="41592" xr:uid="{00000000-0005-0000-0000-00006BA20000}"/>
    <cellStyle name="Normal 8 3 3 3 2" xfId="41593" xr:uid="{00000000-0005-0000-0000-00006CA20000}"/>
    <cellStyle name="Normal 8 3 3 4" xfId="41594" xr:uid="{00000000-0005-0000-0000-00006DA20000}"/>
    <cellStyle name="Normal 8 3 4" xfId="41595" xr:uid="{00000000-0005-0000-0000-00006EA20000}"/>
    <cellStyle name="Normal 8 3 4 2" xfId="41596" xr:uid="{00000000-0005-0000-0000-00006FA20000}"/>
    <cellStyle name="Normal 8 3 4 2 2" xfId="41597" xr:uid="{00000000-0005-0000-0000-000070A20000}"/>
    <cellStyle name="Normal 8 3 4 3" xfId="41598" xr:uid="{00000000-0005-0000-0000-000071A20000}"/>
    <cellStyle name="Normal 8 3 4 3 2" xfId="41599" xr:uid="{00000000-0005-0000-0000-000072A20000}"/>
    <cellStyle name="Normal 8 3 4 4" xfId="41600" xr:uid="{00000000-0005-0000-0000-000073A20000}"/>
    <cellStyle name="Normal 8 3 5" xfId="41601" xr:uid="{00000000-0005-0000-0000-000074A20000}"/>
    <cellStyle name="Normal 8 3 5 2" xfId="41602" xr:uid="{00000000-0005-0000-0000-000075A20000}"/>
    <cellStyle name="Normal 8 3 5 2 2" xfId="41603" xr:uid="{00000000-0005-0000-0000-000076A20000}"/>
    <cellStyle name="Normal 8 3 5 3" xfId="41604" xr:uid="{00000000-0005-0000-0000-000077A20000}"/>
    <cellStyle name="Normal 8 3 5 3 2" xfId="41605" xr:uid="{00000000-0005-0000-0000-000078A20000}"/>
    <cellStyle name="Normal 8 3 5 4" xfId="41606" xr:uid="{00000000-0005-0000-0000-000079A20000}"/>
    <cellStyle name="Normal 8 3 6" xfId="41607" xr:uid="{00000000-0005-0000-0000-00007AA20000}"/>
    <cellStyle name="Normal 8 3 7" xfId="41608" xr:uid="{00000000-0005-0000-0000-00007BA20000}"/>
    <cellStyle name="Normal 8 3 7 2" xfId="41609" xr:uid="{00000000-0005-0000-0000-00007CA20000}"/>
    <cellStyle name="Normal 8 3 8" xfId="41610" xr:uid="{00000000-0005-0000-0000-00007DA20000}"/>
    <cellStyle name="Normal 8 3 8 2" xfId="41611" xr:uid="{00000000-0005-0000-0000-00007EA20000}"/>
    <cellStyle name="Normal 8 3 9" xfId="41612" xr:uid="{00000000-0005-0000-0000-00007FA20000}"/>
    <cellStyle name="Normal 8 30" xfId="41613" xr:uid="{00000000-0005-0000-0000-000080A20000}"/>
    <cellStyle name="Normal 8 31" xfId="41614" xr:uid="{00000000-0005-0000-0000-000081A20000}"/>
    <cellStyle name="Normal 8 32" xfId="41615" xr:uid="{00000000-0005-0000-0000-000082A20000}"/>
    <cellStyle name="Normal 8 33" xfId="41616" xr:uid="{00000000-0005-0000-0000-000083A20000}"/>
    <cellStyle name="Normal 8 34" xfId="41617" xr:uid="{00000000-0005-0000-0000-000084A20000}"/>
    <cellStyle name="Normal 8 35" xfId="41618" xr:uid="{00000000-0005-0000-0000-000085A20000}"/>
    <cellStyle name="Normal 8 36" xfId="41619" xr:uid="{00000000-0005-0000-0000-000086A20000}"/>
    <cellStyle name="Normal 8 37" xfId="41620" xr:uid="{00000000-0005-0000-0000-000087A20000}"/>
    <cellStyle name="Normal 8 38" xfId="41621" xr:uid="{00000000-0005-0000-0000-000088A20000}"/>
    <cellStyle name="Normal 8 4" xfId="41622" xr:uid="{00000000-0005-0000-0000-000089A20000}"/>
    <cellStyle name="Normal 8 4 2" xfId="41623" xr:uid="{00000000-0005-0000-0000-00008AA20000}"/>
    <cellStyle name="Normal 8 4 2 2" xfId="41624" xr:uid="{00000000-0005-0000-0000-00008BA20000}"/>
    <cellStyle name="Normal 8 4 2 2 2" xfId="41625" xr:uid="{00000000-0005-0000-0000-00008CA20000}"/>
    <cellStyle name="Normal 8 4 2 3" xfId="41626" xr:uid="{00000000-0005-0000-0000-00008DA20000}"/>
    <cellStyle name="Normal 8 4 2 3 2" xfId="41627" xr:uid="{00000000-0005-0000-0000-00008EA20000}"/>
    <cellStyle name="Normal 8 4 2 4" xfId="41628" xr:uid="{00000000-0005-0000-0000-00008FA20000}"/>
    <cellStyle name="Normal 8 4 3" xfId="41629" xr:uid="{00000000-0005-0000-0000-000090A20000}"/>
    <cellStyle name="Normal 8 4 3 2" xfId="41630" xr:uid="{00000000-0005-0000-0000-000091A20000}"/>
    <cellStyle name="Normal 8 4 4" xfId="41631" xr:uid="{00000000-0005-0000-0000-000092A20000}"/>
    <cellStyle name="Normal 8 4 4 2" xfId="41632" xr:uid="{00000000-0005-0000-0000-000093A20000}"/>
    <cellStyle name="Normal 8 4 5" xfId="41633" xr:uid="{00000000-0005-0000-0000-000094A20000}"/>
    <cellStyle name="Normal 8 5" xfId="41634" xr:uid="{00000000-0005-0000-0000-000095A20000}"/>
    <cellStyle name="Normal 8 5 2" xfId="41635" xr:uid="{00000000-0005-0000-0000-000096A20000}"/>
    <cellStyle name="Normal 8 5 2 2" xfId="41636" xr:uid="{00000000-0005-0000-0000-000097A20000}"/>
    <cellStyle name="Normal 8 5 2 2 2" xfId="41637" xr:uid="{00000000-0005-0000-0000-000098A20000}"/>
    <cellStyle name="Normal 8 5 2 3" xfId="41638" xr:uid="{00000000-0005-0000-0000-000099A20000}"/>
    <cellStyle name="Normal 8 5 2 3 2" xfId="41639" xr:uid="{00000000-0005-0000-0000-00009AA20000}"/>
    <cellStyle name="Normal 8 5 2 4" xfId="41640" xr:uid="{00000000-0005-0000-0000-00009BA20000}"/>
    <cellStyle name="Normal 8 5 3" xfId="41641" xr:uid="{00000000-0005-0000-0000-00009CA20000}"/>
    <cellStyle name="Normal 8 5 3 2" xfId="41642" xr:uid="{00000000-0005-0000-0000-00009DA20000}"/>
    <cellStyle name="Normal 8 5 4" xfId="41643" xr:uid="{00000000-0005-0000-0000-00009EA20000}"/>
    <cellStyle name="Normal 8 5 4 2" xfId="41644" xr:uid="{00000000-0005-0000-0000-00009FA20000}"/>
    <cellStyle name="Normal 8 5 5" xfId="41645" xr:uid="{00000000-0005-0000-0000-0000A0A20000}"/>
    <cellStyle name="Normal 8 6" xfId="41646" xr:uid="{00000000-0005-0000-0000-0000A1A20000}"/>
    <cellStyle name="Normal 8 6 2" xfId="41647" xr:uid="{00000000-0005-0000-0000-0000A2A20000}"/>
    <cellStyle name="Normal 8 6 2 2" xfId="41648" xr:uid="{00000000-0005-0000-0000-0000A3A20000}"/>
    <cellStyle name="Normal 8 6 2 2 2" xfId="41649" xr:uid="{00000000-0005-0000-0000-0000A4A20000}"/>
    <cellStyle name="Normal 8 6 2 3" xfId="41650" xr:uid="{00000000-0005-0000-0000-0000A5A20000}"/>
    <cellStyle name="Normal 8 6 2 3 2" xfId="41651" xr:uid="{00000000-0005-0000-0000-0000A6A20000}"/>
    <cellStyle name="Normal 8 6 2 4" xfId="41652" xr:uid="{00000000-0005-0000-0000-0000A7A20000}"/>
    <cellStyle name="Normal 8 6 3" xfId="41653" xr:uid="{00000000-0005-0000-0000-0000A8A20000}"/>
    <cellStyle name="Normal 8 6 3 2" xfId="41654" xr:uid="{00000000-0005-0000-0000-0000A9A20000}"/>
    <cellStyle name="Normal 8 6 4" xfId="41655" xr:uid="{00000000-0005-0000-0000-0000AAA20000}"/>
    <cellStyle name="Normal 8 6 4 2" xfId="41656" xr:uid="{00000000-0005-0000-0000-0000ABA20000}"/>
    <cellStyle name="Normal 8 6 5" xfId="41657" xr:uid="{00000000-0005-0000-0000-0000ACA20000}"/>
    <cellStyle name="Normal 8 7" xfId="41658" xr:uid="{00000000-0005-0000-0000-0000ADA20000}"/>
    <cellStyle name="Normal 8 7 2" xfId="41659" xr:uid="{00000000-0005-0000-0000-0000AEA20000}"/>
    <cellStyle name="Normal 8 7 2 2" xfId="41660" xr:uid="{00000000-0005-0000-0000-0000AFA20000}"/>
    <cellStyle name="Normal 8 7 2 2 2" xfId="41661" xr:uid="{00000000-0005-0000-0000-0000B0A20000}"/>
    <cellStyle name="Normal 8 7 2 3" xfId="41662" xr:uid="{00000000-0005-0000-0000-0000B1A20000}"/>
    <cellStyle name="Normal 8 7 2 3 2" xfId="41663" xr:uid="{00000000-0005-0000-0000-0000B2A20000}"/>
    <cellStyle name="Normal 8 7 2 4" xfId="41664" xr:uid="{00000000-0005-0000-0000-0000B3A20000}"/>
    <cellStyle name="Normal 8 7 3" xfId="41665" xr:uid="{00000000-0005-0000-0000-0000B4A20000}"/>
    <cellStyle name="Normal 8 7 3 2" xfId="41666" xr:uid="{00000000-0005-0000-0000-0000B5A20000}"/>
    <cellStyle name="Normal 8 7 4" xfId="41667" xr:uid="{00000000-0005-0000-0000-0000B6A20000}"/>
    <cellStyle name="Normal 8 7 4 2" xfId="41668" xr:uid="{00000000-0005-0000-0000-0000B7A20000}"/>
    <cellStyle name="Normal 8 7 5" xfId="41669" xr:uid="{00000000-0005-0000-0000-0000B8A20000}"/>
    <cellStyle name="Normal 8 8" xfId="41670" xr:uid="{00000000-0005-0000-0000-0000B9A20000}"/>
    <cellStyle name="Normal 8 9" xfId="41671" xr:uid="{00000000-0005-0000-0000-0000BAA20000}"/>
    <cellStyle name="Normal 80" xfId="41672" xr:uid="{00000000-0005-0000-0000-0000BBA20000}"/>
    <cellStyle name="Normal 80 2" xfId="41673" xr:uid="{00000000-0005-0000-0000-0000BCA20000}"/>
    <cellStyle name="Normal 80 3" xfId="41674" xr:uid="{00000000-0005-0000-0000-0000BDA20000}"/>
    <cellStyle name="Normal 80 4" xfId="41675" xr:uid="{00000000-0005-0000-0000-0000BEA20000}"/>
    <cellStyle name="Normal 80 5" xfId="41676" xr:uid="{00000000-0005-0000-0000-0000BFA20000}"/>
    <cellStyle name="Normal 80 5 2" xfId="41677" xr:uid="{00000000-0005-0000-0000-0000C0A20000}"/>
    <cellStyle name="Normal 80 5 2 2" xfId="41678" xr:uid="{00000000-0005-0000-0000-0000C1A20000}"/>
    <cellStyle name="Normal 80 5 3" xfId="41679" xr:uid="{00000000-0005-0000-0000-0000C2A20000}"/>
    <cellStyle name="Normal 80 5 3 2" xfId="41680" xr:uid="{00000000-0005-0000-0000-0000C3A20000}"/>
    <cellStyle name="Normal 80 5 4" xfId="41681" xr:uid="{00000000-0005-0000-0000-0000C4A20000}"/>
    <cellStyle name="Normal 80 6" xfId="41682" xr:uid="{00000000-0005-0000-0000-0000C5A20000}"/>
    <cellStyle name="Normal 80 6 2" xfId="41683" xr:uid="{00000000-0005-0000-0000-0000C6A20000}"/>
    <cellStyle name="Normal 80 7" xfId="41684" xr:uid="{00000000-0005-0000-0000-0000C7A20000}"/>
    <cellStyle name="Normal 80 7 2" xfId="41685" xr:uid="{00000000-0005-0000-0000-0000C8A20000}"/>
    <cellStyle name="Normal 80 8" xfId="41686" xr:uid="{00000000-0005-0000-0000-0000C9A20000}"/>
    <cellStyle name="Normal 81" xfId="41687" xr:uid="{00000000-0005-0000-0000-0000CAA20000}"/>
    <cellStyle name="Normal 81 2" xfId="41688" xr:uid="{00000000-0005-0000-0000-0000CBA20000}"/>
    <cellStyle name="Normal 81 2 2" xfId="41689" xr:uid="{00000000-0005-0000-0000-0000CCA20000}"/>
    <cellStyle name="Normal 81 2 2 2" xfId="41690" xr:uid="{00000000-0005-0000-0000-0000CDA20000}"/>
    <cellStyle name="Normal 81 2 3" xfId="41691" xr:uid="{00000000-0005-0000-0000-0000CEA20000}"/>
    <cellStyle name="Normal 81 2 3 2" xfId="41692" xr:uid="{00000000-0005-0000-0000-0000CFA20000}"/>
    <cellStyle name="Normal 81 2 4" xfId="41693" xr:uid="{00000000-0005-0000-0000-0000D0A20000}"/>
    <cellStyle name="Normal 81 3" xfId="41694" xr:uid="{00000000-0005-0000-0000-0000D1A20000}"/>
    <cellStyle name="Normal 81 3 2" xfId="41695" xr:uid="{00000000-0005-0000-0000-0000D2A20000}"/>
    <cellStyle name="Normal 81 3 2 2" xfId="41696" xr:uid="{00000000-0005-0000-0000-0000D3A20000}"/>
    <cellStyle name="Normal 81 3 3" xfId="41697" xr:uid="{00000000-0005-0000-0000-0000D4A20000}"/>
    <cellStyle name="Normal 81 3 3 2" xfId="41698" xr:uid="{00000000-0005-0000-0000-0000D5A20000}"/>
    <cellStyle name="Normal 81 3 4" xfId="41699" xr:uid="{00000000-0005-0000-0000-0000D6A20000}"/>
    <cellStyle name="Normal 81 4" xfId="41700" xr:uid="{00000000-0005-0000-0000-0000D7A20000}"/>
    <cellStyle name="Normal 81 4 2" xfId="41701" xr:uid="{00000000-0005-0000-0000-0000D8A20000}"/>
    <cellStyle name="Normal 81 4 2 2" xfId="41702" xr:uid="{00000000-0005-0000-0000-0000D9A20000}"/>
    <cellStyle name="Normal 81 4 3" xfId="41703" xr:uid="{00000000-0005-0000-0000-0000DAA20000}"/>
    <cellStyle name="Normal 81 4 3 2" xfId="41704" xr:uid="{00000000-0005-0000-0000-0000DBA20000}"/>
    <cellStyle name="Normal 81 4 4" xfId="41705" xr:uid="{00000000-0005-0000-0000-0000DCA20000}"/>
    <cellStyle name="Normal 81 5" xfId="41706" xr:uid="{00000000-0005-0000-0000-0000DDA20000}"/>
    <cellStyle name="Normal 81 5 2" xfId="41707" xr:uid="{00000000-0005-0000-0000-0000DEA20000}"/>
    <cellStyle name="Normal 81 6" xfId="41708" xr:uid="{00000000-0005-0000-0000-0000DFA20000}"/>
    <cellStyle name="Normal 81 6 2" xfId="41709" xr:uid="{00000000-0005-0000-0000-0000E0A20000}"/>
    <cellStyle name="Normal 81 7" xfId="41710" xr:uid="{00000000-0005-0000-0000-0000E1A20000}"/>
    <cellStyle name="Normal 82" xfId="41711" xr:uid="{00000000-0005-0000-0000-0000E2A20000}"/>
    <cellStyle name="Normal 82 2" xfId="41712" xr:uid="{00000000-0005-0000-0000-0000E3A20000}"/>
    <cellStyle name="Normal 82 2 2" xfId="41713" xr:uid="{00000000-0005-0000-0000-0000E4A20000}"/>
    <cellStyle name="Normal 82 2 2 2" xfId="41714" xr:uid="{00000000-0005-0000-0000-0000E5A20000}"/>
    <cellStyle name="Normal 82 2 3" xfId="41715" xr:uid="{00000000-0005-0000-0000-0000E6A20000}"/>
    <cellStyle name="Normal 82 2 3 2" xfId="41716" xr:uid="{00000000-0005-0000-0000-0000E7A20000}"/>
    <cellStyle name="Normal 82 2 4" xfId="41717" xr:uid="{00000000-0005-0000-0000-0000E8A20000}"/>
    <cellStyle name="Normal 82 3" xfId="41718" xr:uid="{00000000-0005-0000-0000-0000E9A20000}"/>
    <cellStyle name="Normal 82 3 2" xfId="41719" xr:uid="{00000000-0005-0000-0000-0000EAA20000}"/>
    <cellStyle name="Normal 82 3 2 2" xfId="41720" xr:uid="{00000000-0005-0000-0000-0000EBA20000}"/>
    <cellStyle name="Normal 82 3 3" xfId="41721" xr:uid="{00000000-0005-0000-0000-0000ECA20000}"/>
    <cellStyle name="Normal 82 3 3 2" xfId="41722" xr:uid="{00000000-0005-0000-0000-0000EDA20000}"/>
    <cellStyle name="Normal 82 3 4" xfId="41723" xr:uid="{00000000-0005-0000-0000-0000EEA20000}"/>
    <cellStyle name="Normal 82 4" xfId="41724" xr:uid="{00000000-0005-0000-0000-0000EFA20000}"/>
    <cellStyle name="Normal 82 4 2" xfId="41725" xr:uid="{00000000-0005-0000-0000-0000F0A20000}"/>
    <cellStyle name="Normal 82 4 2 2" xfId="41726" xr:uid="{00000000-0005-0000-0000-0000F1A20000}"/>
    <cellStyle name="Normal 82 4 3" xfId="41727" xr:uid="{00000000-0005-0000-0000-0000F2A20000}"/>
    <cellStyle name="Normal 82 4 3 2" xfId="41728" xr:uid="{00000000-0005-0000-0000-0000F3A20000}"/>
    <cellStyle name="Normal 82 4 4" xfId="41729" xr:uid="{00000000-0005-0000-0000-0000F4A20000}"/>
    <cellStyle name="Normal 82 5" xfId="41730" xr:uid="{00000000-0005-0000-0000-0000F5A20000}"/>
    <cellStyle name="Normal 82 5 2" xfId="41731" xr:uid="{00000000-0005-0000-0000-0000F6A20000}"/>
    <cellStyle name="Normal 82 6" xfId="41732" xr:uid="{00000000-0005-0000-0000-0000F7A20000}"/>
    <cellStyle name="Normal 82 6 2" xfId="41733" xr:uid="{00000000-0005-0000-0000-0000F8A20000}"/>
    <cellStyle name="Normal 82 7" xfId="41734" xr:uid="{00000000-0005-0000-0000-0000F9A20000}"/>
    <cellStyle name="Normal 83" xfId="41735" xr:uid="{00000000-0005-0000-0000-0000FAA20000}"/>
    <cellStyle name="Normal 83 2" xfId="41736" xr:uid="{00000000-0005-0000-0000-0000FBA20000}"/>
    <cellStyle name="Normal 83 2 2" xfId="41737" xr:uid="{00000000-0005-0000-0000-0000FCA20000}"/>
    <cellStyle name="Normal 83 2 2 2" xfId="41738" xr:uid="{00000000-0005-0000-0000-0000FDA20000}"/>
    <cellStyle name="Normal 83 2 3" xfId="41739" xr:uid="{00000000-0005-0000-0000-0000FEA20000}"/>
    <cellStyle name="Normal 83 2 3 2" xfId="41740" xr:uid="{00000000-0005-0000-0000-0000FFA20000}"/>
    <cellStyle name="Normal 83 2 4" xfId="41741" xr:uid="{00000000-0005-0000-0000-000000A30000}"/>
    <cellStyle name="Normal 83 3" xfId="41742" xr:uid="{00000000-0005-0000-0000-000001A30000}"/>
    <cellStyle name="Normal 83 3 2" xfId="41743" xr:uid="{00000000-0005-0000-0000-000002A30000}"/>
    <cellStyle name="Normal 83 3 2 2" xfId="41744" xr:uid="{00000000-0005-0000-0000-000003A30000}"/>
    <cellStyle name="Normal 83 3 3" xfId="41745" xr:uid="{00000000-0005-0000-0000-000004A30000}"/>
    <cellStyle name="Normal 83 3 3 2" xfId="41746" xr:uid="{00000000-0005-0000-0000-000005A30000}"/>
    <cellStyle name="Normal 83 3 4" xfId="41747" xr:uid="{00000000-0005-0000-0000-000006A30000}"/>
    <cellStyle name="Normal 83 4" xfId="41748" xr:uid="{00000000-0005-0000-0000-000007A30000}"/>
    <cellStyle name="Normal 83 4 2" xfId="41749" xr:uid="{00000000-0005-0000-0000-000008A30000}"/>
    <cellStyle name="Normal 83 4 2 2" xfId="41750" xr:uid="{00000000-0005-0000-0000-000009A30000}"/>
    <cellStyle name="Normal 83 4 3" xfId="41751" xr:uid="{00000000-0005-0000-0000-00000AA30000}"/>
    <cellStyle name="Normal 83 4 3 2" xfId="41752" xr:uid="{00000000-0005-0000-0000-00000BA30000}"/>
    <cellStyle name="Normal 83 4 4" xfId="41753" xr:uid="{00000000-0005-0000-0000-00000CA30000}"/>
    <cellStyle name="Normal 83 5" xfId="41754" xr:uid="{00000000-0005-0000-0000-00000DA30000}"/>
    <cellStyle name="Normal 83 5 2" xfId="41755" xr:uid="{00000000-0005-0000-0000-00000EA30000}"/>
    <cellStyle name="Normal 83 6" xfId="41756" xr:uid="{00000000-0005-0000-0000-00000FA30000}"/>
    <cellStyle name="Normal 83 6 2" xfId="41757" xr:uid="{00000000-0005-0000-0000-000010A30000}"/>
    <cellStyle name="Normal 83 7" xfId="41758" xr:uid="{00000000-0005-0000-0000-000011A30000}"/>
    <cellStyle name="Normal 84" xfId="41759" xr:uid="{00000000-0005-0000-0000-000012A30000}"/>
    <cellStyle name="Normal 84 2" xfId="41760" xr:uid="{00000000-0005-0000-0000-000013A30000}"/>
    <cellStyle name="Normal 84 2 2" xfId="41761" xr:uid="{00000000-0005-0000-0000-000014A30000}"/>
    <cellStyle name="Normal 84 2 2 2" xfId="41762" xr:uid="{00000000-0005-0000-0000-000015A30000}"/>
    <cellStyle name="Normal 84 2 3" xfId="41763" xr:uid="{00000000-0005-0000-0000-000016A30000}"/>
    <cellStyle name="Normal 84 2 3 2" xfId="41764" xr:uid="{00000000-0005-0000-0000-000017A30000}"/>
    <cellStyle name="Normal 84 2 4" xfId="41765" xr:uid="{00000000-0005-0000-0000-000018A30000}"/>
    <cellStyle name="Normal 84 3" xfId="41766" xr:uid="{00000000-0005-0000-0000-000019A30000}"/>
    <cellStyle name="Normal 84 3 2" xfId="41767" xr:uid="{00000000-0005-0000-0000-00001AA30000}"/>
    <cellStyle name="Normal 84 3 2 2" xfId="41768" xr:uid="{00000000-0005-0000-0000-00001BA30000}"/>
    <cellStyle name="Normal 84 3 3" xfId="41769" xr:uid="{00000000-0005-0000-0000-00001CA30000}"/>
    <cellStyle name="Normal 84 3 3 2" xfId="41770" xr:uid="{00000000-0005-0000-0000-00001DA30000}"/>
    <cellStyle name="Normal 84 3 4" xfId="41771" xr:uid="{00000000-0005-0000-0000-00001EA30000}"/>
    <cellStyle name="Normal 84 4" xfId="41772" xr:uid="{00000000-0005-0000-0000-00001FA30000}"/>
    <cellStyle name="Normal 84 4 2" xfId="41773" xr:uid="{00000000-0005-0000-0000-000020A30000}"/>
    <cellStyle name="Normal 84 4 2 2" xfId="41774" xr:uid="{00000000-0005-0000-0000-000021A30000}"/>
    <cellStyle name="Normal 84 4 3" xfId="41775" xr:uid="{00000000-0005-0000-0000-000022A30000}"/>
    <cellStyle name="Normal 84 4 3 2" xfId="41776" xr:uid="{00000000-0005-0000-0000-000023A30000}"/>
    <cellStyle name="Normal 84 4 4" xfId="41777" xr:uid="{00000000-0005-0000-0000-000024A30000}"/>
    <cellStyle name="Normal 85" xfId="41778" xr:uid="{00000000-0005-0000-0000-000025A30000}"/>
    <cellStyle name="Normal 85 2" xfId="41779" xr:uid="{00000000-0005-0000-0000-000026A30000}"/>
    <cellStyle name="Normal 85 2 2" xfId="41780" xr:uid="{00000000-0005-0000-0000-000027A30000}"/>
    <cellStyle name="Normal 85 2 2 2" xfId="41781" xr:uid="{00000000-0005-0000-0000-000028A30000}"/>
    <cellStyle name="Normal 85 2 3" xfId="41782" xr:uid="{00000000-0005-0000-0000-000029A30000}"/>
    <cellStyle name="Normal 85 2 3 2" xfId="41783" xr:uid="{00000000-0005-0000-0000-00002AA30000}"/>
    <cellStyle name="Normal 85 2 4" xfId="41784" xr:uid="{00000000-0005-0000-0000-00002BA30000}"/>
    <cellStyle name="Normal 85 2 4 2" xfId="41785" xr:uid="{00000000-0005-0000-0000-00002CA30000}"/>
    <cellStyle name="Normal 85 2 5" xfId="41786" xr:uid="{00000000-0005-0000-0000-00002DA30000}"/>
    <cellStyle name="Normal 85 3" xfId="41787" xr:uid="{00000000-0005-0000-0000-00002EA30000}"/>
    <cellStyle name="Normal 85 3 2" xfId="41788" xr:uid="{00000000-0005-0000-0000-00002FA30000}"/>
    <cellStyle name="Normal 85 3 2 2" xfId="41789" xr:uid="{00000000-0005-0000-0000-000030A30000}"/>
    <cellStyle name="Normal 85 3 3" xfId="41790" xr:uid="{00000000-0005-0000-0000-000031A30000}"/>
    <cellStyle name="Normal 85 3 3 2" xfId="41791" xr:uid="{00000000-0005-0000-0000-000032A30000}"/>
    <cellStyle name="Normal 85 3 4" xfId="41792" xr:uid="{00000000-0005-0000-0000-000033A30000}"/>
    <cellStyle name="Normal 85 4" xfId="41793" xr:uid="{00000000-0005-0000-0000-000034A30000}"/>
    <cellStyle name="Normal 85 4 2" xfId="41794" xr:uid="{00000000-0005-0000-0000-000035A30000}"/>
    <cellStyle name="Normal 85 4 2 2" xfId="41795" xr:uid="{00000000-0005-0000-0000-000036A30000}"/>
    <cellStyle name="Normal 85 4 3" xfId="41796" xr:uid="{00000000-0005-0000-0000-000037A30000}"/>
    <cellStyle name="Normal 85 4 3 2" xfId="41797" xr:uid="{00000000-0005-0000-0000-000038A30000}"/>
    <cellStyle name="Normal 85 4 4" xfId="41798" xr:uid="{00000000-0005-0000-0000-000039A30000}"/>
    <cellStyle name="Normal 85 5" xfId="41799" xr:uid="{00000000-0005-0000-0000-00003AA30000}"/>
    <cellStyle name="Normal 85 5 2" xfId="41800" xr:uid="{00000000-0005-0000-0000-00003BA30000}"/>
    <cellStyle name="Normal 85 6" xfId="41801" xr:uid="{00000000-0005-0000-0000-00003CA30000}"/>
    <cellStyle name="Normal 85 6 2" xfId="41802" xr:uid="{00000000-0005-0000-0000-00003DA30000}"/>
    <cellStyle name="Normal 85 7" xfId="41803" xr:uid="{00000000-0005-0000-0000-00003EA30000}"/>
    <cellStyle name="Normal 86" xfId="41804" xr:uid="{00000000-0005-0000-0000-00003FA30000}"/>
    <cellStyle name="Normal 87" xfId="41805" xr:uid="{00000000-0005-0000-0000-000040A30000}"/>
    <cellStyle name="Normal 87 2" xfId="41806" xr:uid="{00000000-0005-0000-0000-000041A30000}"/>
    <cellStyle name="Normal 87 2 2" xfId="41807" xr:uid="{00000000-0005-0000-0000-000042A30000}"/>
    <cellStyle name="Normal 87 2 2 2" xfId="41808" xr:uid="{00000000-0005-0000-0000-000043A30000}"/>
    <cellStyle name="Normal 87 2 3" xfId="41809" xr:uid="{00000000-0005-0000-0000-000044A30000}"/>
    <cellStyle name="Normal 87 2 3 2" xfId="41810" xr:uid="{00000000-0005-0000-0000-000045A30000}"/>
    <cellStyle name="Normal 87 2 4" xfId="41811" xr:uid="{00000000-0005-0000-0000-000046A30000}"/>
    <cellStyle name="Normal 87 3" xfId="41812" xr:uid="{00000000-0005-0000-0000-000047A30000}"/>
    <cellStyle name="Normal 87 3 2" xfId="41813" xr:uid="{00000000-0005-0000-0000-000048A30000}"/>
    <cellStyle name="Normal 87 3 2 2" xfId="41814" xr:uid="{00000000-0005-0000-0000-000049A30000}"/>
    <cellStyle name="Normal 87 3 3" xfId="41815" xr:uid="{00000000-0005-0000-0000-00004AA30000}"/>
    <cellStyle name="Normal 87 3 3 2" xfId="41816" xr:uid="{00000000-0005-0000-0000-00004BA30000}"/>
    <cellStyle name="Normal 87 3 4" xfId="41817" xr:uid="{00000000-0005-0000-0000-00004CA30000}"/>
    <cellStyle name="Normal 87 4" xfId="41818" xr:uid="{00000000-0005-0000-0000-00004DA30000}"/>
    <cellStyle name="Normal 87 4 2" xfId="41819" xr:uid="{00000000-0005-0000-0000-00004EA30000}"/>
    <cellStyle name="Normal 87 4 2 2" xfId="41820" xr:uid="{00000000-0005-0000-0000-00004FA30000}"/>
    <cellStyle name="Normal 87 4 3" xfId="41821" xr:uid="{00000000-0005-0000-0000-000050A30000}"/>
    <cellStyle name="Normal 87 4 3 2" xfId="41822" xr:uid="{00000000-0005-0000-0000-000051A30000}"/>
    <cellStyle name="Normal 87 4 4" xfId="41823" xr:uid="{00000000-0005-0000-0000-000052A30000}"/>
    <cellStyle name="Normal 87 5" xfId="41824" xr:uid="{00000000-0005-0000-0000-000053A30000}"/>
    <cellStyle name="Normal 87 5 2" xfId="41825" xr:uid="{00000000-0005-0000-0000-000054A30000}"/>
    <cellStyle name="Normal 87 6" xfId="41826" xr:uid="{00000000-0005-0000-0000-000055A30000}"/>
    <cellStyle name="Normal 87 6 2" xfId="41827" xr:uid="{00000000-0005-0000-0000-000056A30000}"/>
    <cellStyle name="Normal 87 7" xfId="41828" xr:uid="{00000000-0005-0000-0000-000057A30000}"/>
    <cellStyle name="Normal 88" xfId="41829" xr:uid="{00000000-0005-0000-0000-000058A30000}"/>
    <cellStyle name="Normal 88 2" xfId="41830" xr:uid="{00000000-0005-0000-0000-000059A30000}"/>
    <cellStyle name="Normal 88 3" xfId="41831" xr:uid="{00000000-0005-0000-0000-00005AA30000}"/>
    <cellStyle name="Normal 88 4" xfId="41832" xr:uid="{00000000-0005-0000-0000-00005BA30000}"/>
    <cellStyle name="Normal 89" xfId="41833" xr:uid="{00000000-0005-0000-0000-00005CA30000}"/>
    <cellStyle name="Normal 89 2" xfId="41834" xr:uid="{00000000-0005-0000-0000-00005DA30000}"/>
    <cellStyle name="Normal 89 2 2" xfId="41835" xr:uid="{00000000-0005-0000-0000-00005EA30000}"/>
    <cellStyle name="Normal 89 3" xfId="41836" xr:uid="{00000000-0005-0000-0000-00005FA30000}"/>
    <cellStyle name="Normal 89 3 2" xfId="41837" xr:uid="{00000000-0005-0000-0000-000060A30000}"/>
    <cellStyle name="Normal 89 4" xfId="41838" xr:uid="{00000000-0005-0000-0000-000061A30000}"/>
    <cellStyle name="Normal 9" xfId="41839" xr:uid="{00000000-0005-0000-0000-000062A30000}"/>
    <cellStyle name="Normal 9 10" xfId="41840" xr:uid="{00000000-0005-0000-0000-000063A30000}"/>
    <cellStyle name="Normal 9 11" xfId="41841" xr:uid="{00000000-0005-0000-0000-000064A30000}"/>
    <cellStyle name="Normal 9 12" xfId="41842" xr:uid="{00000000-0005-0000-0000-000065A30000}"/>
    <cellStyle name="Normal 9 13" xfId="41843" xr:uid="{00000000-0005-0000-0000-000066A30000}"/>
    <cellStyle name="Normal 9 14" xfId="41844" xr:uid="{00000000-0005-0000-0000-000067A30000}"/>
    <cellStyle name="Normal 9 15" xfId="41845" xr:uid="{00000000-0005-0000-0000-000068A30000}"/>
    <cellStyle name="Normal 9 16" xfId="41846" xr:uid="{00000000-0005-0000-0000-000069A30000}"/>
    <cellStyle name="Normal 9 17" xfId="41847" xr:uid="{00000000-0005-0000-0000-00006AA30000}"/>
    <cellStyle name="Normal 9 18" xfId="41848" xr:uid="{00000000-0005-0000-0000-00006BA30000}"/>
    <cellStyle name="Normal 9 19" xfId="41849" xr:uid="{00000000-0005-0000-0000-00006CA30000}"/>
    <cellStyle name="Normal 9 2" xfId="41850" xr:uid="{00000000-0005-0000-0000-00006DA30000}"/>
    <cellStyle name="Normal 9 2 2" xfId="41851" xr:uid="{00000000-0005-0000-0000-00006EA30000}"/>
    <cellStyle name="Normal 9 2 2 2" xfId="41852" xr:uid="{00000000-0005-0000-0000-00006FA30000}"/>
    <cellStyle name="Normal 9 2 2 2 2" xfId="41853" xr:uid="{00000000-0005-0000-0000-000070A30000}"/>
    <cellStyle name="Normal 9 2 2 3" xfId="41854" xr:uid="{00000000-0005-0000-0000-000071A30000}"/>
    <cellStyle name="Normal 9 2 2 4" xfId="41855" xr:uid="{00000000-0005-0000-0000-000072A30000}"/>
    <cellStyle name="Normal 9 2 3" xfId="41856" xr:uid="{00000000-0005-0000-0000-000073A30000}"/>
    <cellStyle name="Normal 9 2 3 2" xfId="41857" xr:uid="{00000000-0005-0000-0000-000074A30000}"/>
    <cellStyle name="Normal 9 2 3 2 2" xfId="41858" xr:uid="{00000000-0005-0000-0000-000075A30000}"/>
    <cellStyle name="Normal 9 2 3 3" xfId="41859" xr:uid="{00000000-0005-0000-0000-000076A30000}"/>
    <cellStyle name="Normal 9 2 3 4" xfId="41860" xr:uid="{00000000-0005-0000-0000-000077A30000}"/>
    <cellStyle name="Normal 9 2 4" xfId="41861" xr:uid="{00000000-0005-0000-0000-000078A30000}"/>
    <cellStyle name="Normal 9 2 4 2" xfId="41862" xr:uid="{00000000-0005-0000-0000-000079A30000}"/>
    <cellStyle name="Normal 9 2 5" xfId="41863" xr:uid="{00000000-0005-0000-0000-00007AA30000}"/>
    <cellStyle name="Normal 9 2 6" xfId="41864" xr:uid="{00000000-0005-0000-0000-00007BA30000}"/>
    <cellStyle name="Normal 9 2 7" xfId="41865" xr:uid="{00000000-0005-0000-0000-00007CA30000}"/>
    <cellStyle name="Normal 9 20" xfId="41866" xr:uid="{00000000-0005-0000-0000-00007DA30000}"/>
    <cellStyle name="Normal 9 21" xfId="41867" xr:uid="{00000000-0005-0000-0000-00007EA30000}"/>
    <cellStyle name="Normal 9 22" xfId="41868" xr:uid="{00000000-0005-0000-0000-00007FA30000}"/>
    <cellStyle name="Normal 9 23" xfId="41869" xr:uid="{00000000-0005-0000-0000-000080A30000}"/>
    <cellStyle name="Normal 9 24" xfId="41870" xr:uid="{00000000-0005-0000-0000-000081A30000}"/>
    <cellStyle name="Normal 9 25" xfId="41871" xr:uid="{00000000-0005-0000-0000-000082A30000}"/>
    <cellStyle name="Normal 9 26" xfId="41872" xr:uid="{00000000-0005-0000-0000-000083A30000}"/>
    <cellStyle name="Normal 9 27" xfId="41873" xr:uid="{00000000-0005-0000-0000-000084A30000}"/>
    <cellStyle name="Normal 9 28" xfId="41874" xr:uid="{00000000-0005-0000-0000-000085A30000}"/>
    <cellStyle name="Normal 9 29" xfId="41875" xr:uid="{00000000-0005-0000-0000-000086A30000}"/>
    <cellStyle name="Normal 9 3" xfId="41876" xr:uid="{00000000-0005-0000-0000-000087A30000}"/>
    <cellStyle name="Normal 9 3 2" xfId="41877" xr:uid="{00000000-0005-0000-0000-000088A30000}"/>
    <cellStyle name="Normal 9 3 2 2" xfId="41878" xr:uid="{00000000-0005-0000-0000-000089A30000}"/>
    <cellStyle name="Normal 9 3 3" xfId="41879" xr:uid="{00000000-0005-0000-0000-00008AA30000}"/>
    <cellStyle name="Normal 9 3 4" xfId="41880" xr:uid="{00000000-0005-0000-0000-00008BA30000}"/>
    <cellStyle name="Normal 9 3 5" xfId="41881" xr:uid="{00000000-0005-0000-0000-00008CA30000}"/>
    <cellStyle name="Normal 9 30" xfId="41882" xr:uid="{00000000-0005-0000-0000-00008DA30000}"/>
    <cellStyle name="Normal 9 31" xfId="41883" xr:uid="{00000000-0005-0000-0000-00008EA30000}"/>
    <cellStyle name="Normal 9 32" xfId="41884" xr:uid="{00000000-0005-0000-0000-00008FA30000}"/>
    <cellStyle name="Normal 9 33" xfId="41885" xr:uid="{00000000-0005-0000-0000-000090A30000}"/>
    <cellStyle name="Normal 9 34" xfId="41886" xr:uid="{00000000-0005-0000-0000-000091A30000}"/>
    <cellStyle name="Normal 9 35" xfId="41887" xr:uid="{00000000-0005-0000-0000-000092A30000}"/>
    <cellStyle name="Normal 9 36" xfId="41888" xr:uid="{00000000-0005-0000-0000-000093A30000}"/>
    <cellStyle name="Normal 9 37" xfId="41889" xr:uid="{00000000-0005-0000-0000-000094A30000}"/>
    <cellStyle name="Normal 9 38" xfId="41890" xr:uid="{00000000-0005-0000-0000-000095A30000}"/>
    <cellStyle name="Normal 9 39" xfId="41891" xr:uid="{00000000-0005-0000-0000-000096A30000}"/>
    <cellStyle name="Normal 9 4" xfId="41892" xr:uid="{00000000-0005-0000-0000-000097A30000}"/>
    <cellStyle name="Normal 9 4 2" xfId="41893" xr:uid="{00000000-0005-0000-0000-000098A30000}"/>
    <cellStyle name="Normal 9 4 2 2" xfId="41894" xr:uid="{00000000-0005-0000-0000-000099A30000}"/>
    <cellStyle name="Normal 9 4 3" xfId="41895" xr:uid="{00000000-0005-0000-0000-00009AA30000}"/>
    <cellStyle name="Normal 9 4 4" xfId="41896" xr:uid="{00000000-0005-0000-0000-00009BA30000}"/>
    <cellStyle name="Normal 9 4 5" xfId="41897" xr:uid="{00000000-0005-0000-0000-00009CA30000}"/>
    <cellStyle name="Normal 9 5" xfId="41898" xr:uid="{00000000-0005-0000-0000-00009DA30000}"/>
    <cellStyle name="Normal 9 5 2" xfId="41899" xr:uid="{00000000-0005-0000-0000-00009EA30000}"/>
    <cellStyle name="Normal 9 5 3" xfId="41900" xr:uid="{00000000-0005-0000-0000-00009FA30000}"/>
    <cellStyle name="Normal 9 6" xfId="41901" xr:uid="{00000000-0005-0000-0000-0000A0A30000}"/>
    <cellStyle name="Normal 9 6 2" xfId="41902" xr:uid="{00000000-0005-0000-0000-0000A1A30000}"/>
    <cellStyle name="Normal 9 6 2 2" xfId="41903" xr:uid="{00000000-0005-0000-0000-0000A2A30000}"/>
    <cellStyle name="Normal 9 6 3" xfId="41904" xr:uid="{00000000-0005-0000-0000-0000A3A30000}"/>
    <cellStyle name="Normal 9 6 3 2" xfId="41905" xr:uid="{00000000-0005-0000-0000-0000A4A30000}"/>
    <cellStyle name="Normal 9 6 4" xfId="41906" xr:uid="{00000000-0005-0000-0000-0000A5A30000}"/>
    <cellStyle name="Normal 9 7" xfId="41907" xr:uid="{00000000-0005-0000-0000-0000A6A30000}"/>
    <cellStyle name="Normal 9 7 2" xfId="41908" xr:uid="{00000000-0005-0000-0000-0000A7A30000}"/>
    <cellStyle name="Normal 9 7 2 2" xfId="41909" xr:uid="{00000000-0005-0000-0000-0000A8A30000}"/>
    <cellStyle name="Normal 9 7 3" xfId="41910" xr:uid="{00000000-0005-0000-0000-0000A9A30000}"/>
    <cellStyle name="Normal 9 7 3 2" xfId="41911" xr:uid="{00000000-0005-0000-0000-0000AAA30000}"/>
    <cellStyle name="Normal 9 7 4" xfId="41912" xr:uid="{00000000-0005-0000-0000-0000ABA30000}"/>
    <cellStyle name="Normal 9 8" xfId="41913" xr:uid="{00000000-0005-0000-0000-0000ACA30000}"/>
    <cellStyle name="Normal 9 9" xfId="41914" xr:uid="{00000000-0005-0000-0000-0000ADA30000}"/>
    <cellStyle name="Normal 90" xfId="41915" xr:uid="{00000000-0005-0000-0000-0000AEA30000}"/>
    <cellStyle name="Normal 90 2" xfId="41916" xr:uid="{00000000-0005-0000-0000-0000AFA30000}"/>
    <cellStyle name="Normal 90 2 2" xfId="41917" xr:uid="{00000000-0005-0000-0000-0000B0A30000}"/>
    <cellStyle name="Normal 90 3" xfId="41918" xr:uid="{00000000-0005-0000-0000-0000B1A30000}"/>
    <cellStyle name="Normal 90 3 2" xfId="41919" xr:uid="{00000000-0005-0000-0000-0000B2A30000}"/>
    <cellStyle name="Normal 90 4" xfId="41920" xr:uid="{00000000-0005-0000-0000-0000B3A30000}"/>
    <cellStyle name="Normal 91" xfId="41921" xr:uid="{00000000-0005-0000-0000-0000B4A30000}"/>
    <cellStyle name="Normal 91 2" xfId="41922" xr:uid="{00000000-0005-0000-0000-0000B5A30000}"/>
    <cellStyle name="Normal 91 2 2" xfId="41923" xr:uid="{00000000-0005-0000-0000-0000B6A30000}"/>
    <cellStyle name="Normal 91 2 2 2" xfId="41924" xr:uid="{00000000-0005-0000-0000-0000B7A30000}"/>
    <cellStyle name="Normal 91 2 3" xfId="41925" xr:uid="{00000000-0005-0000-0000-0000B8A30000}"/>
    <cellStyle name="Normal 91 2 3 2" xfId="41926" xr:uid="{00000000-0005-0000-0000-0000B9A30000}"/>
    <cellStyle name="Normal 91 2 4" xfId="41927" xr:uid="{00000000-0005-0000-0000-0000BAA30000}"/>
    <cellStyle name="Normal 91 3" xfId="41928" xr:uid="{00000000-0005-0000-0000-0000BBA30000}"/>
    <cellStyle name="Normal 91 3 2" xfId="41929" xr:uid="{00000000-0005-0000-0000-0000BCA30000}"/>
    <cellStyle name="Normal 91 4" xfId="41930" xr:uid="{00000000-0005-0000-0000-0000BDA30000}"/>
    <cellStyle name="Normal 91 4 2" xfId="41931" xr:uid="{00000000-0005-0000-0000-0000BEA30000}"/>
    <cellStyle name="Normal 91 5" xfId="41932" xr:uid="{00000000-0005-0000-0000-0000BFA30000}"/>
    <cellStyle name="Normal 92" xfId="41933" xr:uid="{00000000-0005-0000-0000-0000C0A30000}"/>
    <cellStyle name="Normal 92 2" xfId="41934" xr:uid="{00000000-0005-0000-0000-0000C1A30000}"/>
    <cellStyle name="Normal 92 2 2" xfId="41935" xr:uid="{00000000-0005-0000-0000-0000C2A30000}"/>
    <cellStyle name="Normal 92 2 2 2" xfId="41936" xr:uid="{00000000-0005-0000-0000-0000C3A30000}"/>
    <cellStyle name="Normal 92 2 3" xfId="41937" xr:uid="{00000000-0005-0000-0000-0000C4A30000}"/>
    <cellStyle name="Normal 92 2 3 2" xfId="41938" xr:uid="{00000000-0005-0000-0000-0000C5A30000}"/>
    <cellStyle name="Normal 92 2 4" xfId="41939" xr:uid="{00000000-0005-0000-0000-0000C6A30000}"/>
    <cellStyle name="Normal 92 3" xfId="41940" xr:uid="{00000000-0005-0000-0000-0000C7A30000}"/>
    <cellStyle name="Normal 92 3 2" xfId="41941" xr:uid="{00000000-0005-0000-0000-0000C8A30000}"/>
    <cellStyle name="Normal 92 3 2 2" xfId="41942" xr:uid="{00000000-0005-0000-0000-0000C9A30000}"/>
    <cellStyle name="Normal 92 3 3" xfId="41943" xr:uid="{00000000-0005-0000-0000-0000CAA30000}"/>
    <cellStyle name="Normal 92 3 3 2" xfId="41944" xr:uid="{00000000-0005-0000-0000-0000CBA30000}"/>
    <cellStyle name="Normal 92 3 4" xfId="41945" xr:uid="{00000000-0005-0000-0000-0000CCA30000}"/>
    <cellStyle name="Normal 92 4" xfId="41946" xr:uid="{00000000-0005-0000-0000-0000CDA30000}"/>
    <cellStyle name="Normal 92 4 2" xfId="41947" xr:uid="{00000000-0005-0000-0000-0000CEA30000}"/>
    <cellStyle name="Normal 92 4 2 2" xfId="41948" xr:uid="{00000000-0005-0000-0000-0000CFA30000}"/>
    <cellStyle name="Normal 92 4 3" xfId="41949" xr:uid="{00000000-0005-0000-0000-0000D0A30000}"/>
    <cellStyle name="Normal 92 4 3 2" xfId="41950" xr:uid="{00000000-0005-0000-0000-0000D1A30000}"/>
    <cellStyle name="Normal 92 4 4" xfId="41951" xr:uid="{00000000-0005-0000-0000-0000D2A30000}"/>
    <cellStyle name="Normal 92 5" xfId="41952" xr:uid="{00000000-0005-0000-0000-0000D3A30000}"/>
    <cellStyle name="Normal 92 5 2" xfId="41953" xr:uid="{00000000-0005-0000-0000-0000D4A30000}"/>
    <cellStyle name="Normal 92 5 2 2" xfId="41954" xr:uid="{00000000-0005-0000-0000-0000D5A30000}"/>
    <cellStyle name="Normal 92 5 3" xfId="41955" xr:uid="{00000000-0005-0000-0000-0000D6A30000}"/>
    <cellStyle name="Normal 92 5 3 2" xfId="41956" xr:uid="{00000000-0005-0000-0000-0000D7A30000}"/>
    <cellStyle name="Normal 92 5 4" xfId="41957" xr:uid="{00000000-0005-0000-0000-0000D8A30000}"/>
    <cellStyle name="Normal 93" xfId="41958" xr:uid="{00000000-0005-0000-0000-0000D9A30000}"/>
    <cellStyle name="Normal 93 2" xfId="41959" xr:uid="{00000000-0005-0000-0000-0000DAA30000}"/>
    <cellStyle name="Normal 93 2 2" xfId="41960" xr:uid="{00000000-0005-0000-0000-0000DBA30000}"/>
    <cellStyle name="Normal 93 3" xfId="41961" xr:uid="{00000000-0005-0000-0000-0000DCA30000}"/>
    <cellStyle name="Normal 93 3 2" xfId="41962" xr:uid="{00000000-0005-0000-0000-0000DDA30000}"/>
    <cellStyle name="Normal 93 4" xfId="41963" xr:uid="{00000000-0005-0000-0000-0000DEA30000}"/>
    <cellStyle name="Normal 94" xfId="41964" xr:uid="{00000000-0005-0000-0000-0000DFA30000}"/>
    <cellStyle name="Normal 94 2" xfId="41965" xr:uid="{00000000-0005-0000-0000-0000E0A30000}"/>
    <cellStyle name="Normal 94 2 2" xfId="41966" xr:uid="{00000000-0005-0000-0000-0000E1A30000}"/>
    <cellStyle name="Normal 94 3" xfId="41967" xr:uid="{00000000-0005-0000-0000-0000E2A30000}"/>
    <cellStyle name="Normal 94 3 2" xfId="41968" xr:uid="{00000000-0005-0000-0000-0000E3A30000}"/>
    <cellStyle name="Normal 94 4" xfId="41969" xr:uid="{00000000-0005-0000-0000-0000E4A30000}"/>
    <cellStyle name="Normal 95" xfId="41970" xr:uid="{00000000-0005-0000-0000-0000E5A30000}"/>
    <cellStyle name="Normal 95 2" xfId="41971" xr:uid="{00000000-0005-0000-0000-0000E6A30000}"/>
    <cellStyle name="Normal 95 2 2" xfId="41972" xr:uid="{00000000-0005-0000-0000-0000E7A30000}"/>
    <cellStyle name="Normal 95 2 2 2" xfId="41973" xr:uid="{00000000-0005-0000-0000-0000E8A30000}"/>
    <cellStyle name="Normal 95 2 3" xfId="41974" xr:uid="{00000000-0005-0000-0000-0000E9A30000}"/>
    <cellStyle name="Normal 95 2 3 2" xfId="41975" xr:uid="{00000000-0005-0000-0000-0000EAA30000}"/>
    <cellStyle name="Normal 95 2 4" xfId="41976" xr:uid="{00000000-0005-0000-0000-0000EBA30000}"/>
    <cellStyle name="Normal 95 3" xfId="41977" xr:uid="{00000000-0005-0000-0000-0000ECA30000}"/>
    <cellStyle name="Normal 95 3 2" xfId="41978" xr:uid="{00000000-0005-0000-0000-0000EDA30000}"/>
    <cellStyle name="Normal 95 3 2 2" xfId="41979" xr:uid="{00000000-0005-0000-0000-0000EEA30000}"/>
    <cellStyle name="Normal 95 3 3" xfId="41980" xr:uid="{00000000-0005-0000-0000-0000EFA30000}"/>
    <cellStyle name="Normal 95 3 3 2" xfId="41981" xr:uid="{00000000-0005-0000-0000-0000F0A30000}"/>
    <cellStyle name="Normal 95 3 4" xfId="41982" xr:uid="{00000000-0005-0000-0000-0000F1A30000}"/>
    <cellStyle name="Normal 95 4" xfId="41983" xr:uid="{00000000-0005-0000-0000-0000F2A30000}"/>
    <cellStyle name="Normal 95 5" xfId="41984" xr:uid="{00000000-0005-0000-0000-0000F3A30000}"/>
    <cellStyle name="Normal 95 5 2" xfId="41985" xr:uid="{00000000-0005-0000-0000-0000F4A30000}"/>
    <cellStyle name="Normal 95 6" xfId="41986" xr:uid="{00000000-0005-0000-0000-0000F5A30000}"/>
    <cellStyle name="Normal 95 6 2" xfId="41987" xr:uid="{00000000-0005-0000-0000-0000F6A30000}"/>
    <cellStyle name="Normal 95 7" xfId="41988" xr:uid="{00000000-0005-0000-0000-0000F7A30000}"/>
    <cellStyle name="Normal 96" xfId="41989" xr:uid="{00000000-0005-0000-0000-0000F8A30000}"/>
    <cellStyle name="Normal 96 2" xfId="41990" xr:uid="{00000000-0005-0000-0000-0000F9A30000}"/>
    <cellStyle name="Normal 96 2 2" xfId="41991" xr:uid="{00000000-0005-0000-0000-0000FAA30000}"/>
    <cellStyle name="Normal 96 3" xfId="41992" xr:uid="{00000000-0005-0000-0000-0000FBA30000}"/>
    <cellStyle name="Normal 96 3 2" xfId="41993" xr:uid="{00000000-0005-0000-0000-0000FCA30000}"/>
    <cellStyle name="Normal 96 4" xfId="41994" xr:uid="{00000000-0005-0000-0000-0000FDA30000}"/>
    <cellStyle name="Normal 97" xfId="41995" xr:uid="{00000000-0005-0000-0000-0000FEA30000}"/>
    <cellStyle name="Normal 97 2" xfId="41996" xr:uid="{00000000-0005-0000-0000-0000FFA30000}"/>
    <cellStyle name="Normal 97 2 2" xfId="41997" xr:uid="{00000000-0005-0000-0000-000000A40000}"/>
    <cellStyle name="Normal 97 3" xfId="41998" xr:uid="{00000000-0005-0000-0000-000001A40000}"/>
    <cellStyle name="Normal 97 3 2" xfId="41999" xr:uid="{00000000-0005-0000-0000-000002A40000}"/>
    <cellStyle name="Normal 97 4" xfId="42000" xr:uid="{00000000-0005-0000-0000-000003A40000}"/>
    <cellStyle name="Normal 98" xfId="42001" xr:uid="{00000000-0005-0000-0000-000004A40000}"/>
    <cellStyle name="Normal 98 2" xfId="42002" xr:uid="{00000000-0005-0000-0000-000005A40000}"/>
    <cellStyle name="Normal 98 2 2" xfId="42003" xr:uid="{00000000-0005-0000-0000-000006A40000}"/>
    <cellStyle name="Normal 98 3" xfId="42004" xr:uid="{00000000-0005-0000-0000-000007A40000}"/>
    <cellStyle name="Normal 98 3 2" xfId="42005" xr:uid="{00000000-0005-0000-0000-000008A40000}"/>
    <cellStyle name="Normal 98 4" xfId="42006" xr:uid="{00000000-0005-0000-0000-000009A40000}"/>
    <cellStyle name="Normal 99" xfId="42007" xr:uid="{00000000-0005-0000-0000-00000AA40000}"/>
    <cellStyle name="Normal 99 2" xfId="42008" xr:uid="{00000000-0005-0000-0000-00000BA40000}"/>
    <cellStyle name="Normal 99 2 2" xfId="42009" xr:uid="{00000000-0005-0000-0000-00000CA40000}"/>
    <cellStyle name="Normal 99 2 2 2" xfId="42010" xr:uid="{00000000-0005-0000-0000-00000DA40000}"/>
    <cellStyle name="Normal 99 2 3" xfId="42011" xr:uid="{00000000-0005-0000-0000-00000EA40000}"/>
    <cellStyle name="Normal 99 2 3 2" xfId="42012" xr:uid="{00000000-0005-0000-0000-00000FA40000}"/>
    <cellStyle name="Normal 99 2 4" xfId="42013" xr:uid="{00000000-0005-0000-0000-000010A40000}"/>
    <cellStyle name="Normal 99 3" xfId="42014" xr:uid="{00000000-0005-0000-0000-000011A40000}"/>
    <cellStyle name="Normal 99 3 2" xfId="42015" xr:uid="{00000000-0005-0000-0000-000012A40000}"/>
    <cellStyle name="Normal 99 3 2 2" xfId="42016" xr:uid="{00000000-0005-0000-0000-000013A40000}"/>
    <cellStyle name="Normal 99 3 3" xfId="42017" xr:uid="{00000000-0005-0000-0000-000014A40000}"/>
    <cellStyle name="Normal 99 3 3 2" xfId="42018" xr:uid="{00000000-0005-0000-0000-000015A40000}"/>
    <cellStyle name="Normal 99 3 4" xfId="42019" xr:uid="{00000000-0005-0000-0000-000016A40000}"/>
    <cellStyle name="Normál_1" xfId="42020" xr:uid="{00000000-0005-0000-0000-000017A40000}"/>
    <cellStyle name="normální_List1" xfId="42021" xr:uid="{00000000-0005-0000-0000-000018A40000}"/>
    <cellStyle name="Normalny_Nasza pf" xfId="42022" xr:uid="{00000000-0005-0000-0000-000019A40000}"/>
    <cellStyle name="Note" xfId="15" builtinId="10" hidden="1" customBuiltin="1"/>
    <cellStyle name="Note" xfId="62" builtinId="10" hidden="1" customBuiltin="1"/>
    <cellStyle name="Note" xfId="84" builtinId="10" hidden="1" customBuiltin="1"/>
    <cellStyle name="Note 10" xfId="42023" xr:uid="{00000000-0005-0000-0000-00001DA40000}"/>
    <cellStyle name="Note 10 2" xfId="42024" xr:uid="{00000000-0005-0000-0000-00001EA40000}"/>
    <cellStyle name="Note 10 2 2" xfId="42025" xr:uid="{00000000-0005-0000-0000-00001FA40000}"/>
    <cellStyle name="Note 10 2 3" xfId="42026" xr:uid="{00000000-0005-0000-0000-000020A40000}"/>
    <cellStyle name="Note 10 2 4" xfId="42027" xr:uid="{00000000-0005-0000-0000-000021A40000}"/>
    <cellStyle name="Note 10 3" xfId="42028" xr:uid="{00000000-0005-0000-0000-000022A40000}"/>
    <cellStyle name="Note 10 4" xfId="42029" xr:uid="{00000000-0005-0000-0000-000023A40000}"/>
    <cellStyle name="Note 10 5" xfId="42030" xr:uid="{00000000-0005-0000-0000-000024A40000}"/>
    <cellStyle name="Note 100" xfId="42031" xr:uid="{00000000-0005-0000-0000-000025A40000}"/>
    <cellStyle name="Note 101" xfId="42032" xr:uid="{00000000-0005-0000-0000-000026A40000}"/>
    <cellStyle name="Note 102" xfId="42033" xr:uid="{00000000-0005-0000-0000-000027A40000}"/>
    <cellStyle name="Note 103" xfId="42034" xr:uid="{00000000-0005-0000-0000-000028A40000}"/>
    <cellStyle name="Note 104" xfId="42035" xr:uid="{00000000-0005-0000-0000-000029A40000}"/>
    <cellStyle name="Note 105" xfId="42036" xr:uid="{00000000-0005-0000-0000-00002AA40000}"/>
    <cellStyle name="Note 106" xfId="42037" xr:uid="{00000000-0005-0000-0000-00002BA40000}"/>
    <cellStyle name="Note 107" xfId="42038" xr:uid="{00000000-0005-0000-0000-00002CA40000}"/>
    <cellStyle name="Note 108" xfId="42039" xr:uid="{00000000-0005-0000-0000-00002DA40000}"/>
    <cellStyle name="Note 109" xfId="42040" xr:uid="{00000000-0005-0000-0000-00002EA40000}"/>
    <cellStyle name="Note 11" xfId="42041" xr:uid="{00000000-0005-0000-0000-00002FA40000}"/>
    <cellStyle name="Note 11 2" xfId="42042" xr:uid="{00000000-0005-0000-0000-000030A40000}"/>
    <cellStyle name="Note 11 2 2" xfId="42043" xr:uid="{00000000-0005-0000-0000-000031A40000}"/>
    <cellStyle name="Note 11 2 3" xfId="42044" xr:uid="{00000000-0005-0000-0000-000032A40000}"/>
    <cellStyle name="Note 11 2 4" xfId="42045" xr:uid="{00000000-0005-0000-0000-000033A40000}"/>
    <cellStyle name="Note 11 3" xfId="42046" xr:uid="{00000000-0005-0000-0000-000034A40000}"/>
    <cellStyle name="Note 11 4" xfId="42047" xr:uid="{00000000-0005-0000-0000-000035A40000}"/>
    <cellStyle name="Note 11 5" xfId="42048" xr:uid="{00000000-0005-0000-0000-000036A40000}"/>
    <cellStyle name="Note 110" xfId="42049" xr:uid="{00000000-0005-0000-0000-000037A40000}"/>
    <cellStyle name="Note 111" xfId="42050" xr:uid="{00000000-0005-0000-0000-000038A40000}"/>
    <cellStyle name="Note 112" xfId="42051" xr:uid="{00000000-0005-0000-0000-000039A40000}"/>
    <cellStyle name="Note 113" xfId="42052" xr:uid="{00000000-0005-0000-0000-00003AA40000}"/>
    <cellStyle name="Note 114" xfId="42053" xr:uid="{00000000-0005-0000-0000-00003BA40000}"/>
    <cellStyle name="Note 115" xfId="42054" xr:uid="{00000000-0005-0000-0000-00003CA40000}"/>
    <cellStyle name="Note 116" xfId="42055" xr:uid="{00000000-0005-0000-0000-00003DA40000}"/>
    <cellStyle name="Note 117" xfId="42056" xr:uid="{00000000-0005-0000-0000-00003EA40000}"/>
    <cellStyle name="Note 118" xfId="42057" xr:uid="{00000000-0005-0000-0000-00003FA40000}"/>
    <cellStyle name="Note 119" xfId="42058" xr:uid="{00000000-0005-0000-0000-000040A40000}"/>
    <cellStyle name="Note 12" xfId="42059" xr:uid="{00000000-0005-0000-0000-000041A40000}"/>
    <cellStyle name="Note 12 2" xfId="42060" xr:uid="{00000000-0005-0000-0000-000042A40000}"/>
    <cellStyle name="Note 12 2 2" xfId="42061" xr:uid="{00000000-0005-0000-0000-000043A40000}"/>
    <cellStyle name="Note 12 2 3" xfId="42062" xr:uid="{00000000-0005-0000-0000-000044A40000}"/>
    <cellStyle name="Note 12 2 4" xfId="42063" xr:uid="{00000000-0005-0000-0000-000045A40000}"/>
    <cellStyle name="Note 12 3" xfId="42064" xr:uid="{00000000-0005-0000-0000-000046A40000}"/>
    <cellStyle name="Note 12 4" xfId="42065" xr:uid="{00000000-0005-0000-0000-000047A40000}"/>
    <cellStyle name="Note 12 5" xfId="42066" xr:uid="{00000000-0005-0000-0000-000048A40000}"/>
    <cellStyle name="Note 120" xfId="42067" xr:uid="{00000000-0005-0000-0000-000049A40000}"/>
    <cellStyle name="Note 121" xfId="42068" xr:uid="{00000000-0005-0000-0000-00004AA40000}"/>
    <cellStyle name="Note 122" xfId="42069" xr:uid="{00000000-0005-0000-0000-00004BA40000}"/>
    <cellStyle name="Note 123" xfId="42070" xr:uid="{00000000-0005-0000-0000-00004CA40000}"/>
    <cellStyle name="Note 124" xfId="42071" xr:uid="{00000000-0005-0000-0000-00004DA40000}"/>
    <cellStyle name="Note 125" xfId="42072" xr:uid="{00000000-0005-0000-0000-00004EA40000}"/>
    <cellStyle name="Note 126" xfId="42073" xr:uid="{00000000-0005-0000-0000-00004FA40000}"/>
    <cellStyle name="Note 127" xfId="42074" xr:uid="{00000000-0005-0000-0000-000050A40000}"/>
    <cellStyle name="Note 128" xfId="42075" xr:uid="{00000000-0005-0000-0000-000051A40000}"/>
    <cellStyle name="Note 129" xfId="42076" xr:uid="{00000000-0005-0000-0000-000052A40000}"/>
    <cellStyle name="Note 13" xfId="42077" xr:uid="{00000000-0005-0000-0000-000053A40000}"/>
    <cellStyle name="Note 13 2" xfId="42078" xr:uid="{00000000-0005-0000-0000-000054A40000}"/>
    <cellStyle name="Note 13 2 2" xfId="42079" xr:uid="{00000000-0005-0000-0000-000055A40000}"/>
    <cellStyle name="Note 13 2 3" xfId="42080" xr:uid="{00000000-0005-0000-0000-000056A40000}"/>
    <cellStyle name="Note 13 2 4" xfId="42081" xr:uid="{00000000-0005-0000-0000-000057A40000}"/>
    <cellStyle name="Note 13 3" xfId="42082" xr:uid="{00000000-0005-0000-0000-000058A40000}"/>
    <cellStyle name="Note 13 4" xfId="42083" xr:uid="{00000000-0005-0000-0000-000059A40000}"/>
    <cellStyle name="Note 13 5" xfId="42084" xr:uid="{00000000-0005-0000-0000-00005AA40000}"/>
    <cellStyle name="Note 130" xfId="42085" xr:uid="{00000000-0005-0000-0000-00005BA40000}"/>
    <cellStyle name="Note 131" xfId="42086" xr:uid="{00000000-0005-0000-0000-00005CA40000}"/>
    <cellStyle name="Note 132" xfId="42087" xr:uid="{00000000-0005-0000-0000-00005DA40000}"/>
    <cellStyle name="Note 133" xfId="42088" xr:uid="{00000000-0005-0000-0000-00005EA40000}"/>
    <cellStyle name="Note 134" xfId="42089" xr:uid="{00000000-0005-0000-0000-00005FA40000}"/>
    <cellStyle name="Note 135" xfId="42090" xr:uid="{00000000-0005-0000-0000-000060A40000}"/>
    <cellStyle name="Note 136" xfId="42091" xr:uid="{00000000-0005-0000-0000-000061A40000}"/>
    <cellStyle name="Note 137" xfId="42092" xr:uid="{00000000-0005-0000-0000-000062A40000}"/>
    <cellStyle name="Note 138" xfId="42093" xr:uid="{00000000-0005-0000-0000-000063A40000}"/>
    <cellStyle name="Note 139" xfId="42094" xr:uid="{00000000-0005-0000-0000-000064A40000}"/>
    <cellStyle name="Note 14" xfId="42095" xr:uid="{00000000-0005-0000-0000-000065A40000}"/>
    <cellStyle name="Note 14 2" xfId="42096" xr:uid="{00000000-0005-0000-0000-000066A40000}"/>
    <cellStyle name="Note 14 2 2" xfId="42097" xr:uid="{00000000-0005-0000-0000-000067A40000}"/>
    <cellStyle name="Note 14 2 3" xfId="42098" xr:uid="{00000000-0005-0000-0000-000068A40000}"/>
    <cellStyle name="Note 14 2 4" xfId="42099" xr:uid="{00000000-0005-0000-0000-000069A40000}"/>
    <cellStyle name="Note 14 3" xfId="42100" xr:uid="{00000000-0005-0000-0000-00006AA40000}"/>
    <cellStyle name="Note 14 4" xfId="42101" xr:uid="{00000000-0005-0000-0000-00006BA40000}"/>
    <cellStyle name="Note 14 5" xfId="42102" xr:uid="{00000000-0005-0000-0000-00006CA40000}"/>
    <cellStyle name="Note 140" xfId="42103" xr:uid="{00000000-0005-0000-0000-00006DA40000}"/>
    <cellStyle name="Note 141" xfId="42104" xr:uid="{00000000-0005-0000-0000-00006EA40000}"/>
    <cellStyle name="Note 142" xfId="42105" xr:uid="{00000000-0005-0000-0000-00006FA40000}"/>
    <cellStyle name="Note 143" xfId="42106" xr:uid="{00000000-0005-0000-0000-000070A40000}"/>
    <cellStyle name="Note 144" xfId="42107" xr:uid="{00000000-0005-0000-0000-000071A40000}"/>
    <cellStyle name="Note 145" xfId="42108" xr:uid="{00000000-0005-0000-0000-000072A40000}"/>
    <cellStyle name="Note 146" xfId="42109" xr:uid="{00000000-0005-0000-0000-000073A40000}"/>
    <cellStyle name="Note 147" xfId="42110" xr:uid="{00000000-0005-0000-0000-000074A40000}"/>
    <cellStyle name="Note 148" xfId="42111" xr:uid="{00000000-0005-0000-0000-000075A40000}"/>
    <cellStyle name="Note 149" xfId="42112" xr:uid="{00000000-0005-0000-0000-000076A40000}"/>
    <cellStyle name="Note 15" xfId="42113" xr:uid="{00000000-0005-0000-0000-000077A40000}"/>
    <cellStyle name="Note 15 2" xfId="42114" xr:uid="{00000000-0005-0000-0000-000078A40000}"/>
    <cellStyle name="Note 15 2 2" xfId="42115" xr:uid="{00000000-0005-0000-0000-000079A40000}"/>
    <cellStyle name="Note 15 2 3" xfId="42116" xr:uid="{00000000-0005-0000-0000-00007AA40000}"/>
    <cellStyle name="Note 15 2 4" xfId="42117" xr:uid="{00000000-0005-0000-0000-00007BA40000}"/>
    <cellStyle name="Note 15 3" xfId="42118" xr:uid="{00000000-0005-0000-0000-00007CA40000}"/>
    <cellStyle name="Note 15 4" xfId="42119" xr:uid="{00000000-0005-0000-0000-00007DA40000}"/>
    <cellStyle name="Note 15 5" xfId="42120" xr:uid="{00000000-0005-0000-0000-00007EA40000}"/>
    <cellStyle name="Note 150" xfId="42121" xr:uid="{00000000-0005-0000-0000-00007FA40000}"/>
    <cellStyle name="Note 151" xfId="42122" xr:uid="{00000000-0005-0000-0000-000080A40000}"/>
    <cellStyle name="Note 152" xfId="42123" xr:uid="{00000000-0005-0000-0000-000081A40000}"/>
    <cellStyle name="Note 153" xfId="42124" xr:uid="{00000000-0005-0000-0000-000082A40000}"/>
    <cellStyle name="Note 154" xfId="42125" xr:uid="{00000000-0005-0000-0000-000083A40000}"/>
    <cellStyle name="Note 155" xfId="42126" xr:uid="{00000000-0005-0000-0000-000084A40000}"/>
    <cellStyle name="Note 156" xfId="42127" xr:uid="{00000000-0005-0000-0000-000085A40000}"/>
    <cellStyle name="Note 157" xfId="42128" xr:uid="{00000000-0005-0000-0000-000086A40000}"/>
    <cellStyle name="Note 158" xfId="42129" xr:uid="{00000000-0005-0000-0000-000087A40000}"/>
    <cellStyle name="Note 159" xfId="42130" xr:uid="{00000000-0005-0000-0000-000088A40000}"/>
    <cellStyle name="Note 16" xfId="42131" xr:uid="{00000000-0005-0000-0000-000089A40000}"/>
    <cellStyle name="Note 16 2" xfId="42132" xr:uid="{00000000-0005-0000-0000-00008AA40000}"/>
    <cellStyle name="Note 16 2 2" xfId="42133" xr:uid="{00000000-0005-0000-0000-00008BA40000}"/>
    <cellStyle name="Note 16 3" xfId="42134" xr:uid="{00000000-0005-0000-0000-00008CA40000}"/>
    <cellStyle name="Note 16 4" xfId="42135" xr:uid="{00000000-0005-0000-0000-00008DA40000}"/>
    <cellStyle name="Note 16 5" xfId="42136" xr:uid="{00000000-0005-0000-0000-00008EA40000}"/>
    <cellStyle name="Note 160" xfId="42137" xr:uid="{00000000-0005-0000-0000-00008FA40000}"/>
    <cellStyle name="Note 161" xfId="42138" xr:uid="{00000000-0005-0000-0000-000090A40000}"/>
    <cellStyle name="Note 162" xfId="42139" xr:uid="{00000000-0005-0000-0000-000091A40000}"/>
    <cellStyle name="Note 163" xfId="42140" xr:uid="{00000000-0005-0000-0000-000092A40000}"/>
    <cellStyle name="Note 164" xfId="42141" xr:uid="{00000000-0005-0000-0000-000093A40000}"/>
    <cellStyle name="Note 165" xfId="42142" xr:uid="{00000000-0005-0000-0000-000094A40000}"/>
    <cellStyle name="Note 166" xfId="42143" xr:uid="{00000000-0005-0000-0000-000095A40000}"/>
    <cellStyle name="Note 167" xfId="42144" xr:uid="{00000000-0005-0000-0000-000096A40000}"/>
    <cellStyle name="Note 168" xfId="42145" xr:uid="{00000000-0005-0000-0000-000097A40000}"/>
    <cellStyle name="Note 169" xfId="42146" xr:uid="{00000000-0005-0000-0000-000098A40000}"/>
    <cellStyle name="Note 17" xfId="42147" xr:uid="{00000000-0005-0000-0000-000099A40000}"/>
    <cellStyle name="Note 17 2" xfId="42148" xr:uid="{00000000-0005-0000-0000-00009AA40000}"/>
    <cellStyle name="Note 17 2 2" xfId="42149" xr:uid="{00000000-0005-0000-0000-00009BA40000}"/>
    <cellStyle name="Note 17 3" xfId="42150" xr:uid="{00000000-0005-0000-0000-00009CA40000}"/>
    <cellStyle name="Note 17 4" xfId="42151" xr:uid="{00000000-0005-0000-0000-00009DA40000}"/>
    <cellStyle name="Note 17 5" xfId="42152" xr:uid="{00000000-0005-0000-0000-00009EA40000}"/>
    <cellStyle name="Note 170" xfId="42153" xr:uid="{00000000-0005-0000-0000-00009FA40000}"/>
    <cellStyle name="Note 171" xfId="42154" xr:uid="{00000000-0005-0000-0000-0000A0A40000}"/>
    <cellStyle name="Note 172" xfId="42155" xr:uid="{00000000-0005-0000-0000-0000A1A40000}"/>
    <cellStyle name="Note 173" xfId="42156" xr:uid="{00000000-0005-0000-0000-0000A2A40000}"/>
    <cellStyle name="Note 18" xfId="42157" xr:uid="{00000000-0005-0000-0000-0000A3A40000}"/>
    <cellStyle name="Note 18 2" xfId="42158" xr:uid="{00000000-0005-0000-0000-0000A4A40000}"/>
    <cellStyle name="Note 18 2 2" xfId="42159" xr:uid="{00000000-0005-0000-0000-0000A5A40000}"/>
    <cellStyle name="Note 18 3" xfId="42160" xr:uid="{00000000-0005-0000-0000-0000A6A40000}"/>
    <cellStyle name="Note 18 4" xfId="42161" xr:uid="{00000000-0005-0000-0000-0000A7A40000}"/>
    <cellStyle name="Note 18 5" xfId="42162" xr:uid="{00000000-0005-0000-0000-0000A8A40000}"/>
    <cellStyle name="Note 19" xfId="42163" xr:uid="{00000000-0005-0000-0000-0000A9A40000}"/>
    <cellStyle name="Note 19 2" xfId="42164" xr:uid="{00000000-0005-0000-0000-0000AAA40000}"/>
    <cellStyle name="Note 19 2 2" xfId="42165" xr:uid="{00000000-0005-0000-0000-0000ABA40000}"/>
    <cellStyle name="Note 19 3" xfId="42166" xr:uid="{00000000-0005-0000-0000-0000ACA40000}"/>
    <cellStyle name="Note 19 4" xfId="42167" xr:uid="{00000000-0005-0000-0000-0000ADA40000}"/>
    <cellStyle name="Note 19 5" xfId="42168" xr:uid="{00000000-0005-0000-0000-0000AEA40000}"/>
    <cellStyle name="Note 2" xfId="42169" xr:uid="{00000000-0005-0000-0000-0000AFA40000}"/>
    <cellStyle name="Note 2 10" xfId="42170" xr:uid="{00000000-0005-0000-0000-0000B0A40000}"/>
    <cellStyle name="Note 2 11" xfId="42171" xr:uid="{00000000-0005-0000-0000-0000B1A40000}"/>
    <cellStyle name="Note 2 12" xfId="42172" xr:uid="{00000000-0005-0000-0000-0000B2A40000}"/>
    <cellStyle name="Note 2 13" xfId="42173" xr:uid="{00000000-0005-0000-0000-0000B3A40000}"/>
    <cellStyle name="Note 2 14" xfId="42174" xr:uid="{00000000-0005-0000-0000-0000B4A40000}"/>
    <cellStyle name="Note 2 15" xfId="42175" xr:uid="{00000000-0005-0000-0000-0000B5A40000}"/>
    <cellStyle name="Note 2 16" xfId="42176" xr:uid="{00000000-0005-0000-0000-0000B6A40000}"/>
    <cellStyle name="Note 2 17" xfId="42177" xr:uid="{00000000-0005-0000-0000-0000B7A40000}"/>
    <cellStyle name="Note 2 18" xfId="42178" xr:uid="{00000000-0005-0000-0000-0000B8A40000}"/>
    <cellStyle name="Note 2 19" xfId="42179" xr:uid="{00000000-0005-0000-0000-0000B9A40000}"/>
    <cellStyle name="Note 2 2" xfId="42180" xr:uid="{00000000-0005-0000-0000-0000BAA40000}"/>
    <cellStyle name="Note 2 2 10" xfId="42181" xr:uid="{00000000-0005-0000-0000-0000BBA40000}"/>
    <cellStyle name="Note 2 2 11" xfId="42182" xr:uid="{00000000-0005-0000-0000-0000BCA40000}"/>
    <cellStyle name="Note 2 2 12" xfId="42183" xr:uid="{00000000-0005-0000-0000-0000BDA40000}"/>
    <cellStyle name="Note 2 2 13" xfId="42184" xr:uid="{00000000-0005-0000-0000-0000BEA40000}"/>
    <cellStyle name="Note 2 2 14" xfId="42185" xr:uid="{00000000-0005-0000-0000-0000BFA40000}"/>
    <cellStyle name="Note 2 2 15" xfId="42186" xr:uid="{00000000-0005-0000-0000-0000C0A40000}"/>
    <cellStyle name="Note 2 2 16" xfId="42187" xr:uid="{00000000-0005-0000-0000-0000C1A40000}"/>
    <cellStyle name="Note 2 2 17" xfId="42188" xr:uid="{00000000-0005-0000-0000-0000C2A40000}"/>
    <cellStyle name="Note 2 2 18" xfId="42189" xr:uid="{00000000-0005-0000-0000-0000C3A40000}"/>
    <cellStyle name="Note 2 2 19" xfId="42190" xr:uid="{00000000-0005-0000-0000-0000C4A40000}"/>
    <cellStyle name="Note 2 2 2" xfId="42191" xr:uid="{00000000-0005-0000-0000-0000C5A40000}"/>
    <cellStyle name="Note 2 2 20" xfId="42192" xr:uid="{00000000-0005-0000-0000-0000C6A40000}"/>
    <cellStyle name="Note 2 2 3" xfId="42193" xr:uid="{00000000-0005-0000-0000-0000C7A40000}"/>
    <cellStyle name="Note 2 2 4" xfId="42194" xr:uid="{00000000-0005-0000-0000-0000C8A40000}"/>
    <cellStyle name="Note 2 2 5" xfId="42195" xr:uid="{00000000-0005-0000-0000-0000C9A40000}"/>
    <cellStyle name="Note 2 2 6" xfId="42196" xr:uid="{00000000-0005-0000-0000-0000CAA40000}"/>
    <cellStyle name="Note 2 2 7" xfId="42197" xr:uid="{00000000-0005-0000-0000-0000CBA40000}"/>
    <cellStyle name="Note 2 2 8" xfId="42198" xr:uid="{00000000-0005-0000-0000-0000CCA40000}"/>
    <cellStyle name="Note 2 2 9" xfId="42199" xr:uid="{00000000-0005-0000-0000-0000CDA40000}"/>
    <cellStyle name="Note 2 20" xfId="42200" xr:uid="{00000000-0005-0000-0000-0000CEA40000}"/>
    <cellStyle name="Note 2 21" xfId="42201" xr:uid="{00000000-0005-0000-0000-0000CFA40000}"/>
    <cellStyle name="Note 2 22" xfId="42202" xr:uid="{00000000-0005-0000-0000-0000D0A40000}"/>
    <cellStyle name="Note 2 23" xfId="42203" xr:uid="{00000000-0005-0000-0000-0000D1A40000}"/>
    <cellStyle name="Note 2 24" xfId="42204" xr:uid="{00000000-0005-0000-0000-0000D2A40000}"/>
    <cellStyle name="Note 2 25" xfId="42205" xr:uid="{00000000-0005-0000-0000-0000D3A40000}"/>
    <cellStyle name="Note 2 26" xfId="42206" xr:uid="{00000000-0005-0000-0000-0000D4A40000}"/>
    <cellStyle name="Note 2 27" xfId="42207" xr:uid="{00000000-0005-0000-0000-0000D5A40000}"/>
    <cellStyle name="Note 2 28" xfId="42208" xr:uid="{00000000-0005-0000-0000-0000D6A40000}"/>
    <cellStyle name="Note 2 29" xfId="42209" xr:uid="{00000000-0005-0000-0000-0000D7A40000}"/>
    <cellStyle name="Note 2 3" xfId="42210" xr:uid="{00000000-0005-0000-0000-0000D8A40000}"/>
    <cellStyle name="Note 2 3 10" xfId="42211" xr:uid="{00000000-0005-0000-0000-0000D9A40000}"/>
    <cellStyle name="Note 2 3 11" xfId="42212" xr:uid="{00000000-0005-0000-0000-0000DAA40000}"/>
    <cellStyle name="Note 2 3 12" xfId="42213" xr:uid="{00000000-0005-0000-0000-0000DBA40000}"/>
    <cellStyle name="Note 2 3 13" xfId="42214" xr:uid="{00000000-0005-0000-0000-0000DCA40000}"/>
    <cellStyle name="Note 2 3 14" xfId="42215" xr:uid="{00000000-0005-0000-0000-0000DDA40000}"/>
    <cellStyle name="Note 2 3 2" xfId="42216" xr:uid="{00000000-0005-0000-0000-0000DEA40000}"/>
    <cellStyle name="Note 2 3 3" xfId="42217" xr:uid="{00000000-0005-0000-0000-0000DFA40000}"/>
    <cellStyle name="Note 2 3 4" xfId="42218" xr:uid="{00000000-0005-0000-0000-0000E0A40000}"/>
    <cellStyle name="Note 2 3 5" xfId="42219" xr:uid="{00000000-0005-0000-0000-0000E1A40000}"/>
    <cellStyle name="Note 2 3 6" xfId="42220" xr:uid="{00000000-0005-0000-0000-0000E2A40000}"/>
    <cellStyle name="Note 2 3 7" xfId="42221" xr:uid="{00000000-0005-0000-0000-0000E3A40000}"/>
    <cellStyle name="Note 2 3 8" xfId="42222" xr:uid="{00000000-0005-0000-0000-0000E4A40000}"/>
    <cellStyle name="Note 2 3 9" xfId="42223" xr:uid="{00000000-0005-0000-0000-0000E5A40000}"/>
    <cellStyle name="Note 2 3_Belker-InternalTrade" xfId="42224" xr:uid="{00000000-0005-0000-0000-0000E6A40000}"/>
    <cellStyle name="Note 2 30" xfId="42225" xr:uid="{00000000-0005-0000-0000-0000E7A40000}"/>
    <cellStyle name="Note 2 31" xfId="42226" xr:uid="{00000000-0005-0000-0000-0000E8A40000}"/>
    <cellStyle name="Note 2 32" xfId="42227" xr:uid="{00000000-0005-0000-0000-0000E9A40000}"/>
    <cellStyle name="Note 2 33" xfId="42228" xr:uid="{00000000-0005-0000-0000-0000EAA40000}"/>
    <cellStyle name="Note 2 34" xfId="42229" xr:uid="{00000000-0005-0000-0000-0000EBA40000}"/>
    <cellStyle name="Note 2 35" xfId="42230" xr:uid="{00000000-0005-0000-0000-0000ECA40000}"/>
    <cellStyle name="Note 2 36" xfId="42231" xr:uid="{00000000-0005-0000-0000-0000EDA40000}"/>
    <cellStyle name="Note 2 37" xfId="42232" xr:uid="{00000000-0005-0000-0000-0000EEA40000}"/>
    <cellStyle name="Note 2 4" xfId="42233" xr:uid="{00000000-0005-0000-0000-0000EFA40000}"/>
    <cellStyle name="Note 2 5" xfId="42234" xr:uid="{00000000-0005-0000-0000-0000F0A40000}"/>
    <cellStyle name="Note 2 5 2" xfId="42235" xr:uid="{00000000-0005-0000-0000-0000F1A40000}"/>
    <cellStyle name="Note 2 5 3" xfId="42236" xr:uid="{00000000-0005-0000-0000-0000F2A40000}"/>
    <cellStyle name="Note 2 5 4" xfId="42237" xr:uid="{00000000-0005-0000-0000-0000F3A40000}"/>
    <cellStyle name="Note 2 6" xfId="42238" xr:uid="{00000000-0005-0000-0000-0000F4A40000}"/>
    <cellStyle name="Note 2 7" xfId="42239" xr:uid="{00000000-0005-0000-0000-0000F5A40000}"/>
    <cellStyle name="Note 2 8" xfId="42240" xr:uid="{00000000-0005-0000-0000-0000F6A40000}"/>
    <cellStyle name="Note 2 9" xfId="42241" xr:uid="{00000000-0005-0000-0000-0000F7A40000}"/>
    <cellStyle name="Note 2_Belker-InternalTrade" xfId="42242" xr:uid="{00000000-0005-0000-0000-0000F8A40000}"/>
    <cellStyle name="Note 20" xfId="42243" xr:uid="{00000000-0005-0000-0000-0000F9A40000}"/>
    <cellStyle name="Note 20 10" xfId="42244" xr:uid="{00000000-0005-0000-0000-0000FAA40000}"/>
    <cellStyle name="Note 20 11" xfId="42245" xr:uid="{00000000-0005-0000-0000-0000FBA40000}"/>
    <cellStyle name="Note 20 12" xfId="42246" xr:uid="{00000000-0005-0000-0000-0000FCA40000}"/>
    <cellStyle name="Note 20 13" xfId="42247" xr:uid="{00000000-0005-0000-0000-0000FDA40000}"/>
    <cellStyle name="Note 20 14" xfId="42248" xr:uid="{00000000-0005-0000-0000-0000FEA40000}"/>
    <cellStyle name="Note 20 15" xfId="42249" xr:uid="{00000000-0005-0000-0000-0000FFA40000}"/>
    <cellStyle name="Note 20 16" xfId="42250" xr:uid="{00000000-0005-0000-0000-000000A50000}"/>
    <cellStyle name="Note 20 17" xfId="42251" xr:uid="{00000000-0005-0000-0000-000001A50000}"/>
    <cellStyle name="Note 20 18" xfId="42252" xr:uid="{00000000-0005-0000-0000-000002A50000}"/>
    <cellStyle name="Note 20 19" xfId="42253" xr:uid="{00000000-0005-0000-0000-000003A50000}"/>
    <cellStyle name="Note 20 2" xfId="42254" xr:uid="{00000000-0005-0000-0000-000004A50000}"/>
    <cellStyle name="Note 20 2 2" xfId="42255" xr:uid="{00000000-0005-0000-0000-000005A50000}"/>
    <cellStyle name="Note 20 2 3" xfId="42256" xr:uid="{00000000-0005-0000-0000-000006A50000}"/>
    <cellStyle name="Note 20 2 4" xfId="42257" xr:uid="{00000000-0005-0000-0000-000007A50000}"/>
    <cellStyle name="Note 20 20" xfId="42258" xr:uid="{00000000-0005-0000-0000-000008A50000}"/>
    <cellStyle name="Note 20 3" xfId="42259" xr:uid="{00000000-0005-0000-0000-000009A50000}"/>
    <cellStyle name="Note 20 4" xfId="42260" xr:uid="{00000000-0005-0000-0000-00000AA50000}"/>
    <cellStyle name="Note 20 5" xfId="42261" xr:uid="{00000000-0005-0000-0000-00000BA50000}"/>
    <cellStyle name="Note 20 6" xfId="42262" xr:uid="{00000000-0005-0000-0000-00000CA50000}"/>
    <cellStyle name="Note 20 7" xfId="42263" xr:uid="{00000000-0005-0000-0000-00000DA50000}"/>
    <cellStyle name="Note 20 8" xfId="42264" xr:uid="{00000000-0005-0000-0000-00000EA50000}"/>
    <cellStyle name="Note 20 9" xfId="42265" xr:uid="{00000000-0005-0000-0000-00000FA50000}"/>
    <cellStyle name="Note 21" xfId="42266" xr:uid="{00000000-0005-0000-0000-000010A50000}"/>
    <cellStyle name="Note 21 2" xfId="42267" xr:uid="{00000000-0005-0000-0000-000011A50000}"/>
    <cellStyle name="Note 21 2 2" xfId="42268" xr:uid="{00000000-0005-0000-0000-000012A50000}"/>
    <cellStyle name="Note 21 2 3" xfId="42269" xr:uid="{00000000-0005-0000-0000-000013A50000}"/>
    <cellStyle name="Note 21 3" xfId="42270" xr:uid="{00000000-0005-0000-0000-000014A50000}"/>
    <cellStyle name="Note 21 4" xfId="42271" xr:uid="{00000000-0005-0000-0000-000015A50000}"/>
    <cellStyle name="Note 21 5" xfId="42272" xr:uid="{00000000-0005-0000-0000-000016A50000}"/>
    <cellStyle name="Note 21 6" xfId="42273" xr:uid="{00000000-0005-0000-0000-000017A50000}"/>
    <cellStyle name="Note 21 7" xfId="42274" xr:uid="{00000000-0005-0000-0000-000018A50000}"/>
    <cellStyle name="Note 22" xfId="42275" xr:uid="{00000000-0005-0000-0000-000019A50000}"/>
    <cellStyle name="Note 22 2" xfId="42276" xr:uid="{00000000-0005-0000-0000-00001AA50000}"/>
    <cellStyle name="Note 22 2 2" xfId="42277" xr:uid="{00000000-0005-0000-0000-00001BA50000}"/>
    <cellStyle name="Note 22 3" xfId="42278" xr:uid="{00000000-0005-0000-0000-00001CA50000}"/>
    <cellStyle name="Note 22 4" xfId="42279" xr:uid="{00000000-0005-0000-0000-00001DA50000}"/>
    <cellStyle name="Note 22 5" xfId="42280" xr:uid="{00000000-0005-0000-0000-00001EA50000}"/>
    <cellStyle name="Note 23" xfId="42281" xr:uid="{00000000-0005-0000-0000-00001FA50000}"/>
    <cellStyle name="Note 23 2" xfId="42282" xr:uid="{00000000-0005-0000-0000-000020A50000}"/>
    <cellStyle name="Note 23 2 2" xfId="42283" xr:uid="{00000000-0005-0000-0000-000021A50000}"/>
    <cellStyle name="Note 23 3" xfId="42284" xr:uid="{00000000-0005-0000-0000-000022A50000}"/>
    <cellStyle name="Note 23 4" xfId="42285" xr:uid="{00000000-0005-0000-0000-000023A50000}"/>
    <cellStyle name="Note 23 5" xfId="42286" xr:uid="{00000000-0005-0000-0000-000024A50000}"/>
    <cellStyle name="Note 24" xfId="42287" xr:uid="{00000000-0005-0000-0000-000025A50000}"/>
    <cellStyle name="Note 24 2" xfId="42288" xr:uid="{00000000-0005-0000-0000-000026A50000}"/>
    <cellStyle name="Note 24 2 2" xfId="42289" xr:uid="{00000000-0005-0000-0000-000027A50000}"/>
    <cellStyle name="Note 24 3" xfId="42290" xr:uid="{00000000-0005-0000-0000-000028A50000}"/>
    <cellStyle name="Note 24 4" xfId="42291" xr:uid="{00000000-0005-0000-0000-000029A50000}"/>
    <cellStyle name="Note 24 5" xfId="42292" xr:uid="{00000000-0005-0000-0000-00002AA50000}"/>
    <cellStyle name="Note 25" xfId="42293" xr:uid="{00000000-0005-0000-0000-00002BA50000}"/>
    <cellStyle name="Note 25 2" xfId="42294" xr:uid="{00000000-0005-0000-0000-00002CA50000}"/>
    <cellStyle name="Note 25 2 2" xfId="42295" xr:uid="{00000000-0005-0000-0000-00002DA50000}"/>
    <cellStyle name="Note 25 3" xfId="42296" xr:uid="{00000000-0005-0000-0000-00002EA50000}"/>
    <cellStyle name="Note 25 4" xfId="42297" xr:uid="{00000000-0005-0000-0000-00002FA50000}"/>
    <cellStyle name="Note 25 5" xfId="42298" xr:uid="{00000000-0005-0000-0000-000030A50000}"/>
    <cellStyle name="Note 26" xfId="42299" xr:uid="{00000000-0005-0000-0000-000031A50000}"/>
    <cellStyle name="Note 26 2" xfId="42300" xr:uid="{00000000-0005-0000-0000-000032A50000}"/>
    <cellStyle name="Note 26 2 2" xfId="42301" xr:uid="{00000000-0005-0000-0000-000033A50000}"/>
    <cellStyle name="Note 26 3" xfId="42302" xr:uid="{00000000-0005-0000-0000-000034A50000}"/>
    <cellStyle name="Note 26 4" xfId="42303" xr:uid="{00000000-0005-0000-0000-000035A50000}"/>
    <cellStyle name="Note 26 5" xfId="42304" xr:uid="{00000000-0005-0000-0000-000036A50000}"/>
    <cellStyle name="Note 27" xfId="42305" xr:uid="{00000000-0005-0000-0000-000037A50000}"/>
    <cellStyle name="Note 27 2" xfId="42306" xr:uid="{00000000-0005-0000-0000-000038A50000}"/>
    <cellStyle name="Note 27 2 2" xfId="42307" xr:uid="{00000000-0005-0000-0000-000039A50000}"/>
    <cellStyle name="Note 27 3" xfId="42308" xr:uid="{00000000-0005-0000-0000-00003AA50000}"/>
    <cellStyle name="Note 27 4" xfId="42309" xr:uid="{00000000-0005-0000-0000-00003BA50000}"/>
    <cellStyle name="Note 27 5" xfId="42310" xr:uid="{00000000-0005-0000-0000-00003CA50000}"/>
    <cellStyle name="Note 28" xfId="42311" xr:uid="{00000000-0005-0000-0000-00003DA50000}"/>
    <cellStyle name="Note 28 2" xfId="42312" xr:uid="{00000000-0005-0000-0000-00003EA50000}"/>
    <cellStyle name="Note 28 2 2" xfId="42313" xr:uid="{00000000-0005-0000-0000-00003FA50000}"/>
    <cellStyle name="Note 28 3" xfId="42314" xr:uid="{00000000-0005-0000-0000-000040A50000}"/>
    <cellStyle name="Note 28 4" xfId="42315" xr:uid="{00000000-0005-0000-0000-000041A50000}"/>
    <cellStyle name="Note 28 5" xfId="42316" xr:uid="{00000000-0005-0000-0000-000042A50000}"/>
    <cellStyle name="Note 29" xfId="42317" xr:uid="{00000000-0005-0000-0000-000043A50000}"/>
    <cellStyle name="Note 29 2" xfId="42318" xr:uid="{00000000-0005-0000-0000-000044A50000}"/>
    <cellStyle name="Note 29 3" xfId="42319" xr:uid="{00000000-0005-0000-0000-000045A50000}"/>
    <cellStyle name="Note 3" xfId="42320" xr:uid="{00000000-0005-0000-0000-000046A50000}"/>
    <cellStyle name="Note 3 10" xfId="42321" xr:uid="{00000000-0005-0000-0000-000047A50000}"/>
    <cellStyle name="Note 3 10 10" xfId="42322" xr:uid="{00000000-0005-0000-0000-000048A50000}"/>
    <cellStyle name="Note 3 10 11" xfId="42323" xr:uid="{00000000-0005-0000-0000-000049A50000}"/>
    <cellStyle name="Note 3 10 12" xfId="42324" xr:uid="{00000000-0005-0000-0000-00004AA50000}"/>
    <cellStyle name="Note 3 10 13" xfId="42325" xr:uid="{00000000-0005-0000-0000-00004BA50000}"/>
    <cellStyle name="Note 3 10 14" xfId="42326" xr:uid="{00000000-0005-0000-0000-00004CA50000}"/>
    <cellStyle name="Note 3 10 15" xfId="42327" xr:uid="{00000000-0005-0000-0000-00004DA50000}"/>
    <cellStyle name="Note 3 10 2" xfId="42328" xr:uid="{00000000-0005-0000-0000-00004EA50000}"/>
    <cellStyle name="Note 3 10 3" xfId="42329" xr:uid="{00000000-0005-0000-0000-00004FA50000}"/>
    <cellStyle name="Note 3 10 4" xfId="42330" xr:uid="{00000000-0005-0000-0000-000050A50000}"/>
    <cellStyle name="Note 3 10 5" xfId="42331" xr:uid="{00000000-0005-0000-0000-000051A50000}"/>
    <cellStyle name="Note 3 10 6" xfId="42332" xr:uid="{00000000-0005-0000-0000-000052A50000}"/>
    <cellStyle name="Note 3 10 7" xfId="42333" xr:uid="{00000000-0005-0000-0000-000053A50000}"/>
    <cellStyle name="Note 3 10 8" xfId="42334" xr:uid="{00000000-0005-0000-0000-000054A50000}"/>
    <cellStyle name="Note 3 10 9" xfId="42335" xr:uid="{00000000-0005-0000-0000-000055A50000}"/>
    <cellStyle name="Note 3 11" xfId="42336" xr:uid="{00000000-0005-0000-0000-000056A50000}"/>
    <cellStyle name="Note 3 11 10" xfId="42337" xr:uid="{00000000-0005-0000-0000-000057A50000}"/>
    <cellStyle name="Note 3 11 11" xfId="42338" xr:uid="{00000000-0005-0000-0000-000058A50000}"/>
    <cellStyle name="Note 3 11 12" xfId="42339" xr:uid="{00000000-0005-0000-0000-000059A50000}"/>
    <cellStyle name="Note 3 11 13" xfId="42340" xr:uid="{00000000-0005-0000-0000-00005AA50000}"/>
    <cellStyle name="Note 3 11 14" xfId="42341" xr:uid="{00000000-0005-0000-0000-00005BA50000}"/>
    <cellStyle name="Note 3 11 15" xfId="42342" xr:uid="{00000000-0005-0000-0000-00005CA50000}"/>
    <cellStyle name="Note 3 11 2" xfId="42343" xr:uid="{00000000-0005-0000-0000-00005DA50000}"/>
    <cellStyle name="Note 3 11 3" xfId="42344" xr:uid="{00000000-0005-0000-0000-00005EA50000}"/>
    <cellStyle name="Note 3 11 4" xfId="42345" xr:uid="{00000000-0005-0000-0000-00005FA50000}"/>
    <cellStyle name="Note 3 11 5" xfId="42346" xr:uid="{00000000-0005-0000-0000-000060A50000}"/>
    <cellStyle name="Note 3 11 6" xfId="42347" xr:uid="{00000000-0005-0000-0000-000061A50000}"/>
    <cellStyle name="Note 3 11 7" xfId="42348" xr:uid="{00000000-0005-0000-0000-000062A50000}"/>
    <cellStyle name="Note 3 11 8" xfId="42349" xr:uid="{00000000-0005-0000-0000-000063A50000}"/>
    <cellStyle name="Note 3 11 9" xfId="42350" xr:uid="{00000000-0005-0000-0000-000064A50000}"/>
    <cellStyle name="Note 3 12" xfId="42351" xr:uid="{00000000-0005-0000-0000-000065A50000}"/>
    <cellStyle name="Note 3 12 10" xfId="42352" xr:uid="{00000000-0005-0000-0000-000066A50000}"/>
    <cellStyle name="Note 3 12 11" xfId="42353" xr:uid="{00000000-0005-0000-0000-000067A50000}"/>
    <cellStyle name="Note 3 12 12" xfId="42354" xr:uid="{00000000-0005-0000-0000-000068A50000}"/>
    <cellStyle name="Note 3 12 13" xfId="42355" xr:uid="{00000000-0005-0000-0000-000069A50000}"/>
    <cellStyle name="Note 3 12 14" xfId="42356" xr:uid="{00000000-0005-0000-0000-00006AA50000}"/>
    <cellStyle name="Note 3 12 15" xfId="42357" xr:uid="{00000000-0005-0000-0000-00006BA50000}"/>
    <cellStyle name="Note 3 12 2" xfId="42358" xr:uid="{00000000-0005-0000-0000-00006CA50000}"/>
    <cellStyle name="Note 3 12 3" xfId="42359" xr:uid="{00000000-0005-0000-0000-00006DA50000}"/>
    <cellStyle name="Note 3 12 4" xfId="42360" xr:uid="{00000000-0005-0000-0000-00006EA50000}"/>
    <cellStyle name="Note 3 12 5" xfId="42361" xr:uid="{00000000-0005-0000-0000-00006FA50000}"/>
    <cellStyle name="Note 3 12 6" xfId="42362" xr:uid="{00000000-0005-0000-0000-000070A50000}"/>
    <cellStyle name="Note 3 12 7" xfId="42363" xr:uid="{00000000-0005-0000-0000-000071A50000}"/>
    <cellStyle name="Note 3 12 8" xfId="42364" xr:uid="{00000000-0005-0000-0000-000072A50000}"/>
    <cellStyle name="Note 3 12 9" xfId="42365" xr:uid="{00000000-0005-0000-0000-000073A50000}"/>
    <cellStyle name="Note 3 13" xfId="42366" xr:uid="{00000000-0005-0000-0000-000074A50000}"/>
    <cellStyle name="Note 3 13 10" xfId="42367" xr:uid="{00000000-0005-0000-0000-000075A50000}"/>
    <cellStyle name="Note 3 13 11" xfId="42368" xr:uid="{00000000-0005-0000-0000-000076A50000}"/>
    <cellStyle name="Note 3 13 12" xfId="42369" xr:uid="{00000000-0005-0000-0000-000077A50000}"/>
    <cellStyle name="Note 3 13 13" xfId="42370" xr:uid="{00000000-0005-0000-0000-000078A50000}"/>
    <cellStyle name="Note 3 13 14" xfId="42371" xr:uid="{00000000-0005-0000-0000-000079A50000}"/>
    <cellStyle name="Note 3 13 15" xfId="42372" xr:uid="{00000000-0005-0000-0000-00007AA50000}"/>
    <cellStyle name="Note 3 13 2" xfId="42373" xr:uid="{00000000-0005-0000-0000-00007BA50000}"/>
    <cellStyle name="Note 3 13 3" xfId="42374" xr:uid="{00000000-0005-0000-0000-00007CA50000}"/>
    <cellStyle name="Note 3 13 4" xfId="42375" xr:uid="{00000000-0005-0000-0000-00007DA50000}"/>
    <cellStyle name="Note 3 13 5" xfId="42376" xr:uid="{00000000-0005-0000-0000-00007EA50000}"/>
    <cellStyle name="Note 3 13 6" xfId="42377" xr:uid="{00000000-0005-0000-0000-00007FA50000}"/>
    <cellStyle name="Note 3 13 7" xfId="42378" xr:uid="{00000000-0005-0000-0000-000080A50000}"/>
    <cellStyle name="Note 3 13 8" xfId="42379" xr:uid="{00000000-0005-0000-0000-000081A50000}"/>
    <cellStyle name="Note 3 13 9" xfId="42380" xr:uid="{00000000-0005-0000-0000-000082A50000}"/>
    <cellStyle name="Note 3 14" xfId="42381" xr:uid="{00000000-0005-0000-0000-000083A50000}"/>
    <cellStyle name="Note 3 14 10" xfId="42382" xr:uid="{00000000-0005-0000-0000-000084A50000}"/>
    <cellStyle name="Note 3 14 11" xfId="42383" xr:uid="{00000000-0005-0000-0000-000085A50000}"/>
    <cellStyle name="Note 3 14 12" xfId="42384" xr:uid="{00000000-0005-0000-0000-000086A50000}"/>
    <cellStyle name="Note 3 14 13" xfId="42385" xr:uid="{00000000-0005-0000-0000-000087A50000}"/>
    <cellStyle name="Note 3 14 14" xfId="42386" xr:uid="{00000000-0005-0000-0000-000088A50000}"/>
    <cellStyle name="Note 3 14 15" xfId="42387" xr:uid="{00000000-0005-0000-0000-000089A50000}"/>
    <cellStyle name="Note 3 14 2" xfId="42388" xr:uid="{00000000-0005-0000-0000-00008AA50000}"/>
    <cellStyle name="Note 3 14 3" xfId="42389" xr:uid="{00000000-0005-0000-0000-00008BA50000}"/>
    <cellStyle name="Note 3 14 4" xfId="42390" xr:uid="{00000000-0005-0000-0000-00008CA50000}"/>
    <cellStyle name="Note 3 14 5" xfId="42391" xr:uid="{00000000-0005-0000-0000-00008DA50000}"/>
    <cellStyle name="Note 3 14 6" xfId="42392" xr:uid="{00000000-0005-0000-0000-00008EA50000}"/>
    <cellStyle name="Note 3 14 7" xfId="42393" xr:uid="{00000000-0005-0000-0000-00008FA50000}"/>
    <cellStyle name="Note 3 14 8" xfId="42394" xr:uid="{00000000-0005-0000-0000-000090A50000}"/>
    <cellStyle name="Note 3 14 9" xfId="42395" xr:uid="{00000000-0005-0000-0000-000091A50000}"/>
    <cellStyle name="Note 3 15" xfId="42396" xr:uid="{00000000-0005-0000-0000-000092A50000}"/>
    <cellStyle name="Note 3 15 10" xfId="42397" xr:uid="{00000000-0005-0000-0000-000093A50000}"/>
    <cellStyle name="Note 3 15 11" xfId="42398" xr:uid="{00000000-0005-0000-0000-000094A50000}"/>
    <cellStyle name="Note 3 15 12" xfId="42399" xr:uid="{00000000-0005-0000-0000-000095A50000}"/>
    <cellStyle name="Note 3 15 13" xfId="42400" xr:uid="{00000000-0005-0000-0000-000096A50000}"/>
    <cellStyle name="Note 3 15 14" xfId="42401" xr:uid="{00000000-0005-0000-0000-000097A50000}"/>
    <cellStyle name="Note 3 15 15" xfId="42402" xr:uid="{00000000-0005-0000-0000-000098A50000}"/>
    <cellStyle name="Note 3 15 2" xfId="42403" xr:uid="{00000000-0005-0000-0000-000099A50000}"/>
    <cellStyle name="Note 3 15 3" xfId="42404" xr:uid="{00000000-0005-0000-0000-00009AA50000}"/>
    <cellStyle name="Note 3 15 4" xfId="42405" xr:uid="{00000000-0005-0000-0000-00009BA50000}"/>
    <cellStyle name="Note 3 15 5" xfId="42406" xr:uid="{00000000-0005-0000-0000-00009CA50000}"/>
    <cellStyle name="Note 3 15 6" xfId="42407" xr:uid="{00000000-0005-0000-0000-00009DA50000}"/>
    <cellStyle name="Note 3 15 7" xfId="42408" xr:uid="{00000000-0005-0000-0000-00009EA50000}"/>
    <cellStyle name="Note 3 15 8" xfId="42409" xr:uid="{00000000-0005-0000-0000-00009FA50000}"/>
    <cellStyle name="Note 3 15 9" xfId="42410" xr:uid="{00000000-0005-0000-0000-0000A0A50000}"/>
    <cellStyle name="Note 3 16" xfId="42411" xr:uid="{00000000-0005-0000-0000-0000A1A50000}"/>
    <cellStyle name="Note 3 16 10" xfId="42412" xr:uid="{00000000-0005-0000-0000-0000A2A50000}"/>
    <cellStyle name="Note 3 16 11" xfId="42413" xr:uid="{00000000-0005-0000-0000-0000A3A50000}"/>
    <cellStyle name="Note 3 16 12" xfId="42414" xr:uid="{00000000-0005-0000-0000-0000A4A50000}"/>
    <cellStyle name="Note 3 16 13" xfId="42415" xr:uid="{00000000-0005-0000-0000-0000A5A50000}"/>
    <cellStyle name="Note 3 16 14" xfId="42416" xr:uid="{00000000-0005-0000-0000-0000A6A50000}"/>
    <cellStyle name="Note 3 16 15" xfId="42417" xr:uid="{00000000-0005-0000-0000-0000A7A50000}"/>
    <cellStyle name="Note 3 16 2" xfId="42418" xr:uid="{00000000-0005-0000-0000-0000A8A50000}"/>
    <cellStyle name="Note 3 16 3" xfId="42419" xr:uid="{00000000-0005-0000-0000-0000A9A50000}"/>
    <cellStyle name="Note 3 16 4" xfId="42420" xr:uid="{00000000-0005-0000-0000-0000AAA50000}"/>
    <cellStyle name="Note 3 16 5" xfId="42421" xr:uid="{00000000-0005-0000-0000-0000ABA50000}"/>
    <cellStyle name="Note 3 16 6" xfId="42422" xr:uid="{00000000-0005-0000-0000-0000ACA50000}"/>
    <cellStyle name="Note 3 16 7" xfId="42423" xr:uid="{00000000-0005-0000-0000-0000ADA50000}"/>
    <cellStyle name="Note 3 16 8" xfId="42424" xr:uid="{00000000-0005-0000-0000-0000AEA50000}"/>
    <cellStyle name="Note 3 16 9" xfId="42425" xr:uid="{00000000-0005-0000-0000-0000AFA50000}"/>
    <cellStyle name="Note 3 17" xfId="42426" xr:uid="{00000000-0005-0000-0000-0000B0A50000}"/>
    <cellStyle name="Note 3 17 10" xfId="42427" xr:uid="{00000000-0005-0000-0000-0000B1A50000}"/>
    <cellStyle name="Note 3 17 11" xfId="42428" xr:uid="{00000000-0005-0000-0000-0000B2A50000}"/>
    <cellStyle name="Note 3 17 12" xfId="42429" xr:uid="{00000000-0005-0000-0000-0000B3A50000}"/>
    <cellStyle name="Note 3 17 13" xfId="42430" xr:uid="{00000000-0005-0000-0000-0000B4A50000}"/>
    <cellStyle name="Note 3 17 14" xfId="42431" xr:uid="{00000000-0005-0000-0000-0000B5A50000}"/>
    <cellStyle name="Note 3 17 15" xfId="42432" xr:uid="{00000000-0005-0000-0000-0000B6A50000}"/>
    <cellStyle name="Note 3 17 2" xfId="42433" xr:uid="{00000000-0005-0000-0000-0000B7A50000}"/>
    <cellStyle name="Note 3 17 3" xfId="42434" xr:uid="{00000000-0005-0000-0000-0000B8A50000}"/>
    <cellStyle name="Note 3 17 4" xfId="42435" xr:uid="{00000000-0005-0000-0000-0000B9A50000}"/>
    <cellStyle name="Note 3 17 5" xfId="42436" xr:uid="{00000000-0005-0000-0000-0000BAA50000}"/>
    <cellStyle name="Note 3 17 6" xfId="42437" xr:uid="{00000000-0005-0000-0000-0000BBA50000}"/>
    <cellStyle name="Note 3 17 7" xfId="42438" xr:uid="{00000000-0005-0000-0000-0000BCA50000}"/>
    <cellStyle name="Note 3 17 8" xfId="42439" xr:uid="{00000000-0005-0000-0000-0000BDA50000}"/>
    <cellStyle name="Note 3 17 9" xfId="42440" xr:uid="{00000000-0005-0000-0000-0000BEA50000}"/>
    <cellStyle name="Note 3 18" xfId="42441" xr:uid="{00000000-0005-0000-0000-0000BFA50000}"/>
    <cellStyle name="Note 3 18 10" xfId="42442" xr:uid="{00000000-0005-0000-0000-0000C0A50000}"/>
    <cellStyle name="Note 3 18 11" xfId="42443" xr:uid="{00000000-0005-0000-0000-0000C1A50000}"/>
    <cellStyle name="Note 3 18 12" xfId="42444" xr:uid="{00000000-0005-0000-0000-0000C2A50000}"/>
    <cellStyle name="Note 3 18 13" xfId="42445" xr:uid="{00000000-0005-0000-0000-0000C3A50000}"/>
    <cellStyle name="Note 3 18 14" xfId="42446" xr:uid="{00000000-0005-0000-0000-0000C4A50000}"/>
    <cellStyle name="Note 3 18 15" xfId="42447" xr:uid="{00000000-0005-0000-0000-0000C5A50000}"/>
    <cellStyle name="Note 3 18 2" xfId="42448" xr:uid="{00000000-0005-0000-0000-0000C6A50000}"/>
    <cellStyle name="Note 3 18 3" xfId="42449" xr:uid="{00000000-0005-0000-0000-0000C7A50000}"/>
    <cellStyle name="Note 3 18 4" xfId="42450" xr:uid="{00000000-0005-0000-0000-0000C8A50000}"/>
    <cellStyle name="Note 3 18 5" xfId="42451" xr:uid="{00000000-0005-0000-0000-0000C9A50000}"/>
    <cellStyle name="Note 3 18 6" xfId="42452" xr:uid="{00000000-0005-0000-0000-0000CAA50000}"/>
    <cellStyle name="Note 3 18 7" xfId="42453" xr:uid="{00000000-0005-0000-0000-0000CBA50000}"/>
    <cellStyle name="Note 3 18 8" xfId="42454" xr:uid="{00000000-0005-0000-0000-0000CCA50000}"/>
    <cellStyle name="Note 3 18 9" xfId="42455" xr:uid="{00000000-0005-0000-0000-0000CDA50000}"/>
    <cellStyle name="Note 3 19" xfId="42456" xr:uid="{00000000-0005-0000-0000-0000CEA50000}"/>
    <cellStyle name="Note 3 19 10" xfId="42457" xr:uid="{00000000-0005-0000-0000-0000CFA50000}"/>
    <cellStyle name="Note 3 19 11" xfId="42458" xr:uid="{00000000-0005-0000-0000-0000D0A50000}"/>
    <cellStyle name="Note 3 19 12" xfId="42459" xr:uid="{00000000-0005-0000-0000-0000D1A50000}"/>
    <cellStyle name="Note 3 19 13" xfId="42460" xr:uid="{00000000-0005-0000-0000-0000D2A50000}"/>
    <cellStyle name="Note 3 19 14" xfId="42461" xr:uid="{00000000-0005-0000-0000-0000D3A50000}"/>
    <cellStyle name="Note 3 19 15" xfId="42462" xr:uid="{00000000-0005-0000-0000-0000D4A50000}"/>
    <cellStyle name="Note 3 19 2" xfId="42463" xr:uid="{00000000-0005-0000-0000-0000D5A50000}"/>
    <cellStyle name="Note 3 19 3" xfId="42464" xr:uid="{00000000-0005-0000-0000-0000D6A50000}"/>
    <cellStyle name="Note 3 19 4" xfId="42465" xr:uid="{00000000-0005-0000-0000-0000D7A50000}"/>
    <cellStyle name="Note 3 19 5" xfId="42466" xr:uid="{00000000-0005-0000-0000-0000D8A50000}"/>
    <cellStyle name="Note 3 19 6" xfId="42467" xr:uid="{00000000-0005-0000-0000-0000D9A50000}"/>
    <cellStyle name="Note 3 19 7" xfId="42468" xr:uid="{00000000-0005-0000-0000-0000DAA50000}"/>
    <cellStyle name="Note 3 19 8" xfId="42469" xr:uid="{00000000-0005-0000-0000-0000DBA50000}"/>
    <cellStyle name="Note 3 19 9" xfId="42470" xr:uid="{00000000-0005-0000-0000-0000DCA50000}"/>
    <cellStyle name="Note 3 2" xfId="42471" xr:uid="{00000000-0005-0000-0000-0000DDA50000}"/>
    <cellStyle name="Note 3 2 10" xfId="42472" xr:uid="{00000000-0005-0000-0000-0000DEA50000}"/>
    <cellStyle name="Note 3 2 11" xfId="42473" xr:uid="{00000000-0005-0000-0000-0000DFA50000}"/>
    <cellStyle name="Note 3 2 12" xfId="42474" xr:uid="{00000000-0005-0000-0000-0000E0A50000}"/>
    <cellStyle name="Note 3 2 13" xfId="42475" xr:uid="{00000000-0005-0000-0000-0000E1A50000}"/>
    <cellStyle name="Note 3 2 14" xfId="42476" xr:uid="{00000000-0005-0000-0000-0000E2A50000}"/>
    <cellStyle name="Note 3 2 15" xfId="42477" xr:uid="{00000000-0005-0000-0000-0000E3A50000}"/>
    <cellStyle name="Note 3 2 16" xfId="42478" xr:uid="{00000000-0005-0000-0000-0000E4A50000}"/>
    <cellStyle name="Note 3 2 17" xfId="42479" xr:uid="{00000000-0005-0000-0000-0000E5A50000}"/>
    <cellStyle name="Note 3 2 18" xfId="42480" xr:uid="{00000000-0005-0000-0000-0000E6A50000}"/>
    <cellStyle name="Note 3 2 19" xfId="42481" xr:uid="{00000000-0005-0000-0000-0000E7A50000}"/>
    <cellStyle name="Note 3 2 2" xfId="42482" xr:uid="{00000000-0005-0000-0000-0000E8A50000}"/>
    <cellStyle name="Note 3 2 20" xfId="42483" xr:uid="{00000000-0005-0000-0000-0000E9A50000}"/>
    <cellStyle name="Note 3 2 21" xfId="42484" xr:uid="{00000000-0005-0000-0000-0000EAA50000}"/>
    <cellStyle name="Note 3 2 22" xfId="42485" xr:uid="{00000000-0005-0000-0000-0000EBA50000}"/>
    <cellStyle name="Note 3 2 23" xfId="42486" xr:uid="{00000000-0005-0000-0000-0000ECA50000}"/>
    <cellStyle name="Note 3 2 24" xfId="42487" xr:uid="{00000000-0005-0000-0000-0000EDA50000}"/>
    <cellStyle name="Note 3 2 25" xfId="42488" xr:uid="{00000000-0005-0000-0000-0000EEA50000}"/>
    <cellStyle name="Note 3 2 26" xfId="42489" xr:uid="{00000000-0005-0000-0000-0000EFA50000}"/>
    <cellStyle name="Note 3 2 27" xfId="42490" xr:uid="{00000000-0005-0000-0000-0000F0A50000}"/>
    <cellStyle name="Note 3 2 28" xfId="42491" xr:uid="{00000000-0005-0000-0000-0000F1A50000}"/>
    <cellStyle name="Note 3 2 29" xfId="42492" xr:uid="{00000000-0005-0000-0000-0000F2A50000}"/>
    <cellStyle name="Note 3 2 3" xfId="42493" xr:uid="{00000000-0005-0000-0000-0000F3A50000}"/>
    <cellStyle name="Note 3 2 30" xfId="42494" xr:uid="{00000000-0005-0000-0000-0000F4A50000}"/>
    <cellStyle name="Note 3 2 31" xfId="42495" xr:uid="{00000000-0005-0000-0000-0000F5A50000}"/>
    <cellStyle name="Note 3 2 32" xfId="42496" xr:uid="{00000000-0005-0000-0000-0000F6A50000}"/>
    <cellStyle name="Note 3 2 33" xfId="42497" xr:uid="{00000000-0005-0000-0000-0000F7A50000}"/>
    <cellStyle name="Note 3 2 34" xfId="42498" xr:uid="{00000000-0005-0000-0000-0000F8A50000}"/>
    <cellStyle name="Note 3 2 35" xfId="42499" xr:uid="{00000000-0005-0000-0000-0000F9A50000}"/>
    <cellStyle name="Note 3 2 36" xfId="42500" xr:uid="{00000000-0005-0000-0000-0000FAA50000}"/>
    <cellStyle name="Note 3 2 37" xfId="42501" xr:uid="{00000000-0005-0000-0000-0000FBA50000}"/>
    <cellStyle name="Note 3 2 38" xfId="42502" xr:uid="{00000000-0005-0000-0000-0000FCA50000}"/>
    <cellStyle name="Note 3 2 39" xfId="42503" xr:uid="{00000000-0005-0000-0000-0000FDA50000}"/>
    <cellStyle name="Note 3 2 4" xfId="42504" xr:uid="{00000000-0005-0000-0000-0000FEA50000}"/>
    <cellStyle name="Note 3 2 40" xfId="42505" xr:uid="{00000000-0005-0000-0000-0000FFA50000}"/>
    <cellStyle name="Note 3 2 41" xfId="42506" xr:uid="{00000000-0005-0000-0000-000000A60000}"/>
    <cellStyle name="Note 3 2 42" xfId="42507" xr:uid="{00000000-0005-0000-0000-000001A60000}"/>
    <cellStyle name="Note 3 2 43" xfId="42508" xr:uid="{00000000-0005-0000-0000-000002A60000}"/>
    <cellStyle name="Note 3 2 44" xfId="42509" xr:uid="{00000000-0005-0000-0000-000003A60000}"/>
    <cellStyle name="Note 3 2 45" xfId="42510" xr:uid="{00000000-0005-0000-0000-000004A60000}"/>
    <cellStyle name="Note 3 2 46" xfId="42511" xr:uid="{00000000-0005-0000-0000-000005A60000}"/>
    <cellStyle name="Note 3 2 47" xfId="42512" xr:uid="{00000000-0005-0000-0000-000006A60000}"/>
    <cellStyle name="Note 3 2 48" xfId="42513" xr:uid="{00000000-0005-0000-0000-000007A60000}"/>
    <cellStyle name="Note 3 2 49" xfId="42514" xr:uid="{00000000-0005-0000-0000-000008A60000}"/>
    <cellStyle name="Note 3 2 5" xfId="42515" xr:uid="{00000000-0005-0000-0000-000009A60000}"/>
    <cellStyle name="Note 3 2 6" xfId="42516" xr:uid="{00000000-0005-0000-0000-00000AA60000}"/>
    <cellStyle name="Note 3 2 7" xfId="42517" xr:uid="{00000000-0005-0000-0000-00000BA60000}"/>
    <cellStyle name="Note 3 2 8" xfId="42518" xr:uid="{00000000-0005-0000-0000-00000CA60000}"/>
    <cellStyle name="Note 3 2 9" xfId="42519" xr:uid="{00000000-0005-0000-0000-00000DA60000}"/>
    <cellStyle name="Note 3 20" xfId="42520" xr:uid="{00000000-0005-0000-0000-00000EA60000}"/>
    <cellStyle name="Note 3 20 10" xfId="42521" xr:uid="{00000000-0005-0000-0000-00000FA60000}"/>
    <cellStyle name="Note 3 20 11" xfId="42522" xr:uid="{00000000-0005-0000-0000-000010A60000}"/>
    <cellStyle name="Note 3 20 12" xfId="42523" xr:uid="{00000000-0005-0000-0000-000011A60000}"/>
    <cellStyle name="Note 3 20 13" xfId="42524" xr:uid="{00000000-0005-0000-0000-000012A60000}"/>
    <cellStyle name="Note 3 20 14" xfId="42525" xr:uid="{00000000-0005-0000-0000-000013A60000}"/>
    <cellStyle name="Note 3 20 15" xfId="42526" xr:uid="{00000000-0005-0000-0000-000014A60000}"/>
    <cellStyle name="Note 3 20 2" xfId="42527" xr:uid="{00000000-0005-0000-0000-000015A60000}"/>
    <cellStyle name="Note 3 20 3" xfId="42528" xr:uid="{00000000-0005-0000-0000-000016A60000}"/>
    <cellStyle name="Note 3 20 4" xfId="42529" xr:uid="{00000000-0005-0000-0000-000017A60000}"/>
    <cellStyle name="Note 3 20 5" xfId="42530" xr:uid="{00000000-0005-0000-0000-000018A60000}"/>
    <cellStyle name="Note 3 20 6" xfId="42531" xr:uid="{00000000-0005-0000-0000-000019A60000}"/>
    <cellStyle name="Note 3 20 7" xfId="42532" xr:uid="{00000000-0005-0000-0000-00001AA60000}"/>
    <cellStyle name="Note 3 20 8" xfId="42533" xr:uid="{00000000-0005-0000-0000-00001BA60000}"/>
    <cellStyle name="Note 3 20 9" xfId="42534" xr:uid="{00000000-0005-0000-0000-00001CA60000}"/>
    <cellStyle name="Note 3 21" xfId="42535" xr:uid="{00000000-0005-0000-0000-00001DA60000}"/>
    <cellStyle name="Note 3 21 10" xfId="42536" xr:uid="{00000000-0005-0000-0000-00001EA60000}"/>
    <cellStyle name="Note 3 21 11" xfId="42537" xr:uid="{00000000-0005-0000-0000-00001FA60000}"/>
    <cellStyle name="Note 3 21 12" xfId="42538" xr:uid="{00000000-0005-0000-0000-000020A60000}"/>
    <cellStyle name="Note 3 21 13" xfId="42539" xr:uid="{00000000-0005-0000-0000-000021A60000}"/>
    <cellStyle name="Note 3 21 14" xfId="42540" xr:uid="{00000000-0005-0000-0000-000022A60000}"/>
    <cellStyle name="Note 3 21 15" xfId="42541" xr:uid="{00000000-0005-0000-0000-000023A60000}"/>
    <cellStyle name="Note 3 21 2" xfId="42542" xr:uid="{00000000-0005-0000-0000-000024A60000}"/>
    <cellStyle name="Note 3 21 3" xfId="42543" xr:uid="{00000000-0005-0000-0000-000025A60000}"/>
    <cellStyle name="Note 3 21 4" xfId="42544" xr:uid="{00000000-0005-0000-0000-000026A60000}"/>
    <cellStyle name="Note 3 21 5" xfId="42545" xr:uid="{00000000-0005-0000-0000-000027A60000}"/>
    <cellStyle name="Note 3 21 6" xfId="42546" xr:uid="{00000000-0005-0000-0000-000028A60000}"/>
    <cellStyle name="Note 3 21 7" xfId="42547" xr:uid="{00000000-0005-0000-0000-000029A60000}"/>
    <cellStyle name="Note 3 21 8" xfId="42548" xr:uid="{00000000-0005-0000-0000-00002AA60000}"/>
    <cellStyle name="Note 3 21 9" xfId="42549" xr:uid="{00000000-0005-0000-0000-00002BA60000}"/>
    <cellStyle name="Note 3 22" xfId="42550" xr:uid="{00000000-0005-0000-0000-00002CA60000}"/>
    <cellStyle name="Note 3 22 10" xfId="42551" xr:uid="{00000000-0005-0000-0000-00002DA60000}"/>
    <cellStyle name="Note 3 22 11" xfId="42552" xr:uid="{00000000-0005-0000-0000-00002EA60000}"/>
    <cellStyle name="Note 3 22 12" xfId="42553" xr:uid="{00000000-0005-0000-0000-00002FA60000}"/>
    <cellStyle name="Note 3 22 13" xfId="42554" xr:uid="{00000000-0005-0000-0000-000030A60000}"/>
    <cellStyle name="Note 3 22 14" xfId="42555" xr:uid="{00000000-0005-0000-0000-000031A60000}"/>
    <cellStyle name="Note 3 22 15" xfId="42556" xr:uid="{00000000-0005-0000-0000-000032A60000}"/>
    <cellStyle name="Note 3 22 2" xfId="42557" xr:uid="{00000000-0005-0000-0000-000033A60000}"/>
    <cellStyle name="Note 3 22 3" xfId="42558" xr:uid="{00000000-0005-0000-0000-000034A60000}"/>
    <cellStyle name="Note 3 22 4" xfId="42559" xr:uid="{00000000-0005-0000-0000-000035A60000}"/>
    <cellStyle name="Note 3 22 5" xfId="42560" xr:uid="{00000000-0005-0000-0000-000036A60000}"/>
    <cellStyle name="Note 3 22 6" xfId="42561" xr:uid="{00000000-0005-0000-0000-000037A60000}"/>
    <cellStyle name="Note 3 22 7" xfId="42562" xr:uid="{00000000-0005-0000-0000-000038A60000}"/>
    <cellStyle name="Note 3 22 8" xfId="42563" xr:uid="{00000000-0005-0000-0000-000039A60000}"/>
    <cellStyle name="Note 3 22 9" xfId="42564" xr:uid="{00000000-0005-0000-0000-00003AA60000}"/>
    <cellStyle name="Note 3 23" xfId="42565" xr:uid="{00000000-0005-0000-0000-00003BA60000}"/>
    <cellStyle name="Note 3 23 10" xfId="42566" xr:uid="{00000000-0005-0000-0000-00003CA60000}"/>
    <cellStyle name="Note 3 23 11" xfId="42567" xr:uid="{00000000-0005-0000-0000-00003DA60000}"/>
    <cellStyle name="Note 3 23 12" xfId="42568" xr:uid="{00000000-0005-0000-0000-00003EA60000}"/>
    <cellStyle name="Note 3 23 13" xfId="42569" xr:uid="{00000000-0005-0000-0000-00003FA60000}"/>
    <cellStyle name="Note 3 23 14" xfId="42570" xr:uid="{00000000-0005-0000-0000-000040A60000}"/>
    <cellStyle name="Note 3 23 15" xfId="42571" xr:uid="{00000000-0005-0000-0000-000041A60000}"/>
    <cellStyle name="Note 3 23 2" xfId="42572" xr:uid="{00000000-0005-0000-0000-000042A60000}"/>
    <cellStyle name="Note 3 23 3" xfId="42573" xr:uid="{00000000-0005-0000-0000-000043A60000}"/>
    <cellStyle name="Note 3 23 4" xfId="42574" xr:uid="{00000000-0005-0000-0000-000044A60000}"/>
    <cellStyle name="Note 3 23 5" xfId="42575" xr:uid="{00000000-0005-0000-0000-000045A60000}"/>
    <cellStyle name="Note 3 23 6" xfId="42576" xr:uid="{00000000-0005-0000-0000-000046A60000}"/>
    <cellStyle name="Note 3 23 7" xfId="42577" xr:uid="{00000000-0005-0000-0000-000047A60000}"/>
    <cellStyle name="Note 3 23 8" xfId="42578" xr:uid="{00000000-0005-0000-0000-000048A60000}"/>
    <cellStyle name="Note 3 23 9" xfId="42579" xr:uid="{00000000-0005-0000-0000-000049A60000}"/>
    <cellStyle name="Note 3 24" xfId="42580" xr:uid="{00000000-0005-0000-0000-00004AA60000}"/>
    <cellStyle name="Note 3 24 10" xfId="42581" xr:uid="{00000000-0005-0000-0000-00004BA60000}"/>
    <cellStyle name="Note 3 24 11" xfId="42582" xr:uid="{00000000-0005-0000-0000-00004CA60000}"/>
    <cellStyle name="Note 3 24 12" xfId="42583" xr:uid="{00000000-0005-0000-0000-00004DA60000}"/>
    <cellStyle name="Note 3 24 13" xfId="42584" xr:uid="{00000000-0005-0000-0000-00004EA60000}"/>
    <cellStyle name="Note 3 24 14" xfId="42585" xr:uid="{00000000-0005-0000-0000-00004FA60000}"/>
    <cellStyle name="Note 3 24 15" xfId="42586" xr:uid="{00000000-0005-0000-0000-000050A60000}"/>
    <cellStyle name="Note 3 24 2" xfId="42587" xr:uid="{00000000-0005-0000-0000-000051A60000}"/>
    <cellStyle name="Note 3 24 3" xfId="42588" xr:uid="{00000000-0005-0000-0000-000052A60000}"/>
    <cellStyle name="Note 3 24 4" xfId="42589" xr:uid="{00000000-0005-0000-0000-000053A60000}"/>
    <cellStyle name="Note 3 24 5" xfId="42590" xr:uid="{00000000-0005-0000-0000-000054A60000}"/>
    <cellStyle name="Note 3 24 6" xfId="42591" xr:uid="{00000000-0005-0000-0000-000055A60000}"/>
    <cellStyle name="Note 3 24 7" xfId="42592" xr:uid="{00000000-0005-0000-0000-000056A60000}"/>
    <cellStyle name="Note 3 24 8" xfId="42593" xr:uid="{00000000-0005-0000-0000-000057A60000}"/>
    <cellStyle name="Note 3 24 9" xfId="42594" xr:uid="{00000000-0005-0000-0000-000058A60000}"/>
    <cellStyle name="Note 3 25" xfId="42595" xr:uid="{00000000-0005-0000-0000-000059A60000}"/>
    <cellStyle name="Note 3 25 10" xfId="42596" xr:uid="{00000000-0005-0000-0000-00005AA60000}"/>
    <cellStyle name="Note 3 25 11" xfId="42597" xr:uid="{00000000-0005-0000-0000-00005BA60000}"/>
    <cellStyle name="Note 3 25 12" xfId="42598" xr:uid="{00000000-0005-0000-0000-00005CA60000}"/>
    <cellStyle name="Note 3 25 13" xfId="42599" xr:uid="{00000000-0005-0000-0000-00005DA60000}"/>
    <cellStyle name="Note 3 25 14" xfId="42600" xr:uid="{00000000-0005-0000-0000-00005EA60000}"/>
    <cellStyle name="Note 3 25 15" xfId="42601" xr:uid="{00000000-0005-0000-0000-00005FA60000}"/>
    <cellStyle name="Note 3 25 2" xfId="42602" xr:uid="{00000000-0005-0000-0000-000060A60000}"/>
    <cellStyle name="Note 3 25 3" xfId="42603" xr:uid="{00000000-0005-0000-0000-000061A60000}"/>
    <cellStyle name="Note 3 25 4" xfId="42604" xr:uid="{00000000-0005-0000-0000-000062A60000}"/>
    <cellStyle name="Note 3 25 5" xfId="42605" xr:uid="{00000000-0005-0000-0000-000063A60000}"/>
    <cellStyle name="Note 3 25 6" xfId="42606" xr:uid="{00000000-0005-0000-0000-000064A60000}"/>
    <cellStyle name="Note 3 25 7" xfId="42607" xr:uid="{00000000-0005-0000-0000-000065A60000}"/>
    <cellStyle name="Note 3 25 8" xfId="42608" xr:uid="{00000000-0005-0000-0000-000066A60000}"/>
    <cellStyle name="Note 3 25 9" xfId="42609" xr:uid="{00000000-0005-0000-0000-000067A60000}"/>
    <cellStyle name="Note 3 26" xfId="42610" xr:uid="{00000000-0005-0000-0000-000068A60000}"/>
    <cellStyle name="Note 3 26 10" xfId="42611" xr:uid="{00000000-0005-0000-0000-000069A60000}"/>
    <cellStyle name="Note 3 26 11" xfId="42612" xr:uid="{00000000-0005-0000-0000-00006AA60000}"/>
    <cellStyle name="Note 3 26 12" xfId="42613" xr:uid="{00000000-0005-0000-0000-00006BA60000}"/>
    <cellStyle name="Note 3 26 13" xfId="42614" xr:uid="{00000000-0005-0000-0000-00006CA60000}"/>
    <cellStyle name="Note 3 26 14" xfId="42615" xr:uid="{00000000-0005-0000-0000-00006DA60000}"/>
    <cellStyle name="Note 3 26 15" xfId="42616" xr:uid="{00000000-0005-0000-0000-00006EA60000}"/>
    <cellStyle name="Note 3 26 2" xfId="42617" xr:uid="{00000000-0005-0000-0000-00006FA60000}"/>
    <cellStyle name="Note 3 26 3" xfId="42618" xr:uid="{00000000-0005-0000-0000-000070A60000}"/>
    <cellStyle name="Note 3 26 4" xfId="42619" xr:uid="{00000000-0005-0000-0000-000071A60000}"/>
    <cellStyle name="Note 3 26 5" xfId="42620" xr:uid="{00000000-0005-0000-0000-000072A60000}"/>
    <cellStyle name="Note 3 26 6" xfId="42621" xr:uid="{00000000-0005-0000-0000-000073A60000}"/>
    <cellStyle name="Note 3 26 7" xfId="42622" xr:uid="{00000000-0005-0000-0000-000074A60000}"/>
    <cellStyle name="Note 3 26 8" xfId="42623" xr:uid="{00000000-0005-0000-0000-000075A60000}"/>
    <cellStyle name="Note 3 26 9" xfId="42624" xr:uid="{00000000-0005-0000-0000-000076A60000}"/>
    <cellStyle name="Note 3 27" xfId="42625" xr:uid="{00000000-0005-0000-0000-000077A60000}"/>
    <cellStyle name="Note 3 27 10" xfId="42626" xr:uid="{00000000-0005-0000-0000-000078A60000}"/>
    <cellStyle name="Note 3 27 11" xfId="42627" xr:uid="{00000000-0005-0000-0000-000079A60000}"/>
    <cellStyle name="Note 3 27 12" xfId="42628" xr:uid="{00000000-0005-0000-0000-00007AA60000}"/>
    <cellStyle name="Note 3 27 13" xfId="42629" xr:uid="{00000000-0005-0000-0000-00007BA60000}"/>
    <cellStyle name="Note 3 27 14" xfId="42630" xr:uid="{00000000-0005-0000-0000-00007CA60000}"/>
    <cellStyle name="Note 3 27 15" xfId="42631" xr:uid="{00000000-0005-0000-0000-00007DA60000}"/>
    <cellStyle name="Note 3 27 2" xfId="42632" xr:uid="{00000000-0005-0000-0000-00007EA60000}"/>
    <cellStyle name="Note 3 27 3" xfId="42633" xr:uid="{00000000-0005-0000-0000-00007FA60000}"/>
    <cellStyle name="Note 3 27 4" xfId="42634" xr:uid="{00000000-0005-0000-0000-000080A60000}"/>
    <cellStyle name="Note 3 27 5" xfId="42635" xr:uid="{00000000-0005-0000-0000-000081A60000}"/>
    <cellStyle name="Note 3 27 6" xfId="42636" xr:uid="{00000000-0005-0000-0000-000082A60000}"/>
    <cellStyle name="Note 3 27 7" xfId="42637" xr:uid="{00000000-0005-0000-0000-000083A60000}"/>
    <cellStyle name="Note 3 27 8" xfId="42638" xr:uid="{00000000-0005-0000-0000-000084A60000}"/>
    <cellStyle name="Note 3 27 9" xfId="42639" xr:uid="{00000000-0005-0000-0000-000085A60000}"/>
    <cellStyle name="Note 3 28" xfId="42640" xr:uid="{00000000-0005-0000-0000-000086A60000}"/>
    <cellStyle name="Note 3 28 10" xfId="42641" xr:uid="{00000000-0005-0000-0000-000087A60000}"/>
    <cellStyle name="Note 3 28 11" xfId="42642" xr:uid="{00000000-0005-0000-0000-000088A60000}"/>
    <cellStyle name="Note 3 28 12" xfId="42643" xr:uid="{00000000-0005-0000-0000-000089A60000}"/>
    <cellStyle name="Note 3 28 13" xfId="42644" xr:uid="{00000000-0005-0000-0000-00008AA60000}"/>
    <cellStyle name="Note 3 28 14" xfId="42645" xr:uid="{00000000-0005-0000-0000-00008BA60000}"/>
    <cellStyle name="Note 3 28 15" xfId="42646" xr:uid="{00000000-0005-0000-0000-00008CA60000}"/>
    <cellStyle name="Note 3 28 2" xfId="42647" xr:uid="{00000000-0005-0000-0000-00008DA60000}"/>
    <cellStyle name="Note 3 28 3" xfId="42648" xr:uid="{00000000-0005-0000-0000-00008EA60000}"/>
    <cellStyle name="Note 3 28 4" xfId="42649" xr:uid="{00000000-0005-0000-0000-00008FA60000}"/>
    <cellStyle name="Note 3 28 5" xfId="42650" xr:uid="{00000000-0005-0000-0000-000090A60000}"/>
    <cellStyle name="Note 3 28 6" xfId="42651" xr:uid="{00000000-0005-0000-0000-000091A60000}"/>
    <cellStyle name="Note 3 28 7" xfId="42652" xr:uid="{00000000-0005-0000-0000-000092A60000}"/>
    <cellStyle name="Note 3 28 8" xfId="42653" xr:uid="{00000000-0005-0000-0000-000093A60000}"/>
    <cellStyle name="Note 3 28 9" xfId="42654" xr:uid="{00000000-0005-0000-0000-000094A60000}"/>
    <cellStyle name="Note 3 29" xfId="42655" xr:uid="{00000000-0005-0000-0000-000095A60000}"/>
    <cellStyle name="Note 3 29 10" xfId="42656" xr:uid="{00000000-0005-0000-0000-000096A60000}"/>
    <cellStyle name="Note 3 29 11" xfId="42657" xr:uid="{00000000-0005-0000-0000-000097A60000}"/>
    <cellStyle name="Note 3 29 12" xfId="42658" xr:uid="{00000000-0005-0000-0000-000098A60000}"/>
    <cellStyle name="Note 3 29 13" xfId="42659" xr:uid="{00000000-0005-0000-0000-000099A60000}"/>
    <cellStyle name="Note 3 29 14" xfId="42660" xr:uid="{00000000-0005-0000-0000-00009AA60000}"/>
    <cellStyle name="Note 3 29 15" xfId="42661" xr:uid="{00000000-0005-0000-0000-00009BA60000}"/>
    <cellStyle name="Note 3 29 2" xfId="42662" xr:uid="{00000000-0005-0000-0000-00009CA60000}"/>
    <cellStyle name="Note 3 29 3" xfId="42663" xr:uid="{00000000-0005-0000-0000-00009DA60000}"/>
    <cellStyle name="Note 3 29 4" xfId="42664" xr:uid="{00000000-0005-0000-0000-00009EA60000}"/>
    <cellStyle name="Note 3 29 5" xfId="42665" xr:uid="{00000000-0005-0000-0000-00009FA60000}"/>
    <cellStyle name="Note 3 29 6" xfId="42666" xr:uid="{00000000-0005-0000-0000-0000A0A60000}"/>
    <cellStyle name="Note 3 29 7" xfId="42667" xr:uid="{00000000-0005-0000-0000-0000A1A60000}"/>
    <cellStyle name="Note 3 29 8" xfId="42668" xr:uid="{00000000-0005-0000-0000-0000A2A60000}"/>
    <cellStyle name="Note 3 29 9" xfId="42669" xr:uid="{00000000-0005-0000-0000-0000A3A60000}"/>
    <cellStyle name="Note 3 3" xfId="42670" xr:uid="{00000000-0005-0000-0000-0000A4A60000}"/>
    <cellStyle name="Note 3 3 10" xfId="42671" xr:uid="{00000000-0005-0000-0000-0000A5A60000}"/>
    <cellStyle name="Note 3 3 11" xfId="42672" xr:uid="{00000000-0005-0000-0000-0000A6A60000}"/>
    <cellStyle name="Note 3 3 12" xfId="42673" xr:uid="{00000000-0005-0000-0000-0000A7A60000}"/>
    <cellStyle name="Note 3 3 13" xfId="42674" xr:uid="{00000000-0005-0000-0000-0000A8A60000}"/>
    <cellStyle name="Note 3 3 14" xfId="42675" xr:uid="{00000000-0005-0000-0000-0000A9A60000}"/>
    <cellStyle name="Note 3 3 15" xfId="42676" xr:uid="{00000000-0005-0000-0000-0000AAA60000}"/>
    <cellStyle name="Note 3 3 16" xfId="42677" xr:uid="{00000000-0005-0000-0000-0000ABA60000}"/>
    <cellStyle name="Note 3 3 2" xfId="42678" xr:uid="{00000000-0005-0000-0000-0000ACA60000}"/>
    <cellStyle name="Note 3 3 3" xfId="42679" xr:uid="{00000000-0005-0000-0000-0000ADA60000}"/>
    <cellStyle name="Note 3 3 4" xfId="42680" xr:uid="{00000000-0005-0000-0000-0000AEA60000}"/>
    <cellStyle name="Note 3 3 5" xfId="42681" xr:uid="{00000000-0005-0000-0000-0000AFA60000}"/>
    <cellStyle name="Note 3 3 6" xfId="42682" xr:uid="{00000000-0005-0000-0000-0000B0A60000}"/>
    <cellStyle name="Note 3 3 7" xfId="42683" xr:uid="{00000000-0005-0000-0000-0000B1A60000}"/>
    <cellStyle name="Note 3 3 8" xfId="42684" xr:uid="{00000000-0005-0000-0000-0000B2A60000}"/>
    <cellStyle name="Note 3 3 9" xfId="42685" xr:uid="{00000000-0005-0000-0000-0000B3A60000}"/>
    <cellStyle name="Note 3 30" xfId="42686" xr:uid="{00000000-0005-0000-0000-0000B4A60000}"/>
    <cellStyle name="Note 3 30 10" xfId="42687" xr:uid="{00000000-0005-0000-0000-0000B5A60000}"/>
    <cellStyle name="Note 3 30 11" xfId="42688" xr:uid="{00000000-0005-0000-0000-0000B6A60000}"/>
    <cellStyle name="Note 3 30 12" xfId="42689" xr:uid="{00000000-0005-0000-0000-0000B7A60000}"/>
    <cellStyle name="Note 3 30 13" xfId="42690" xr:uid="{00000000-0005-0000-0000-0000B8A60000}"/>
    <cellStyle name="Note 3 30 14" xfId="42691" xr:uid="{00000000-0005-0000-0000-0000B9A60000}"/>
    <cellStyle name="Note 3 30 15" xfId="42692" xr:uid="{00000000-0005-0000-0000-0000BAA60000}"/>
    <cellStyle name="Note 3 30 2" xfId="42693" xr:uid="{00000000-0005-0000-0000-0000BBA60000}"/>
    <cellStyle name="Note 3 30 3" xfId="42694" xr:uid="{00000000-0005-0000-0000-0000BCA60000}"/>
    <cellStyle name="Note 3 30 4" xfId="42695" xr:uid="{00000000-0005-0000-0000-0000BDA60000}"/>
    <cellStyle name="Note 3 30 5" xfId="42696" xr:uid="{00000000-0005-0000-0000-0000BEA60000}"/>
    <cellStyle name="Note 3 30 6" xfId="42697" xr:uid="{00000000-0005-0000-0000-0000BFA60000}"/>
    <cellStyle name="Note 3 30 7" xfId="42698" xr:uid="{00000000-0005-0000-0000-0000C0A60000}"/>
    <cellStyle name="Note 3 30 8" xfId="42699" xr:uid="{00000000-0005-0000-0000-0000C1A60000}"/>
    <cellStyle name="Note 3 30 9" xfId="42700" xr:uid="{00000000-0005-0000-0000-0000C2A60000}"/>
    <cellStyle name="Note 3 31" xfId="42701" xr:uid="{00000000-0005-0000-0000-0000C3A60000}"/>
    <cellStyle name="Note 3 31 10" xfId="42702" xr:uid="{00000000-0005-0000-0000-0000C4A60000}"/>
    <cellStyle name="Note 3 31 11" xfId="42703" xr:uid="{00000000-0005-0000-0000-0000C5A60000}"/>
    <cellStyle name="Note 3 31 12" xfId="42704" xr:uid="{00000000-0005-0000-0000-0000C6A60000}"/>
    <cellStyle name="Note 3 31 13" xfId="42705" xr:uid="{00000000-0005-0000-0000-0000C7A60000}"/>
    <cellStyle name="Note 3 31 14" xfId="42706" xr:uid="{00000000-0005-0000-0000-0000C8A60000}"/>
    <cellStyle name="Note 3 31 15" xfId="42707" xr:uid="{00000000-0005-0000-0000-0000C9A60000}"/>
    <cellStyle name="Note 3 31 2" xfId="42708" xr:uid="{00000000-0005-0000-0000-0000CAA60000}"/>
    <cellStyle name="Note 3 31 3" xfId="42709" xr:uid="{00000000-0005-0000-0000-0000CBA60000}"/>
    <cellStyle name="Note 3 31 4" xfId="42710" xr:uid="{00000000-0005-0000-0000-0000CCA60000}"/>
    <cellStyle name="Note 3 31 5" xfId="42711" xr:uid="{00000000-0005-0000-0000-0000CDA60000}"/>
    <cellStyle name="Note 3 31 6" xfId="42712" xr:uid="{00000000-0005-0000-0000-0000CEA60000}"/>
    <cellStyle name="Note 3 31 7" xfId="42713" xr:uid="{00000000-0005-0000-0000-0000CFA60000}"/>
    <cellStyle name="Note 3 31 8" xfId="42714" xr:uid="{00000000-0005-0000-0000-0000D0A60000}"/>
    <cellStyle name="Note 3 31 9" xfId="42715" xr:uid="{00000000-0005-0000-0000-0000D1A60000}"/>
    <cellStyle name="Note 3 32" xfId="42716" xr:uid="{00000000-0005-0000-0000-0000D2A60000}"/>
    <cellStyle name="Note 3 32 10" xfId="42717" xr:uid="{00000000-0005-0000-0000-0000D3A60000}"/>
    <cellStyle name="Note 3 32 11" xfId="42718" xr:uid="{00000000-0005-0000-0000-0000D4A60000}"/>
    <cellStyle name="Note 3 32 12" xfId="42719" xr:uid="{00000000-0005-0000-0000-0000D5A60000}"/>
    <cellStyle name="Note 3 32 13" xfId="42720" xr:uid="{00000000-0005-0000-0000-0000D6A60000}"/>
    <cellStyle name="Note 3 32 14" xfId="42721" xr:uid="{00000000-0005-0000-0000-0000D7A60000}"/>
    <cellStyle name="Note 3 32 15" xfId="42722" xr:uid="{00000000-0005-0000-0000-0000D8A60000}"/>
    <cellStyle name="Note 3 32 2" xfId="42723" xr:uid="{00000000-0005-0000-0000-0000D9A60000}"/>
    <cellStyle name="Note 3 32 3" xfId="42724" xr:uid="{00000000-0005-0000-0000-0000DAA60000}"/>
    <cellStyle name="Note 3 32 4" xfId="42725" xr:uid="{00000000-0005-0000-0000-0000DBA60000}"/>
    <cellStyle name="Note 3 32 5" xfId="42726" xr:uid="{00000000-0005-0000-0000-0000DCA60000}"/>
    <cellStyle name="Note 3 32 6" xfId="42727" xr:uid="{00000000-0005-0000-0000-0000DDA60000}"/>
    <cellStyle name="Note 3 32 7" xfId="42728" xr:uid="{00000000-0005-0000-0000-0000DEA60000}"/>
    <cellStyle name="Note 3 32 8" xfId="42729" xr:uid="{00000000-0005-0000-0000-0000DFA60000}"/>
    <cellStyle name="Note 3 32 9" xfId="42730" xr:uid="{00000000-0005-0000-0000-0000E0A60000}"/>
    <cellStyle name="Note 3 33" xfId="42731" xr:uid="{00000000-0005-0000-0000-0000E1A60000}"/>
    <cellStyle name="Note 3 34" xfId="42732" xr:uid="{00000000-0005-0000-0000-0000E2A60000}"/>
    <cellStyle name="Note 3 35" xfId="42733" xr:uid="{00000000-0005-0000-0000-0000E3A60000}"/>
    <cellStyle name="Note 3 36" xfId="42734" xr:uid="{00000000-0005-0000-0000-0000E4A60000}"/>
    <cellStyle name="Note 3 37" xfId="42735" xr:uid="{00000000-0005-0000-0000-0000E5A60000}"/>
    <cellStyle name="Note 3 38" xfId="42736" xr:uid="{00000000-0005-0000-0000-0000E6A60000}"/>
    <cellStyle name="Note 3 39" xfId="42737" xr:uid="{00000000-0005-0000-0000-0000E7A60000}"/>
    <cellStyle name="Note 3 4" xfId="42738" xr:uid="{00000000-0005-0000-0000-0000E8A60000}"/>
    <cellStyle name="Note 3 4 10" xfId="42739" xr:uid="{00000000-0005-0000-0000-0000E9A60000}"/>
    <cellStyle name="Note 3 4 11" xfId="42740" xr:uid="{00000000-0005-0000-0000-0000EAA60000}"/>
    <cellStyle name="Note 3 4 12" xfId="42741" xr:uid="{00000000-0005-0000-0000-0000EBA60000}"/>
    <cellStyle name="Note 3 4 13" xfId="42742" xr:uid="{00000000-0005-0000-0000-0000ECA60000}"/>
    <cellStyle name="Note 3 4 14" xfId="42743" xr:uid="{00000000-0005-0000-0000-0000EDA60000}"/>
    <cellStyle name="Note 3 4 15" xfId="42744" xr:uid="{00000000-0005-0000-0000-0000EEA60000}"/>
    <cellStyle name="Note 3 4 16" xfId="42745" xr:uid="{00000000-0005-0000-0000-0000EFA60000}"/>
    <cellStyle name="Note 3 4 2" xfId="42746" xr:uid="{00000000-0005-0000-0000-0000F0A60000}"/>
    <cellStyle name="Note 3 4 3" xfId="42747" xr:uid="{00000000-0005-0000-0000-0000F1A60000}"/>
    <cellStyle name="Note 3 4 4" xfId="42748" xr:uid="{00000000-0005-0000-0000-0000F2A60000}"/>
    <cellStyle name="Note 3 4 5" xfId="42749" xr:uid="{00000000-0005-0000-0000-0000F3A60000}"/>
    <cellStyle name="Note 3 4 6" xfId="42750" xr:uid="{00000000-0005-0000-0000-0000F4A60000}"/>
    <cellStyle name="Note 3 4 7" xfId="42751" xr:uid="{00000000-0005-0000-0000-0000F5A60000}"/>
    <cellStyle name="Note 3 4 8" xfId="42752" xr:uid="{00000000-0005-0000-0000-0000F6A60000}"/>
    <cellStyle name="Note 3 4 9" xfId="42753" xr:uid="{00000000-0005-0000-0000-0000F7A60000}"/>
    <cellStyle name="Note 3 40" xfId="42754" xr:uid="{00000000-0005-0000-0000-0000F8A60000}"/>
    <cellStyle name="Note 3 41" xfId="42755" xr:uid="{00000000-0005-0000-0000-0000F9A60000}"/>
    <cellStyle name="Note 3 42" xfId="42756" xr:uid="{00000000-0005-0000-0000-0000FAA60000}"/>
    <cellStyle name="Note 3 43" xfId="42757" xr:uid="{00000000-0005-0000-0000-0000FBA60000}"/>
    <cellStyle name="Note 3 44" xfId="42758" xr:uid="{00000000-0005-0000-0000-0000FCA60000}"/>
    <cellStyle name="Note 3 45" xfId="42759" xr:uid="{00000000-0005-0000-0000-0000FDA60000}"/>
    <cellStyle name="Note 3 46" xfId="42760" xr:uid="{00000000-0005-0000-0000-0000FEA60000}"/>
    <cellStyle name="Note 3 47" xfId="42761" xr:uid="{00000000-0005-0000-0000-0000FFA60000}"/>
    <cellStyle name="Note 3 48" xfId="42762" xr:uid="{00000000-0005-0000-0000-000000A70000}"/>
    <cellStyle name="Note 3 49" xfId="42763" xr:uid="{00000000-0005-0000-0000-000001A70000}"/>
    <cellStyle name="Note 3 5" xfId="42764" xr:uid="{00000000-0005-0000-0000-000002A70000}"/>
    <cellStyle name="Note 3 5 10" xfId="42765" xr:uid="{00000000-0005-0000-0000-000003A70000}"/>
    <cellStyle name="Note 3 5 11" xfId="42766" xr:uid="{00000000-0005-0000-0000-000004A70000}"/>
    <cellStyle name="Note 3 5 12" xfId="42767" xr:uid="{00000000-0005-0000-0000-000005A70000}"/>
    <cellStyle name="Note 3 5 13" xfId="42768" xr:uid="{00000000-0005-0000-0000-000006A70000}"/>
    <cellStyle name="Note 3 5 14" xfId="42769" xr:uid="{00000000-0005-0000-0000-000007A70000}"/>
    <cellStyle name="Note 3 5 15" xfId="42770" xr:uid="{00000000-0005-0000-0000-000008A70000}"/>
    <cellStyle name="Note 3 5 2" xfId="42771" xr:uid="{00000000-0005-0000-0000-000009A70000}"/>
    <cellStyle name="Note 3 5 3" xfId="42772" xr:uid="{00000000-0005-0000-0000-00000AA70000}"/>
    <cellStyle name="Note 3 5 4" xfId="42773" xr:uid="{00000000-0005-0000-0000-00000BA70000}"/>
    <cellStyle name="Note 3 5 5" xfId="42774" xr:uid="{00000000-0005-0000-0000-00000CA70000}"/>
    <cellStyle name="Note 3 5 6" xfId="42775" xr:uid="{00000000-0005-0000-0000-00000DA70000}"/>
    <cellStyle name="Note 3 5 7" xfId="42776" xr:uid="{00000000-0005-0000-0000-00000EA70000}"/>
    <cellStyle name="Note 3 5 8" xfId="42777" xr:uid="{00000000-0005-0000-0000-00000FA70000}"/>
    <cellStyle name="Note 3 5 9" xfId="42778" xr:uid="{00000000-0005-0000-0000-000010A70000}"/>
    <cellStyle name="Note 3 50" xfId="42779" xr:uid="{00000000-0005-0000-0000-000011A70000}"/>
    <cellStyle name="Note 3 51" xfId="42780" xr:uid="{00000000-0005-0000-0000-000012A70000}"/>
    <cellStyle name="Note 3 52" xfId="42781" xr:uid="{00000000-0005-0000-0000-000013A70000}"/>
    <cellStyle name="Note 3 53" xfId="42782" xr:uid="{00000000-0005-0000-0000-000014A70000}"/>
    <cellStyle name="Note 3 54" xfId="42783" xr:uid="{00000000-0005-0000-0000-000015A70000}"/>
    <cellStyle name="Note 3 55" xfId="42784" xr:uid="{00000000-0005-0000-0000-000016A70000}"/>
    <cellStyle name="Note 3 6" xfId="42785" xr:uid="{00000000-0005-0000-0000-000017A70000}"/>
    <cellStyle name="Note 3 6 10" xfId="42786" xr:uid="{00000000-0005-0000-0000-000018A70000}"/>
    <cellStyle name="Note 3 6 11" xfId="42787" xr:uid="{00000000-0005-0000-0000-000019A70000}"/>
    <cellStyle name="Note 3 6 12" xfId="42788" xr:uid="{00000000-0005-0000-0000-00001AA70000}"/>
    <cellStyle name="Note 3 6 13" xfId="42789" xr:uid="{00000000-0005-0000-0000-00001BA70000}"/>
    <cellStyle name="Note 3 6 14" xfId="42790" xr:uid="{00000000-0005-0000-0000-00001CA70000}"/>
    <cellStyle name="Note 3 6 15" xfId="42791" xr:uid="{00000000-0005-0000-0000-00001DA70000}"/>
    <cellStyle name="Note 3 6 2" xfId="42792" xr:uid="{00000000-0005-0000-0000-00001EA70000}"/>
    <cellStyle name="Note 3 6 3" xfId="42793" xr:uid="{00000000-0005-0000-0000-00001FA70000}"/>
    <cellStyle name="Note 3 6 4" xfId="42794" xr:uid="{00000000-0005-0000-0000-000020A70000}"/>
    <cellStyle name="Note 3 6 5" xfId="42795" xr:uid="{00000000-0005-0000-0000-000021A70000}"/>
    <cellStyle name="Note 3 6 6" xfId="42796" xr:uid="{00000000-0005-0000-0000-000022A70000}"/>
    <cellStyle name="Note 3 6 7" xfId="42797" xr:uid="{00000000-0005-0000-0000-000023A70000}"/>
    <cellStyle name="Note 3 6 8" xfId="42798" xr:uid="{00000000-0005-0000-0000-000024A70000}"/>
    <cellStyle name="Note 3 6 9" xfId="42799" xr:uid="{00000000-0005-0000-0000-000025A70000}"/>
    <cellStyle name="Note 3 7" xfId="42800" xr:uid="{00000000-0005-0000-0000-000026A70000}"/>
    <cellStyle name="Note 3 7 10" xfId="42801" xr:uid="{00000000-0005-0000-0000-000027A70000}"/>
    <cellStyle name="Note 3 7 11" xfId="42802" xr:uid="{00000000-0005-0000-0000-000028A70000}"/>
    <cellStyle name="Note 3 7 12" xfId="42803" xr:uid="{00000000-0005-0000-0000-000029A70000}"/>
    <cellStyle name="Note 3 7 13" xfId="42804" xr:uid="{00000000-0005-0000-0000-00002AA70000}"/>
    <cellStyle name="Note 3 7 14" xfId="42805" xr:uid="{00000000-0005-0000-0000-00002BA70000}"/>
    <cellStyle name="Note 3 7 15" xfId="42806" xr:uid="{00000000-0005-0000-0000-00002CA70000}"/>
    <cellStyle name="Note 3 7 2" xfId="42807" xr:uid="{00000000-0005-0000-0000-00002DA70000}"/>
    <cellStyle name="Note 3 7 3" xfId="42808" xr:uid="{00000000-0005-0000-0000-00002EA70000}"/>
    <cellStyle name="Note 3 7 4" xfId="42809" xr:uid="{00000000-0005-0000-0000-00002FA70000}"/>
    <cellStyle name="Note 3 7 5" xfId="42810" xr:uid="{00000000-0005-0000-0000-000030A70000}"/>
    <cellStyle name="Note 3 7 6" xfId="42811" xr:uid="{00000000-0005-0000-0000-000031A70000}"/>
    <cellStyle name="Note 3 7 7" xfId="42812" xr:uid="{00000000-0005-0000-0000-000032A70000}"/>
    <cellStyle name="Note 3 7 8" xfId="42813" xr:uid="{00000000-0005-0000-0000-000033A70000}"/>
    <cellStyle name="Note 3 7 9" xfId="42814" xr:uid="{00000000-0005-0000-0000-000034A70000}"/>
    <cellStyle name="Note 3 8" xfId="42815" xr:uid="{00000000-0005-0000-0000-000035A70000}"/>
    <cellStyle name="Note 3 8 10" xfId="42816" xr:uid="{00000000-0005-0000-0000-000036A70000}"/>
    <cellStyle name="Note 3 8 11" xfId="42817" xr:uid="{00000000-0005-0000-0000-000037A70000}"/>
    <cellStyle name="Note 3 8 12" xfId="42818" xr:uid="{00000000-0005-0000-0000-000038A70000}"/>
    <cellStyle name="Note 3 8 13" xfId="42819" xr:uid="{00000000-0005-0000-0000-000039A70000}"/>
    <cellStyle name="Note 3 8 14" xfId="42820" xr:uid="{00000000-0005-0000-0000-00003AA70000}"/>
    <cellStyle name="Note 3 8 15" xfId="42821" xr:uid="{00000000-0005-0000-0000-00003BA70000}"/>
    <cellStyle name="Note 3 8 2" xfId="42822" xr:uid="{00000000-0005-0000-0000-00003CA70000}"/>
    <cellStyle name="Note 3 8 3" xfId="42823" xr:uid="{00000000-0005-0000-0000-00003DA70000}"/>
    <cellStyle name="Note 3 8 4" xfId="42824" xr:uid="{00000000-0005-0000-0000-00003EA70000}"/>
    <cellStyle name="Note 3 8 5" xfId="42825" xr:uid="{00000000-0005-0000-0000-00003FA70000}"/>
    <cellStyle name="Note 3 8 6" xfId="42826" xr:uid="{00000000-0005-0000-0000-000040A70000}"/>
    <cellStyle name="Note 3 8 7" xfId="42827" xr:uid="{00000000-0005-0000-0000-000041A70000}"/>
    <cellStyle name="Note 3 8 8" xfId="42828" xr:uid="{00000000-0005-0000-0000-000042A70000}"/>
    <cellStyle name="Note 3 8 9" xfId="42829" xr:uid="{00000000-0005-0000-0000-000043A70000}"/>
    <cellStyle name="Note 3 9" xfId="42830" xr:uid="{00000000-0005-0000-0000-000044A70000}"/>
    <cellStyle name="Note 3 9 10" xfId="42831" xr:uid="{00000000-0005-0000-0000-000045A70000}"/>
    <cellStyle name="Note 3 9 11" xfId="42832" xr:uid="{00000000-0005-0000-0000-000046A70000}"/>
    <cellStyle name="Note 3 9 12" xfId="42833" xr:uid="{00000000-0005-0000-0000-000047A70000}"/>
    <cellStyle name="Note 3 9 13" xfId="42834" xr:uid="{00000000-0005-0000-0000-000048A70000}"/>
    <cellStyle name="Note 3 9 14" xfId="42835" xr:uid="{00000000-0005-0000-0000-000049A70000}"/>
    <cellStyle name="Note 3 9 15" xfId="42836" xr:uid="{00000000-0005-0000-0000-00004AA70000}"/>
    <cellStyle name="Note 3 9 2" xfId="42837" xr:uid="{00000000-0005-0000-0000-00004BA70000}"/>
    <cellStyle name="Note 3 9 3" xfId="42838" xr:uid="{00000000-0005-0000-0000-00004CA70000}"/>
    <cellStyle name="Note 3 9 4" xfId="42839" xr:uid="{00000000-0005-0000-0000-00004DA70000}"/>
    <cellStyle name="Note 3 9 5" xfId="42840" xr:uid="{00000000-0005-0000-0000-00004EA70000}"/>
    <cellStyle name="Note 3 9 6" xfId="42841" xr:uid="{00000000-0005-0000-0000-00004FA70000}"/>
    <cellStyle name="Note 3 9 7" xfId="42842" xr:uid="{00000000-0005-0000-0000-000050A70000}"/>
    <cellStyle name="Note 3 9 8" xfId="42843" xr:uid="{00000000-0005-0000-0000-000051A70000}"/>
    <cellStyle name="Note 3 9 9" xfId="42844" xr:uid="{00000000-0005-0000-0000-000052A70000}"/>
    <cellStyle name="Note 30" xfId="42845" xr:uid="{00000000-0005-0000-0000-000053A70000}"/>
    <cellStyle name="Note 30 10" xfId="42846" xr:uid="{00000000-0005-0000-0000-000054A70000}"/>
    <cellStyle name="Note 30 11" xfId="42847" xr:uid="{00000000-0005-0000-0000-000055A70000}"/>
    <cellStyle name="Note 30 12" xfId="42848" xr:uid="{00000000-0005-0000-0000-000056A70000}"/>
    <cellStyle name="Note 30 13" xfId="42849" xr:uid="{00000000-0005-0000-0000-000057A70000}"/>
    <cellStyle name="Note 30 14" xfId="42850" xr:uid="{00000000-0005-0000-0000-000058A70000}"/>
    <cellStyle name="Note 30 15" xfId="42851" xr:uid="{00000000-0005-0000-0000-000059A70000}"/>
    <cellStyle name="Note 30 16" xfId="42852" xr:uid="{00000000-0005-0000-0000-00005AA70000}"/>
    <cellStyle name="Note 30 2" xfId="42853" xr:uid="{00000000-0005-0000-0000-00005BA70000}"/>
    <cellStyle name="Note 30 2 2" xfId="42854" xr:uid="{00000000-0005-0000-0000-00005CA70000}"/>
    <cellStyle name="Note 30 3" xfId="42855" xr:uid="{00000000-0005-0000-0000-00005DA70000}"/>
    <cellStyle name="Note 30 4" xfId="42856" xr:uid="{00000000-0005-0000-0000-00005EA70000}"/>
    <cellStyle name="Note 30 5" xfId="42857" xr:uid="{00000000-0005-0000-0000-00005FA70000}"/>
    <cellStyle name="Note 30 6" xfId="42858" xr:uid="{00000000-0005-0000-0000-000060A70000}"/>
    <cellStyle name="Note 30 7" xfId="42859" xr:uid="{00000000-0005-0000-0000-000061A70000}"/>
    <cellStyle name="Note 30 8" xfId="42860" xr:uid="{00000000-0005-0000-0000-000062A70000}"/>
    <cellStyle name="Note 30 9" xfId="42861" xr:uid="{00000000-0005-0000-0000-000063A70000}"/>
    <cellStyle name="Note 31" xfId="42862" xr:uid="{00000000-0005-0000-0000-000064A70000}"/>
    <cellStyle name="Note 31 10" xfId="42863" xr:uid="{00000000-0005-0000-0000-000065A70000}"/>
    <cellStyle name="Note 31 11" xfId="42864" xr:uid="{00000000-0005-0000-0000-000066A70000}"/>
    <cellStyle name="Note 31 12" xfId="42865" xr:uid="{00000000-0005-0000-0000-000067A70000}"/>
    <cellStyle name="Note 31 13" xfId="42866" xr:uid="{00000000-0005-0000-0000-000068A70000}"/>
    <cellStyle name="Note 31 14" xfId="42867" xr:uid="{00000000-0005-0000-0000-000069A70000}"/>
    <cellStyle name="Note 31 15" xfId="42868" xr:uid="{00000000-0005-0000-0000-00006AA70000}"/>
    <cellStyle name="Note 31 16" xfId="42869" xr:uid="{00000000-0005-0000-0000-00006BA70000}"/>
    <cellStyle name="Note 31 2" xfId="42870" xr:uid="{00000000-0005-0000-0000-00006CA70000}"/>
    <cellStyle name="Note 31 2 2" xfId="42871" xr:uid="{00000000-0005-0000-0000-00006DA70000}"/>
    <cellStyle name="Note 31 3" xfId="42872" xr:uid="{00000000-0005-0000-0000-00006EA70000}"/>
    <cellStyle name="Note 31 4" xfId="42873" xr:uid="{00000000-0005-0000-0000-00006FA70000}"/>
    <cellStyle name="Note 31 5" xfId="42874" xr:uid="{00000000-0005-0000-0000-000070A70000}"/>
    <cellStyle name="Note 31 6" xfId="42875" xr:uid="{00000000-0005-0000-0000-000071A70000}"/>
    <cellStyle name="Note 31 7" xfId="42876" xr:uid="{00000000-0005-0000-0000-000072A70000}"/>
    <cellStyle name="Note 31 8" xfId="42877" xr:uid="{00000000-0005-0000-0000-000073A70000}"/>
    <cellStyle name="Note 31 9" xfId="42878" xr:uid="{00000000-0005-0000-0000-000074A70000}"/>
    <cellStyle name="Note 32" xfId="42879" xr:uid="{00000000-0005-0000-0000-000075A70000}"/>
    <cellStyle name="Note 32 10" xfId="42880" xr:uid="{00000000-0005-0000-0000-000076A70000}"/>
    <cellStyle name="Note 32 11" xfId="42881" xr:uid="{00000000-0005-0000-0000-000077A70000}"/>
    <cellStyle name="Note 32 12" xfId="42882" xr:uid="{00000000-0005-0000-0000-000078A70000}"/>
    <cellStyle name="Note 32 13" xfId="42883" xr:uid="{00000000-0005-0000-0000-000079A70000}"/>
    <cellStyle name="Note 32 14" xfId="42884" xr:uid="{00000000-0005-0000-0000-00007AA70000}"/>
    <cellStyle name="Note 32 15" xfId="42885" xr:uid="{00000000-0005-0000-0000-00007BA70000}"/>
    <cellStyle name="Note 32 16" xfId="42886" xr:uid="{00000000-0005-0000-0000-00007CA70000}"/>
    <cellStyle name="Note 32 2" xfId="42887" xr:uid="{00000000-0005-0000-0000-00007DA70000}"/>
    <cellStyle name="Note 32 2 2" xfId="42888" xr:uid="{00000000-0005-0000-0000-00007EA70000}"/>
    <cellStyle name="Note 32 3" xfId="42889" xr:uid="{00000000-0005-0000-0000-00007FA70000}"/>
    <cellStyle name="Note 32 4" xfId="42890" xr:uid="{00000000-0005-0000-0000-000080A70000}"/>
    <cellStyle name="Note 32 5" xfId="42891" xr:uid="{00000000-0005-0000-0000-000081A70000}"/>
    <cellStyle name="Note 32 6" xfId="42892" xr:uid="{00000000-0005-0000-0000-000082A70000}"/>
    <cellStyle name="Note 32 7" xfId="42893" xr:uid="{00000000-0005-0000-0000-000083A70000}"/>
    <cellStyle name="Note 32 8" xfId="42894" xr:uid="{00000000-0005-0000-0000-000084A70000}"/>
    <cellStyle name="Note 32 9" xfId="42895" xr:uid="{00000000-0005-0000-0000-000085A70000}"/>
    <cellStyle name="Note 33" xfId="42896" xr:uid="{00000000-0005-0000-0000-000086A70000}"/>
    <cellStyle name="Note 33 10" xfId="42897" xr:uid="{00000000-0005-0000-0000-000087A70000}"/>
    <cellStyle name="Note 33 11" xfId="42898" xr:uid="{00000000-0005-0000-0000-000088A70000}"/>
    <cellStyle name="Note 33 12" xfId="42899" xr:uid="{00000000-0005-0000-0000-000089A70000}"/>
    <cellStyle name="Note 33 13" xfId="42900" xr:uid="{00000000-0005-0000-0000-00008AA70000}"/>
    <cellStyle name="Note 33 14" xfId="42901" xr:uid="{00000000-0005-0000-0000-00008BA70000}"/>
    <cellStyle name="Note 33 15" xfId="42902" xr:uid="{00000000-0005-0000-0000-00008CA70000}"/>
    <cellStyle name="Note 33 16" xfId="42903" xr:uid="{00000000-0005-0000-0000-00008DA70000}"/>
    <cellStyle name="Note 33 2" xfId="42904" xr:uid="{00000000-0005-0000-0000-00008EA70000}"/>
    <cellStyle name="Note 33 2 2" xfId="42905" xr:uid="{00000000-0005-0000-0000-00008FA70000}"/>
    <cellStyle name="Note 33 3" xfId="42906" xr:uid="{00000000-0005-0000-0000-000090A70000}"/>
    <cellStyle name="Note 33 4" xfId="42907" xr:uid="{00000000-0005-0000-0000-000091A70000}"/>
    <cellStyle name="Note 33 5" xfId="42908" xr:uid="{00000000-0005-0000-0000-000092A70000}"/>
    <cellStyle name="Note 33 6" xfId="42909" xr:uid="{00000000-0005-0000-0000-000093A70000}"/>
    <cellStyle name="Note 33 7" xfId="42910" xr:uid="{00000000-0005-0000-0000-000094A70000}"/>
    <cellStyle name="Note 33 8" xfId="42911" xr:uid="{00000000-0005-0000-0000-000095A70000}"/>
    <cellStyle name="Note 33 9" xfId="42912" xr:uid="{00000000-0005-0000-0000-000096A70000}"/>
    <cellStyle name="Note 34" xfId="42913" xr:uid="{00000000-0005-0000-0000-000097A70000}"/>
    <cellStyle name="Note 34 10" xfId="42914" xr:uid="{00000000-0005-0000-0000-000098A70000}"/>
    <cellStyle name="Note 34 11" xfId="42915" xr:uid="{00000000-0005-0000-0000-000099A70000}"/>
    <cellStyle name="Note 34 12" xfId="42916" xr:uid="{00000000-0005-0000-0000-00009AA70000}"/>
    <cellStyle name="Note 34 13" xfId="42917" xr:uid="{00000000-0005-0000-0000-00009BA70000}"/>
    <cellStyle name="Note 34 14" xfId="42918" xr:uid="{00000000-0005-0000-0000-00009CA70000}"/>
    <cellStyle name="Note 34 15" xfId="42919" xr:uid="{00000000-0005-0000-0000-00009DA70000}"/>
    <cellStyle name="Note 34 16" xfId="42920" xr:uid="{00000000-0005-0000-0000-00009EA70000}"/>
    <cellStyle name="Note 34 2" xfId="42921" xr:uid="{00000000-0005-0000-0000-00009FA70000}"/>
    <cellStyle name="Note 34 2 2" xfId="42922" xr:uid="{00000000-0005-0000-0000-0000A0A70000}"/>
    <cellStyle name="Note 34 3" xfId="42923" xr:uid="{00000000-0005-0000-0000-0000A1A70000}"/>
    <cellStyle name="Note 34 4" xfId="42924" xr:uid="{00000000-0005-0000-0000-0000A2A70000}"/>
    <cellStyle name="Note 34 5" xfId="42925" xr:uid="{00000000-0005-0000-0000-0000A3A70000}"/>
    <cellStyle name="Note 34 6" xfId="42926" xr:uid="{00000000-0005-0000-0000-0000A4A70000}"/>
    <cellStyle name="Note 34 7" xfId="42927" xr:uid="{00000000-0005-0000-0000-0000A5A70000}"/>
    <cellStyle name="Note 34 8" xfId="42928" xr:uid="{00000000-0005-0000-0000-0000A6A70000}"/>
    <cellStyle name="Note 34 9" xfId="42929" xr:uid="{00000000-0005-0000-0000-0000A7A70000}"/>
    <cellStyle name="Note 35" xfId="42930" xr:uid="{00000000-0005-0000-0000-0000A8A70000}"/>
    <cellStyle name="Note 35 10" xfId="42931" xr:uid="{00000000-0005-0000-0000-0000A9A70000}"/>
    <cellStyle name="Note 35 11" xfId="42932" xr:uid="{00000000-0005-0000-0000-0000AAA70000}"/>
    <cellStyle name="Note 35 12" xfId="42933" xr:uid="{00000000-0005-0000-0000-0000ABA70000}"/>
    <cellStyle name="Note 35 13" xfId="42934" xr:uid="{00000000-0005-0000-0000-0000ACA70000}"/>
    <cellStyle name="Note 35 14" xfId="42935" xr:uid="{00000000-0005-0000-0000-0000ADA70000}"/>
    <cellStyle name="Note 35 15" xfId="42936" xr:uid="{00000000-0005-0000-0000-0000AEA70000}"/>
    <cellStyle name="Note 35 16" xfId="42937" xr:uid="{00000000-0005-0000-0000-0000AFA70000}"/>
    <cellStyle name="Note 35 2" xfId="42938" xr:uid="{00000000-0005-0000-0000-0000B0A70000}"/>
    <cellStyle name="Note 35 2 2" xfId="42939" xr:uid="{00000000-0005-0000-0000-0000B1A70000}"/>
    <cellStyle name="Note 35 3" xfId="42940" xr:uid="{00000000-0005-0000-0000-0000B2A70000}"/>
    <cellStyle name="Note 35 4" xfId="42941" xr:uid="{00000000-0005-0000-0000-0000B3A70000}"/>
    <cellStyle name="Note 35 5" xfId="42942" xr:uid="{00000000-0005-0000-0000-0000B4A70000}"/>
    <cellStyle name="Note 35 6" xfId="42943" xr:uid="{00000000-0005-0000-0000-0000B5A70000}"/>
    <cellStyle name="Note 35 7" xfId="42944" xr:uid="{00000000-0005-0000-0000-0000B6A70000}"/>
    <cellStyle name="Note 35 8" xfId="42945" xr:uid="{00000000-0005-0000-0000-0000B7A70000}"/>
    <cellStyle name="Note 35 9" xfId="42946" xr:uid="{00000000-0005-0000-0000-0000B8A70000}"/>
    <cellStyle name="Note 36" xfId="42947" xr:uid="{00000000-0005-0000-0000-0000B9A70000}"/>
    <cellStyle name="Note 36 10" xfId="42948" xr:uid="{00000000-0005-0000-0000-0000BAA70000}"/>
    <cellStyle name="Note 36 11" xfId="42949" xr:uid="{00000000-0005-0000-0000-0000BBA70000}"/>
    <cellStyle name="Note 36 12" xfId="42950" xr:uid="{00000000-0005-0000-0000-0000BCA70000}"/>
    <cellStyle name="Note 36 13" xfId="42951" xr:uid="{00000000-0005-0000-0000-0000BDA70000}"/>
    <cellStyle name="Note 36 14" xfId="42952" xr:uid="{00000000-0005-0000-0000-0000BEA70000}"/>
    <cellStyle name="Note 36 15" xfId="42953" xr:uid="{00000000-0005-0000-0000-0000BFA70000}"/>
    <cellStyle name="Note 36 16" xfId="42954" xr:uid="{00000000-0005-0000-0000-0000C0A70000}"/>
    <cellStyle name="Note 36 2" xfId="42955" xr:uid="{00000000-0005-0000-0000-0000C1A70000}"/>
    <cellStyle name="Note 36 2 2" xfId="42956" xr:uid="{00000000-0005-0000-0000-0000C2A70000}"/>
    <cellStyle name="Note 36 3" xfId="42957" xr:uid="{00000000-0005-0000-0000-0000C3A70000}"/>
    <cellStyle name="Note 36 4" xfId="42958" xr:uid="{00000000-0005-0000-0000-0000C4A70000}"/>
    <cellStyle name="Note 36 5" xfId="42959" xr:uid="{00000000-0005-0000-0000-0000C5A70000}"/>
    <cellStyle name="Note 36 6" xfId="42960" xr:uid="{00000000-0005-0000-0000-0000C6A70000}"/>
    <cellStyle name="Note 36 7" xfId="42961" xr:uid="{00000000-0005-0000-0000-0000C7A70000}"/>
    <cellStyle name="Note 36 8" xfId="42962" xr:uid="{00000000-0005-0000-0000-0000C8A70000}"/>
    <cellStyle name="Note 36 9" xfId="42963" xr:uid="{00000000-0005-0000-0000-0000C9A70000}"/>
    <cellStyle name="Note 37" xfId="42964" xr:uid="{00000000-0005-0000-0000-0000CAA70000}"/>
    <cellStyle name="Note 37 10" xfId="42965" xr:uid="{00000000-0005-0000-0000-0000CBA70000}"/>
    <cellStyle name="Note 37 11" xfId="42966" xr:uid="{00000000-0005-0000-0000-0000CCA70000}"/>
    <cellStyle name="Note 37 12" xfId="42967" xr:uid="{00000000-0005-0000-0000-0000CDA70000}"/>
    <cellStyle name="Note 37 13" xfId="42968" xr:uid="{00000000-0005-0000-0000-0000CEA70000}"/>
    <cellStyle name="Note 37 14" xfId="42969" xr:uid="{00000000-0005-0000-0000-0000CFA70000}"/>
    <cellStyle name="Note 37 15" xfId="42970" xr:uid="{00000000-0005-0000-0000-0000D0A70000}"/>
    <cellStyle name="Note 37 16" xfId="42971" xr:uid="{00000000-0005-0000-0000-0000D1A70000}"/>
    <cellStyle name="Note 37 2" xfId="42972" xr:uid="{00000000-0005-0000-0000-0000D2A70000}"/>
    <cellStyle name="Note 37 2 2" xfId="42973" xr:uid="{00000000-0005-0000-0000-0000D3A70000}"/>
    <cellStyle name="Note 37 3" xfId="42974" xr:uid="{00000000-0005-0000-0000-0000D4A70000}"/>
    <cellStyle name="Note 37 4" xfId="42975" xr:uid="{00000000-0005-0000-0000-0000D5A70000}"/>
    <cellStyle name="Note 37 5" xfId="42976" xr:uid="{00000000-0005-0000-0000-0000D6A70000}"/>
    <cellStyle name="Note 37 6" xfId="42977" xr:uid="{00000000-0005-0000-0000-0000D7A70000}"/>
    <cellStyle name="Note 37 7" xfId="42978" xr:uid="{00000000-0005-0000-0000-0000D8A70000}"/>
    <cellStyle name="Note 37 8" xfId="42979" xr:uid="{00000000-0005-0000-0000-0000D9A70000}"/>
    <cellStyle name="Note 37 9" xfId="42980" xr:uid="{00000000-0005-0000-0000-0000DAA70000}"/>
    <cellStyle name="Note 38" xfId="42981" xr:uid="{00000000-0005-0000-0000-0000DBA70000}"/>
    <cellStyle name="Note 38 10" xfId="42982" xr:uid="{00000000-0005-0000-0000-0000DCA70000}"/>
    <cellStyle name="Note 38 11" xfId="42983" xr:uid="{00000000-0005-0000-0000-0000DDA70000}"/>
    <cellStyle name="Note 38 12" xfId="42984" xr:uid="{00000000-0005-0000-0000-0000DEA70000}"/>
    <cellStyle name="Note 38 13" xfId="42985" xr:uid="{00000000-0005-0000-0000-0000DFA70000}"/>
    <cellStyle name="Note 38 14" xfId="42986" xr:uid="{00000000-0005-0000-0000-0000E0A70000}"/>
    <cellStyle name="Note 38 15" xfId="42987" xr:uid="{00000000-0005-0000-0000-0000E1A70000}"/>
    <cellStyle name="Note 38 16" xfId="42988" xr:uid="{00000000-0005-0000-0000-0000E2A70000}"/>
    <cellStyle name="Note 38 2" xfId="42989" xr:uid="{00000000-0005-0000-0000-0000E3A70000}"/>
    <cellStyle name="Note 38 2 2" xfId="42990" xr:uid="{00000000-0005-0000-0000-0000E4A70000}"/>
    <cellStyle name="Note 38 3" xfId="42991" xr:uid="{00000000-0005-0000-0000-0000E5A70000}"/>
    <cellStyle name="Note 38 4" xfId="42992" xr:uid="{00000000-0005-0000-0000-0000E6A70000}"/>
    <cellStyle name="Note 38 5" xfId="42993" xr:uid="{00000000-0005-0000-0000-0000E7A70000}"/>
    <cellStyle name="Note 38 6" xfId="42994" xr:uid="{00000000-0005-0000-0000-0000E8A70000}"/>
    <cellStyle name="Note 38 7" xfId="42995" xr:uid="{00000000-0005-0000-0000-0000E9A70000}"/>
    <cellStyle name="Note 38 8" xfId="42996" xr:uid="{00000000-0005-0000-0000-0000EAA70000}"/>
    <cellStyle name="Note 38 9" xfId="42997" xr:uid="{00000000-0005-0000-0000-0000EBA70000}"/>
    <cellStyle name="Note 39" xfId="42998" xr:uid="{00000000-0005-0000-0000-0000ECA70000}"/>
    <cellStyle name="Note 39 10" xfId="42999" xr:uid="{00000000-0005-0000-0000-0000EDA70000}"/>
    <cellStyle name="Note 39 11" xfId="43000" xr:uid="{00000000-0005-0000-0000-0000EEA70000}"/>
    <cellStyle name="Note 39 12" xfId="43001" xr:uid="{00000000-0005-0000-0000-0000EFA70000}"/>
    <cellStyle name="Note 39 13" xfId="43002" xr:uid="{00000000-0005-0000-0000-0000F0A70000}"/>
    <cellStyle name="Note 39 14" xfId="43003" xr:uid="{00000000-0005-0000-0000-0000F1A70000}"/>
    <cellStyle name="Note 39 15" xfId="43004" xr:uid="{00000000-0005-0000-0000-0000F2A70000}"/>
    <cellStyle name="Note 39 16" xfId="43005" xr:uid="{00000000-0005-0000-0000-0000F3A70000}"/>
    <cellStyle name="Note 39 2" xfId="43006" xr:uid="{00000000-0005-0000-0000-0000F4A70000}"/>
    <cellStyle name="Note 39 3" xfId="43007" xr:uid="{00000000-0005-0000-0000-0000F5A70000}"/>
    <cellStyle name="Note 39 4" xfId="43008" xr:uid="{00000000-0005-0000-0000-0000F6A70000}"/>
    <cellStyle name="Note 39 5" xfId="43009" xr:uid="{00000000-0005-0000-0000-0000F7A70000}"/>
    <cellStyle name="Note 39 6" xfId="43010" xr:uid="{00000000-0005-0000-0000-0000F8A70000}"/>
    <cellStyle name="Note 39 7" xfId="43011" xr:uid="{00000000-0005-0000-0000-0000F9A70000}"/>
    <cellStyle name="Note 39 8" xfId="43012" xr:uid="{00000000-0005-0000-0000-0000FAA70000}"/>
    <cellStyle name="Note 39 9" xfId="43013" xr:uid="{00000000-0005-0000-0000-0000FBA70000}"/>
    <cellStyle name="Note 4" xfId="43014" xr:uid="{00000000-0005-0000-0000-0000FCA70000}"/>
    <cellStyle name="Note 4 2" xfId="43015" xr:uid="{00000000-0005-0000-0000-0000FDA70000}"/>
    <cellStyle name="Note 4 2 2" xfId="43016" xr:uid="{00000000-0005-0000-0000-0000FEA70000}"/>
    <cellStyle name="Note 4 2 3" xfId="43017" xr:uid="{00000000-0005-0000-0000-0000FFA70000}"/>
    <cellStyle name="Note 4 2 4" xfId="43018" xr:uid="{00000000-0005-0000-0000-000000A80000}"/>
    <cellStyle name="Note 4 2 5" xfId="43019" xr:uid="{00000000-0005-0000-0000-000001A80000}"/>
    <cellStyle name="Note 4 3" xfId="43020" xr:uid="{00000000-0005-0000-0000-000002A80000}"/>
    <cellStyle name="Note 4 4" xfId="43021" xr:uid="{00000000-0005-0000-0000-000003A80000}"/>
    <cellStyle name="Note 4 4 2" xfId="43022" xr:uid="{00000000-0005-0000-0000-000004A80000}"/>
    <cellStyle name="Note 4 5" xfId="43023" xr:uid="{00000000-0005-0000-0000-000005A80000}"/>
    <cellStyle name="Note 4 6" xfId="43024" xr:uid="{00000000-0005-0000-0000-000006A80000}"/>
    <cellStyle name="Note 40" xfId="43025" xr:uid="{00000000-0005-0000-0000-000007A80000}"/>
    <cellStyle name="Note 41" xfId="43026" xr:uid="{00000000-0005-0000-0000-000008A80000}"/>
    <cellStyle name="Note 41 2" xfId="43027" xr:uid="{00000000-0005-0000-0000-000009A80000}"/>
    <cellStyle name="Note 42" xfId="43028" xr:uid="{00000000-0005-0000-0000-00000AA80000}"/>
    <cellStyle name="Note 42 2" xfId="43029" xr:uid="{00000000-0005-0000-0000-00000BA80000}"/>
    <cellStyle name="Note 43" xfId="43030" xr:uid="{00000000-0005-0000-0000-00000CA80000}"/>
    <cellStyle name="Note 43 2" xfId="43031" xr:uid="{00000000-0005-0000-0000-00000DA80000}"/>
    <cellStyle name="Note 44" xfId="43032" xr:uid="{00000000-0005-0000-0000-00000EA80000}"/>
    <cellStyle name="Note 44 2" xfId="43033" xr:uid="{00000000-0005-0000-0000-00000FA80000}"/>
    <cellStyle name="Note 45" xfId="43034" xr:uid="{00000000-0005-0000-0000-000010A80000}"/>
    <cellStyle name="Note 46" xfId="43035" xr:uid="{00000000-0005-0000-0000-000011A80000}"/>
    <cellStyle name="Note 47" xfId="43036" xr:uid="{00000000-0005-0000-0000-000012A80000}"/>
    <cellStyle name="Note 48" xfId="43037" xr:uid="{00000000-0005-0000-0000-000013A80000}"/>
    <cellStyle name="Note 49" xfId="43038" xr:uid="{00000000-0005-0000-0000-000014A80000}"/>
    <cellStyle name="Note 5" xfId="43039" xr:uid="{00000000-0005-0000-0000-000015A80000}"/>
    <cellStyle name="Note 5 2" xfId="43040" xr:uid="{00000000-0005-0000-0000-000016A80000}"/>
    <cellStyle name="Note 5 2 2" xfId="43041" xr:uid="{00000000-0005-0000-0000-000017A80000}"/>
    <cellStyle name="Note 5 2 3" xfId="43042" xr:uid="{00000000-0005-0000-0000-000018A80000}"/>
    <cellStyle name="Note 5 2 4" xfId="43043" xr:uid="{00000000-0005-0000-0000-000019A80000}"/>
    <cellStyle name="Note 5 2 5" xfId="43044" xr:uid="{00000000-0005-0000-0000-00001AA80000}"/>
    <cellStyle name="Note 5 3" xfId="43045" xr:uid="{00000000-0005-0000-0000-00001BA80000}"/>
    <cellStyle name="Note 5 4" xfId="43046" xr:uid="{00000000-0005-0000-0000-00001CA80000}"/>
    <cellStyle name="Note 5 4 2" xfId="43047" xr:uid="{00000000-0005-0000-0000-00001DA80000}"/>
    <cellStyle name="Note 5 5" xfId="43048" xr:uid="{00000000-0005-0000-0000-00001EA80000}"/>
    <cellStyle name="Note 5 6" xfId="43049" xr:uid="{00000000-0005-0000-0000-00001FA80000}"/>
    <cellStyle name="Note 50" xfId="43050" xr:uid="{00000000-0005-0000-0000-000020A80000}"/>
    <cellStyle name="Note 51" xfId="43051" xr:uid="{00000000-0005-0000-0000-000021A80000}"/>
    <cellStyle name="Note 52" xfId="43052" xr:uid="{00000000-0005-0000-0000-000022A80000}"/>
    <cellStyle name="Note 53" xfId="43053" xr:uid="{00000000-0005-0000-0000-000023A80000}"/>
    <cellStyle name="Note 54" xfId="43054" xr:uid="{00000000-0005-0000-0000-000024A80000}"/>
    <cellStyle name="Note 55" xfId="43055" xr:uid="{00000000-0005-0000-0000-000025A80000}"/>
    <cellStyle name="Note 56" xfId="43056" xr:uid="{00000000-0005-0000-0000-000026A80000}"/>
    <cellStyle name="Note 57" xfId="43057" xr:uid="{00000000-0005-0000-0000-000027A80000}"/>
    <cellStyle name="Note 58" xfId="43058" xr:uid="{00000000-0005-0000-0000-000028A80000}"/>
    <cellStyle name="Note 59" xfId="43059" xr:uid="{00000000-0005-0000-0000-000029A80000}"/>
    <cellStyle name="Note 6" xfId="43060" xr:uid="{00000000-0005-0000-0000-00002AA80000}"/>
    <cellStyle name="Note 6 2" xfId="43061" xr:uid="{00000000-0005-0000-0000-00002BA80000}"/>
    <cellStyle name="Note 6 2 2" xfId="43062" xr:uid="{00000000-0005-0000-0000-00002CA80000}"/>
    <cellStyle name="Note 6 2 3" xfId="43063" xr:uid="{00000000-0005-0000-0000-00002DA80000}"/>
    <cellStyle name="Note 6 2 4" xfId="43064" xr:uid="{00000000-0005-0000-0000-00002EA80000}"/>
    <cellStyle name="Note 6 3" xfId="43065" xr:uid="{00000000-0005-0000-0000-00002FA80000}"/>
    <cellStyle name="Note 60" xfId="43066" xr:uid="{00000000-0005-0000-0000-000030A80000}"/>
    <cellStyle name="Note 61" xfId="43067" xr:uid="{00000000-0005-0000-0000-000031A80000}"/>
    <cellStyle name="Note 62" xfId="43068" xr:uid="{00000000-0005-0000-0000-000032A80000}"/>
    <cellStyle name="Note 63" xfId="43069" xr:uid="{00000000-0005-0000-0000-000033A80000}"/>
    <cellStyle name="Note 64" xfId="43070" xr:uid="{00000000-0005-0000-0000-000034A80000}"/>
    <cellStyle name="Note 65" xfId="43071" xr:uid="{00000000-0005-0000-0000-000035A80000}"/>
    <cellStyle name="Note 66" xfId="43072" xr:uid="{00000000-0005-0000-0000-000036A80000}"/>
    <cellStyle name="Note 67" xfId="43073" xr:uid="{00000000-0005-0000-0000-000037A80000}"/>
    <cellStyle name="Note 68" xfId="43074" xr:uid="{00000000-0005-0000-0000-000038A80000}"/>
    <cellStyle name="Note 69" xfId="43075" xr:uid="{00000000-0005-0000-0000-000039A80000}"/>
    <cellStyle name="Note 7" xfId="43076" xr:uid="{00000000-0005-0000-0000-00003AA80000}"/>
    <cellStyle name="Note 7 2" xfId="43077" xr:uid="{00000000-0005-0000-0000-00003BA80000}"/>
    <cellStyle name="Note 7 2 2" xfId="43078" xr:uid="{00000000-0005-0000-0000-00003CA80000}"/>
    <cellStyle name="Note 7 2 3" xfId="43079" xr:uid="{00000000-0005-0000-0000-00003DA80000}"/>
    <cellStyle name="Note 7 2 4" xfId="43080" xr:uid="{00000000-0005-0000-0000-00003EA80000}"/>
    <cellStyle name="Note 7 3" xfId="43081" xr:uid="{00000000-0005-0000-0000-00003FA80000}"/>
    <cellStyle name="Note 7 4" xfId="43082" xr:uid="{00000000-0005-0000-0000-000040A80000}"/>
    <cellStyle name="Note 7 5" xfId="43083" xr:uid="{00000000-0005-0000-0000-000041A80000}"/>
    <cellStyle name="Note 70" xfId="43084" xr:uid="{00000000-0005-0000-0000-000042A80000}"/>
    <cellStyle name="Note 71" xfId="43085" xr:uid="{00000000-0005-0000-0000-000043A80000}"/>
    <cellStyle name="Note 72" xfId="43086" xr:uid="{00000000-0005-0000-0000-000044A80000}"/>
    <cellStyle name="Note 73" xfId="43087" xr:uid="{00000000-0005-0000-0000-000045A80000}"/>
    <cellStyle name="Note 74" xfId="43088" xr:uid="{00000000-0005-0000-0000-000046A80000}"/>
    <cellStyle name="Note 75" xfId="43089" xr:uid="{00000000-0005-0000-0000-000047A80000}"/>
    <cellStyle name="Note 76" xfId="43090" xr:uid="{00000000-0005-0000-0000-000048A80000}"/>
    <cellStyle name="Note 77" xfId="43091" xr:uid="{00000000-0005-0000-0000-000049A80000}"/>
    <cellStyle name="Note 78" xfId="43092" xr:uid="{00000000-0005-0000-0000-00004AA80000}"/>
    <cellStyle name="Note 79" xfId="43093" xr:uid="{00000000-0005-0000-0000-00004BA80000}"/>
    <cellStyle name="Note 79 10" xfId="43094" xr:uid="{00000000-0005-0000-0000-00004CA80000}"/>
    <cellStyle name="Note 79 11" xfId="43095" xr:uid="{00000000-0005-0000-0000-00004DA80000}"/>
    <cellStyle name="Note 79 12" xfId="43096" xr:uid="{00000000-0005-0000-0000-00004EA80000}"/>
    <cellStyle name="Note 79 13" xfId="43097" xr:uid="{00000000-0005-0000-0000-00004FA80000}"/>
    <cellStyle name="Note 79 2" xfId="43098" xr:uid="{00000000-0005-0000-0000-000050A80000}"/>
    <cellStyle name="Note 79 3" xfId="43099" xr:uid="{00000000-0005-0000-0000-000051A80000}"/>
    <cellStyle name="Note 79 4" xfId="43100" xr:uid="{00000000-0005-0000-0000-000052A80000}"/>
    <cellStyle name="Note 79 5" xfId="43101" xr:uid="{00000000-0005-0000-0000-000053A80000}"/>
    <cellStyle name="Note 79 6" xfId="43102" xr:uid="{00000000-0005-0000-0000-000054A80000}"/>
    <cellStyle name="Note 79 7" xfId="43103" xr:uid="{00000000-0005-0000-0000-000055A80000}"/>
    <cellStyle name="Note 79 8" xfId="43104" xr:uid="{00000000-0005-0000-0000-000056A80000}"/>
    <cellStyle name="Note 79 9" xfId="43105" xr:uid="{00000000-0005-0000-0000-000057A80000}"/>
    <cellStyle name="Note 8" xfId="43106" xr:uid="{00000000-0005-0000-0000-000058A80000}"/>
    <cellStyle name="Note 8 2" xfId="43107" xr:uid="{00000000-0005-0000-0000-000059A80000}"/>
    <cellStyle name="Note 8 2 2" xfId="43108" xr:uid="{00000000-0005-0000-0000-00005AA80000}"/>
    <cellStyle name="Note 8 2 3" xfId="43109" xr:uid="{00000000-0005-0000-0000-00005BA80000}"/>
    <cellStyle name="Note 8 2 4" xfId="43110" xr:uid="{00000000-0005-0000-0000-00005CA80000}"/>
    <cellStyle name="Note 8 3" xfId="43111" xr:uid="{00000000-0005-0000-0000-00005DA80000}"/>
    <cellStyle name="Note 8 4" xfId="43112" xr:uid="{00000000-0005-0000-0000-00005EA80000}"/>
    <cellStyle name="Note 8 5" xfId="43113" xr:uid="{00000000-0005-0000-0000-00005FA80000}"/>
    <cellStyle name="Note 80" xfId="43114" xr:uid="{00000000-0005-0000-0000-000060A80000}"/>
    <cellStyle name="Note 81" xfId="43115" xr:uid="{00000000-0005-0000-0000-000061A80000}"/>
    <cellStyle name="Note 82" xfId="43116" xr:uid="{00000000-0005-0000-0000-000062A80000}"/>
    <cellStyle name="Note 83" xfId="43117" xr:uid="{00000000-0005-0000-0000-000063A80000}"/>
    <cellStyle name="Note 84" xfId="43118" xr:uid="{00000000-0005-0000-0000-000064A80000}"/>
    <cellStyle name="Note 85" xfId="43119" xr:uid="{00000000-0005-0000-0000-000065A80000}"/>
    <cellStyle name="Note 85 2" xfId="43120" xr:uid="{00000000-0005-0000-0000-000066A80000}"/>
    <cellStyle name="Note 86" xfId="43121" xr:uid="{00000000-0005-0000-0000-000067A80000}"/>
    <cellStyle name="Note 86 2" xfId="43122" xr:uid="{00000000-0005-0000-0000-000068A80000}"/>
    <cellStyle name="Note 87" xfId="43123" xr:uid="{00000000-0005-0000-0000-000069A80000}"/>
    <cellStyle name="Note 87 2" xfId="43124" xr:uid="{00000000-0005-0000-0000-00006AA80000}"/>
    <cellStyle name="Note 88" xfId="43125" xr:uid="{00000000-0005-0000-0000-00006BA80000}"/>
    <cellStyle name="Note 88 2" xfId="43126" xr:uid="{00000000-0005-0000-0000-00006CA80000}"/>
    <cellStyle name="Note 89" xfId="43127" xr:uid="{00000000-0005-0000-0000-00006DA80000}"/>
    <cellStyle name="Note 89 2" xfId="43128" xr:uid="{00000000-0005-0000-0000-00006EA80000}"/>
    <cellStyle name="Note 9" xfId="43129" xr:uid="{00000000-0005-0000-0000-00006FA80000}"/>
    <cellStyle name="Note 9 2" xfId="43130" xr:uid="{00000000-0005-0000-0000-000070A80000}"/>
    <cellStyle name="Note 9 2 2" xfId="43131" xr:uid="{00000000-0005-0000-0000-000071A80000}"/>
    <cellStyle name="Note 9 2 3" xfId="43132" xr:uid="{00000000-0005-0000-0000-000072A80000}"/>
    <cellStyle name="Note 9 2 4" xfId="43133" xr:uid="{00000000-0005-0000-0000-000073A80000}"/>
    <cellStyle name="Note 9 3" xfId="43134" xr:uid="{00000000-0005-0000-0000-000074A80000}"/>
    <cellStyle name="Note 9 4" xfId="43135" xr:uid="{00000000-0005-0000-0000-000075A80000}"/>
    <cellStyle name="Note 9 5" xfId="43136" xr:uid="{00000000-0005-0000-0000-000076A80000}"/>
    <cellStyle name="Note 90" xfId="43137" xr:uid="{00000000-0005-0000-0000-000077A80000}"/>
    <cellStyle name="Note 90 2" xfId="43138" xr:uid="{00000000-0005-0000-0000-000078A80000}"/>
    <cellStyle name="Note 91" xfId="43139" xr:uid="{00000000-0005-0000-0000-000079A80000}"/>
    <cellStyle name="Note 91 2" xfId="43140" xr:uid="{00000000-0005-0000-0000-00007AA80000}"/>
    <cellStyle name="Note 92" xfId="43141" xr:uid="{00000000-0005-0000-0000-00007BA80000}"/>
    <cellStyle name="Note 92 2" xfId="43142" xr:uid="{00000000-0005-0000-0000-00007CA80000}"/>
    <cellStyle name="Note 93" xfId="43143" xr:uid="{00000000-0005-0000-0000-00007DA80000}"/>
    <cellStyle name="Note 93 2" xfId="43144" xr:uid="{00000000-0005-0000-0000-00007EA80000}"/>
    <cellStyle name="Note 94" xfId="43145" xr:uid="{00000000-0005-0000-0000-00007FA80000}"/>
    <cellStyle name="Note 94 2" xfId="43146" xr:uid="{00000000-0005-0000-0000-000080A80000}"/>
    <cellStyle name="Note 95" xfId="43147" xr:uid="{00000000-0005-0000-0000-000081A80000}"/>
    <cellStyle name="Note 95 2" xfId="43148" xr:uid="{00000000-0005-0000-0000-000082A80000}"/>
    <cellStyle name="Note 96" xfId="43149" xr:uid="{00000000-0005-0000-0000-000083A80000}"/>
    <cellStyle name="Note 97" xfId="43150" xr:uid="{00000000-0005-0000-0000-000084A80000}"/>
    <cellStyle name="Note 98" xfId="43151" xr:uid="{00000000-0005-0000-0000-000085A80000}"/>
    <cellStyle name="Note 99" xfId="43152" xr:uid="{00000000-0005-0000-0000-000086A80000}"/>
    <cellStyle name="Numbers" xfId="43153" xr:uid="{00000000-0005-0000-0000-000087A80000}"/>
    <cellStyle name="Obliczenia" xfId="43154" xr:uid="{00000000-0005-0000-0000-000088A80000}"/>
    <cellStyle name="OLELink" xfId="43155" xr:uid="{00000000-0005-0000-0000-000089A80000}"/>
    <cellStyle name="OOM data" xfId="98" xr:uid="{00000000-0005-0000-0000-00008AA80000}"/>
    <cellStyle name="Output" xfId="10" builtinId="21" hidden="1" customBuiltin="1"/>
    <cellStyle name="Output" xfId="57" builtinId="21" hidden="1" customBuiltin="1"/>
    <cellStyle name="Output" xfId="79" builtinId="21" hidden="1" customBuiltin="1"/>
    <cellStyle name="Output 10" xfId="43156" xr:uid="{00000000-0005-0000-0000-00008EA80000}"/>
    <cellStyle name="Output 10 2" xfId="43157" xr:uid="{00000000-0005-0000-0000-00008FA80000}"/>
    <cellStyle name="Output 100" xfId="43158" xr:uid="{00000000-0005-0000-0000-000090A80000}"/>
    <cellStyle name="Output 101" xfId="43159" xr:uid="{00000000-0005-0000-0000-000091A80000}"/>
    <cellStyle name="Output 102" xfId="43160" xr:uid="{00000000-0005-0000-0000-000092A80000}"/>
    <cellStyle name="Output 103" xfId="43161" xr:uid="{00000000-0005-0000-0000-000093A80000}"/>
    <cellStyle name="Output 104" xfId="43162" xr:uid="{00000000-0005-0000-0000-000094A80000}"/>
    <cellStyle name="Output 105" xfId="43163" xr:uid="{00000000-0005-0000-0000-000095A80000}"/>
    <cellStyle name="Output 106" xfId="43164" xr:uid="{00000000-0005-0000-0000-000096A80000}"/>
    <cellStyle name="Output 107" xfId="43165" xr:uid="{00000000-0005-0000-0000-000097A80000}"/>
    <cellStyle name="Output 108" xfId="43166" xr:uid="{00000000-0005-0000-0000-000098A80000}"/>
    <cellStyle name="Output 109" xfId="43167" xr:uid="{00000000-0005-0000-0000-000099A80000}"/>
    <cellStyle name="Output 11" xfId="43168" xr:uid="{00000000-0005-0000-0000-00009AA80000}"/>
    <cellStyle name="Output 11 2" xfId="43169" xr:uid="{00000000-0005-0000-0000-00009BA80000}"/>
    <cellStyle name="Output 110" xfId="43170" xr:uid="{00000000-0005-0000-0000-00009CA80000}"/>
    <cellStyle name="Output 111" xfId="43171" xr:uid="{00000000-0005-0000-0000-00009DA80000}"/>
    <cellStyle name="Output 112" xfId="43172" xr:uid="{00000000-0005-0000-0000-00009EA80000}"/>
    <cellStyle name="Output 113" xfId="43173" xr:uid="{00000000-0005-0000-0000-00009FA80000}"/>
    <cellStyle name="Output 114" xfId="43174" xr:uid="{00000000-0005-0000-0000-0000A0A80000}"/>
    <cellStyle name="Output 115" xfId="43175" xr:uid="{00000000-0005-0000-0000-0000A1A80000}"/>
    <cellStyle name="Output 116" xfId="43176" xr:uid="{00000000-0005-0000-0000-0000A2A80000}"/>
    <cellStyle name="Output 117" xfId="43177" xr:uid="{00000000-0005-0000-0000-0000A3A80000}"/>
    <cellStyle name="Output 118" xfId="43178" xr:uid="{00000000-0005-0000-0000-0000A4A80000}"/>
    <cellStyle name="Output 119" xfId="43179" xr:uid="{00000000-0005-0000-0000-0000A5A80000}"/>
    <cellStyle name="Output 12" xfId="43180" xr:uid="{00000000-0005-0000-0000-0000A6A80000}"/>
    <cellStyle name="Output 12 2" xfId="43181" xr:uid="{00000000-0005-0000-0000-0000A7A80000}"/>
    <cellStyle name="Output 120" xfId="43182" xr:uid="{00000000-0005-0000-0000-0000A8A80000}"/>
    <cellStyle name="Output 121" xfId="43183" xr:uid="{00000000-0005-0000-0000-0000A9A80000}"/>
    <cellStyle name="Output 122" xfId="43184" xr:uid="{00000000-0005-0000-0000-0000AAA80000}"/>
    <cellStyle name="Output 123" xfId="43185" xr:uid="{00000000-0005-0000-0000-0000ABA80000}"/>
    <cellStyle name="Output 124" xfId="43186" xr:uid="{00000000-0005-0000-0000-0000ACA80000}"/>
    <cellStyle name="Output 125" xfId="43187" xr:uid="{00000000-0005-0000-0000-0000ADA80000}"/>
    <cellStyle name="Output 126" xfId="43188" xr:uid="{00000000-0005-0000-0000-0000AEA80000}"/>
    <cellStyle name="Output 127" xfId="43189" xr:uid="{00000000-0005-0000-0000-0000AFA80000}"/>
    <cellStyle name="Output 128" xfId="43190" xr:uid="{00000000-0005-0000-0000-0000B0A80000}"/>
    <cellStyle name="Output 129" xfId="43191" xr:uid="{00000000-0005-0000-0000-0000B1A80000}"/>
    <cellStyle name="Output 13" xfId="43192" xr:uid="{00000000-0005-0000-0000-0000B2A80000}"/>
    <cellStyle name="Output 13 2" xfId="43193" xr:uid="{00000000-0005-0000-0000-0000B3A80000}"/>
    <cellStyle name="Output 130" xfId="43194" xr:uid="{00000000-0005-0000-0000-0000B4A80000}"/>
    <cellStyle name="Output 131" xfId="43195" xr:uid="{00000000-0005-0000-0000-0000B5A80000}"/>
    <cellStyle name="Output 132" xfId="43196" xr:uid="{00000000-0005-0000-0000-0000B6A80000}"/>
    <cellStyle name="Output 133" xfId="43197" xr:uid="{00000000-0005-0000-0000-0000B7A80000}"/>
    <cellStyle name="Output 134" xfId="43198" xr:uid="{00000000-0005-0000-0000-0000B8A80000}"/>
    <cellStyle name="Output 135" xfId="43199" xr:uid="{00000000-0005-0000-0000-0000B9A80000}"/>
    <cellStyle name="Output 136" xfId="43200" xr:uid="{00000000-0005-0000-0000-0000BAA80000}"/>
    <cellStyle name="Output 137" xfId="43201" xr:uid="{00000000-0005-0000-0000-0000BBA80000}"/>
    <cellStyle name="Output 138" xfId="43202" xr:uid="{00000000-0005-0000-0000-0000BCA80000}"/>
    <cellStyle name="Output 139" xfId="43203" xr:uid="{00000000-0005-0000-0000-0000BDA80000}"/>
    <cellStyle name="Output 14" xfId="43204" xr:uid="{00000000-0005-0000-0000-0000BEA80000}"/>
    <cellStyle name="Output 14 2" xfId="43205" xr:uid="{00000000-0005-0000-0000-0000BFA80000}"/>
    <cellStyle name="Output 140" xfId="43206" xr:uid="{00000000-0005-0000-0000-0000C0A80000}"/>
    <cellStyle name="Output 141" xfId="43207" xr:uid="{00000000-0005-0000-0000-0000C1A80000}"/>
    <cellStyle name="Output 142" xfId="43208" xr:uid="{00000000-0005-0000-0000-0000C2A80000}"/>
    <cellStyle name="Output 143" xfId="43209" xr:uid="{00000000-0005-0000-0000-0000C3A80000}"/>
    <cellStyle name="Output 144" xfId="43210" xr:uid="{00000000-0005-0000-0000-0000C4A80000}"/>
    <cellStyle name="Output 145" xfId="43211" xr:uid="{00000000-0005-0000-0000-0000C5A80000}"/>
    <cellStyle name="Output 146" xfId="43212" xr:uid="{00000000-0005-0000-0000-0000C6A80000}"/>
    <cellStyle name="Output 147" xfId="43213" xr:uid="{00000000-0005-0000-0000-0000C7A80000}"/>
    <cellStyle name="Output 148" xfId="43214" xr:uid="{00000000-0005-0000-0000-0000C8A80000}"/>
    <cellStyle name="Output 149" xfId="43215" xr:uid="{00000000-0005-0000-0000-0000C9A80000}"/>
    <cellStyle name="Output 15" xfId="43216" xr:uid="{00000000-0005-0000-0000-0000CAA80000}"/>
    <cellStyle name="Output 15 2" xfId="43217" xr:uid="{00000000-0005-0000-0000-0000CBA80000}"/>
    <cellStyle name="Output 150" xfId="43218" xr:uid="{00000000-0005-0000-0000-0000CCA80000}"/>
    <cellStyle name="Output 151" xfId="43219" xr:uid="{00000000-0005-0000-0000-0000CDA80000}"/>
    <cellStyle name="Output 152" xfId="43220" xr:uid="{00000000-0005-0000-0000-0000CEA80000}"/>
    <cellStyle name="Output 153" xfId="43221" xr:uid="{00000000-0005-0000-0000-0000CFA80000}"/>
    <cellStyle name="Output 154" xfId="43222" xr:uid="{00000000-0005-0000-0000-0000D0A80000}"/>
    <cellStyle name="Output 155" xfId="43223" xr:uid="{00000000-0005-0000-0000-0000D1A80000}"/>
    <cellStyle name="Output 156" xfId="43224" xr:uid="{00000000-0005-0000-0000-0000D2A80000}"/>
    <cellStyle name="Output 157" xfId="43225" xr:uid="{00000000-0005-0000-0000-0000D3A80000}"/>
    <cellStyle name="Output 158" xfId="43226" xr:uid="{00000000-0005-0000-0000-0000D4A80000}"/>
    <cellStyle name="Output 159" xfId="43227" xr:uid="{00000000-0005-0000-0000-0000D5A80000}"/>
    <cellStyle name="Output 16" xfId="43228" xr:uid="{00000000-0005-0000-0000-0000D6A80000}"/>
    <cellStyle name="Output 160" xfId="43229" xr:uid="{00000000-0005-0000-0000-0000D7A80000}"/>
    <cellStyle name="Output 161" xfId="43230" xr:uid="{00000000-0005-0000-0000-0000D8A80000}"/>
    <cellStyle name="Output 162" xfId="43231" xr:uid="{00000000-0005-0000-0000-0000D9A80000}"/>
    <cellStyle name="Output 163" xfId="43232" xr:uid="{00000000-0005-0000-0000-0000DAA80000}"/>
    <cellStyle name="Output 164" xfId="43233" xr:uid="{00000000-0005-0000-0000-0000DBA80000}"/>
    <cellStyle name="Output 165" xfId="43234" xr:uid="{00000000-0005-0000-0000-0000DCA80000}"/>
    <cellStyle name="Output 166" xfId="43235" xr:uid="{00000000-0005-0000-0000-0000DDA80000}"/>
    <cellStyle name="Output 167" xfId="43236" xr:uid="{00000000-0005-0000-0000-0000DEA80000}"/>
    <cellStyle name="Output 17" xfId="43237" xr:uid="{00000000-0005-0000-0000-0000DFA80000}"/>
    <cellStyle name="Output 18" xfId="43238" xr:uid="{00000000-0005-0000-0000-0000E0A80000}"/>
    <cellStyle name="Output 19" xfId="43239" xr:uid="{00000000-0005-0000-0000-0000E1A80000}"/>
    <cellStyle name="Output 2" xfId="43240" xr:uid="{00000000-0005-0000-0000-0000E2A80000}"/>
    <cellStyle name="Output 2 10" xfId="43241" xr:uid="{00000000-0005-0000-0000-0000E3A80000}"/>
    <cellStyle name="Output 2 11" xfId="43242" xr:uid="{00000000-0005-0000-0000-0000E4A80000}"/>
    <cellStyle name="Output 2 12" xfId="43243" xr:uid="{00000000-0005-0000-0000-0000E5A80000}"/>
    <cellStyle name="Output 2 13" xfId="43244" xr:uid="{00000000-0005-0000-0000-0000E6A80000}"/>
    <cellStyle name="Output 2 14" xfId="43245" xr:uid="{00000000-0005-0000-0000-0000E7A80000}"/>
    <cellStyle name="Output 2 15" xfId="43246" xr:uid="{00000000-0005-0000-0000-0000E8A80000}"/>
    <cellStyle name="Output 2 16" xfId="43247" xr:uid="{00000000-0005-0000-0000-0000E9A80000}"/>
    <cellStyle name="Output 2 17" xfId="43248" xr:uid="{00000000-0005-0000-0000-0000EAA80000}"/>
    <cellStyle name="Output 2 18" xfId="43249" xr:uid="{00000000-0005-0000-0000-0000EBA80000}"/>
    <cellStyle name="Output 2 19" xfId="43250" xr:uid="{00000000-0005-0000-0000-0000ECA80000}"/>
    <cellStyle name="Output 2 2" xfId="43251" xr:uid="{00000000-0005-0000-0000-0000EDA80000}"/>
    <cellStyle name="Output 2 2 10" xfId="43252" xr:uid="{00000000-0005-0000-0000-0000EEA80000}"/>
    <cellStyle name="Output 2 2 11" xfId="43253" xr:uid="{00000000-0005-0000-0000-0000EFA80000}"/>
    <cellStyle name="Output 2 2 12" xfId="43254" xr:uid="{00000000-0005-0000-0000-0000F0A80000}"/>
    <cellStyle name="Output 2 2 13" xfId="43255" xr:uid="{00000000-0005-0000-0000-0000F1A80000}"/>
    <cellStyle name="Output 2 2 14" xfId="43256" xr:uid="{00000000-0005-0000-0000-0000F2A80000}"/>
    <cellStyle name="Output 2 2 2" xfId="43257" xr:uid="{00000000-0005-0000-0000-0000F3A80000}"/>
    <cellStyle name="Output 2 2 2 2" xfId="43258" xr:uid="{00000000-0005-0000-0000-0000F4A80000}"/>
    <cellStyle name="Output 2 2 2 3" xfId="43259" xr:uid="{00000000-0005-0000-0000-0000F5A80000}"/>
    <cellStyle name="Output 2 2 2 4" xfId="43260" xr:uid="{00000000-0005-0000-0000-0000F6A80000}"/>
    <cellStyle name="Output 2 2 2 5" xfId="43261" xr:uid="{00000000-0005-0000-0000-0000F7A80000}"/>
    <cellStyle name="Output 2 2 3" xfId="43262" xr:uid="{00000000-0005-0000-0000-0000F8A80000}"/>
    <cellStyle name="Output 2 2 4" xfId="43263" xr:uid="{00000000-0005-0000-0000-0000F9A80000}"/>
    <cellStyle name="Output 2 2 5" xfId="43264" xr:uid="{00000000-0005-0000-0000-0000FAA80000}"/>
    <cellStyle name="Output 2 2 6" xfId="43265" xr:uid="{00000000-0005-0000-0000-0000FBA80000}"/>
    <cellStyle name="Output 2 2 7" xfId="43266" xr:uid="{00000000-0005-0000-0000-0000FCA80000}"/>
    <cellStyle name="Output 2 2 8" xfId="43267" xr:uid="{00000000-0005-0000-0000-0000FDA80000}"/>
    <cellStyle name="Output 2 2 9" xfId="43268" xr:uid="{00000000-0005-0000-0000-0000FEA80000}"/>
    <cellStyle name="Output 2 20" xfId="43269" xr:uid="{00000000-0005-0000-0000-0000FFA80000}"/>
    <cellStyle name="Output 2 21" xfId="43270" xr:uid="{00000000-0005-0000-0000-000000A90000}"/>
    <cellStyle name="Output 2 22" xfId="43271" xr:uid="{00000000-0005-0000-0000-000001A90000}"/>
    <cellStyle name="Output 2 23" xfId="43272" xr:uid="{00000000-0005-0000-0000-000002A90000}"/>
    <cellStyle name="Output 2 24" xfId="43273" xr:uid="{00000000-0005-0000-0000-000003A90000}"/>
    <cellStyle name="Output 2 25" xfId="43274" xr:uid="{00000000-0005-0000-0000-000004A90000}"/>
    <cellStyle name="Output 2 26" xfId="43275" xr:uid="{00000000-0005-0000-0000-000005A90000}"/>
    <cellStyle name="Output 2 27" xfId="43276" xr:uid="{00000000-0005-0000-0000-000006A90000}"/>
    <cellStyle name="Output 2 28" xfId="43277" xr:uid="{00000000-0005-0000-0000-000007A90000}"/>
    <cellStyle name="Output 2 29" xfId="43278" xr:uid="{00000000-0005-0000-0000-000008A90000}"/>
    <cellStyle name="Output 2 3" xfId="43279" xr:uid="{00000000-0005-0000-0000-000009A90000}"/>
    <cellStyle name="Output 2 3 10" xfId="43280" xr:uid="{00000000-0005-0000-0000-00000AA90000}"/>
    <cellStyle name="Output 2 3 11" xfId="43281" xr:uid="{00000000-0005-0000-0000-00000BA90000}"/>
    <cellStyle name="Output 2 3 12" xfId="43282" xr:uid="{00000000-0005-0000-0000-00000CA90000}"/>
    <cellStyle name="Output 2 3 13" xfId="43283" xr:uid="{00000000-0005-0000-0000-00000DA90000}"/>
    <cellStyle name="Output 2 3 14" xfId="43284" xr:uid="{00000000-0005-0000-0000-00000EA90000}"/>
    <cellStyle name="Output 2 3 2" xfId="43285" xr:uid="{00000000-0005-0000-0000-00000FA90000}"/>
    <cellStyle name="Output 2 3 3" xfId="43286" xr:uid="{00000000-0005-0000-0000-000010A90000}"/>
    <cellStyle name="Output 2 3 4" xfId="43287" xr:uid="{00000000-0005-0000-0000-000011A90000}"/>
    <cellStyle name="Output 2 3 5" xfId="43288" xr:uid="{00000000-0005-0000-0000-000012A90000}"/>
    <cellStyle name="Output 2 3 6" xfId="43289" xr:uid="{00000000-0005-0000-0000-000013A90000}"/>
    <cellStyle name="Output 2 3 7" xfId="43290" xr:uid="{00000000-0005-0000-0000-000014A90000}"/>
    <cellStyle name="Output 2 3 8" xfId="43291" xr:uid="{00000000-0005-0000-0000-000015A90000}"/>
    <cellStyle name="Output 2 3 9" xfId="43292" xr:uid="{00000000-0005-0000-0000-000016A90000}"/>
    <cellStyle name="Output 2 30" xfId="43293" xr:uid="{00000000-0005-0000-0000-000017A90000}"/>
    <cellStyle name="Output 2 31" xfId="43294" xr:uid="{00000000-0005-0000-0000-000018A90000}"/>
    <cellStyle name="Output 2 32" xfId="43295" xr:uid="{00000000-0005-0000-0000-000019A90000}"/>
    <cellStyle name="Output 2 33" xfId="43296" xr:uid="{00000000-0005-0000-0000-00001AA90000}"/>
    <cellStyle name="Output 2 34" xfId="43297" xr:uid="{00000000-0005-0000-0000-00001BA90000}"/>
    <cellStyle name="Output 2 35" xfId="43298" xr:uid="{00000000-0005-0000-0000-00001CA90000}"/>
    <cellStyle name="Output 2 4" xfId="43299" xr:uid="{00000000-0005-0000-0000-00001DA90000}"/>
    <cellStyle name="Output 2 5" xfId="43300" xr:uid="{00000000-0005-0000-0000-00001EA90000}"/>
    <cellStyle name="Output 2 6" xfId="43301" xr:uid="{00000000-0005-0000-0000-00001FA90000}"/>
    <cellStyle name="Output 2 7" xfId="43302" xr:uid="{00000000-0005-0000-0000-000020A90000}"/>
    <cellStyle name="Output 2 8" xfId="43303" xr:uid="{00000000-0005-0000-0000-000021A90000}"/>
    <cellStyle name="Output 2 9" xfId="43304" xr:uid="{00000000-0005-0000-0000-000022A90000}"/>
    <cellStyle name="Output 20" xfId="43305" xr:uid="{00000000-0005-0000-0000-000023A90000}"/>
    <cellStyle name="Output 20 10" xfId="43306" xr:uid="{00000000-0005-0000-0000-000024A90000}"/>
    <cellStyle name="Output 20 11" xfId="43307" xr:uid="{00000000-0005-0000-0000-000025A90000}"/>
    <cellStyle name="Output 20 12" xfId="43308" xr:uid="{00000000-0005-0000-0000-000026A90000}"/>
    <cellStyle name="Output 20 13" xfId="43309" xr:uid="{00000000-0005-0000-0000-000027A90000}"/>
    <cellStyle name="Output 20 14" xfId="43310" xr:uid="{00000000-0005-0000-0000-000028A90000}"/>
    <cellStyle name="Output 20 15" xfId="43311" xr:uid="{00000000-0005-0000-0000-000029A90000}"/>
    <cellStyle name="Output 20 16" xfId="43312" xr:uid="{00000000-0005-0000-0000-00002AA90000}"/>
    <cellStyle name="Output 20 2" xfId="43313" xr:uid="{00000000-0005-0000-0000-00002BA90000}"/>
    <cellStyle name="Output 20 3" xfId="43314" xr:uid="{00000000-0005-0000-0000-00002CA90000}"/>
    <cellStyle name="Output 20 4" xfId="43315" xr:uid="{00000000-0005-0000-0000-00002DA90000}"/>
    <cellStyle name="Output 20 5" xfId="43316" xr:uid="{00000000-0005-0000-0000-00002EA90000}"/>
    <cellStyle name="Output 20 6" xfId="43317" xr:uid="{00000000-0005-0000-0000-00002FA90000}"/>
    <cellStyle name="Output 20 7" xfId="43318" xr:uid="{00000000-0005-0000-0000-000030A90000}"/>
    <cellStyle name="Output 20 8" xfId="43319" xr:uid="{00000000-0005-0000-0000-000031A90000}"/>
    <cellStyle name="Output 20 9" xfId="43320" xr:uid="{00000000-0005-0000-0000-000032A90000}"/>
    <cellStyle name="Output 21" xfId="43321" xr:uid="{00000000-0005-0000-0000-000033A90000}"/>
    <cellStyle name="Output 21 2" xfId="43322" xr:uid="{00000000-0005-0000-0000-000034A90000}"/>
    <cellStyle name="Output 21 3" xfId="43323" xr:uid="{00000000-0005-0000-0000-000035A90000}"/>
    <cellStyle name="Output 22" xfId="43324" xr:uid="{00000000-0005-0000-0000-000036A90000}"/>
    <cellStyle name="Output 23" xfId="43325" xr:uid="{00000000-0005-0000-0000-000037A90000}"/>
    <cellStyle name="Output 24" xfId="43326" xr:uid="{00000000-0005-0000-0000-000038A90000}"/>
    <cellStyle name="Output 25" xfId="43327" xr:uid="{00000000-0005-0000-0000-000039A90000}"/>
    <cellStyle name="Output 26" xfId="43328" xr:uid="{00000000-0005-0000-0000-00003AA90000}"/>
    <cellStyle name="Output 27" xfId="43329" xr:uid="{00000000-0005-0000-0000-00003BA90000}"/>
    <cellStyle name="Output 28" xfId="43330" xr:uid="{00000000-0005-0000-0000-00003CA90000}"/>
    <cellStyle name="Output 29" xfId="43331" xr:uid="{00000000-0005-0000-0000-00003DA90000}"/>
    <cellStyle name="Output 3" xfId="43332" xr:uid="{00000000-0005-0000-0000-00003EA90000}"/>
    <cellStyle name="Output 3 10" xfId="43333" xr:uid="{00000000-0005-0000-0000-00003FA90000}"/>
    <cellStyle name="Output 3 10 10" xfId="43334" xr:uid="{00000000-0005-0000-0000-000040A90000}"/>
    <cellStyle name="Output 3 10 11" xfId="43335" xr:uid="{00000000-0005-0000-0000-000041A90000}"/>
    <cellStyle name="Output 3 10 12" xfId="43336" xr:uid="{00000000-0005-0000-0000-000042A90000}"/>
    <cellStyle name="Output 3 10 13" xfId="43337" xr:uid="{00000000-0005-0000-0000-000043A90000}"/>
    <cellStyle name="Output 3 10 14" xfId="43338" xr:uid="{00000000-0005-0000-0000-000044A90000}"/>
    <cellStyle name="Output 3 10 15" xfId="43339" xr:uid="{00000000-0005-0000-0000-000045A90000}"/>
    <cellStyle name="Output 3 10 2" xfId="43340" xr:uid="{00000000-0005-0000-0000-000046A90000}"/>
    <cellStyle name="Output 3 10 3" xfId="43341" xr:uid="{00000000-0005-0000-0000-000047A90000}"/>
    <cellStyle name="Output 3 10 4" xfId="43342" xr:uid="{00000000-0005-0000-0000-000048A90000}"/>
    <cellStyle name="Output 3 10 5" xfId="43343" xr:uid="{00000000-0005-0000-0000-000049A90000}"/>
    <cellStyle name="Output 3 10 6" xfId="43344" xr:uid="{00000000-0005-0000-0000-00004AA90000}"/>
    <cellStyle name="Output 3 10 7" xfId="43345" xr:uid="{00000000-0005-0000-0000-00004BA90000}"/>
    <cellStyle name="Output 3 10 8" xfId="43346" xr:uid="{00000000-0005-0000-0000-00004CA90000}"/>
    <cellStyle name="Output 3 10 9" xfId="43347" xr:uid="{00000000-0005-0000-0000-00004DA90000}"/>
    <cellStyle name="Output 3 11" xfId="43348" xr:uid="{00000000-0005-0000-0000-00004EA90000}"/>
    <cellStyle name="Output 3 11 10" xfId="43349" xr:uid="{00000000-0005-0000-0000-00004FA90000}"/>
    <cellStyle name="Output 3 11 11" xfId="43350" xr:uid="{00000000-0005-0000-0000-000050A90000}"/>
    <cellStyle name="Output 3 11 12" xfId="43351" xr:uid="{00000000-0005-0000-0000-000051A90000}"/>
    <cellStyle name="Output 3 11 13" xfId="43352" xr:uid="{00000000-0005-0000-0000-000052A90000}"/>
    <cellStyle name="Output 3 11 14" xfId="43353" xr:uid="{00000000-0005-0000-0000-000053A90000}"/>
    <cellStyle name="Output 3 11 15" xfId="43354" xr:uid="{00000000-0005-0000-0000-000054A90000}"/>
    <cellStyle name="Output 3 11 2" xfId="43355" xr:uid="{00000000-0005-0000-0000-000055A90000}"/>
    <cellStyle name="Output 3 11 3" xfId="43356" xr:uid="{00000000-0005-0000-0000-000056A90000}"/>
    <cellStyle name="Output 3 11 4" xfId="43357" xr:uid="{00000000-0005-0000-0000-000057A90000}"/>
    <cellStyle name="Output 3 11 5" xfId="43358" xr:uid="{00000000-0005-0000-0000-000058A90000}"/>
    <cellStyle name="Output 3 11 6" xfId="43359" xr:uid="{00000000-0005-0000-0000-000059A90000}"/>
    <cellStyle name="Output 3 11 7" xfId="43360" xr:uid="{00000000-0005-0000-0000-00005AA90000}"/>
    <cellStyle name="Output 3 11 8" xfId="43361" xr:uid="{00000000-0005-0000-0000-00005BA90000}"/>
    <cellStyle name="Output 3 11 9" xfId="43362" xr:uid="{00000000-0005-0000-0000-00005CA90000}"/>
    <cellStyle name="Output 3 12" xfId="43363" xr:uid="{00000000-0005-0000-0000-00005DA90000}"/>
    <cellStyle name="Output 3 12 10" xfId="43364" xr:uid="{00000000-0005-0000-0000-00005EA90000}"/>
    <cellStyle name="Output 3 12 11" xfId="43365" xr:uid="{00000000-0005-0000-0000-00005FA90000}"/>
    <cellStyle name="Output 3 12 12" xfId="43366" xr:uid="{00000000-0005-0000-0000-000060A90000}"/>
    <cellStyle name="Output 3 12 13" xfId="43367" xr:uid="{00000000-0005-0000-0000-000061A90000}"/>
    <cellStyle name="Output 3 12 14" xfId="43368" xr:uid="{00000000-0005-0000-0000-000062A90000}"/>
    <cellStyle name="Output 3 12 15" xfId="43369" xr:uid="{00000000-0005-0000-0000-000063A90000}"/>
    <cellStyle name="Output 3 12 2" xfId="43370" xr:uid="{00000000-0005-0000-0000-000064A90000}"/>
    <cellStyle name="Output 3 12 3" xfId="43371" xr:uid="{00000000-0005-0000-0000-000065A90000}"/>
    <cellStyle name="Output 3 12 4" xfId="43372" xr:uid="{00000000-0005-0000-0000-000066A90000}"/>
    <cellStyle name="Output 3 12 5" xfId="43373" xr:uid="{00000000-0005-0000-0000-000067A90000}"/>
    <cellStyle name="Output 3 12 6" xfId="43374" xr:uid="{00000000-0005-0000-0000-000068A90000}"/>
    <cellStyle name="Output 3 12 7" xfId="43375" xr:uid="{00000000-0005-0000-0000-000069A90000}"/>
    <cellStyle name="Output 3 12 8" xfId="43376" xr:uid="{00000000-0005-0000-0000-00006AA90000}"/>
    <cellStyle name="Output 3 12 9" xfId="43377" xr:uid="{00000000-0005-0000-0000-00006BA90000}"/>
    <cellStyle name="Output 3 13" xfId="43378" xr:uid="{00000000-0005-0000-0000-00006CA90000}"/>
    <cellStyle name="Output 3 13 10" xfId="43379" xr:uid="{00000000-0005-0000-0000-00006DA90000}"/>
    <cellStyle name="Output 3 13 11" xfId="43380" xr:uid="{00000000-0005-0000-0000-00006EA90000}"/>
    <cellStyle name="Output 3 13 12" xfId="43381" xr:uid="{00000000-0005-0000-0000-00006FA90000}"/>
    <cellStyle name="Output 3 13 13" xfId="43382" xr:uid="{00000000-0005-0000-0000-000070A90000}"/>
    <cellStyle name="Output 3 13 14" xfId="43383" xr:uid="{00000000-0005-0000-0000-000071A90000}"/>
    <cellStyle name="Output 3 13 15" xfId="43384" xr:uid="{00000000-0005-0000-0000-000072A90000}"/>
    <cellStyle name="Output 3 13 2" xfId="43385" xr:uid="{00000000-0005-0000-0000-000073A90000}"/>
    <cellStyle name="Output 3 13 3" xfId="43386" xr:uid="{00000000-0005-0000-0000-000074A90000}"/>
    <cellStyle name="Output 3 13 4" xfId="43387" xr:uid="{00000000-0005-0000-0000-000075A90000}"/>
    <cellStyle name="Output 3 13 5" xfId="43388" xr:uid="{00000000-0005-0000-0000-000076A90000}"/>
    <cellStyle name="Output 3 13 6" xfId="43389" xr:uid="{00000000-0005-0000-0000-000077A90000}"/>
    <cellStyle name="Output 3 13 7" xfId="43390" xr:uid="{00000000-0005-0000-0000-000078A90000}"/>
    <cellStyle name="Output 3 13 8" xfId="43391" xr:uid="{00000000-0005-0000-0000-000079A90000}"/>
    <cellStyle name="Output 3 13 9" xfId="43392" xr:uid="{00000000-0005-0000-0000-00007AA90000}"/>
    <cellStyle name="Output 3 14" xfId="43393" xr:uid="{00000000-0005-0000-0000-00007BA90000}"/>
    <cellStyle name="Output 3 14 10" xfId="43394" xr:uid="{00000000-0005-0000-0000-00007CA90000}"/>
    <cellStyle name="Output 3 14 11" xfId="43395" xr:uid="{00000000-0005-0000-0000-00007DA90000}"/>
    <cellStyle name="Output 3 14 12" xfId="43396" xr:uid="{00000000-0005-0000-0000-00007EA90000}"/>
    <cellStyle name="Output 3 14 13" xfId="43397" xr:uid="{00000000-0005-0000-0000-00007FA90000}"/>
    <cellStyle name="Output 3 14 14" xfId="43398" xr:uid="{00000000-0005-0000-0000-000080A90000}"/>
    <cellStyle name="Output 3 14 15" xfId="43399" xr:uid="{00000000-0005-0000-0000-000081A90000}"/>
    <cellStyle name="Output 3 14 2" xfId="43400" xr:uid="{00000000-0005-0000-0000-000082A90000}"/>
    <cellStyle name="Output 3 14 3" xfId="43401" xr:uid="{00000000-0005-0000-0000-000083A90000}"/>
    <cellStyle name="Output 3 14 4" xfId="43402" xr:uid="{00000000-0005-0000-0000-000084A90000}"/>
    <cellStyle name="Output 3 14 5" xfId="43403" xr:uid="{00000000-0005-0000-0000-000085A90000}"/>
    <cellStyle name="Output 3 14 6" xfId="43404" xr:uid="{00000000-0005-0000-0000-000086A90000}"/>
    <cellStyle name="Output 3 14 7" xfId="43405" xr:uid="{00000000-0005-0000-0000-000087A90000}"/>
    <cellStyle name="Output 3 14 8" xfId="43406" xr:uid="{00000000-0005-0000-0000-000088A90000}"/>
    <cellStyle name="Output 3 14 9" xfId="43407" xr:uid="{00000000-0005-0000-0000-000089A90000}"/>
    <cellStyle name="Output 3 15" xfId="43408" xr:uid="{00000000-0005-0000-0000-00008AA90000}"/>
    <cellStyle name="Output 3 15 10" xfId="43409" xr:uid="{00000000-0005-0000-0000-00008BA90000}"/>
    <cellStyle name="Output 3 15 11" xfId="43410" xr:uid="{00000000-0005-0000-0000-00008CA90000}"/>
    <cellStyle name="Output 3 15 12" xfId="43411" xr:uid="{00000000-0005-0000-0000-00008DA90000}"/>
    <cellStyle name="Output 3 15 13" xfId="43412" xr:uid="{00000000-0005-0000-0000-00008EA90000}"/>
    <cellStyle name="Output 3 15 14" xfId="43413" xr:uid="{00000000-0005-0000-0000-00008FA90000}"/>
    <cellStyle name="Output 3 15 15" xfId="43414" xr:uid="{00000000-0005-0000-0000-000090A90000}"/>
    <cellStyle name="Output 3 15 2" xfId="43415" xr:uid="{00000000-0005-0000-0000-000091A90000}"/>
    <cellStyle name="Output 3 15 3" xfId="43416" xr:uid="{00000000-0005-0000-0000-000092A90000}"/>
    <cellStyle name="Output 3 15 4" xfId="43417" xr:uid="{00000000-0005-0000-0000-000093A90000}"/>
    <cellStyle name="Output 3 15 5" xfId="43418" xr:uid="{00000000-0005-0000-0000-000094A90000}"/>
    <cellStyle name="Output 3 15 6" xfId="43419" xr:uid="{00000000-0005-0000-0000-000095A90000}"/>
    <cellStyle name="Output 3 15 7" xfId="43420" xr:uid="{00000000-0005-0000-0000-000096A90000}"/>
    <cellStyle name="Output 3 15 8" xfId="43421" xr:uid="{00000000-0005-0000-0000-000097A90000}"/>
    <cellStyle name="Output 3 15 9" xfId="43422" xr:uid="{00000000-0005-0000-0000-000098A90000}"/>
    <cellStyle name="Output 3 16" xfId="43423" xr:uid="{00000000-0005-0000-0000-000099A90000}"/>
    <cellStyle name="Output 3 16 10" xfId="43424" xr:uid="{00000000-0005-0000-0000-00009AA90000}"/>
    <cellStyle name="Output 3 16 11" xfId="43425" xr:uid="{00000000-0005-0000-0000-00009BA90000}"/>
    <cellStyle name="Output 3 16 12" xfId="43426" xr:uid="{00000000-0005-0000-0000-00009CA90000}"/>
    <cellStyle name="Output 3 16 13" xfId="43427" xr:uid="{00000000-0005-0000-0000-00009DA90000}"/>
    <cellStyle name="Output 3 16 14" xfId="43428" xr:uid="{00000000-0005-0000-0000-00009EA90000}"/>
    <cellStyle name="Output 3 16 15" xfId="43429" xr:uid="{00000000-0005-0000-0000-00009FA90000}"/>
    <cellStyle name="Output 3 16 2" xfId="43430" xr:uid="{00000000-0005-0000-0000-0000A0A90000}"/>
    <cellStyle name="Output 3 16 3" xfId="43431" xr:uid="{00000000-0005-0000-0000-0000A1A90000}"/>
    <cellStyle name="Output 3 16 4" xfId="43432" xr:uid="{00000000-0005-0000-0000-0000A2A90000}"/>
    <cellStyle name="Output 3 16 5" xfId="43433" xr:uid="{00000000-0005-0000-0000-0000A3A90000}"/>
    <cellStyle name="Output 3 16 6" xfId="43434" xr:uid="{00000000-0005-0000-0000-0000A4A90000}"/>
    <cellStyle name="Output 3 16 7" xfId="43435" xr:uid="{00000000-0005-0000-0000-0000A5A90000}"/>
    <cellStyle name="Output 3 16 8" xfId="43436" xr:uid="{00000000-0005-0000-0000-0000A6A90000}"/>
    <cellStyle name="Output 3 16 9" xfId="43437" xr:uid="{00000000-0005-0000-0000-0000A7A90000}"/>
    <cellStyle name="Output 3 17" xfId="43438" xr:uid="{00000000-0005-0000-0000-0000A8A90000}"/>
    <cellStyle name="Output 3 17 10" xfId="43439" xr:uid="{00000000-0005-0000-0000-0000A9A90000}"/>
    <cellStyle name="Output 3 17 11" xfId="43440" xr:uid="{00000000-0005-0000-0000-0000AAA90000}"/>
    <cellStyle name="Output 3 17 12" xfId="43441" xr:uid="{00000000-0005-0000-0000-0000ABA90000}"/>
    <cellStyle name="Output 3 17 13" xfId="43442" xr:uid="{00000000-0005-0000-0000-0000ACA90000}"/>
    <cellStyle name="Output 3 17 14" xfId="43443" xr:uid="{00000000-0005-0000-0000-0000ADA90000}"/>
    <cellStyle name="Output 3 17 15" xfId="43444" xr:uid="{00000000-0005-0000-0000-0000AEA90000}"/>
    <cellStyle name="Output 3 17 2" xfId="43445" xr:uid="{00000000-0005-0000-0000-0000AFA90000}"/>
    <cellStyle name="Output 3 17 3" xfId="43446" xr:uid="{00000000-0005-0000-0000-0000B0A90000}"/>
    <cellStyle name="Output 3 17 4" xfId="43447" xr:uid="{00000000-0005-0000-0000-0000B1A90000}"/>
    <cellStyle name="Output 3 17 5" xfId="43448" xr:uid="{00000000-0005-0000-0000-0000B2A90000}"/>
    <cellStyle name="Output 3 17 6" xfId="43449" xr:uid="{00000000-0005-0000-0000-0000B3A90000}"/>
    <cellStyle name="Output 3 17 7" xfId="43450" xr:uid="{00000000-0005-0000-0000-0000B4A90000}"/>
    <cellStyle name="Output 3 17 8" xfId="43451" xr:uid="{00000000-0005-0000-0000-0000B5A90000}"/>
    <cellStyle name="Output 3 17 9" xfId="43452" xr:uid="{00000000-0005-0000-0000-0000B6A90000}"/>
    <cellStyle name="Output 3 18" xfId="43453" xr:uid="{00000000-0005-0000-0000-0000B7A90000}"/>
    <cellStyle name="Output 3 18 10" xfId="43454" xr:uid="{00000000-0005-0000-0000-0000B8A90000}"/>
    <cellStyle name="Output 3 18 11" xfId="43455" xr:uid="{00000000-0005-0000-0000-0000B9A90000}"/>
    <cellStyle name="Output 3 18 12" xfId="43456" xr:uid="{00000000-0005-0000-0000-0000BAA90000}"/>
    <cellStyle name="Output 3 18 13" xfId="43457" xr:uid="{00000000-0005-0000-0000-0000BBA90000}"/>
    <cellStyle name="Output 3 18 14" xfId="43458" xr:uid="{00000000-0005-0000-0000-0000BCA90000}"/>
    <cellStyle name="Output 3 18 15" xfId="43459" xr:uid="{00000000-0005-0000-0000-0000BDA90000}"/>
    <cellStyle name="Output 3 18 2" xfId="43460" xr:uid="{00000000-0005-0000-0000-0000BEA90000}"/>
    <cellStyle name="Output 3 18 3" xfId="43461" xr:uid="{00000000-0005-0000-0000-0000BFA90000}"/>
    <cellStyle name="Output 3 18 4" xfId="43462" xr:uid="{00000000-0005-0000-0000-0000C0A90000}"/>
    <cellStyle name="Output 3 18 5" xfId="43463" xr:uid="{00000000-0005-0000-0000-0000C1A90000}"/>
    <cellStyle name="Output 3 18 6" xfId="43464" xr:uid="{00000000-0005-0000-0000-0000C2A90000}"/>
    <cellStyle name="Output 3 18 7" xfId="43465" xr:uid="{00000000-0005-0000-0000-0000C3A90000}"/>
    <cellStyle name="Output 3 18 8" xfId="43466" xr:uid="{00000000-0005-0000-0000-0000C4A90000}"/>
    <cellStyle name="Output 3 18 9" xfId="43467" xr:uid="{00000000-0005-0000-0000-0000C5A90000}"/>
    <cellStyle name="Output 3 19" xfId="43468" xr:uid="{00000000-0005-0000-0000-0000C6A90000}"/>
    <cellStyle name="Output 3 19 10" xfId="43469" xr:uid="{00000000-0005-0000-0000-0000C7A90000}"/>
    <cellStyle name="Output 3 19 11" xfId="43470" xr:uid="{00000000-0005-0000-0000-0000C8A90000}"/>
    <cellStyle name="Output 3 19 12" xfId="43471" xr:uid="{00000000-0005-0000-0000-0000C9A90000}"/>
    <cellStyle name="Output 3 19 13" xfId="43472" xr:uid="{00000000-0005-0000-0000-0000CAA90000}"/>
    <cellStyle name="Output 3 19 14" xfId="43473" xr:uid="{00000000-0005-0000-0000-0000CBA90000}"/>
    <cellStyle name="Output 3 19 15" xfId="43474" xr:uid="{00000000-0005-0000-0000-0000CCA90000}"/>
    <cellStyle name="Output 3 19 2" xfId="43475" xr:uid="{00000000-0005-0000-0000-0000CDA90000}"/>
    <cellStyle name="Output 3 19 3" xfId="43476" xr:uid="{00000000-0005-0000-0000-0000CEA90000}"/>
    <cellStyle name="Output 3 19 4" xfId="43477" xr:uid="{00000000-0005-0000-0000-0000CFA90000}"/>
    <cellStyle name="Output 3 19 5" xfId="43478" xr:uid="{00000000-0005-0000-0000-0000D0A90000}"/>
    <cellStyle name="Output 3 19 6" xfId="43479" xr:uid="{00000000-0005-0000-0000-0000D1A90000}"/>
    <cellStyle name="Output 3 19 7" xfId="43480" xr:uid="{00000000-0005-0000-0000-0000D2A90000}"/>
    <cellStyle name="Output 3 19 8" xfId="43481" xr:uid="{00000000-0005-0000-0000-0000D3A90000}"/>
    <cellStyle name="Output 3 19 9" xfId="43482" xr:uid="{00000000-0005-0000-0000-0000D4A90000}"/>
    <cellStyle name="Output 3 2" xfId="43483" xr:uid="{00000000-0005-0000-0000-0000D5A90000}"/>
    <cellStyle name="Output 3 2 10" xfId="43484" xr:uid="{00000000-0005-0000-0000-0000D6A90000}"/>
    <cellStyle name="Output 3 2 11" xfId="43485" xr:uid="{00000000-0005-0000-0000-0000D7A90000}"/>
    <cellStyle name="Output 3 2 12" xfId="43486" xr:uid="{00000000-0005-0000-0000-0000D8A90000}"/>
    <cellStyle name="Output 3 2 13" xfId="43487" xr:uid="{00000000-0005-0000-0000-0000D9A90000}"/>
    <cellStyle name="Output 3 2 14" xfId="43488" xr:uid="{00000000-0005-0000-0000-0000DAA90000}"/>
    <cellStyle name="Output 3 2 15" xfId="43489" xr:uid="{00000000-0005-0000-0000-0000DBA90000}"/>
    <cellStyle name="Output 3 2 16" xfId="43490" xr:uid="{00000000-0005-0000-0000-0000DCA90000}"/>
    <cellStyle name="Output 3 2 17" xfId="43491" xr:uid="{00000000-0005-0000-0000-0000DDA90000}"/>
    <cellStyle name="Output 3 2 18" xfId="43492" xr:uid="{00000000-0005-0000-0000-0000DEA90000}"/>
    <cellStyle name="Output 3 2 19" xfId="43493" xr:uid="{00000000-0005-0000-0000-0000DFA90000}"/>
    <cellStyle name="Output 3 2 2" xfId="43494" xr:uid="{00000000-0005-0000-0000-0000E0A90000}"/>
    <cellStyle name="Output 3 2 20" xfId="43495" xr:uid="{00000000-0005-0000-0000-0000E1A90000}"/>
    <cellStyle name="Output 3 2 21" xfId="43496" xr:uid="{00000000-0005-0000-0000-0000E2A90000}"/>
    <cellStyle name="Output 3 2 22" xfId="43497" xr:uid="{00000000-0005-0000-0000-0000E3A90000}"/>
    <cellStyle name="Output 3 2 23" xfId="43498" xr:uid="{00000000-0005-0000-0000-0000E4A90000}"/>
    <cellStyle name="Output 3 2 24" xfId="43499" xr:uid="{00000000-0005-0000-0000-0000E5A90000}"/>
    <cellStyle name="Output 3 2 25" xfId="43500" xr:uid="{00000000-0005-0000-0000-0000E6A90000}"/>
    <cellStyle name="Output 3 2 26" xfId="43501" xr:uid="{00000000-0005-0000-0000-0000E7A90000}"/>
    <cellStyle name="Output 3 2 27" xfId="43502" xr:uid="{00000000-0005-0000-0000-0000E8A90000}"/>
    <cellStyle name="Output 3 2 28" xfId="43503" xr:uid="{00000000-0005-0000-0000-0000E9A90000}"/>
    <cellStyle name="Output 3 2 29" xfId="43504" xr:uid="{00000000-0005-0000-0000-0000EAA90000}"/>
    <cellStyle name="Output 3 2 3" xfId="43505" xr:uid="{00000000-0005-0000-0000-0000EBA90000}"/>
    <cellStyle name="Output 3 2 30" xfId="43506" xr:uid="{00000000-0005-0000-0000-0000ECA90000}"/>
    <cellStyle name="Output 3 2 31" xfId="43507" xr:uid="{00000000-0005-0000-0000-0000EDA90000}"/>
    <cellStyle name="Output 3 2 32" xfId="43508" xr:uid="{00000000-0005-0000-0000-0000EEA90000}"/>
    <cellStyle name="Output 3 2 33" xfId="43509" xr:uid="{00000000-0005-0000-0000-0000EFA90000}"/>
    <cellStyle name="Output 3 2 34" xfId="43510" xr:uid="{00000000-0005-0000-0000-0000F0A90000}"/>
    <cellStyle name="Output 3 2 35" xfId="43511" xr:uid="{00000000-0005-0000-0000-0000F1A90000}"/>
    <cellStyle name="Output 3 2 36" xfId="43512" xr:uid="{00000000-0005-0000-0000-0000F2A90000}"/>
    <cellStyle name="Output 3 2 37" xfId="43513" xr:uid="{00000000-0005-0000-0000-0000F3A90000}"/>
    <cellStyle name="Output 3 2 38" xfId="43514" xr:uid="{00000000-0005-0000-0000-0000F4A90000}"/>
    <cellStyle name="Output 3 2 39" xfId="43515" xr:uid="{00000000-0005-0000-0000-0000F5A90000}"/>
    <cellStyle name="Output 3 2 4" xfId="43516" xr:uid="{00000000-0005-0000-0000-0000F6A90000}"/>
    <cellStyle name="Output 3 2 40" xfId="43517" xr:uid="{00000000-0005-0000-0000-0000F7A90000}"/>
    <cellStyle name="Output 3 2 41" xfId="43518" xr:uid="{00000000-0005-0000-0000-0000F8A90000}"/>
    <cellStyle name="Output 3 2 42" xfId="43519" xr:uid="{00000000-0005-0000-0000-0000F9A90000}"/>
    <cellStyle name="Output 3 2 43" xfId="43520" xr:uid="{00000000-0005-0000-0000-0000FAA90000}"/>
    <cellStyle name="Output 3 2 44" xfId="43521" xr:uid="{00000000-0005-0000-0000-0000FBA90000}"/>
    <cellStyle name="Output 3 2 45" xfId="43522" xr:uid="{00000000-0005-0000-0000-0000FCA90000}"/>
    <cellStyle name="Output 3 2 46" xfId="43523" xr:uid="{00000000-0005-0000-0000-0000FDA90000}"/>
    <cellStyle name="Output 3 2 47" xfId="43524" xr:uid="{00000000-0005-0000-0000-0000FEA90000}"/>
    <cellStyle name="Output 3 2 48" xfId="43525" xr:uid="{00000000-0005-0000-0000-0000FFA90000}"/>
    <cellStyle name="Output 3 2 49" xfId="43526" xr:uid="{00000000-0005-0000-0000-000000AA0000}"/>
    <cellStyle name="Output 3 2 5" xfId="43527" xr:uid="{00000000-0005-0000-0000-000001AA0000}"/>
    <cellStyle name="Output 3 2 50" xfId="43528" xr:uid="{00000000-0005-0000-0000-000002AA0000}"/>
    <cellStyle name="Output 3 2 51" xfId="43529" xr:uid="{00000000-0005-0000-0000-000003AA0000}"/>
    <cellStyle name="Output 3 2 52" xfId="43530" xr:uid="{00000000-0005-0000-0000-000004AA0000}"/>
    <cellStyle name="Output 3 2 53" xfId="43531" xr:uid="{00000000-0005-0000-0000-000005AA0000}"/>
    <cellStyle name="Output 3 2 6" xfId="43532" xr:uid="{00000000-0005-0000-0000-000006AA0000}"/>
    <cellStyle name="Output 3 2 7" xfId="43533" xr:uid="{00000000-0005-0000-0000-000007AA0000}"/>
    <cellStyle name="Output 3 2 8" xfId="43534" xr:uid="{00000000-0005-0000-0000-000008AA0000}"/>
    <cellStyle name="Output 3 2 9" xfId="43535" xr:uid="{00000000-0005-0000-0000-000009AA0000}"/>
    <cellStyle name="Output 3 20" xfId="43536" xr:uid="{00000000-0005-0000-0000-00000AAA0000}"/>
    <cellStyle name="Output 3 20 10" xfId="43537" xr:uid="{00000000-0005-0000-0000-00000BAA0000}"/>
    <cellStyle name="Output 3 20 11" xfId="43538" xr:uid="{00000000-0005-0000-0000-00000CAA0000}"/>
    <cellStyle name="Output 3 20 12" xfId="43539" xr:uid="{00000000-0005-0000-0000-00000DAA0000}"/>
    <cellStyle name="Output 3 20 13" xfId="43540" xr:uid="{00000000-0005-0000-0000-00000EAA0000}"/>
    <cellStyle name="Output 3 20 14" xfId="43541" xr:uid="{00000000-0005-0000-0000-00000FAA0000}"/>
    <cellStyle name="Output 3 20 15" xfId="43542" xr:uid="{00000000-0005-0000-0000-000010AA0000}"/>
    <cellStyle name="Output 3 20 2" xfId="43543" xr:uid="{00000000-0005-0000-0000-000011AA0000}"/>
    <cellStyle name="Output 3 20 3" xfId="43544" xr:uid="{00000000-0005-0000-0000-000012AA0000}"/>
    <cellStyle name="Output 3 20 4" xfId="43545" xr:uid="{00000000-0005-0000-0000-000013AA0000}"/>
    <cellStyle name="Output 3 20 5" xfId="43546" xr:uid="{00000000-0005-0000-0000-000014AA0000}"/>
    <cellStyle name="Output 3 20 6" xfId="43547" xr:uid="{00000000-0005-0000-0000-000015AA0000}"/>
    <cellStyle name="Output 3 20 7" xfId="43548" xr:uid="{00000000-0005-0000-0000-000016AA0000}"/>
    <cellStyle name="Output 3 20 8" xfId="43549" xr:uid="{00000000-0005-0000-0000-000017AA0000}"/>
    <cellStyle name="Output 3 20 9" xfId="43550" xr:uid="{00000000-0005-0000-0000-000018AA0000}"/>
    <cellStyle name="Output 3 21" xfId="43551" xr:uid="{00000000-0005-0000-0000-000019AA0000}"/>
    <cellStyle name="Output 3 21 10" xfId="43552" xr:uid="{00000000-0005-0000-0000-00001AAA0000}"/>
    <cellStyle name="Output 3 21 11" xfId="43553" xr:uid="{00000000-0005-0000-0000-00001BAA0000}"/>
    <cellStyle name="Output 3 21 12" xfId="43554" xr:uid="{00000000-0005-0000-0000-00001CAA0000}"/>
    <cellStyle name="Output 3 21 13" xfId="43555" xr:uid="{00000000-0005-0000-0000-00001DAA0000}"/>
    <cellStyle name="Output 3 21 14" xfId="43556" xr:uid="{00000000-0005-0000-0000-00001EAA0000}"/>
    <cellStyle name="Output 3 21 15" xfId="43557" xr:uid="{00000000-0005-0000-0000-00001FAA0000}"/>
    <cellStyle name="Output 3 21 2" xfId="43558" xr:uid="{00000000-0005-0000-0000-000020AA0000}"/>
    <cellStyle name="Output 3 21 3" xfId="43559" xr:uid="{00000000-0005-0000-0000-000021AA0000}"/>
    <cellStyle name="Output 3 21 4" xfId="43560" xr:uid="{00000000-0005-0000-0000-000022AA0000}"/>
    <cellStyle name="Output 3 21 5" xfId="43561" xr:uid="{00000000-0005-0000-0000-000023AA0000}"/>
    <cellStyle name="Output 3 21 6" xfId="43562" xr:uid="{00000000-0005-0000-0000-000024AA0000}"/>
    <cellStyle name="Output 3 21 7" xfId="43563" xr:uid="{00000000-0005-0000-0000-000025AA0000}"/>
    <cellStyle name="Output 3 21 8" xfId="43564" xr:uid="{00000000-0005-0000-0000-000026AA0000}"/>
    <cellStyle name="Output 3 21 9" xfId="43565" xr:uid="{00000000-0005-0000-0000-000027AA0000}"/>
    <cellStyle name="Output 3 22" xfId="43566" xr:uid="{00000000-0005-0000-0000-000028AA0000}"/>
    <cellStyle name="Output 3 22 10" xfId="43567" xr:uid="{00000000-0005-0000-0000-000029AA0000}"/>
    <cellStyle name="Output 3 22 11" xfId="43568" xr:uid="{00000000-0005-0000-0000-00002AAA0000}"/>
    <cellStyle name="Output 3 22 12" xfId="43569" xr:uid="{00000000-0005-0000-0000-00002BAA0000}"/>
    <cellStyle name="Output 3 22 13" xfId="43570" xr:uid="{00000000-0005-0000-0000-00002CAA0000}"/>
    <cellStyle name="Output 3 22 14" xfId="43571" xr:uid="{00000000-0005-0000-0000-00002DAA0000}"/>
    <cellStyle name="Output 3 22 15" xfId="43572" xr:uid="{00000000-0005-0000-0000-00002EAA0000}"/>
    <cellStyle name="Output 3 22 2" xfId="43573" xr:uid="{00000000-0005-0000-0000-00002FAA0000}"/>
    <cellStyle name="Output 3 22 3" xfId="43574" xr:uid="{00000000-0005-0000-0000-000030AA0000}"/>
    <cellStyle name="Output 3 22 4" xfId="43575" xr:uid="{00000000-0005-0000-0000-000031AA0000}"/>
    <cellStyle name="Output 3 22 5" xfId="43576" xr:uid="{00000000-0005-0000-0000-000032AA0000}"/>
    <cellStyle name="Output 3 22 6" xfId="43577" xr:uid="{00000000-0005-0000-0000-000033AA0000}"/>
    <cellStyle name="Output 3 22 7" xfId="43578" xr:uid="{00000000-0005-0000-0000-000034AA0000}"/>
    <cellStyle name="Output 3 22 8" xfId="43579" xr:uid="{00000000-0005-0000-0000-000035AA0000}"/>
    <cellStyle name="Output 3 22 9" xfId="43580" xr:uid="{00000000-0005-0000-0000-000036AA0000}"/>
    <cellStyle name="Output 3 23" xfId="43581" xr:uid="{00000000-0005-0000-0000-000037AA0000}"/>
    <cellStyle name="Output 3 23 10" xfId="43582" xr:uid="{00000000-0005-0000-0000-000038AA0000}"/>
    <cellStyle name="Output 3 23 11" xfId="43583" xr:uid="{00000000-0005-0000-0000-000039AA0000}"/>
    <cellStyle name="Output 3 23 12" xfId="43584" xr:uid="{00000000-0005-0000-0000-00003AAA0000}"/>
    <cellStyle name="Output 3 23 13" xfId="43585" xr:uid="{00000000-0005-0000-0000-00003BAA0000}"/>
    <cellStyle name="Output 3 23 14" xfId="43586" xr:uid="{00000000-0005-0000-0000-00003CAA0000}"/>
    <cellStyle name="Output 3 23 15" xfId="43587" xr:uid="{00000000-0005-0000-0000-00003DAA0000}"/>
    <cellStyle name="Output 3 23 2" xfId="43588" xr:uid="{00000000-0005-0000-0000-00003EAA0000}"/>
    <cellStyle name="Output 3 23 3" xfId="43589" xr:uid="{00000000-0005-0000-0000-00003FAA0000}"/>
    <cellStyle name="Output 3 23 4" xfId="43590" xr:uid="{00000000-0005-0000-0000-000040AA0000}"/>
    <cellStyle name="Output 3 23 5" xfId="43591" xr:uid="{00000000-0005-0000-0000-000041AA0000}"/>
    <cellStyle name="Output 3 23 6" xfId="43592" xr:uid="{00000000-0005-0000-0000-000042AA0000}"/>
    <cellStyle name="Output 3 23 7" xfId="43593" xr:uid="{00000000-0005-0000-0000-000043AA0000}"/>
    <cellStyle name="Output 3 23 8" xfId="43594" xr:uid="{00000000-0005-0000-0000-000044AA0000}"/>
    <cellStyle name="Output 3 23 9" xfId="43595" xr:uid="{00000000-0005-0000-0000-000045AA0000}"/>
    <cellStyle name="Output 3 24" xfId="43596" xr:uid="{00000000-0005-0000-0000-000046AA0000}"/>
    <cellStyle name="Output 3 24 10" xfId="43597" xr:uid="{00000000-0005-0000-0000-000047AA0000}"/>
    <cellStyle name="Output 3 24 11" xfId="43598" xr:uid="{00000000-0005-0000-0000-000048AA0000}"/>
    <cellStyle name="Output 3 24 12" xfId="43599" xr:uid="{00000000-0005-0000-0000-000049AA0000}"/>
    <cellStyle name="Output 3 24 13" xfId="43600" xr:uid="{00000000-0005-0000-0000-00004AAA0000}"/>
    <cellStyle name="Output 3 24 14" xfId="43601" xr:uid="{00000000-0005-0000-0000-00004BAA0000}"/>
    <cellStyle name="Output 3 24 15" xfId="43602" xr:uid="{00000000-0005-0000-0000-00004CAA0000}"/>
    <cellStyle name="Output 3 24 2" xfId="43603" xr:uid="{00000000-0005-0000-0000-00004DAA0000}"/>
    <cellStyle name="Output 3 24 3" xfId="43604" xr:uid="{00000000-0005-0000-0000-00004EAA0000}"/>
    <cellStyle name="Output 3 24 4" xfId="43605" xr:uid="{00000000-0005-0000-0000-00004FAA0000}"/>
    <cellStyle name="Output 3 24 5" xfId="43606" xr:uid="{00000000-0005-0000-0000-000050AA0000}"/>
    <cellStyle name="Output 3 24 6" xfId="43607" xr:uid="{00000000-0005-0000-0000-000051AA0000}"/>
    <cellStyle name="Output 3 24 7" xfId="43608" xr:uid="{00000000-0005-0000-0000-000052AA0000}"/>
    <cellStyle name="Output 3 24 8" xfId="43609" xr:uid="{00000000-0005-0000-0000-000053AA0000}"/>
    <cellStyle name="Output 3 24 9" xfId="43610" xr:uid="{00000000-0005-0000-0000-000054AA0000}"/>
    <cellStyle name="Output 3 25" xfId="43611" xr:uid="{00000000-0005-0000-0000-000055AA0000}"/>
    <cellStyle name="Output 3 25 10" xfId="43612" xr:uid="{00000000-0005-0000-0000-000056AA0000}"/>
    <cellStyle name="Output 3 25 11" xfId="43613" xr:uid="{00000000-0005-0000-0000-000057AA0000}"/>
    <cellStyle name="Output 3 25 12" xfId="43614" xr:uid="{00000000-0005-0000-0000-000058AA0000}"/>
    <cellStyle name="Output 3 25 13" xfId="43615" xr:uid="{00000000-0005-0000-0000-000059AA0000}"/>
    <cellStyle name="Output 3 25 14" xfId="43616" xr:uid="{00000000-0005-0000-0000-00005AAA0000}"/>
    <cellStyle name="Output 3 25 15" xfId="43617" xr:uid="{00000000-0005-0000-0000-00005BAA0000}"/>
    <cellStyle name="Output 3 25 2" xfId="43618" xr:uid="{00000000-0005-0000-0000-00005CAA0000}"/>
    <cellStyle name="Output 3 25 3" xfId="43619" xr:uid="{00000000-0005-0000-0000-00005DAA0000}"/>
    <cellStyle name="Output 3 25 4" xfId="43620" xr:uid="{00000000-0005-0000-0000-00005EAA0000}"/>
    <cellStyle name="Output 3 25 5" xfId="43621" xr:uid="{00000000-0005-0000-0000-00005FAA0000}"/>
    <cellStyle name="Output 3 25 6" xfId="43622" xr:uid="{00000000-0005-0000-0000-000060AA0000}"/>
    <cellStyle name="Output 3 25 7" xfId="43623" xr:uid="{00000000-0005-0000-0000-000061AA0000}"/>
    <cellStyle name="Output 3 25 8" xfId="43624" xr:uid="{00000000-0005-0000-0000-000062AA0000}"/>
    <cellStyle name="Output 3 25 9" xfId="43625" xr:uid="{00000000-0005-0000-0000-000063AA0000}"/>
    <cellStyle name="Output 3 26" xfId="43626" xr:uid="{00000000-0005-0000-0000-000064AA0000}"/>
    <cellStyle name="Output 3 26 10" xfId="43627" xr:uid="{00000000-0005-0000-0000-000065AA0000}"/>
    <cellStyle name="Output 3 26 11" xfId="43628" xr:uid="{00000000-0005-0000-0000-000066AA0000}"/>
    <cellStyle name="Output 3 26 12" xfId="43629" xr:uid="{00000000-0005-0000-0000-000067AA0000}"/>
    <cellStyle name="Output 3 26 13" xfId="43630" xr:uid="{00000000-0005-0000-0000-000068AA0000}"/>
    <cellStyle name="Output 3 26 14" xfId="43631" xr:uid="{00000000-0005-0000-0000-000069AA0000}"/>
    <cellStyle name="Output 3 26 15" xfId="43632" xr:uid="{00000000-0005-0000-0000-00006AAA0000}"/>
    <cellStyle name="Output 3 26 2" xfId="43633" xr:uid="{00000000-0005-0000-0000-00006BAA0000}"/>
    <cellStyle name="Output 3 26 3" xfId="43634" xr:uid="{00000000-0005-0000-0000-00006CAA0000}"/>
    <cellStyle name="Output 3 26 4" xfId="43635" xr:uid="{00000000-0005-0000-0000-00006DAA0000}"/>
    <cellStyle name="Output 3 26 5" xfId="43636" xr:uid="{00000000-0005-0000-0000-00006EAA0000}"/>
    <cellStyle name="Output 3 26 6" xfId="43637" xr:uid="{00000000-0005-0000-0000-00006FAA0000}"/>
    <cellStyle name="Output 3 26 7" xfId="43638" xr:uid="{00000000-0005-0000-0000-000070AA0000}"/>
    <cellStyle name="Output 3 26 8" xfId="43639" xr:uid="{00000000-0005-0000-0000-000071AA0000}"/>
    <cellStyle name="Output 3 26 9" xfId="43640" xr:uid="{00000000-0005-0000-0000-000072AA0000}"/>
    <cellStyle name="Output 3 27" xfId="43641" xr:uid="{00000000-0005-0000-0000-000073AA0000}"/>
    <cellStyle name="Output 3 27 10" xfId="43642" xr:uid="{00000000-0005-0000-0000-000074AA0000}"/>
    <cellStyle name="Output 3 27 11" xfId="43643" xr:uid="{00000000-0005-0000-0000-000075AA0000}"/>
    <cellStyle name="Output 3 27 12" xfId="43644" xr:uid="{00000000-0005-0000-0000-000076AA0000}"/>
    <cellStyle name="Output 3 27 13" xfId="43645" xr:uid="{00000000-0005-0000-0000-000077AA0000}"/>
    <cellStyle name="Output 3 27 14" xfId="43646" xr:uid="{00000000-0005-0000-0000-000078AA0000}"/>
    <cellStyle name="Output 3 27 15" xfId="43647" xr:uid="{00000000-0005-0000-0000-000079AA0000}"/>
    <cellStyle name="Output 3 27 2" xfId="43648" xr:uid="{00000000-0005-0000-0000-00007AAA0000}"/>
    <cellStyle name="Output 3 27 3" xfId="43649" xr:uid="{00000000-0005-0000-0000-00007BAA0000}"/>
    <cellStyle name="Output 3 27 4" xfId="43650" xr:uid="{00000000-0005-0000-0000-00007CAA0000}"/>
    <cellStyle name="Output 3 27 5" xfId="43651" xr:uid="{00000000-0005-0000-0000-00007DAA0000}"/>
    <cellStyle name="Output 3 27 6" xfId="43652" xr:uid="{00000000-0005-0000-0000-00007EAA0000}"/>
    <cellStyle name="Output 3 27 7" xfId="43653" xr:uid="{00000000-0005-0000-0000-00007FAA0000}"/>
    <cellStyle name="Output 3 27 8" xfId="43654" xr:uid="{00000000-0005-0000-0000-000080AA0000}"/>
    <cellStyle name="Output 3 27 9" xfId="43655" xr:uid="{00000000-0005-0000-0000-000081AA0000}"/>
    <cellStyle name="Output 3 28" xfId="43656" xr:uid="{00000000-0005-0000-0000-000082AA0000}"/>
    <cellStyle name="Output 3 28 10" xfId="43657" xr:uid="{00000000-0005-0000-0000-000083AA0000}"/>
    <cellStyle name="Output 3 28 11" xfId="43658" xr:uid="{00000000-0005-0000-0000-000084AA0000}"/>
    <cellStyle name="Output 3 28 12" xfId="43659" xr:uid="{00000000-0005-0000-0000-000085AA0000}"/>
    <cellStyle name="Output 3 28 13" xfId="43660" xr:uid="{00000000-0005-0000-0000-000086AA0000}"/>
    <cellStyle name="Output 3 28 14" xfId="43661" xr:uid="{00000000-0005-0000-0000-000087AA0000}"/>
    <cellStyle name="Output 3 28 15" xfId="43662" xr:uid="{00000000-0005-0000-0000-000088AA0000}"/>
    <cellStyle name="Output 3 28 2" xfId="43663" xr:uid="{00000000-0005-0000-0000-000089AA0000}"/>
    <cellStyle name="Output 3 28 3" xfId="43664" xr:uid="{00000000-0005-0000-0000-00008AAA0000}"/>
    <cellStyle name="Output 3 28 4" xfId="43665" xr:uid="{00000000-0005-0000-0000-00008BAA0000}"/>
    <cellStyle name="Output 3 28 5" xfId="43666" xr:uid="{00000000-0005-0000-0000-00008CAA0000}"/>
    <cellStyle name="Output 3 28 6" xfId="43667" xr:uid="{00000000-0005-0000-0000-00008DAA0000}"/>
    <cellStyle name="Output 3 28 7" xfId="43668" xr:uid="{00000000-0005-0000-0000-00008EAA0000}"/>
    <cellStyle name="Output 3 28 8" xfId="43669" xr:uid="{00000000-0005-0000-0000-00008FAA0000}"/>
    <cellStyle name="Output 3 28 9" xfId="43670" xr:uid="{00000000-0005-0000-0000-000090AA0000}"/>
    <cellStyle name="Output 3 29" xfId="43671" xr:uid="{00000000-0005-0000-0000-000091AA0000}"/>
    <cellStyle name="Output 3 29 10" xfId="43672" xr:uid="{00000000-0005-0000-0000-000092AA0000}"/>
    <cellStyle name="Output 3 29 11" xfId="43673" xr:uid="{00000000-0005-0000-0000-000093AA0000}"/>
    <cellStyle name="Output 3 29 12" xfId="43674" xr:uid="{00000000-0005-0000-0000-000094AA0000}"/>
    <cellStyle name="Output 3 29 13" xfId="43675" xr:uid="{00000000-0005-0000-0000-000095AA0000}"/>
    <cellStyle name="Output 3 29 14" xfId="43676" xr:uid="{00000000-0005-0000-0000-000096AA0000}"/>
    <cellStyle name="Output 3 29 15" xfId="43677" xr:uid="{00000000-0005-0000-0000-000097AA0000}"/>
    <cellStyle name="Output 3 29 2" xfId="43678" xr:uid="{00000000-0005-0000-0000-000098AA0000}"/>
    <cellStyle name="Output 3 29 3" xfId="43679" xr:uid="{00000000-0005-0000-0000-000099AA0000}"/>
    <cellStyle name="Output 3 29 4" xfId="43680" xr:uid="{00000000-0005-0000-0000-00009AAA0000}"/>
    <cellStyle name="Output 3 29 5" xfId="43681" xr:uid="{00000000-0005-0000-0000-00009BAA0000}"/>
    <cellStyle name="Output 3 29 6" xfId="43682" xr:uid="{00000000-0005-0000-0000-00009CAA0000}"/>
    <cellStyle name="Output 3 29 7" xfId="43683" xr:uid="{00000000-0005-0000-0000-00009DAA0000}"/>
    <cellStyle name="Output 3 29 8" xfId="43684" xr:uid="{00000000-0005-0000-0000-00009EAA0000}"/>
    <cellStyle name="Output 3 29 9" xfId="43685" xr:uid="{00000000-0005-0000-0000-00009FAA0000}"/>
    <cellStyle name="Output 3 3" xfId="43686" xr:uid="{00000000-0005-0000-0000-0000A0AA0000}"/>
    <cellStyle name="Output 3 3 10" xfId="43687" xr:uid="{00000000-0005-0000-0000-0000A1AA0000}"/>
    <cellStyle name="Output 3 3 11" xfId="43688" xr:uid="{00000000-0005-0000-0000-0000A2AA0000}"/>
    <cellStyle name="Output 3 3 12" xfId="43689" xr:uid="{00000000-0005-0000-0000-0000A3AA0000}"/>
    <cellStyle name="Output 3 3 13" xfId="43690" xr:uid="{00000000-0005-0000-0000-0000A4AA0000}"/>
    <cellStyle name="Output 3 3 14" xfId="43691" xr:uid="{00000000-0005-0000-0000-0000A5AA0000}"/>
    <cellStyle name="Output 3 3 15" xfId="43692" xr:uid="{00000000-0005-0000-0000-0000A6AA0000}"/>
    <cellStyle name="Output 3 3 16" xfId="43693" xr:uid="{00000000-0005-0000-0000-0000A7AA0000}"/>
    <cellStyle name="Output 3 3 2" xfId="43694" xr:uid="{00000000-0005-0000-0000-0000A8AA0000}"/>
    <cellStyle name="Output 3 3 3" xfId="43695" xr:uid="{00000000-0005-0000-0000-0000A9AA0000}"/>
    <cellStyle name="Output 3 3 4" xfId="43696" xr:uid="{00000000-0005-0000-0000-0000AAAA0000}"/>
    <cellStyle name="Output 3 3 5" xfId="43697" xr:uid="{00000000-0005-0000-0000-0000ABAA0000}"/>
    <cellStyle name="Output 3 3 6" xfId="43698" xr:uid="{00000000-0005-0000-0000-0000ACAA0000}"/>
    <cellStyle name="Output 3 3 7" xfId="43699" xr:uid="{00000000-0005-0000-0000-0000ADAA0000}"/>
    <cellStyle name="Output 3 3 8" xfId="43700" xr:uid="{00000000-0005-0000-0000-0000AEAA0000}"/>
    <cellStyle name="Output 3 3 9" xfId="43701" xr:uid="{00000000-0005-0000-0000-0000AFAA0000}"/>
    <cellStyle name="Output 3 30" xfId="43702" xr:uid="{00000000-0005-0000-0000-0000B0AA0000}"/>
    <cellStyle name="Output 3 30 10" xfId="43703" xr:uid="{00000000-0005-0000-0000-0000B1AA0000}"/>
    <cellStyle name="Output 3 30 11" xfId="43704" xr:uid="{00000000-0005-0000-0000-0000B2AA0000}"/>
    <cellStyle name="Output 3 30 12" xfId="43705" xr:uid="{00000000-0005-0000-0000-0000B3AA0000}"/>
    <cellStyle name="Output 3 30 13" xfId="43706" xr:uid="{00000000-0005-0000-0000-0000B4AA0000}"/>
    <cellStyle name="Output 3 30 14" xfId="43707" xr:uid="{00000000-0005-0000-0000-0000B5AA0000}"/>
    <cellStyle name="Output 3 30 15" xfId="43708" xr:uid="{00000000-0005-0000-0000-0000B6AA0000}"/>
    <cellStyle name="Output 3 30 2" xfId="43709" xr:uid="{00000000-0005-0000-0000-0000B7AA0000}"/>
    <cellStyle name="Output 3 30 3" xfId="43710" xr:uid="{00000000-0005-0000-0000-0000B8AA0000}"/>
    <cellStyle name="Output 3 30 4" xfId="43711" xr:uid="{00000000-0005-0000-0000-0000B9AA0000}"/>
    <cellStyle name="Output 3 30 5" xfId="43712" xr:uid="{00000000-0005-0000-0000-0000BAAA0000}"/>
    <cellStyle name="Output 3 30 6" xfId="43713" xr:uid="{00000000-0005-0000-0000-0000BBAA0000}"/>
    <cellStyle name="Output 3 30 7" xfId="43714" xr:uid="{00000000-0005-0000-0000-0000BCAA0000}"/>
    <cellStyle name="Output 3 30 8" xfId="43715" xr:uid="{00000000-0005-0000-0000-0000BDAA0000}"/>
    <cellStyle name="Output 3 30 9" xfId="43716" xr:uid="{00000000-0005-0000-0000-0000BEAA0000}"/>
    <cellStyle name="Output 3 31" xfId="43717" xr:uid="{00000000-0005-0000-0000-0000BFAA0000}"/>
    <cellStyle name="Output 3 31 10" xfId="43718" xr:uid="{00000000-0005-0000-0000-0000C0AA0000}"/>
    <cellStyle name="Output 3 31 11" xfId="43719" xr:uid="{00000000-0005-0000-0000-0000C1AA0000}"/>
    <cellStyle name="Output 3 31 12" xfId="43720" xr:uid="{00000000-0005-0000-0000-0000C2AA0000}"/>
    <cellStyle name="Output 3 31 13" xfId="43721" xr:uid="{00000000-0005-0000-0000-0000C3AA0000}"/>
    <cellStyle name="Output 3 31 14" xfId="43722" xr:uid="{00000000-0005-0000-0000-0000C4AA0000}"/>
    <cellStyle name="Output 3 31 15" xfId="43723" xr:uid="{00000000-0005-0000-0000-0000C5AA0000}"/>
    <cellStyle name="Output 3 31 2" xfId="43724" xr:uid="{00000000-0005-0000-0000-0000C6AA0000}"/>
    <cellStyle name="Output 3 31 3" xfId="43725" xr:uid="{00000000-0005-0000-0000-0000C7AA0000}"/>
    <cellStyle name="Output 3 31 4" xfId="43726" xr:uid="{00000000-0005-0000-0000-0000C8AA0000}"/>
    <cellStyle name="Output 3 31 5" xfId="43727" xr:uid="{00000000-0005-0000-0000-0000C9AA0000}"/>
    <cellStyle name="Output 3 31 6" xfId="43728" xr:uid="{00000000-0005-0000-0000-0000CAAA0000}"/>
    <cellStyle name="Output 3 31 7" xfId="43729" xr:uid="{00000000-0005-0000-0000-0000CBAA0000}"/>
    <cellStyle name="Output 3 31 8" xfId="43730" xr:uid="{00000000-0005-0000-0000-0000CCAA0000}"/>
    <cellStyle name="Output 3 31 9" xfId="43731" xr:uid="{00000000-0005-0000-0000-0000CDAA0000}"/>
    <cellStyle name="Output 3 32" xfId="43732" xr:uid="{00000000-0005-0000-0000-0000CEAA0000}"/>
    <cellStyle name="Output 3 32 10" xfId="43733" xr:uid="{00000000-0005-0000-0000-0000CFAA0000}"/>
    <cellStyle name="Output 3 32 11" xfId="43734" xr:uid="{00000000-0005-0000-0000-0000D0AA0000}"/>
    <cellStyle name="Output 3 32 12" xfId="43735" xr:uid="{00000000-0005-0000-0000-0000D1AA0000}"/>
    <cellStyle name="Output 3 32 13" xfId="43736" xr:uid="{00000000-0005-0000-0000-0000D2AA0000}"/>
    <cellStyle name="Output 3 32 14" xfId="43737" xr:uid="{00000000-0005-0000-0000-0000D3AA0000}"/>
    <cellStyle name="Output 3 32 15" xfId="43738" xr:uid="{00000000-0005-0000-0000-0000D4AA0000}"/>
    <cellStyle name="Output 3 32 2" xfId="43739" xr:uid="{00000000-0005-0000-0000-0000D5AA0000}"/>
    <cellStyle name="Output 3 32 3" xfId="43740" xr:uid="{00000000-0005-0000-0000-0000D6AA0000}"/>
    <cellStyle name="Output 3 32 4" xfId="43741" xr:uid="{00000000-0005-0000-0000-0000D7AA0000}"/>
    <cellStyle name="Output 3 32 5" xfId="43742" xr:uid="{00000000-0005-0000-0000-0000D8AA0000}"/>
    <cellStyle name="Output 3 32 6" xfId="43743" xr:uid="{00000000-0005-0000-0000-0000D9AA0000}"/>
    <cellStyle name="Output 3 32 7" xfId="43744" xr:uid="{00000000-0005-0000-0000-0000DAAA0000}"/>
    <cellStyle name="Output 3 32 8" xfId="43745" xr:uid="{00000000-0005-0000-0000-0000DBAA0000}"/>
    <cellStyle name="Output 3 32 9" xfId="43746" xr:uid="{00000000-0005-0000-0000-0000DCAA0000}"/>
    <cellStyle name="Output 3 33" xfId="43747" xr:uid="{00000000-0005-0000-0000-0000DDAA0000}"/>
    <cellStyle name="Output 3 34" xfId="43748" xr:uid="{00000000-0005-0000-0000-0000DEAA0000}"/>
    <cellStyle name="Output 3 35" xfId="43749" xr:uid="{00000000-0005-0000-0000-0000DFAA0000}"/>
    <cellStyle name="Output 3 36" xfId="43750" xr:uid="{00000000-0005-0000-0000-0000E0AA0000}"/>
    <cellStyle name="Output 3 37" xfId="43751" xr:uid="{00000000-0005-0000-0000-0000E1AA0000}"/>
    <cellStyle name="Output 3 38" xfId="43752" xr:uid="{00000000-0005-0000-0000-0000E2AA0000}"/>
    <cellStyle name="Output 3 39" xfId="43753" xr:uid="{00000000-0005-0000-0000-0000E3AA0000}"/>
    <cellStyle name="Output 3 4" xfId="43754" xr:uid="{00000000-0005-0000-0000-0000E4AA0000}"/>
    <cellStyle name="Output 3 4 10" xfId="43755" xr:uid="{00000000-0005-0000-0000-0000E5AA0000}"/>
    <cellStyle name="Output 3 4 11" xfId="43756" xr:uid="{00000000-0005-0000-0000-0000E6AA0000}"/>
    <cellStyle name="Output 3 4 12" xfId="43757" xr:uid="{00000000-0005-0000-0000-0000E7AA0000}"/>
    <cellStyle name="Output 3 4 13" xfId="43758" xr:uid="{00000000-0005-0000-0000-0000E8AA0000}"/>
    <cellStyle name="Output 3 4 14" xfId="43759" xr:uid="{00000000-0005-0000-0000-0000E9AA0000}"/>
    <cellStyle name="Output 3 4 15" xfId="43760" xr:uid="{00000000-0005-0000-0000-0000EAAA0000}"/>
    <cellStyle name="Output 3 4 2" xfId="43761" xr:uid="{00000000-0005-0000-0000-0000EBAA0000}"/>
    <cellStyle name="Output 3 4 3" xfId="43762" xr:uid="{00000000-0005-0000-0000-0000ECAA0000}"/>
    <cellStyle name="Output 3 4 4" xfId="43763" xr:uid="{00000000-0005-0000-0000-0000EDAA0000}"/>
    <cellStyle name="Output 3 4 5" xfId="43764" xr:uid="{00000000-0005-0000-0000-0000EEAA0000}"/>
    <cellStyle name="Output 3 4 6" xfId="43765" xr:uid="{00000000-0005-0000-0000-0000EFAA0000}"/>
    <cellStyle name="Output 3 4 7" xfId="43766" xr:uid="{00000000-0005-0000-0000-0000F0AA0000}"/>
    <cellStyle name="Output 3 4 8" xfId="43767" xr:uid="{00000000-0005-0000-0000-0000F1AA0000}"/>
    <cellStyle name="Output 3 4 9" xfId="43768" xr:uid="{00000000-0005-0000-0000-0000F2AA0000}"/>
    <cellStyle name="Output 3 40" xfId="43769" xr:uid="{00000000-0005-0000-0000-0000F3AA0000}"/>
    <cellStyle name="Output 3 41" xfId="43770" xr:uid="{00000000-0005-0000-0000-0000F4AA0000}"/>
    <cellStyle name="Output 3 42" xfId="43771" xr:uid="{00000000-0005-0000-0000-0000F5AA0000}"/>
    <cellStyle name="Output 3 43" xfId="43772" xr:uid="{00000000-0005-0000-0000-0000F6AA0000}"/>
    <cellStyle name="Output 3 44" xfId="43773" xr:uid="{00000000-0005-0000-0000-0000F7AA0000}"/>
    <cellStyle name="Output 3 45" xfId="43774" xr:uid="{00000000-0005-0000-0000-0000F8AA0000}"/>
    <cellStyle name="Output 3 46" xfId="43775" xr:uid="{00000000-0005-0000-0000-0000F9AA0000}"/>
    <cellStyle name="Output 3 47" xfId="43776" xr:uid="{00000000-0005-0000-0000-0000FAAA0000}"/>
    <cellStyle name="Output 3 48" xfId="43777" xr:uid="{00000000-0005-0000-0000-0000FBAA0000}"/>
    <cellStyle name="Output 3 49" xfId="43778" xr:uid="{00000000-0005-0000-0000-0000FCAA0000}"/>
    <cellStyle name="Output 3 5" xfId="43779" xr:uid="{00000000-0005-0000-0000-0000FDAA0000}"/>
    <cellStyle name="Output 3 5 10" xfId="43780" xr:uid="{00000000-0005-0000-0000-0000FEAA0000}"/>
    <cellStyle name="Output 3 5 11" xfId="43781" xr:uid="{00000000-0005-0000-0000-0000FFAA0000}"/>
    <cellStyle name="Output 3 5 12" xfId="43782" xr:uid="{00000000-0005-0000-0000-000000AB0000}"/>
    <cellStyle name="Output 3 5 13" xfId="43783" xr:uid="{00000000-0005-0000-0000-000001AB0000}"/>
    <cellStyle name="Output 3 5 14" xfId="43784" xr:uid="{00000000-0005-0000-0000-000002AB0000}"/>
    <cellStyle name="Output 3 5 15" xfId="43785" xr:uid="{00000000-0005-0000-0000-000003AB0000}"/>
    <cellStyle name="Output 3 5 2" xfId="43786" xr:uid="{00000000-0005-0000-0000-000004AB0000}"/>
    <cellStyle name="Output 3 5 3" xfId="43787" xr:uid="{00000000-0005-0000-0000-000005AB0000}"/>
    <cellStyle name="Output 3 5 4" xfId="43788" xr:uid="{00000000-0005-0000-0000-000006AB0000}"/>
    <cellStyle name="Output 3 5 5" xfId="43789" xr:uid="{00000000-0005-0000-0000-000007AB0000}"/>
    <cellStyle name="Output 3 5 6" xfId="43790" xr:uid="{00000000-0005-0000-0000-000008AB0000}"/>
    <cellStyle name="Output 3 5 7" xfId="43791" xr:uid="{00000000-0005-0000-0000-000009AB0000}"/>
    <cellStyle name="Output 3 5 8" xfId="43792" xr:uid="{00000000-0005-0000-0000-00000AAB0000}"/>
    <cellStyle name="Output 3 5 9" xfId="43793" xr:uid="{00000000-0005-0000-0000-00000BAB0000}"/>
    <cellStyle name="Output 3 50" xfId="43794" xr:uid="{00000000-0005-0000-0000-00000CAB0000}"/>
    <cellStyle name="Output 3 51" xfId="43795" xr:uid="{00000000-0005-0000-0000-00000DAB0000}"/>
    <cellStyle name="Output 3 52" xfId="43796" xr:uid="{00000000-0005-0000-0000-00000EAB0000}"/>
    <cellStyle name="Output 3 53" xfId="43797" xr:uid="{00000000-0005-0000-0000-00000FAB0000}"/>
    <cellStyle name="Output 3 6" xfId="43798" xr:uid="{00000000-0005-0000-0000-000010AB0000}"/>
    <cellStyle name="Output 3 6 10" xfId="43799" xr:uid="{00000000-0005-0000-0000-000011AB0000}"/>
    <cellStyle name="Output 3 6 11" xfId="43800" xr:uid="{00000000-0005-0000-0000-000012AB0000}"/>
    <cellStyle name="Output 3 6 12" xfId="43801" xr:uid="{00000000-0005-0000-0000-000013AB0000}"/>
    <cellStyle name="Output 3 6 13" xfId="43802" xr:uid="{00000000-0005-0000-0000-000014AB0000}"/>
    <cellStyle name="Output 3 6 14" xfId="43803" xr:uid="{00000000-0005-0000-0000-000015AB0000}"/>
    <cellStyle name="Output 3 6 15" xfId="43804" xr:uid="{00000000-0005-0000-0000-000016AB0000}"/>
    <cellStyle name="Output 3 6 2" xfId="43805" xr:uid="{00000000-0005-0000-0000-000017AB0000}"/>
    <cellStyle name="Output 3 6 3" xfId="43806" xr:uid="{00000000-0005-0000-0000-000018AB0000}"/>
    <cellStyle name="Output 3 6 4" xfId="43807" xr:uid="{00000000-0005-0000-0000-000019AB0000}"/>
    <cellStyle name="Output 3 6 5" xfId="43808" xr:uid="{00000000-0005-0000-0000-00001AAB0000}"/>
    <cellStyle name="Output 3 6 6" xfId="43809" xr:uid="{00000000-0005-0000-0000-00001BAB0000}"/>
    <cellStyle name="Output 3 6 7" xfId="43810" xr:uid="{00000000-0005-0000-0000-00001CAB0000}"/>
    <cellStyle name="Output 3 6 8" xfId="43811" xr:uid="{00000000-0005-0000-0000-00001DAB0000}"/>
    <cellStyle name="Output 3 6 9" xfId="43812" xr:uid="{00000000-0005-0000-0000-00001EAB0000}"/>
    <cellStyle name="Output 3 7" xfId="43813" xr:uid="{00000000-0005-0000-0000-00001FAB0000}"/>
    <cellStyle name="Output 3 7 10" xfId="43814" xr:uid="{00000000-0005-0000-0000-000020AB0000}"/>
    <cellStyle name="Output 3 7 11" xfId="43815" xr:uid="{00000000-0005-0000-0000-000021AB0000}"/>
    <cellStyle name="Output 3 7 12" xfId="43816" xr:uid="{00000000-0005-0000-0000-000022AB0000}"/>
    <cellStyle name="Output 3 7 13" xfId="43817" xr:uid="{00000000-0005-0000-0000-000023AB0000}"/>
    <cellStyle name="Output 3 7 14" xfId="43818" xr:uid="{00000000-0005-0000-0000-000024AB0000}"/>
    <cellStyle name="Output 3 7 15" xfId="43819" xr:uid="{00000000-0005-0000-0000-000025AB0000}"/>
    <cellStyle name="Output 3 7 2" xfId="43820" xr:uid="{00000000-0005-0000-0000-000026AB0000}"/>
    <cellStyle name="Output 3 7 3" xfId="43821" xr:uid="{00000000-0005-0000-0000-000027AB0000}"/>
    <cellStyle name="Output 3 7 4" xfId="43822" xr:uid="{00000000-0005-0000-0000-000028AB0000}"/>
    <cellStyle name="Output 3 7 5" xfId="43823" xr:uid="{00000000-0005-0000-0000-000029AB0000}"/>
    <cellStyle name="Output 3 7 6" xfId="43824" xr:uid="{00000000-0005-0000-0000-00002AAB0000}"/>
    <cellStyle name="Output 3 7 7" xfId="43825" xr:uid="{00000000-0005-0000-0000-00002BAB0000}"/>
    <cellStyle name="Output 3 7 8" xfId="43826" xr:uid="{00000000-0005-0000-0000-00002CAB0000}"/>
    <cellStyle name="Output 3 7 9" xfId="43827" xr:uid="{00000000-0005-0000-0000-00002DAB0000}"/>
    <cellStyle name="Output 3 8" xfId="43828" xr:uid="{00000000-0005-0000-0000-00002EAB0000}"/>
    <cellStyle name="Output 3 8 10" xfId="43829" xr:uid="{00000000-0005-0000-0000-00002FAB0000}"/>
    <cellStyle name="Output 3 8 11" xfId="43830" xr:uid="{00000000-0005-0000-0000-000030AB0000}"/>
    <cellStyle name="Output 3 8 12" xfId="43831" xr:uid="{00000000-0005-0000-0000-000031AB0000}"/>
    <cellStyle name="Output 3 8 13" xfId="43832" xr:uid="{00000000-0005-0000-0000-000032AB0000}"/>
    <cellStyle name="Output 3 8 14" xfId="43833" xr:uid="{00000000-0005-0000-0000-000033AB0000}"/>
    <cellStyle name="Output 3 8 15" xfId="43834" xr:uid="{00000000-0005-0000-0000-000034AB0000}"/>
    <cellStyle name="Output 3 8 2" xfId="43835" xr:uid="{00000000-0005-0000-0000-000035AB0000}"/>
    <cellStyle name="Output 3 8 3" xfId="43836" xr:uid="{00000000-0005-0000-0000-000036AB0000}"/>
    <cellStyle name="Output 3 8 4" xfId="43837" xr:uid="{00000000-0005-0000-0000-000037AB0000}"/>
    <cellStyle name="Output 3 8 5" xfId="43838" xr:uid="{00000000-0005-0000-0000-000038AB0000}"/>
    <cellStyle name="Output 3 8 6" xfId="43839" xr:uid="{00000000-0005-0000-0000-000039AB0000}"/>
    <cellStyle name="Output 3 8 7" xfId="43840" xr:uid="{00000000-0005-0000-0000-00003AAB0000}"/>
    <cellStyle name="Output 3 8 8" xfId="43841" xr:uid="{00000000-0005-0000-0000-00003BAB0000}"/>
    <cellStyle name="Output 3 8 9" xfId="43842" xr:uid="{00000000-0005-0000-0000-00003CAB0000}"/>
    <cellStyle name="Output 3 9" xfId="43843" xr:uid="{00000000-0005-0000-0000-00003DAB0000}"/>
    <cellStyle name="Output 3 9 10" xfId="43844" xr:uid="{00000000-0005-0000-0000-00003EAB0000}"/>
    <cellStyle name="Output 3 9 11" xfId="43845" xr:uid="{00000000-0005-0000-0000-00003FAB0000}"/>
    <cellStyle name="Output 3 9 12" xfId="43846" xr:uid="{00000000-0005-0000-0000-000040AB0000}"/>
    <cellStyle name="Output 3 9 13" xfId="43847" xr:uid="{00000000-0005-0000-0000-000041AB0000}"/>
    <cellStyle name="Output 3 9 14" xfId="43848" xr:uid="{00000000-0005-0000-0000-000042AB0000}"/>
    <cellStyle name="Output 3 9 15" xfId="43849" xr:uid="{00000000-0005-0000-0000-000043AB0000}"/>
    <cellStyle name="Output 3 9 2" xfId="43850" xr:uid="{00000000-0005-0000-0000-000044AB0000}"/>
    <cellStyle name="Output 3 9 3" xfId="43851" xr:uid="{00000000-0005-0000-0000-000045AB0000}"/>
    <cellStyle name="Output 3 9 4" xfId="43852" xr:uid="{00000000-0005-0000-0000-000046AB0000}"/>
    <cellStyle name="Output 3 9 5" xfId="43853" xr:uid="{00000000-0005-0000-0000-000047AB0000}"/>
    <cellStyle name="Output 3 9 6" xfId="43854" xr:uid="{00000000-0005-0000-0000-000048AB0000}"/>
    <cellStyle name="Output 3 9 7" xfId="43855" xr:uid="{00000000-0005-0000-0000-000049AB0000}"/>
    <cellStyle name="Output 3 9 8" xfId="43856" xr:uid="{00000000-0005-0000-0000-00004AAB0000}"/>
    <cellStyle name="Output 3 9 9" xfId="43857" xr:uid="{00000000-0005-0000-0000-00004BAB0000}"/>
    <cellStyle name="Output 30" xfId="43858" xr:uid="{00000000-0005-0000-0000-00004CAB0000}"/>
    <cellStyle name="Output 30 10" xfId="43859" xr:uid="{00000000-0005-0000-0000-00004DAB0000}"/>
    <cellStyle name="Output 30 11" xfId="43860" xr:uid="{00000000-0005-0000-0000-00004EAB0000}"/>
    <cellStyle name="Output 30 12" xfId="43861" xr:uid="{00000000-0005-0000-0000-00004FAB0000}"/>
    <cellStyle name="Output 30 13" xfId="43862" xr:uid="{00000000-0005-0000-0000-000050AB0000}"/>
    <cellStyle name="Output 30 14" xfId="43863" xr:uid="{00000000-0005-0000-0000-000051AB0000}"/>
    <cellStyle name="Output 30 15" xfId="43864" xr:uid="{00000000-0005-0000-0000-000052AB0000}"/>
    <cellStyle name="Output 30 2" xfId="43865" xr:uid="{00000000-0005-0000-0000-000053AB0000}"/>
    <cellStyle name="Output 30 3" xfId="43866" xr:uid="{00000000-0005-0000-0000-000054AB0000}"/>
    <cellStyle name="Output 30 4" xfId="43867" xr:uid="{00000000-0005-0000-0000-000055AB0000}"/>
    <cellStyle name="Output 30 5" xfId="43868" xr:uid="{00000000-0005-0000-0000-000056AB0000}"/>
    <cellStyle name="Output 30 6" xfId="43869" xr:uid="{00000000-0005-0000-0000-000057AB0000}"/>
    <cellStyle name="Output 30 7" xfId="43870" xr:uid="{00000000-0005-0000-0000-000058AB0000}"/>
    <cellStyle name="Output 30 8" xfId="43871" xr:uid="{00000000-0005-0000-0000-000059AB0000}"/>
    <cellStyle name="Output 30 9" xfId="43872" xr:uid="{00000000-0005-0000-0000-00005AAB0000}"/>
    <cellStyle name="Output 31" xfId="43873" xr:uid="{00000000-0005-0000-0000-00005BAB0000}"/>
    <cellStyle name="Output 31 10" xfId="43874" xr:uid="{00000000-0005-0000-0000-00005CAB0000}"/>
    <cellStyle name="Output 31 11" xfId="43875" xr:uid="{00000000-0005-0000-0000-00005DAB0000}"/>
    <cellStyle name="Output 31 12" xfId="43876" xr:uid="{00000000-0005-0000-0000-00005EAB0000}"/>
    <cellStyle name="Output 31 13" xfId="43877" xr:uid="{00000000-0005-0000-0000-00005FAB0000}"/>
    <cellStyle name="Output 31 14" xfId="43878" xr:uid="{00000000-0005-0000-0000-000060AB0000}"/>
    <cellStyle name="Output 31 15" xfId="43879" xr:uid="{00000000-0005-0000-0000-000061AB0000}"/>
    <cellStyle name="Output 31 2" xfId="43880" xr:uid="{00000000-0005-0000-0000-000062AB0000}"/>
    <cellStyle name="Output 31 3" xfId="43881" xr:uid="{00000000-0005-0000-0000-000063AB0000}"/>
    <cellStyle name="Output 31 4" xfId="43882" xr:uid="{00000000-0005-0000-0000-000064AB0000}"/>
    <cellStyle name="Output 31 5" xfId="43883" xr:uid="{00000000-0005-0000-0000-000065AB0000}"/>
    <cellStyle name="Output 31 6" xfId="43884" xr:uid="{00000000-0005-0000-0000-000066AB0000}"/>
    <cellStyle name="Output 31 7" xfId="43885" xr:uid="{00000000-0005-0000-0000-000067AB0000}"/>
    <cellStyle name="Output 31 8" xfId="43886" xr:uid="{00000000-0005-0000-0000-000068AB0000}"/>
    <cellStyle name="Output 31 9" xfId="43887" xr:uid="{00000000-0005-0000-0000-000069AB0000}"/>
    <cellStyle name="Output 32" xfId="43888" xr:uid="{00000000-0005-0000-0000-00006AAB0000}"/>
    <cellStyle name="Output 32 10" xfId="43889" xr:uid="{00000000-0005-0000-0000-00006BAB0000}"/>
    <cellStyle name="Output 32 11" xfId="43890" xr:uid="{00000000-0005-0000-0000-00006CAB0000}"/>
    <cellStyle name="Output 32 12" xfId="43891" xr:uid="{00000000-0005-0000-0000-00006DAB0000}"/>
    <cellStyle name="Output 32 13" xfId="43892" xr:uid="{00000000-0005-0000-0000-00006EAB0000}"/>
    <cellStyle name="Output 32 14" xfId="43893" xr:uid="{00000000-0005-0000-0000-00006FAB0000}"/>
    <cellStyle name="Output 32 15" xfId="43894" xr:uid="{00000000-0005-0000-0000-000070AB0000}"/>
    <cellStyle name="Output 32 2" xfId="43895" xr:uid="{00000000-0005-0000-0000-000071AB0000}"/>
    <cellStyle name="Output 32 3" xfId="43896" xr:uid="{00000000-0005-0000-0000-000072AB0000}"/>
    <cellStyle name="Output 32 4" xfId="43897" xr:uid="{00000000-0005-0000-0000-000073AB0000}"/>
    <cellStyle name="Output 32 5" xfId="43898" xr:uid="{00000000-0005-0000-0000-000074AB0000}"/>
    <cellStyle name="Output 32 6" xfId="43899" xr:uid="{00000000-0005-0000-0000-000075AB0000}"/>
    <cellStyle name="Output 32 7" xfId="43900" xr:uid="{00000000-0005-0000-0000-000076AB0000}"/>
    <cellStyle name="Output 32 8" xfId="43901" xr:uid="{00000000-0005-0000-0000-000077AB0000}"/>
    <cellStyle name="Output 32 9" xfId="43902" xr:uid="{00000000-0005-0000-0000-000078AB0000}"/>
    <cellStyle name="Output 33" xfId="43903" xr:uid="{00000000-0005-0000-0000-000079AB0000}"/>
    <cellStyle name="Output 33 10" xfId="43904" xr:uid="{00000000-0005-0000-0000-00007AAB0000}"/>
    <cellStyle name="Output 33 11" xfId="43905" xr:uid="{00000000-0005-0000-0000-00007BAB0000}"/>
    <cellStyle name="Output 33 12" xfId="43906" xr:uid="{00000000-0005-0000-0000-00007CAB0000}"/>
    <cellStyle name="Output 33 13" xfId="43907" xr:uid="{00000000-0005-0000-0000-00007DAB0000}"/>
    <cellStyle name="Output 33 14" xfId="43908" xr:uid="{00000000-0005-0000-0000-00007EAB0000}"/>
    <cellStyle name="Output 33 15" xfId="43909" xr:uid="{00000000-0005-0000-0000-00007FAB0000}"/>
    <cellStyle name="Output 33 2" xfId="43910" xr:uid="{00000000-0005-0000-0000-000080AB0000}"/>
    <cellStyle name="Output 33 3" xfId="43911" xr:uid="{00000000-0005-0000-0000-000081AB0000}"/>
    <cellStyle name="Output 33 4" xfId="43912" xr:uid="{00000000-0005-0000-0000-000082AB0000}"/>
    <cellStyle name="Output 33 5" xfId="43913" xr:uid="{00000000-0005-0000-0000-000083AB0000}"/>
    <cellStyle name="Output 33 6" xfId="43914" xr:uid="{00000000-0005-0000-0000-000084AB0000}"/>
    <cellStyle name="Output 33 7" xfId="43915" xr:uid="{00000000-0005-0000-0000-000085AB0000}"/>
    <cellStyle name="Output 33 8" xfId="43916" xr:uid="{00000000-0005-0000-0000-000086AB0000}"/>
    <cellStyle name="Output 33 9" xfId="43917" xr:uid="{00000000-0005-0000-0000-000087AB0000}"/>
    <cellStyle name="Output 34" xfId="43918" xr:uid="{00000000-0005-0000-0000-000088AB0000}"/>
    <cellStyle name="Output 34 10" xfId="43919" xr:uid="{00000000-0005-0000-0000-000089AB0000}"/>
    <cellStyle name="Output 34 11" xfId="43920" xr:uid="{00000000-0005-0000-0000-00008AAB0000}"/>
    <cellStyle name="Output 34 12" xfId="43921" xr:uid="{00000000-0005-0000-0000-00008BAB0000}"/>
    <cellStyle name="Output 34 13" xfId="43922" xr:uid="{00000000-0005-0000-0000-00008CAB0000}"/>
    <cellStyle name="Output 34 14" xfId="43923" xr:uid="{00000000-0005-0000-0000-00008DAB0000}"/>
    <cellStyle name="Output 34 15" xfId="43924" xr:uid="{00000000-0005-0000-0000-00008EAB0000}"/>
    <cellStyle name="Output 34 2" xfId="43925" xr:uid="{00000000-0005-0000-0000-00008FAB0000}"/>
    <cellStyle name="Output 34 3" xfId="43926" xr:uid="{00000000-0005-0000-0000-000090AB0000}"/>
    <cellStyle name="Output 34 4" xfId="43927" xr:uid="{00000000-0005-0000-0000-000091AB0000}"/>
    <cellStyle name="Output 34 5" xfId="43928" xr:uid="{00000000-0005-0000-0000-000092AB0000}"/>
    <cellStyle name="Output 34 6" xfId="43929" xr:uid="{00000000-0005-0000-0000-000093AB0000}"/>
    <cellStyle name="Output 34 7" xfId="43930" xr:uid="{00000000-0005-0000-0000-000094AB0000}"/>
    <cellStyle name="Output 34 8" xfId="43931" xr:uid="{00000000-0005-0000-0000-000095AB0000}"/>
    <cellStyle name="Output 34 9" xfId="43932" xr:uid="{00000000-0005-0000-0000-000096AB0000}"/>
    <cellStyle name="Output 35" xfId="43933" xr:uid="{00000000-0005-0000-0000-000097AB0000}"/>
    <cellStyle name="Output 35 10" xfId="43934" xr:uid="{00000000-0005-0000-0000-000098AB0000}"/>
    <cellStyle name="Output 35 11" xfId="43935" xr:uid="{00000000-0005-0000-0000-000099AB0000}"/>
    <cellStyle name="Output 35 12" xfId="43936" xr:uid="{00000000-0005-0000-0000-00009AAB0000}"/>
    <cellStyle name="Output 35 13" xfId="43937" xr:uid="{00000000-0005-0000-0000-00009BAB0000}"/>
    <cellStyle name="Output 35 14" xfId="43938" xr:uid="{00000000-0005-0000-0000-00009CAB0000}"/>
    <cellStyle name="Output 35 15" xfId="43939" xr:uid="{00000000-0005-0000-0000-00009DAB0000}"/>
    <cellStyle name="Output 35 2" xfId="43940" xr:uid="{00000000-0005-0000-0000-00009EAB0000}"/>
    <cellStyle name="Output 35 3" xfId="43941" xr:uid="{00000000-0005-0000-0000-00009FAB0000}"/>
    <cellStyle name="Output 35 4" xfId="43942" xr:uid="{00000000-0005-0000-0000-0000A0AB0000}"/>
    <cellStyle name="Output 35 5" xfId="43943" xr:uid="{00000000-0005-0000-0000-0000A1AB0000}"/>
    <cellStyle name="Output 35 6" xfId="43944" xr:uid="{00000000-0005-0000-0000-0000A2AB0000}"/>
    <cellStyle name="Output 35 7" xfId="43945" xr:uid="{00000000-0005-0000-0000-0000A3AB0000}"/>
    <cellStyle name="Output 35 8" xfId="43946" xr:uid="{00000000-0005-0000-0000-0000A4AB0000}"/>
    <cellStyle name="Output 35 9" xfId="43947" xr:uid="{00000000-0005-0000-0000-0000A5AB0000}"/>
    <cellStyle name="Output 36" xfId="43948" xr:uid="{00000000-0005-0000-0000-0000A6AB0000}"/>
    <cellStyle name="Output 36 10" xfId="43949" xr:uid="{00000000-0005-0000-0000-0000A7AB0000}"/>
    <cellStyle name="Output 36 11" xfId="43950" xr:uid="{00000000-0005-0000-0000-0000A8AB0000}"/>
    <cellStyle name="Output 36 12" xfId="43951" xr:uid="{00000000-0005-0000-0000-0000A9AB0000}"/>
    <cellStyle name="Output 36 13" xfId="43952" xr:uid="{00000000-0005-0000-0000-0000AAAB0000}"/>
    <cellStyle name="Output 36 14" xfId="43953" xr:uid="{00000000-0005-0000-0000-0000ABAB0000}"/>
    <cellStyle name="Output 36 15" xfId="43954" xr:uid="{00000000-0005-0000-0000-0000ACAB0000}"/>
    <cellStyle name="Output 36 2" xfId="43955" xr:uid="{00000000-0005-0000-0000-0000ADAB0000}"/>
    <cellStyle name="Output 36 3" xfId="43956" xr:uid="{00000000-0005-0000-0000-0000AEAB0000}"/>
    <cellStyle name="Output 36 4" xfId="43957" xr:uid="{00000000-0005-0000-0000-0000AFAB0000}"/>
    <cellStyle name="Output 36 5" xfId="43958" xr:uid="{00000000-0005-0000-0000-0000B0AB0000}"/>
    <cellStyle name="Output 36 6" xfId="43959" xr:uid="{00000000-0005-0000-0000-0000B1AB0000}"/>
    <cellStyle name="Output 36 7" xfId="43960" xr:uid="{00000000-0005-0000-0000-0000B2AB0000}"/>
    <cellStyle name="Output 36 8" xfId="43961" xr:uid="{00000000-0005-0000-0000-0000B3AB0000}"/>
    <cellStyle name="Output 36 9" xfId="43962" xr:uid="{00000000-0005-0000-0000-0000B4AB0000}"/>
    <cellStyle name="Output 37" xfId="43963" xr:uid="{00000000-0005-0000-0000-0000B5AB0000}"/>
    <cellStyle name="Output 37 10" xfId="43964" xr:uid="{00000000-0005-0000-0000-0000B6AB0000}"/>
    <cellStyle name="Output 37 11" xfId="43965" xr:uid="{00000000-0005-0000-0000-0000B7AB0000}"/>
    <cellStyle name="Output 37 12" xfId="43966" xr:uid="{00000000-0005-0000-0000-0000B8AB0000}"/>
    <cellStyle name="Output 37 13" xfId="43967" xr:uid="{00000000-0005-0000-0000-0000B9AB0000}"/>
    <cellStyle name="Output 37 14" xfId="43968" xr:uid="{00000000-0005-0000-0000-0000BAAB0000}"/>
    <cellStyle name="Output 37 15" xfId="43969" xr:uid="{00000000-0005-0000-0000-0000BBAB0000}"/>
    <cellStyle name="Output 37 2" xfId="43970" xr:uid="{00000000-0005-0000-0000-0000BCAB0000}"/>
    <cellStyle name="Output 37 3" xfId="43971" xr:uid="{00000000-0005-0000-0000-0000BDAB0000}"/>
    <cellStyle name="Output 37 4" xfId="43972" xr:uid="{00000000-0005-0000-0000-0000BEAB0000}"/>
    <cellStyle name="Output 37 5" xfId="43973" xr:uid="{00000000-0005-0000-0000-0000BFAB0000}"/>
    <cellStyle name="Output 37 6" xfId="43974" xr:uid="{00000000-0005-0000-0000-0000C0AB0000}"/>
    <cellStyle name="Output 37 7" xfId="43975" xr:uid="{00000000-0005-0000-0000-0000C1AB0000}"/>
    <cellStyle name="Output 37 8" xfId="43976" xr:uid="{00000000-0005-0000-0000-0000C2AB0000}"/>
    <cellStyle name="Output 37 9" xfId="43977" xr:uid="{00000000-0005-0000-0000-0000C3AB0000}"/>
    <cellStyle name="Output 38" xfId="43978" xr:uid="{00000000-0005-0000-0000-0000C4AB0000}"/>
    <cellStyle name="Output 38 10" xfId="43979" xr:uid="{00000000-0005-0000-0000-0000C5AB0000}"/>
    <cellStyle name="Output 38 11" xfId="43980" xr:uid="{00000000-0005-0000-0000-0000C6AB0000}"/>
    <cellStyle name="Output 38 12" xfId="43981" xr:uid="{00000000-0005-0000-0000-0000C7AB0000}"/>
    <cellStyle name="Output 38 13" xfId="43982" xr:uid="{00000000-0005-0000-0000-0000C8AB0000}"/>
    <cellStyle name="Output 38 14" xfId="43983" xr:uid="{00000000-0005-0000-0000-0000C9AB0000}"/>
    <cellStyle name="Output 38 15" xfId="43984" xr:uid="{00000000-0005-0000-0000-0000CAAB0000}"/>
    <cellStyle name="Output 38 2" xfId="43985" xr:uid="{00000000-0005-0000-0000-0000CBAB0000}"/>
    <cellStyle name="Output 38 3" xfId="43986" xr:uid="{00000000-0005-0000-0000-0000CCAB0000}"/>
    <cellStyle name="Output 38 4" xfId="43987" xr:uid="{00000000-0005-0000-0000-0000CDAB0000}"/>
    <cellStyle name="Output 38 5" xfId="43988" xr:uid="{00000000-0005-0000-0000-0000CEAB0000}"/>
    <cellStyle name="Output 38 6" xfId="43989" xr:uid="{00000000-0005-0000-0000-0000CFAB0000}"/>
    <cellStyle name="Output 38 7" xfId="43990" xr:uid="{00000000-0005-0000-0000-0000D0AB0000}"/>
    <cellStyle name="Output 38 8" xfId="43991" xr:uid="{00000000-0005-0000-0000-0000D1AB0000}"/>
    <cellStyle name="Output 38 9" xfId="43992" xr:uid="{00000000-0005-0000-0000-0000D2AB0000}"/>
    <cellStyle name="Output 39" xfId="43993" xr:uid="{00000000-0005-0000-0000-0000D3AB0000}"/>
    <cellStyle name="Output 39 10" xfId="43994" xr:uid="{00000000-0005-0000-0000-0000D4AB0000}"/>
    <cellStyle name="Output 39 11" xfId="43995" xr:uid="{00000000-0005-0000-0000-0000D5AB0000}"/>
    <cellStyle name="Output 39 12" xfId="43996" xr:uid="{00000000-0005-0000-0000-0000D6AB0000}"/>
    <cellStyle name="Output 39 13" xfId="43997" xr:uid="{00000000-0005-0000-0000-0000D7AB0000}"/>
    <cellStyle name="Output 39 14" xfId="43998" xr:uid="{00000000-0005-0000-0000-0000D8AB0000}"/>
    <cellStyle name="Output 39 15" xfId="43999" xr:uid="{00000000-0005-0000-0000-0000D9AB0000}"/>
    <cellStyle name="Output 39 2" xfId="44000" xr:uid="{00000000-0005-0000-0000-0000DAAB0000}"/>
    <cellStyle name="Output 39 3" xfId="44001" xr:uid="{00000000-0005-0000-0000-0000DBAB0000}"/>
    <cellStyle name="Output 39 4" xfId="44002" xr:uid="{00000000-0005-0000-0000-0000DCAB0000}"/>
    <cellStyle name="Output 39 5" xfId="44003" xr:uid="{00000000-0005-0000-0000-0000DDAB0000}"/>
    <cellStyle name="Output 39 6" xfId="44004" xr:uid="{00000000-0005-0000-0000-0000DEAB0000}"/>
    <cellStyle name="Output 39 7" xfId="44005" xr:uid="{00000000-0005-0000-0000-0000DFAB0000}"/>
    <cellStyle name="Output 39 8" xfId="44006" xr:uid="{00000000-0005-0000-0000-0000E0AB0000}"/>
    <cellStyle name="Output 39 9" xfId="44007" xr:uid="{00000000-0005-0000-0000-0000E1AB0000}"/>
    <cellStyle name="Output 4" xfId="44008" xr:uid="{00000000-0005-0000-0000-0000E2AB0000}"/>
    <cellStyle name="Output 4 2" xfId="44009" xr:uid="{00000000-0005-0000-0000-0000E3AB0000}"/>
    <cellStyle name="Output 4 2 2" xfId="44010" xr:uid="{00000000-0005-0000-0000-0000E4AB0000}"/>
    <cellStyle name="Output 4 3" xfId="44011" xr:uid="{00000000-0005-0000-0000-0000E5AB0000}"/>
    <cellStyle name="Output 4 3 2" xfId="44012" xr:uid="{00000000-0005-0000-0000-0000E6AB0000}"/>
    <cellStyle name="Output 4 4" xfId="44013" xr:uid="{00000000-0005-0000-0000-0000E7AB0000}"/>
    <cellStyle name="Output 4 4 2" xfId="44014" xr:uid="{00000000-0005-0000-0000-0000E8AB0000}"/>
    <cellStyle name="Output 4 5" xfId="44015" xr:uid="{00000000-0005-0000-0000-0000E9AB0000}"/>
    <cellStyle name="Output 4 5 2" xfId="44016" xr:uid="{00000000-0005-0000-0000-0000EAAB0000}"/>
    <cellStyle name="Output 4 6" xfId="44017" xr:uid="{00000000-0005-0000-0000-0000EBAB0000}"/>
    <cellStyle name="Output 4 6 2" xfId="44018" xr:uid="{00000000-0005-0000-0000-0000ECAB0000}"/>
    <cellStyle name="Output 4 7" xfId="44019" xr:uid="{00000000-0005-0000-0000-0000EDAB0000}"/>
    <cellStyle name="Output 40" xfId="44020" xr:uid="{00000000-0005-0000-0000-0000EEAB0000}"/>
    <cellStyle name="Output 41" xfId="44021" xr:uid="{00000000-0005-0000-0000-0000EFAB0000}"/>
    <cellStyle name="Output 42" xfId="44022" xr:uid="{00000000-0005-0000-0000-0000F0AB0000}"/>
    <cellStyle name="Output 43" xfId="44023" xr:uid="{00000000-0005-0000-0000-0000F1AB0000}"/>
    <cellStyle name="Output 44" xfId="44024" xr:uid="{00000000-0005-0000-0000-0000F2AB0000}"/>
    <cellStyle name="Output 45" xfId="44025" xr:uid="{00000000-0005-0000-0000-0000F3AB0000}"/>
    <cellStyle name="Output 46" xfId="44026" xr:uid="{00000000-0005-0000-0000-0000F4AB0000}"/>
    <cellStyle name="Output 47" xfId="44027" xr:uid="{00000000-0005-0000-0000-0000F5AB0000}"/>
    <cellStyle name="Output 48" xfId="44028" xr:uid="{00000000-0005-0000-0000-0000F6AB0000}"/>
    <cellStyle name="Output 49" xfId="44029" xr:uid="{00000000-0005-0000-0000-0000F7AB0000}"/>
    <cellStyle name="Output 5" xfId="44030" xr:uid="{00000000-0005-0000-0000-0000F8AB0000}"/>
    <cellStyle name="Output 5 2" xfId="44031" xr:uid="{00000000-0005-0000-0000-0000F9AB0000}"/>
    <cellStyle name="Output 5 2 2" xfId="44032" xr:uid="{00000000-0005-0000-0000-0000FAAB0000}"/>
    <cellStyle name="Output 5 2 3" xfId="44033" xr:uid="{00000000-0005-0000-0000-0000FBAB0000}"/>
    <cellStyle name="Output 5 2 4" xfId="44034" xr:uid="{00000000-0005-0000-0000-0000FCAB0000}"/>
    <cellStyle name="Output 5 3" xfId="44035" xr:uid="{00000000-0005-0000-0000-0000FDAB0000}"/>
    <cellStyle name="Output 5 3 2" xfId="44036" xr:uid="{00000000-0005-0000-0000-0000FEAB0000}"/>
    <cellStyle name="Output 5 3 3" xfId="44037" xr:uid="{00000000-0005-0000-0000-0000FFAB0000}"/>
    <cellStyle name="Output 5 4" xfId="44038" xr:uid="{00000000-0005-0000-0000-000000AC0000}"/>
    <cellStyle name="Output 50" xfId="44039" xr:uid="{00000000-0005-0000-0000-000001AC0000}"/>
    <cellStyle name="Output 51" xfId="44040" xr:uid="{00000000-0005-0000-0000-000002AC0000}"/>
    <cellStyle name="Output 52" xfId="44041" xr:uid="{00000000-0005-0000-0000-000003AC0000}"/>
    <cellStyle name="Output 53" xfId="44042" xr:uid="{00000000-0005-0000-0000-000004AC0000}"/>
    <cellStyle name="Output 54" xfId="44043" xr:uid="{00000000-0005-0000-0000-000005AC0000}"/>
    <cellStyle name="Output 55" xfId="44044" xr:uid="{00000000-0005-0000-0000-000006AC0000}"/>
    <cellStyle name="Output 56" xfId="44045" xr:uid="{00000000-0005-0000-0000-000007AC0000}"/>
    <cellStyle name="Output 57" xfId="44046" xr:uid="{00000000-0005-0000-0000-000008AC0000}"/>
    <cellStyle name="Output 58" xfId="44047" xr:uid="{00000000-0005-0000-0000-000009AC0000}"/>
    <cellStyle name="Output 59" xfId="44048" xr:uid="{00000000-0005-0000-0000-00000AAC0000}"/>
    <cellStyle name="Output 6" xfId="44049" xr:uid="{00000000-0005-0000-0000-00000BAC0000}"/>
    <cellStyle name="Output 6 2" xfId="44050" xr:uid="{00000000-0005-0000-0000-00000CAC0000}"/>
    <cellStyle name="Output 60" xfId="44051" xr:uid="{00000000-0005-0000-0000-00000DAC0000}"/>
    <cellStyle name="Output 61" xfId="44052" xr:uid="{00000000-0005-0000-0000-00000EAC0000}"/>
    <cellStyle name="Output 62" xfId="44053" xr:uid="{00000000-0005-0000-0000-00000FAC0000}"/>
    <cellStyle name="Output 63" xfId="44054" xr:uid="{00000000-0005-0000-0000-000010AC0000}"/>
    <cellStyle name="Output 64" xfId="44055" xr:uid="{00000000-0005-0000-0000-000011AC0000}"/>
    <cellStyle name="Output 65" xfId="44056" xr:uid="{00000000-0005-0000-0000-000012AC0000}"/>
    <cellStyle name="Output 66" xfId="44057" xr:uid="{00000000-0005-0000-0000-000013AC0000}"/>
    <cellStyle name="Output 67" xfId="44058" xr:uid="{00000000-0005-0000-0000-000014AC0000}"/>
    <cellStyle name="Output 68" xfId="44059" xr:uid="{00000000-0005-0000-0000-000015AC0000}"/>
    <cellStyle name="Output 69" xfId="44060" xr:uid="{00000000-0005-0000-0000-000016AC0000}"/>
    <cellStyle name="Output 7" xfId="44061" xr:uid="{00000000-0005-0000-0000-000017AC0000}"/>
    <cellStyle name="Output 7 2" xfId="44062" xr:uid="{00000000-0005-0000-0000-000018AC0000}"/>
    <cellStyle name="Output 70" xfId="44063" xr:uid="{00000000-0005-0000-0000-000019AC0000}"/>
    <cellStyle name="Output 71" xfId="44064" xr:uid="{00000000-0005-0000-0000-00001AAC0000}"/>
    <cellStyle name="Output 72" xfId="44065" xr:uid="{00000000-0005-0000-0000-00001BAC0000}"/>
    <cellStyle name="Output 73" xfId="44066" xr:uid="{00000000-0005-0000-0000-00001CAC0000}"/>
    <cellStyle name="Output 74" xfId="44067" xr:uid="{00000000-0005-0000-0000-00001DAC0000}"/>
    <cellStyle name="Output 75" xfId="44068" xr:uid="{00000000-0005-0000-0000-00001EAC0000}"/>
    <cellStyle name="Output 76" xfId="44069" xr:uid="{00000000-0005-0000-0000-00001FAC0000}"/>
    <cellStyle name="Output 77" xfId="44070" xr:uid="{00000000-0005-0000-0000-000020AC0000}"/>
    <cellStyle name="Output 78" xfId="44071" xr:uid="{00000000-0005-0000-0000-000021AC0000}"/>
    <cellStyle name="Output 79" xfId="44072" xr:uid="{00000000-0005-0000-0000-000022AC0000}"/>
    <cellStyle name="Output 79 2" xfId="44073" xr:uid="{00000000-0005-0000-0000-000023AC0000}"/>
    <cellStyle name="Output 8" xfId="44074" xr:uid="{00000000-0005-0000-0000-000024AC0000}"/>
    <cellStyle name="Output 8 2" xfId="44075" xr:uid="{00000000-0005-0000-0000-000025AC0000}"/>
    <cellStyle name="Output 80" xfId="44076" xr:uid="{00000000-0005-0000-0000-000026AC0000}"/>
    <cellStyle name="Output 80 2" xfId="44077" xr:uid="{00000000-0005-0000-0000-000027AC0000}"/>
    <cellStyle name="Output 81" xfId="44078" xr:uid="{00000000-0005-0000-0000-000028AC0000}"/>
    <cellStyle name="Output 81 2" xfId="44079" xr:uid="{00000000-0005-0000-0000-000029AC0000}"/>
    <cellStyle name="Output 82" xfId="44080" xr:uid="{00000000-0005-0000-0000-00002AAC0000}"/>
    <cellStyle name="Output 82 2" xfId="44081" xr:uid="{00000000-0005-0000-0000-00002BAC0000}"/>
    <cellStyle name="Output 83" xfId="44082" xr:uid="{00000000-0005-0000-0000-00002CAC0000}"/>
    <cellStyle name="Output 83 2" xfId="44083" xr:uid="{00000000-0005-0000-0000-00002DAC0000}"/>
    <cellStyle name="Output 84" xfId="44084" xr:uid="{00000000-0005-0000-0000-00002EAC0000}"/>
    <cellStyle name="Output 84 2" xfId="44085" xr:uid="{00000000-0005-0000-0000-00002FAC0000}"/>
    <cellStyle name="Output 85" xfId="44086" xr:uid="{00000000-0005-0000-0000-000030AC0000}"/>
    <cellStyle name="Output 85 2" xfId="44087" xr:uid="{00000000-0005-0000-0000-000031AC0000}"/>
    <cellStyle name="Output 86" xfId="44088" xr:uid="{00000000-0005-0000-0000-000032AC0000}"/>
    <cellStyle name="Output 86 2" xfId="44089" xr:uid="{00000000-0005-0000-0000-000033AC0000}"/>
    <cellStyle name="Output 87" xfId="44090" xr:uid="{00000000-0005-0000-0000-000034AC0000}"/>
    <cellStyle name="Output 87 2" xfId="44091" xr:uid="{00000000-0005-0000-0000-000035AC0000}"/>
    <cellStyle name="Output 88" xfId="44092" xr:uid="{00000000-0005-0000-0000-000036AC0000}"/>
    <cellStyle name="Output 88 2" xfId="44093" xr:uid="{00000000-0005-0000-0000-000037AC0000}"/>
    <cellStyle name="Output 89" xfId="44094" xr:uid="{00000000-0005-0000-0000-000038AC0000}"/>
    <cellStyle name="Output 89 2" xfId="44095" xr:uid="{00000000-0005-0000-0000-000039AC0000}"/>
    <cellStyle name="Output 9" xfId="44096" xr:uid="{00000000-0005-0000-0000-00003AAC0000}"/>
    <cellStyle name="Output 9 2" xfId="44097" xr:uid="{00000000-0005-0000-0000-00003BAC0000}"/>
    <cellStyle name="Output 90" xfId="44098" xr:uid="{00000000-0005-0000-0000-00003CAC0000}"/>
    <cellStyle name="Output 91" xfId="44099" xr:uid="{00000000-0005-0000-0000-00003DAC0000}"/>
    <cellStyle name="Output 92" xfId="44100" xr:uid="{00000000-0005-0000-0000-00003EAC0000}"/>
    <cellStyle name="Output 93" xfId="44101" xr:uid="{00000000-0005-0000-0000-00003FAC0000}"/>
    <cellStyle name="Output 94" xfId="44102" xr:uid="{00000000-0005-0000-0000-000040AC0000}"/>
    <cellStyle name="Output 95" xfId="44103" xr:uid="{00000000-0005-0000-0000-000041AC0000}"/>
    <cellStyle name="Output 96" xfId="44104" xr:uid="{00000000-0005-0000-0000-000042AC0000}"/>
    <cellStyle name="Output 97" xfId="44105" xr:uid="{00000000-0005-0000-0000-000043AC0000}"/>
    <cellStyle name="Output 98" xfId="44106" xr:uid="{00000000-0005-0000-0000-000044AC0000}"/>
    <cellStyle name="Output 99" xfId="44107" xr:uid="{00000000-0005-0000-0000-000045AC0000}"/>
    <cellStyle name="P&amp;L data" xfId="97" xr:uid="{00000000-0005-0000-0000-000046AC0000}"/>
    <cellStyle name="Percent (1)" xfId="44108" xr:uid="{00000000-0005-0000-0000-000047AC0000}"/>
    <cellStyle name="Percent [2]" xfId="44109" xr:uid="{00000000-0005-0000-0000-000048AC0000}"/>
    <cellStyle name="Percent [2] 2" xfId="44110" xr:uid="{00000000-0005-0000-0000-000049AC0000}"/>
    <cellStyle name="Percent [2] 2 2" xfId="44111" xr:uid="{00000000-0005-0000-0000-00004AAC0000}"/>
    <cellStyle name="Percent [2] 2 2 2" xfId="44112" xr:uid="{00000000-0005-0000-0000-00004BAC0000}"/>
    <cellStyle name="Percent [2] 2 3" xfId="44113" xr:uid="{00000000-0005-0000-0000-00004CAC0000}"/>
    <cellStyle name="Percent [2] 2 3 2" xfId="44114" xr:uid="{00000000-0005-0000-0000-00004DAC0000}"/>
    <cellStyle name="Percent [2] 2 4" xfId="44115" xr:uid="{00000000-0005-0000-0000-00004EAC0000}"/>
    <cellStyle name="Percent [2] 3" xfId="44116" xr:uid="{00000000-0005-0000-0000-00004FAC0000}"/>
    <cellStyle name="Percent [2] 3 2" xfId="44117" xr:uid="{00000000-0005-0000-0000-000050AC0000}"/>
    <cellStyle name="Percent 10" xfId="44118" xr:uid="{00000000-0005-0000-0000-000051AC0000}"/>
    <cellStyle name="Percent 11" xfId="44119" xr:uid="{00000000-0005-0000-0000-000052AC0000}"/>
    <cellStyle name="Percent 11 2" xfId="44120" xr:uid="{00000000-0005-0000-0000-000053AC0000}"/>
    <cellStyle name="Percent 11 3" xfId="44121" xr:uid="{00000000-0005-0000-0000-000054AC0000}"/>
    <cellStyle name="Percent 12" xfId="44122" xr:uid="{00000000-0005-0000-0000-000055AC0000}"/>
    <cellStyle name="Percent 13" xfId="44123" xr:uid="{00000000-0005-0000-0000-000056AC0000}"/>
    <cellStyle name="Percent 14" xfId="44124" xr:uid="{00000000-0005-0000-0000-000057AC0000}"/>
    <cellStyle name="Percent 15" xfId="44125" xr:uid="{00000000-0005-0000-0000-000058AC0000}"/>
    <cellStyle name="Percent 16" xfId="44126" xr:uid="{00000000-0005-0000-0000-000059AC0000}"/>
    <cellStyle name="Percent 17" xfId="47082" xr:uid="{00000000-0005-0000-0000-00005AAC0000}"/>
    <cellStyle name="Percent 2" xfId="44127" xr:uid="{00000000-0005-0000-0000-00005BAC0000}"/>
    <cellStyle name="Percent 2 10" xfId="44128" xr:uid="{00000000-0005-0000-0000-00005CAC0000}"/>
    <cellStyle name="Percent 2 11" xfId="44129" xr:uid="{00000000-0005-0000-0000-00005DAC0000}"/>
    <cellStyle name="Percent 2 12" xfId="44130" xr:uid="{00000000-0005-0000-0000-00005EAC0000}"/>
    <cellStyle name="Percent 2 13" xfId="44131" xr:uid="{00000000-0005-0000-0000-00005FAC0000}"/>
    <cellStyle name="Percent 2 14" xfId="44132" xr:uid="{00000000-0005-0000-0000-000060AC0000}"/>
    <cellStyle name="Percent 2 15" xfId="44133" xr:uid="{00000000-0005-0000-0000-000061AC0000}"/>
    <cellStyle name="Percent 2 16" xfId="44134" xr:uid="{00000000-0005-0000-0000-000062AC0000}"/>
    <cellStyle name="Percent 2 17" xfId="44135" xr:uid="{00000000-0005-0000-0000-000063AC0000}"/>
    <cellStyle name="Percent 2 18" xfId="44136" xr:uid="{00000000-0005-0000-0000-000064AC0000}"/>
    <cellStyle name="Percent 2 19" xfId="44137" xr:uid="{00000000-0005-0000-0000-000065AC0000}"/>
    <cellStyle name="Percent 2 2" xfId="44138" xr:uid="{00000000-0005-0000-0000-000066AC0000}"/>
    <cellStyle name="Percent 2 20" xfId="44139" xr:uid="{00000000-0005-0000-0000-000067AC0000}"/>
    <cellStyle name="Percent 2 21" xfId="44140" xr:uid="{00000000-0005-0000-0000-000068AC0000}"/>
    <cellStyle name="Percent 2 22" xfId="44141" xr:uid="{00000000-0005-0000-0000-000069AC0000}"/>
    <cellStyle name="Percent 2 23" xfId="44142" xr:uid="{00000000-0005-0000-0000-00006AAC0000}"/>
    <cellStyle name="Percent 2 24" xfId="44143" xr:uid="{00000000-0005-0000-0000-00006BAC0000}"/>
    <cellStyle name="Percent 2 25" xfId="44144" xr:uid="{00000000-0005-0000-0000-00006CAC0000}"/>
    <cellStyle name="Percent 2 3" xfId="44145" xr:uid="{00000000-0005-0000-0000-00006DAC0000}"/>
    <cellStyle name="Percent 2 4" xfId="44146" xr:uid="{00000000-0005-0000-0000-00006EAC0000}"/>
    <cellStyle name="Percent 2 5" xfId="44147" xr:uid="{00000000-0005-0000-0000-00006FAC0000}"/>
    <cellStyle name="Percent 2 6" xfId="44148" xr:uid="{00000000-0005-0000-0000-000070AC0000}"/>
    <cellStyle name="Percent 2 7" xfId="44149" xr:uid="{00000000-0005-0000-0000-000071AC0000}"/>
    <cellStyle name="Percent 2 8" xfId="44150" xr:uid="{00000000-0005-0000-0000-000072AC0000}"/>
    <cellStyle name="Percent 2 9" xfId="44151" xr:uid="{00000000-0005-0000-0000-000073AC0000}"/>
    <cellStyle name="Percent 3" xfId="44152" xr:uid="{00000000-0005-0000-0000-000074AC0000}"/>
    <cellStyle name="Percent 3 2" xfId="44153" xr:uid="{00000000-0005-0000-0000-000075AC0000}"/>
    <cellStyle name="Percent 4" xfId="44154" xr:uid="{00000000-0005-0000-0000-000076AC0000}"/>
    <cellStyle name="Percent 4 2" xfId="44155" xr:uid="{00000000-0005-0000-0000-000077AC0000}"/>
    <cellStyle name="Percent 4 3" xfId="44156" xr:uid="{00000000-0005-0000-0000-000078AC0000}"/>
    <cellStyle name="Percent 4 4" xfId="44157" xr:uid="{00000000-0005-0000-0000-000079AC0000}"/>
    <cellStyle name="Percent 4 5" xfId="44158" xr:uid="{00000000-0005-0000-0000-00007AAC0000}"/>
    <cellStyle name="Percent 4 6" xfId="44159" xr:uid="{00000000-0005-0000-0000-00007BAC0000}"/>
    <cellStyle name="Percent 4 7" xfId="44160" xr:uid="{00000000-0005-0000-0000-00007CAC0000}"/>
    <cellStyle name="Percent 4 7 2" xfId="44161" xr:uid="{00000000-0005-0000-0000-00007DAC0000}"/>
    <cellStyle name="Percent 4 7 2 2" xfId="44162" xr:uid="{00000000-0005-0000-0000-00007EAC0000}"/>
    <cellStyle name="Percent 4 7 2 2 2" xfId="44163" xr:uid="{00000000-0005-0000-0000-00007FAC0000}"/>
    <cellStyle name="Percent 5" xfId="44164" xr:uid="{00000000-0005-0000-0000-000080AC0000}"/>
    <cellStyle name="Percent 6" xfId="44165" xr:uid="{00000000-0005-0000-0000-000081AC0000}"/>
    <cellStyle name="Percent 7" xfId="44166" xr:uid="{00000000-0005-0000-0000-000082AC0000}"/>
    <cellStyle name="Percent 8" xfId="44167" xr:uid="{00000000-0005-0000-0000-000083AC0000}"/>
    <cellStyle name="Percent 9" xfId="44168" xr:uid="{00000000-0005-0000-0000-000084AC0000}"/>
    <cellStyle name="Percent.0" xfId="44169" xr:uid="{00000000-0005-0000-0000-000085AC0000}"/>
    <cellStyle name="Percent.00" xfId="44170" xr:uid="{00000000-0005-0000-0000-000086AC0000}"/>
    <cellStyle name="plan" xfId="44171" xr:uid="{00000000-0005-0000-0000-000087AC0000}"/>
    <cellStyle name="Pourcent Red" xfId="44172" xr:uid="{00000000-0005-0000-0000-000088AC0000}"/>
    <cellStyle name="Pourcentage 2" xfId="44173" xr:uid="{00000000-0005-0000-0000-000089AC0000}"/>
    <cellStyle name="Pourcentage_20 - tdb TES activité Services budget" xfId="44174" xr:uid="{00000000-0005-0000-0000-00008AAC0000}"/>
    <cellStyle name="Print_Style" xfId="44175" xr:uid="{00000000-0005-0000-0000-00008BAC0000}"/>
    <cellStyle name="PSChar" xfId="44176" xr:uid="{00000000-0005-0000-0000-00008CAC0000}"/>
    <cellStyle name="PSDate" xfId="44177" xr:uid="{00000000-0005-0000-0000-00008DAC0000}"/>
    <cellStyle name="PSDec" xfId="44178" xr:uid="{00000000-0005-0000-0000-00008EAC0000}"/>
    <cellStyle name="PSHeading" xfId="44179" xr:uid="{00000000-0005-0000-0000-00008FAC0000}"/>
    <cellStyle name="PSInt" xfId="44180" xr:uid="{00000000-0005-0000-0000-000090AC0000}"/>
    <cellStyle name="PSSpacer" xfId="44181" xr:uid="{00000000-0005-0000-0000-000091AC0000}"/>
    <cellStyle name="REP_ColumnTitle" xfId="44182" xr:uid="{00000000-0005-0000-0000-000092AC0000}"/>
    <cellStyle name="SAPBEXHLevel1" xfId="44183" xr:uid="{00000000-0005-0000-0000-000093AC0000}"/>
    <cellStyle name="SAPBEXstdData" xfId="44184" xr:uid="{00000000-0005-0000-0000-000094AC0000}"/>
    <cellStyle name="Satisfaisant" xfId="44185" xr:uid="{00000000-0005-0000-0000-000095AC0000}"/>
    <cellStyle name="SelBusinessType" xfId="44186" xr:uid="{00000000-0005-0000-0000-000096AC0000}"/>
    <cellStyle name="SelBusinessType 2" xfId="44187" xr:uid="{00000000-0005-0000-0000-000097AC0000}"/>
    <cellStyle name="SelBusinessType_Belker-InternalTrade" xfId="44188" xr:uid="{00000000-0005-0000-0000-000098AC0000}"/>
    <cellStyle name="Shade" xfId="44189" xr:uid="{00000000-0005-0000-0000-000099AC0000}"/>
    <cellStyle name="Slide Title" xfId="44190" xr:uid="{00000000-0005-0000-0000-00009AAC0000}"/>
    <cellStyle name="Sortie" xfId="44191" xr:uid="{00000000-0005-0000-0000-00009BAC0000}"/>
    <cellStyle name="Source" xfId="44192" xr:uid="{00000000-0005-0000-0000-00009CAC0000}"/>
    <cellStyle name="Standaard_Totaal budget Datacenter GTI" xfId="44193" xr:uid="{00000000-0005-0000-0000-00009DAC0000}"/>
    <cellStyle name="Standard_1995" xfId="44194" xr:uid="{00000000-0005-0000-0000-00009EAC0000}"/>
    <cellStyle name="Std_%" xfId="44195" xr:uid="{00000000-0005-0000-0000-00009FAC0000}"/>
    <cellStyle name="Styl 1" xfId="44196" xr:uid="{00000000-0005-0000-0000-0000A0AC0000}"/>
    <cellStyle name="Styl 1 2" xfId="44197" xr:uid="{00000000-0005-0000-0000-0000A1AC0000}"/>
    <cellStyle name="Styl 1 2 2" xfId="44198" xr:uid="{00000000-0005-0000-0000-0000A2AC0000}"/>
    <cellStyle name="Styl 1 2 2 2" xfId="44199" xr:uid="{00000000-0005-0000-0000-0000A3AC0000}"/>
    <cellStyle name="Styl 1 2 2_Flow" xfId="44200" xr:uid="{00000000-0005-0000-0000-0000A4AC0000}"/>
    <cellStyle name="Styl 1 2 3" xfId="44201" xr:uid="{00000000-0005-0000-0000-0000A5AC0000}"/>
    <cellStyle name="Styl 1 2 3 2" xfId="44202" xr:uid="{00000000-0005-0000-0000-0000A6AC0000}"/>
    <cellStyle name="Styl 1 2 3_Flow" xfId="44203" xr:uid="{00000000-0005-0000-0000-0000A7AC0000}"/>
    <cellStyle name="Styl 1 2 4" xfId="44204" xr:uid="{00000000-0005-0000-0000-0000A8AC0000}"/>
    <cellStyle name="Styl 1 2_Flow" xfId="44205" xr:uid="{00000000-0005-0000-0000-0000A9AC0000}"/>
    <cellStyle name="Styl 1 3" xfId="44206" xr:uid="{00000000-0005-0000-0000-0000AAAC0000}"/>
    <cellStyle name="Styl 1 3 2" xfId="44207" xr:uid="{00000000-0005-0000-0000-0000ABAC0000}"/>
    <cellStyle name="Styl 1 3_Flow" xfId="44208" xr:uid="{00000000-0005-0000-0000-0000ACAC0000}"/>
    <cellStyle name="Styl 1_Belker-InternalTrade" xfId="44209" xr:uid="{00000000-0005-0000-0000-0000ADAC0000}"/>
    <cellStyle name="Styl 2" xfId="44210" xr:uid="{00000000-0005-0000-0000-0000AEAC0000}"/>
    <cellStyle name="Styl 2 2" xfId="44211" xr:uid="{00000000-0005-0000-0000-0000AFAC0000}"/>
    <cellStyle name="Styl 2 2 2" xfId="44212" xr:uid="{00000000-0005-0000-0000-0000B0AC0000}"/>
    <cellStyle name="Styl 2 2 2 2" xfId="44213" xr:uid="{00000000-0005-0000-0000-0000B1AC0000}"/>
    <cellStyle name="Styl 2 2 2_Flow" xfId="44214" xr:uid="{00000000-0005-0000-0000-0000B2AC0000}"/>
    <cellStyle name="Styl 2 2 3" xfId="44215" xr:uid="{00000000-0005-0000-0000-0000B3AC0000}"/>
    <cellStyle name="Styl 2 2 3 2" xfId="44216" xr:uid="{00000000-0005-0000-0000-0000B4AC0000}"/>
    <cellStyle name="Styl 2 2 3_Flow" xfId="44217" xr:uid="{00000000-0005-0000-0000-0000B5AC0000}"/>
    <cellStyle name="Styl 2 2 4" xfId="44218" xr:uid="{00000000-0005-0000-0000-0000B6AC0000}"/>
    <cellStyle name="Styl 2 2_Flow" xfId="44219" xr:uid="{00000000-0005-0000-0000-0000B7AC0000}"/>
    <cellStyle name="Styl 2 3" xfId="44220" xr:uid="{00000000-0005-0000-0000-0000B8AC0000}"/>
    <cellStyle name="Styl 2 3 2" xfId="44221" xr:uid="{00000000-0005-0000-0000-0000B9AC0000}"/>
    <cellStyle name="Styl 2 3_Flow" xfId="44222" xr:uid="{00000000-0005-0000-0000-0000BAAC0000}"/>
    <cellStyle name="Styl 2_Belker-InternalTrade" xfId="44223" xr:uid="{00000000-0005-0000-0000-0000BBAC0000}"/>
    <cellStyle name="Style 1" xfId="44224" xr:uid="{00000000-0005-0000-0000-0000BCAC0000}"/>
    <cellStyle name="Style 1 2" xfId="44225" xr:uid="{00000000-0005-0000-0000-0000BDAC0000}"/>
    <cellStyle name="Style 1 2 2" xfId="44226" xr:uid="{00000000-0005-0000-0000-0000BEAC0000}"/>
    <cellStyle name="Style 1 2 2 2" xfId="44227" xr:uid="{00000000-0005-0000-0000-0000BFAC0000}"/>
    <cellStyle name="Style 1 2 2_Flow" xfId="44228" xr:uid="{00000000-0005-0000-0000-0000C0AC0000}"/>
    <cellStyle name="Style 1 2 3" xfId="44229" xr:uid="{00000000-0005-0000-0000-0000C1AC0000}"/>
    <cellStyle name="Style 1 2 3 2" xfId="44230" xr:uid="{00000000-0005-0000-0000-0000C2AC0000}"/>
    <cellStyle name="Style 1 2 3_Flow" xfId="44231" xr:uid="{00000000-0005-0000-0000-0000C3AC0000}"/>
    <cellStyle name="Style 1 2 4" xfId="44232" xr:uid="{00000000-0005-0000-0000-0000C4AC0000}"/>
    <cellStyle name="Style 1 2_Flow" xfId="44233" xr:uid="{00000000-0005-0000-0000-0000C5AC0000}"/>
    <cellStyle name="Style 1 3" xfId="44234" xr:uid="{00000000-0005-0000-0000-0000C6AC0000}"/>
    <cellStyle name="Style 1 3 2" xfId="44235" xr:uid="{00000000-0005-0000-0000-0000C7AC0000}"/>
    <cellStyle name="Style 1 3_Flow" xfId="44236" xr:uid="{00000000-0005-0000-0000-0000C8AC0000}"/>
    <cellStyle name="Style 1_Belker-InternalTrade" xfId="44237" xr:uid="{00000000-0005-0000-0000-0000C9AC0000}"/>
    <cellStyle name="Style 2" xfId="44238" xr:uid="{00000000-0005-0000-0000-0000CAAC0000}"/>
    <cellStyle name="Style 2 2" xfId="44239" xr:uid="{00000000-0005-0000-0000-0000CBAC0000}"/>
    <cellStyle name="Style 2 2 2" xfId="44240" xr:uid="{00000000-0005-0000-0000-0000CCAC0000}"/>
    <cellStyle name="Style 2 2 2 2" xfId="44241" xr:uid="{00000000-0005-0000-0000-0000CDAC0000}"/>
    <cellStyle name="Style 2 2 2_Flow" xfId="44242" xr:uid="{00000000-0005-0000-0000-0000CEAC0000}"/>
    <cellStyle name="Style 2 2 3" xfId="44243" xr:uid="{00000000-0005-0000-0000-0000CFAC0000}"/>
    <cellStyle name="Style 2 2 3 2" xfId="44244" xr:uid="{00000000-0005-0000-0000-0000D0AC0000}"/>
    <cellStyle name="Style 2 2 3_Flow" xfId="44245" xr:uid="{00000000-0005-0000-0000-0000D1AC0000}"/>
    <cellStyle name="Style 2 2 4" xfId="44246" xr:uid="{00000000-0005-0000-0000-0000D2AC0000}"/>
    <cellStyle name="Style 2 2_Flow" xfId="44247" xr:uid="{00000000-0005-0000-0000-0000D3AC0000}"/>
    <cellStyle name="Style 2 3" xfId="44248" xr:uid="{00000000-0005-0000-0000-0000D4AC0000}"/>
    <cellStyle name="Style 2 3 2" xfId="44249" xr:uid="{00000000-0005-0000-0000-0000D5AC0000}"/>
    <cellStyle name="Style 2 3_Flow" xfId="44250" xr:uid="{00000000-0005-0000-0000-0000D6AC0000}"/>
    <cellStyle name="Style 2_Belker-InternalTrade" xfId="44251" xr:uid="{00000000-0005-0000-0000-0000D7AC0000}"/>
    <cellStyle name="styleParameterCell" xfId="44252" xr:uid="{00000000-0005-0000-0000-0000D8AC0000}"/>
    <cellStyle name="styleParameterCell 2" xfId="44253" xr:uid="{00000000-0005-0000-0000-0000D9AC0000}"/>
    <cellStyle name="Subtotal" xfId="44254" xr:uid="{00000000-0005-0000-0000-0000DAAC0000}"/>
    <cellStyle name="Suma" xfId="44255" xr:uid="{00000000-0005-0000-0000-0000DBAC0000}"/>
    <cellStyle name="swpBody01" xfId="44256" xr:uid="{00000000-0005-0000-0000-0000DCAC0000}"/>
    <cellStyle name="tag" xfId="44257" xr:uid="{00000000-0005-0000-0000-0000DDAC0000}"/>
    <cellStyle name="tag 2" xfId="44258" xr:uid="{00000000-0005-0000-0000-0000DEAC0000}"/>
    <cellStyle name="Tekst objaśnienia" xfId="44259" xr:uid="{00000000-0005-0000-0000-0000DFAC0000}"/>
    <cellStyle name="Tekst ostrzeżenia" xfId="44260" xr:uid="{00000000-0005-0000-0000-0000E0AC0000}"/>
    <cellStyle name="test" xfId="44261" xr:uid="{00000000-0005-0000-0000-0000E1AC0000}"/>
    <cellStyle name="test 2" xfId="44262" xr:uid="{00000000-0005-0000-0000-0000E2AC0000}"/>
    <cellStyle name="Texte" xfId="44263" xr:uid="{00000000-0005-0000-0000-0000E3AC0000}"/>
    <cellStyle name="Texte explicatif" xfId="44264" xr:uid="{00000000-0005-0000-0000-0000E4AC0000}"/>
    <cellStyle name="Times New Roman" xfId="44265" xr:uid="{00000000-0005-0000-0000-0000E5AC0000}"/>
    <cellStyle name="Title" xfId="1" builtinId="15" hidden="1" customBuiltin="1"/>
    <cellStyle name="Title" xfId="48" builtinId="15" hidden="1" customBuiltin="1"/>
    <cellStyle name="Title" xfId="70" builtinId="15" customBuiltin="1"/>
    <cellStyle name="Title 10" xfId="44266" xr:uid="{00000000-0005-0000-0000-0000E9AC0000}"/>
    <cellStyle name="Title 10 2" xfId="44267" xr:uid="{00000000-0005-0000-0000-0000EAAC0000}"/>
    <cellStyle name="Title 100" xfId="44268" xr:uid="{00000000-0005-0000-0000-0000EBAC0000}"/>
    <cellStyle name="Title 101" xfId="44269" xr:uid="{00000000-0005-0000-0000-0000ECAC0000}"/>
    <cellStyle name="Title 102" xfId="44270" xr:uid="{00000000-0005-0000-0000-0000EDAC0000}"/>
    <cellStyle name="Title 103" xfId="44271" xr:uid="{00000000-0005-0000-0000-0000EEAC0000}"/>
    <cellStyle name="Title 104" xfId="44272" xr:uid="{00000000-0005-0000-0000-0000EFAC0000}"/>
    <cellStyle name="Title 105" xfId="44273" xr:uid="{00000000-0005-0000-0000-0000F0AC0000}"/>
    <cellStyle name="Title 106" xfId="44274" xr:uid="{00000000-0005-0000-0000-0000F1AC0000}"/>
    <cellStyle name="Title 107" xfId="44275" xr:uid="{00000000-0005-0000-0000-0000F2AC0000}"/>
    <cellStyle name="Title 108" xfId="44276" xr:uid="{00000000-0005-0000-0000-0000F3AC0000}"/>
    <cellStyle name="Title 109" xfId="44277" xr:uid="{00000000-0005-0000-0000-0000F4AC0000}"/>
    <cellStyle name="Title 11" xfId="44278" xr:uid="{00000000-0005-0000-0000-0000F5AC0000}"/>
    <cellStyle name="Title 11 2" xfId="44279" xr:uid="{00000000-0005-0000-0000-0000F6AC0000}"/>
    <cellStyle name="Title 110" xfId="44280" xr:uid="{00000000-0005-0000-0000-0000F7AC0000}"/>
    <cellStyle name="Title 111" xfId="44281" xr:uid="{00000000-0005-0000-0000-0000F8AC0000}"/>
    <cellStyle name="Title 112" xfId="44282" xr:uid="{00000000-0005-0000-0000-0000F9AC0000}"/>
    <cellStyle name="Title 113" xfId="44283" xr:uid="{00000000-0005-0000-0000-0000FAAC0000}"/>
    <cellStyle name="Title 114" xfId="44284" xr:uid="{00000000-0005-0000-0000-0000FBAC0000}"/>
    <cellStyle name="Title 115" xfId="44285" xr:uid="{00000000-0005-0000-0000-0000FCAC0000}"/>
    <cellStyle name="Title 116" xfId="44286" xr:uid="{00000000-0005-0000-0000-0000FDAC0000}"/>
    <cellStyle name="Title 117" xfId="44287" xr:uid="{00000000-0005-0000-0000-0000FEAC0000}"/>
    <cellStyle name="Title 118" xfId="44288" xr:uid="{00000000-0005-0000-0000-0000FFAC0000}"/>
    <cellStyle name="Title 119" xfId="44289" xr:uid="{00000000-0005-0000-0000-000000AD0000}"/>
    <cellStyle name="Title 12" xfId="44290" xr:uid="{00000000-0005-0000-0000-000001AD0000}"/>
    <cellStyle name="Title 12 2" xfId="44291" xr:uid="{00000000-0005-0000-0000-000002AD0000}"/>
    <cellStyle name="Title 120" xfId="44292" xr:uid="{00000000-0005-0000-0000-000003AD0000}"/>
    <cellStyle name="Title 121" xfId="44293" xr:uid="{00000000-0005-0000-0000-000004AD0000}"/>
    <cellStyle name="Title 122" xfId="44294" xr:uid="{00000000-0005-0000-0000-000005AD0000}"/>
    <cellStyle name="Title 123" xfId="44295" xr:uid="{00000000-0005-0000-0000-000006AD0000}"/>
    <cellStyle name="Title 124" xfId="44296" xr:uid="{00000000-0005-0000-0000-000007AD0000}"/>
    <cellStyle name="Title 125" xfId="44297" xr:uid="{00000000-0005-0000-0000-000008AD0000}"/>
    <cellStyle name="Title 126" xfId="44298" xr:uid="{00000000-0005-0000-0000-000009AD0000}"/>
    <cellStyle name="Title 127" xfId="44299" xr:uid="{00000000-0005-0000-0000-00000AAD0000}"/>
    <cellStyle name="Title 128" xfId="44300" xr:uid="{00000000-0005-0000-0000-00000BAD0000}"/>
    <cellStyle name="Title 129" xfId="44301" xr:uid="{00000000-0005-0000-0000-00000CAD0000}"/>
    <cellStyle name="Title 13" xfId="44302" xr:uid="{00000000-0005-0000-0000-00000DAD0000}"/>
    <cellStyle name="Title 13 2" xfId="44303" xr:uid="{00000000-0005-0000-0000-00000EAD0000}"/>
    <cellStyle name="Title 130" xfId="44304" xr:uid="{00000000-0005-0000-0000-00000FAD0000}"/>
    <cellStyle name="Title 131" xfId="44305" xr:uid="{00000000-0005-0000-0000-000010AD0000}"/>
    <cellStyle name="Title 132" xfId="44306" xr:uid="{00000000-0005-0000-0000-000011AD0000}"/>
    <cellStyle name="Title 133" xfId="44307" xr:uid="{00000000-0005-0000-0000-000012AD0000}"/>
    <cellStyle name="Title 134" xfId="44308" xr:uid="{00000000-0005-0000-0000-000013AD0000}"/>
    <cellStyle name="Title 135" xfId="44309" xr:uid="{00000000-0005-0000-0000-000014AD0000}"/>
    <cellStyle name="Title 136" xfId="44310" xr:uid="{00000000-0005-0000-0000-000015AD0000}"/>
    <cellStyle name="Title 137" xfId="44311" xr:uid="{00000000-0005-0000-0000-000016AD0000}"/>
    <cellStyle name="Title 138" xfId="44312" xr:uid="{00000000-0005-0000-0000-000017AD0000}"/>
    <cellStyle name="Title 139" xfId="44313" xr:uid="{00000000-0005-0000-0000-000018AD0000}"/>
    <cellStyle name="Title 14" xfId="44314" xr:uid="{00000000-0005-0000-0000-000019AD0000}"/>
    <cellStyle name="Title 14 2" xfId="44315" xr:uid="{00000000-0005-0000-0000-00001AAD0000}"/>
    <cellStyle name="Title 140" xfId="44316" xr:uid="{00000000-0005-0000-0000-00001BAD0000}"/>
    <cellStyle name="Title 141" xfId="44317" xr:uid="{00000000-0005-0000-0000-00001CAD0000}"/>
    <cellStyle name="Title 142" xfId="44318" xr:uid="{00000000-0005-0000-0000-00001DAD0000}"/>
    <cellStyle name="Title 143" xfId="44319" xr:uid="{00000000-0005-0000-0000-00001EAD0000}"/>
    <cellStyle name="Title 144" xfId="44320" xr:uid="{00000000-0005-0000-0000-00001FAD0000}"/>
    <cellStyle name="Title 145" xfId="44321" xr:uid="{00000000-0005-0000-0000-000020AD0000}"/>
    <cellStyle name="Title 146" xfId="44322" xr:uid="{00000000-0005-0000-0000-000021AD0000}"/>
    <cellStyle name="Title 147" xfId="44323" xr:uid="{00000000-0005-0000-0000-000022AD0000}"/>
    <cellStyle name="Title 148" xfId="44324" xr:uid="{00000000-0005-0000-0000-000023AD0000}"/>
    <cellStyle name="Title 149" xfId="44325" xr:uid="{00000000-0005-0000-0000-000024AD0000}"/>
    <cellStyle name="Title 15" xfId="44326" xr:uid="{00000000-0005-0000-0000-000025AD0000}"/>
    <cellStyle name="Title 15 2" xfId="44327" xr:uid="{00000000-0005-0000-0000-000026AD0000}"/>
    <cellStyle name="Title 150" xfId="44328" xr:uid="{00000000-0005-0000-0000-000027AD0000}"/>
    <cellStyle name="Title 151" xfId="44329" xr:uid="{00000000-0005-0000-0000-000028AD0000}"/>
    <cellStyle name="Title 152" xfId="44330" xr:uid="{00000000-0005-0000-0000-000029AD0000}"/>
    <cellStyle name="Title 153" xfId="44331" xr:uid="{00000000-0005-0000-0000-00002AAD0000}"/>
    <cellStyle name="Title 154" xfId="44332" xr:uid="{00000000-0005-0000-0000-00002BAD0000}"/>
    <cellStyle name="Title 155" xfId="44333" xr:uid="{00000000-0005-0000-0000-00002CAD0000}"/>
    <cellStyle name="Title 156" xfId="44334" xr:uid="{00000000-0005-0000-0000-00002DAD0000}"/>
    <cellStyle name="Title 157" xfId="44335" xr:uid="{00000000-0005-0000-0000-00002EAD0000}"/>
    <cellStyle name="Title 158" xfId="44336" xr:uid="{00000000-0005-0000-0000-00002FAD0000}"/>
    <cellStyle name="Title 159" xfId="44337" xr:uid="{00000000-0005-0000-0000-000030AD0000}"/>
    <cellStyle name="Title 16" xfId="44338" xr:uid="{00000000-0005-0000-0000-000031AD0000}"/>
    <cellStyle name="Title 160" xfId="44339" xr:uid="{00000000-0005-0000-0000-000032AD0000}"/>
    <cellStyle name="Title 161" xfId="44340" xr:uid="{00000000-0005-0000-0000-000033AD0000}"/>
    <cellStyle name="Title 162" xfId="44341" xr:uid="{00000000-0005-0000-0000-000034AD0000}"/>
    <cellStyle name="Title 163" xfId="44342" xr:uid="{00000000-0005-0000-0000-000035AD0000}"/>
    <cellStyle name="Title 164" xfId="44343" xr:uid="{00000000-0005-0000-0000-000036AD0000}"/>
    <cellStyle name="Title 165" xfId="44344" xr:uid="{00000000-0005-0000-0000-000037AD0000}"/>
    <cellStyle name="Title 166" xfId="44345" xr:uid="{00000000-0005-0000-0000-000038AD0000}"/>
    <cellStyle name="Title 167" xfId="44346" xr:uid="{00000000-0005-0000-0000-000039AD0000}"/>
    <cellStyle name="Title 17" xfId="44347" xr:uid="{00000000-0005-0000-0000-00003AAD0000}"/>
    <cellStyle name="Title 18" xfId="44348" xr:uid="{00000000-0005-0000-0000-00003BAD0000}"/>
    <cellStyle name="Title 19" xfId="44349" xr:uid="{00000000-0005-0000-0000-00003CAD0000}"/>
    <cellStyle name="Title 2" xfId="44350" xr:uid="{00000000-0005-0000-0000-00003DAD0000}"/>
    <cellStyle name="Title 2 10" xfId="44351" xr:uid="{00000000-0005-0000-0000-00003EAD0000}"/>
    <cellStyle name="Title 2 11" xfId="44352" xr:uid="{00000000-0005-0000-0000-00003FAD0000}"/>
    <cellStyle name="Title 2 12" xfId="44353" xr:uid="{00000000-0005-0000-0000-000040AD0000}"/>
    <cellStyle name="Title 2 13" xfId="44354" xr:uid="{00000000-0005-0000-0000-000041AD0000}"/>
    <cellStyle name="Title 2 14" xfId="44355" xr:uid="{00000000-0005-0000-0000-000042AD0000}"/>
    <cellStyle name="Title 2 15" xfId="44356" xr:uid="{00000000-0005-0000-0000-000043AD0000}"/>
    <cellStyle name="Title 2 16" xfId="44357" xr:uid="{00000000-0005-0000-0000-000044AD0000}"/>
    <cellStyle name="Title 2 17" xfId="44358" xr:uid="{00000000-0005-0000-0000-000045AD0000}"/>
    <cellStyle name="Title 2 18" xfId="44359" xr:uid="{00000000-0005-0000-0000-000046AD0000}"/>
    <cellStyle name="Title 2 19" xfId="44360" xr:uid="{00000000-0005-0000-0000-000047AD0000}"/>
    <cellStyle name="Title 2 2" xfId="44361" xr:uid="{00000000-0005-0000-0000-000048AD0000}"/>
    <cellStyle name="Title 2 2 2" xfId="44362" xr:uid="{00000000-0005-0000-0000-000049AD0000}"/>
    <cellStyle name="Title 2 2 3" xfId="44363" xr:uid="{00000000-0005-0000-0000-00004AAD0000}"/>
    <cellStyle name="Title 2 2 3 2" xfId="44364" xr:uid="{00000000-0005-0000-0000-00004BAD0000}"/>
    <cellStyle name="Title 2 2 3 3" xfId="44365" xr:uid="{00000000-0005-0000-0000-00004CAD0000}"/>
    <cellStyle name="Title 2 2 3 4" xfId="44366" xr:uid="{00000000-0005-0000-0000-00004DAD0000}"/>
    <cellStyle name="Title 2 2 3 5" xfId="44367" xr:uid="{00000000-0005-0000-0000-00004EAD0000}"/>
    <cellStyle name="Title 2 2 4" xfId="44368" xr:uid="{00000000-0005-0000-0000-00004FAD0000}"/>
    <cellStyle name="Title 2 2 5" xfId="44369" xr:uid="{00000000-0005-0000-0000-000050AD0000}"/>
    <cellStyle name="Title 2 20" xfId="44370" xr:uid="{00000000-0005-0000-0000-000051AD0000}"/>
    <cellStyle name="Title 2 21" xfId="44371" xr:uid="{00000000-0005-0000-0000-000052AD0000}"/>
    <cellStyle name="Title 2 22" xfId="44372" xr:uid="{00000000-0005-0000-0000-000053AD0000}"/>
    <cellStyle name="Title 2 23" xfId="44373" xr:uid="{00000000-0005-0000-0000-000054AD0000}"/>
    <cellStyle name="Title 2 24" xfId="44374" xr:uid="{00000000-0005-0000-0000-000055AD0000}"/>
    <cellStyle name="Title 2 25" xfId="44375" xr:uid="{00000000-0005-0000-0000-000056AD0000}"/>
    <cellStyle name="Title 2 26" xfId="44376" xr:uid="{00000000-0005-0000-0000-000057AD0000}"/>
    <cellStyle name="Title 2 27" xfId="44377" xr:uid="{00000000-0005-0000-0000-000058AD0000}"/>
    <cellStyle name="Title 2 28" xfId="44378" xr:uid="{00000000-0005-0000-0000-000059AD0000}"/>
    <cellStyle name="Title 2 29" xfId="44379" xr:uid="{00000000-0005-0000-0000-00005AAD0000}"/>
    <cellStyle name="Title 2 3" xfId="44380" xr:uid="{00000000-0005-0000-0000-00005BAD0000}"/>
    <cellStyle name="Title 2 3 2" xfId="44381" xr:uid="{00000000-0005-0000-0000-00005CAD0000}"/>
    <cellStyle name="Title 2 30" xfId="44382" xr:uid="{00000000-0005-0000-0000-00005DAD0000}"/>
    <cellStyle name="Title 2 31" xfId="44383" xr:uid="{00000000-0005-0000-0000-00005EAD0000}"/>
    <cellStyle name="Title 2 32" xfId="44384" xr:uid="{00000000-0005-0000-0000-00005FAD0000}"/>
    <cellStyle name="Title 2 33" xfId="44385" xr:uid="{00000000-0005-0000-0000-000060AD0000}"/>
    <cellStyle name="Title 2 34" xfId="44386" xr:uid="{00000000-0005-0000-0000-000061AD0000}"/>
    <cellStyle name="Title 2 35" xfId="44387" xr:uid="{00000000-0005-0000-0000-000062AD0000}"/>
    <cellStyle name="Title 2 4" xfId="44388" xr:uid="{00000000-0005-0000-0000-000063AD0000}"/>
    <cellStyle name="Title 2 5" xfId="44389" xr:uid="{00000000-0005-0000-0000-000064AD0000}"/>
    <cellStyle name="Title 2 6" xfId="44390" xr:uid="{00000000-0005-0000-0000-000065AD0000}"/>
    <cellStyle name="Title 2 7" xfId="44391" xr:uid="{00000000-0005-0000-0000-000066AD0000}"/>
    <cellStyle name="Title 2 8" xfId="44392" xr:uid="{00000000-0005-0000-0000-000067AD0000}"/>
    <cellStyle name="Title 2 9" xfId="44393" xr:uid="{00000000-0005-0000-0000-000068AD0000}"/>
    <cellStyle name="Title 20" xfId="44394" xr:uid="{00000000-0005-0000-0000-000069AD0000}"/>
    <cellStyle name="Title 20 10" xfId="44395" xr:uid="{00000000-0005-0000-0000-00006AAD0000}"/>
    <cellStyle name="Title 20 11" xfId="44396" xr:uid="{00000000-0005-0000-0000-00006BAD0000}"/>
    <cellStyle name="Title 20 12" xfId="44397" xr:uid="{00000000-0005-0000-0000-00006CAD0000}"/>
    <cellStyle name="Title 20 13" xfId="44398" xr:uid="{00000000-0005-0000-0000-00006DAD0000}"/>
    <cellStyle name="Title 20 14" xfId="44399" xr:uid="{00000000-0005-0000-0000-00006EAD0000}"/>
    <cellStyle name="Title 20 15" xfId="44400" xr:uid="{00000000-0005-0000-0000-00006FAD0000}"/>
    <cellStyle name="Title 20 16" xfId="44401" xr:uid="{00000000-0005-0000-0000-000070AD0000}"/>
    <cellStyle name="Title 20 2" xfId="44402" xr:uid="{00000000-0005-0000-0000-000071AD0000}"/>
    <cellStyle name="Title 20 3" xfId="44403" xr:uid="{00000000-0005-0000-0000-000072AD0000}"/>
    <cellStyle name="Title 20 4" xfId="44404" xr:uid="{00000000-0005-0000-0000-000073AD0000}"/>
    <cellStyle name="Title 20 5" xfId="44405" xr:uid="{00000000-0005-0000-0000-000074AD0000}"/>
    <cellStyle name="Title 20 6" xfId="44406" xr:uid="{00000000-0005-0000-0000-000075AD0000}"/>
    <cellStyle name="Title 20 7" xfId="44407" xr:uid="{00000000-0005-0000-0000-000076AD0000}"/>
    <cellStyle name="Title 20 8" xfId="44408" xr:uid="{00000000-0005-0000-0000-000077AD0000}"/>
    <cellStyle name="Title 20 9" xfId="44409" xr:uid="{00000000-0005-0000-0000-000078AD0000}"/>
    <cellStyle name="Title 21" xfId="44410" xr:uid="{00000000-0005-0000-0000-000079AD0000}"/>
    <cellStyle name="Title 21 2" xfId="44411" xr:uid="{00000000-0005-0000-0000-00007AAD0000}"/>
    <cellStyle name="Title 21 3" xfId="44412" xr:uid="{00000000-0005-0000-0000-00007BAD0000}"/>
    <cellStyle name="Title 22" xfId="44413" xr:uid="{00000000-0005-0000-0000-00007CAD0000}"/>
    <cellStyle name="Title 23" xfId="44414" xr:uid="{00000000-0005-0000-0000-00007DAD0000}"/>
    <cellStyle name="Title 24" xfId="44415" xr:uid="{00000000-0005-0000-0000-00007EAD0000}"/>
    <cellStyle name="Title 25" xfId="44416" xr:uid="{00000000-0005-0000-0000-00007FAD0000}"/>
    <cellStyle name="Title 26" xfId="44417" xr:uid="{00000000-0005-0000-0000-000080AD0000}"/>
    <cellStyle name="Title 27" xfId="44418" xr:uid="{00000000-0005-0000-0000-000081AD0000}"/>
    <cellStyle name="Title 28" xfId="44419" xr:uid="{00000000-0005-0000-0000-000082AD0000}"/>
    <cellStyle name="Title 29" xfId="44420" xr:uid="{00000000-0005-0000-0000-000083AD0000}"/>
    <cellStyle name="Title 3" xfId="44421" xr:uid="{00000000-0005-0000-0000-000084AD0000}"/>
    <cellStyle name="Title 3 10" xfId="44422" xr:uid="{00000000-0005-0000-0000-000085AD0000}"/>
    <cellStyle name="Title 3 10 10" xfId="44423" xr:uid="{00000000-0005-0000-0000-000086AD0000}"/>
    <cellStyle name="Title 3 10 11" xfId="44424" xr:uid="{00000000-0005-0000-0000-000087AD0000}"/>
    <cellStyle name="Title 3 10 12" xfId="44425" xr:uid="{00000000-0005-0000-0000-000088AD0000}"/>
    <cellStyle name="Title 3 10 13" xfId="44426" xr:uid="{00000000-0005-0000-0000-000089AD0000}"/>
    <cellStyle name="Title 3 10 14" xfId="44427" xr:uid="{00000000-0005-0000-0000-00008AAD0000}"/>
    <cellStyle name="Title 3 10 15" xfId="44428" xr:uid="{00000000-0005-0000-0000-00008BAD0000}"/>
    <cellStyle name="Title 3 10 2" xfId="44429" xr:uid="{00000000-0005-0000-0000-00008CAD0000}"/>
    <cellStyle name="Title 3 10 3" xfId="44430" xr:uid="{00000000-0005-0000-0000-00008DAD0000}"/>
    <cellStyle name="Title 3 10 4" xfId="44431" xr:uid="{00000000-0005-0000-0000-00008EAD0000}"/>
    <cellStyle name="Title 3 10 5" xfId="44432" xr:uid="{00000000-0005-0000-0000-00008FAD0000}"/>
    <cellStyle name="Title 3 10 6" xfId="44433" xr:uid="{00000000-0005-0000-0000-000090AD0000}"/>
    <cellStyle name="Title 3 10 7" xfId="44434" xr:uid="{00000000-0005-0000-0000-000091AD0000}"/>
    <cellStyle name="Title 3 10 8" xfId="44435" xr:uid="{00000000-0005-0000-0000-000092AD0000}"/>
    <cellStyle name="Title 3 10 9" xfId="44436" xr:uid="{00000000-0005-0000-0000-000093AD0000}"/>
    <cellStyle name="Title 3 11" xfId="44437" xr:uid="{00000000-0005-0000-0000-000094AD0000}"/>
    <cellStyle name="Title 3 11 10" xfId="44438" xr:uid="{00000000-0005-0000-0000-000095AD0000}"/>
    <cellStyle name="Title 3 11 11" xfId="44439" xr:uid="{00000000-0005-0000-0000-000096AD0000}"/>
    <cellStyle name="Title 3 11 12" xfId="44440" xr:uid="{00000000-0005-0000-0000-000097AD0000}"/>
    <cellStyle name="Title 3 11 13" xfId="44441" xr:uid="{00000000-0005-0000-0000-000098AD0000}"/>
    <cellStyle name="Title 3 11 14" xfId="44442" xr:uid="{00000000-0005-0000-0000-000099AD0000}"/>
    <cellStyle name="Title 3 11 15" xfId="44443" xr:uid="{00000000-0005-0000-0000-00009AAD0000}"/>
    <cellStyle name="Title 3 11 2" xfId="44444" xr:uid="{00000000-0005-0000-0000-00009BAD0000}"/>
    <cellStyle name="Title 3 11 3" xfId="44445" xr:uid="{00000000-0005-0000-0000-00009CAD0000}"/>
    <cellStyle name="Title 3 11 4" xfId="44446" xr:uid="{00000000-0005-0000-0000-00009DAD0000}"/>
    <cellStyle name="Title 3 11 5" xfId="44447" xr:uid="{00000000-0005-0000-0000-00009EAD0000}"/>
    <cellStyle name="Title 3 11 6" xfId="44448" xr:uid="{00000000-0005-0000-0000-00009FAD0000}"/>
    <cellStyle name="Title 3 11 7" xfId="44449" xr:uid="{00000000-0005-0000-0000-0000A0AD0000}"/>
    <cellStyle name="Title 3 11 8" xfId="44450" xr:uid="{00000000-0005-0000-0000-0000A1AD0000}"/>
    <cellStyle name="Title 3 11 9" xfId="44451" xr:uid="{00000000-0005-0000-0000-0000A2AD0000}"/>
    <cellStyle name="Title 3 12" xfId="44452" xr:uid="{00000000-0005-0000-0000-0000A3AD0000}"/>
    <cellStyle name="Title 3 12 10" xfId="44453" xr:uid="{00000000-0005-0000-0000-0000A4AD0000}"/>
    <cellStyle name="Title 3 12 11" xfId="44454" xr:uid="{00000000-0005-0000-0000-0000A5AD0000}"/>
    <cellStyle name="Title 3 12 12" xfId="44455" xr:uid="{00000000-0005-0000-0000-0000A6AD0000}"/>
    <cellStyle name="Title 3 12 13" xfId="44456" xr:uid="{00000000-0005-0000-0000-0000A7AD0000}"/>
    <cellStyle name="Title 3 12 14" xfId="44457" xr:uid="{00000000-0005-0000-0000-0000A8AD0000}"/>
    <cellStyle name="Title 3 12 15" xfId="44458" xr:uid="{00000000-0005-0000-0000-0000A9AD0000}"/>
    <cellStyle name="Title 3 12 2" xfId="44459" xr:uid="{00000000-0005-0000-0000-0000AAAD0000}"/>
    <cellStyle name="Title 3 12 3" xfId="44460" xr:uid="{00000000-0005-0000-0000-0000ABAD0000}"/>
    <cellStyle name="Title 3 12 4" xfId="44461" xr:uid="{00000000-0005-0000-0000-0000ACAD0000}"/>
    <cellStyle name="Title 3 12 5" xfId="44462" xr:uid="{00000000-0005-0000-0000-0000ADAD0000}"/>
    <cellStyle name="Title 3 12 6" xfId="44463" xr:uid="{00000000-0005-0000-0000-0000AEAD0000}"/>
    <cellStyle name="Title 3 12 7" xfId="44464" xr:uid="{00000000-0005-0000-0000-0000AFAD0000}"/>
    <cellStyle name="Title 3 12 8" xfId="44465" xr:uid="{00000000-0005-0000-0000-0000B0AD0000}"/>
    <cellStyle name="Title 3 12 9" xfId="44466" xr:uid="{00000000-0005-0000-0000-0000B1AD0000}"/>
    <cellStyle name="Title 3 13" xfId="44467" xr:uid="{00000000-0005-0000-0000-0000B2AD0000}"/>
    <cellStyle name="Title 3 13 10" xfId="44468" xr:uid="{00000000-0005-0000-0000-0000B3AD0000}"/>
    <cellStyle name="Title 3 13 11" xfId="44469" xr:uid="{00000000-0005-0000-0000-0000B4AD0000}"/>
    <cellStyle name="Title 3 13 12" xfId="44470" xr:uid="{00000000-0005-0000-0000-0000B5AD0000}"/>
    <cellStyle name="Title 3 13 13" xfId="44471" xr:uid="{00000000-0005-0000-0000-0000B6AD0000}"/>
    <cellStyle name="Title 3 13 14" xfId="44472" xr:uid="{00000000-0005-0000-0000-0000B7AD0000}"/>
    <cellStyle name="Title 3 13 15" xfId="44473" xr:uid="{00000000-0005-0000-0000-0000B8AD0000}"/>
    <cellStyle name="Title 3 13 2" xfId="44474" xr:uid="{00000000-0005-0000-0000-0000B9AD0000}"/>
    <cellStyle name="Title 3 13 3" xfId="44475" xr:uid="{00000000-0005-0000-0000-0000BAAD0000}"/>
    <cellStyle name="Title 3 13 4" xfId="44476" xr:uid="{00000000-0005-0000-0000-0000BBAD0000}"/>
    <cellStyle name="Title 3 13 5" xfId="44477" xr:uid="{00000000-0005-0000-0000-0000BCAD0000}"/>
    <cellStyle name="Title 3 13 6" xfId="44478" xr:uid="{00000000-0005-0000-0000-0000BDAD0000}"/>
    <cellStyle name="Title 3 13 7" xfId="44479" xr:uid="{00000000-0005-0000-0000-0000BEAD0000}"/>
    <cellStyle name="Title 3 13 8" xfId="44480" xr:uid="{00000000-0005-0000-0000-0000BFAD0000}"/>
    <cellStyle name="Title 3 13 9" xfId="44481" xr:uid="{00000000-0005-0000-0000-0000C0AD0000}"/>
    <cellStyle name="Title 3 14" xfId="44482" xr:uid="{00000000-0005-0000-0000-0000C1AD0000}"/>
    <cellStyle name="Title 3 14 10" xfId="44483" xr:uid="{00000000-0005-0000-0000-0000C2AD0000}"/>
    <cellStyle name="Title 3 14 11" xfId="44484" xr:uid="{00000000-0005-0000-0000-0000C3AD0000}"/>
    <cellStyle name="Title 3 14 12" xfId="44485" xr:uid="{00000000-0005-0000-0000-0000C4AD0000}"/>
    <cellStyle name="Title 3 14 13" xfId="44486" xr:uid="{00000000-0005-0000-0000-0000C5AD0000}"/>
    <cellStyle name="Title 3 14 14" xfId="44487" xr:uid="{00000000-0005-0000-0000-0000C6AD0000}"/>
    <cellStyle name="Title 3 14 15" xfId="44488" xr:uid="{00000000-0005-0000-0000-0000C7AD0000}"/>
    <cellStyle name="Title 3 14 2" xfId="44489" xr:uid="{00000000-0005-0000-0000-0000C8AD0000}"/>
    <cellStyle name="Title 3 14 3" xfId="44490" xr:uid="{00000000-0005-0000-0000-0000C9AD0000}"/>
    <cellStyle name="Title 3 14 4" xfId="44491" xr:uid="{00000000-0005-0000-0000-0000CAAD0000}"/>
    <cellStyle name="Title 3 14 5" xfId="44492" xr:uid="{00000000-0005-0000-0000-0000CBAD0000}"/>
    <cellStyle name="Title 3 14 6" xfId="44493" xr:uid="{00000000-0005-0000-0000-0000CCAD0000}"/>
    <cellStyle name="Title 3 14 7" xfId="44494" xr:uid="{00000000-0005-0000-0000-0000CDAD0000}"/>
    <cellStyle name="Title 3 14 8" xfId="44495" xr:uid="{00000000-0005-0000-0000-0000CEAD0000}"/>
    <cellStyle name="Title 3 14 9" xfId="44496" xr:uid="{00000000-0005-0000-0000-0000CFAD0000}"/>
    <cellStyle name="Title 3 15" xfId="44497" xr:uid="{00000000-0005-0000-0000-0000D0AD0000}"/>
    <cellStyle name="Title 3 15 10" xfId="44498" xr:uid="{00000000-0005-0000-0000-0000D1AD0000}"/>
    <cellStyle name="Title 3 15 11" xfId="44499" xr:uid="{00000000-0005-0000-0000-0000D2AD0000}"/>
    <cellStyle name="Title 3 15 12" xfId="44500" xr:uid="{00000000-0005-0000-0000-0000D3AD0000}"/>
    <cellStyle name="Title 3 15 13" xfId="44501" xr:uid="{00000000-0005-0000-0000-0000D4AD0000}"/>
    <cellStyle name="Title 3 15 14" xfId="44502" xr:uid="{00000000-0005-0000-0000-0000D5AD0000}"/>
    <cellStyle name="Title 3 15 15" xfId="44503" xr:uid="{00000000-0005-0000-0000-0000D6AD0000}"/>
    <cellStyle name="Title 3 15 2" xfId="44504" xr:uid="{00000000-0005-0000-0000-0000D7AD0000}"/>
    <cellStyle name="Title 3 15 3" xfId="44505" xr:uid="{00000000-0005-0000-0000-0000D8AD0000}"/>
    <cellStyle name="Title 3 15 4" xfId="44506" xr:uid="{00000000-0005-0000-0000-0000D9AD0000}"/>
    <cellStyle name="Title 3 15 5" xfId="44507" xr:uid="{00000000-0005-0000-0000-0000DAAD0000}"/>
    <cellStyle name="Title 3 15 6" xfId="44508" xr:uid="{00000000-0005-0000-0000-0000DBAD0000}"/>
    <cellStyle name="Title 3 15 7" xfId="44509" xr:uid="{00000000-0005-0000-0000-0000DCAD0000}"/>
    <cellStyle name="Title 3 15 8" xfId="44510" xr:uid="{00000000-0005-0000-0000-0000DDAD0000}"/>
    <cellStyle name="Title 3 15 9" xfId="44511" xr:uid="{00000000-0005-0000-0000-0000DEAD0000}"/>
    <cellStyle name="Title 3 16" xfId="44512" xr:uid="{00000000-0005-0000-0000-0000DFAD0000}"/>
    <cellStyle name="Title 3 16 10" xfId="44513" xr:uid="{00000000-0005-0000-0000-0000E0AD0000}"/>
    <cellStyle name="Title 3 16 11" xfId="44514" xr:uid="{00000000-0005-0000-0000-0000E1AD0000}"/>
    <cellStyle name="Title 3 16 12" xfId="44515" xr:uid="{00000000-0005-0000-0000-0000E2AD0000}"/>
    <cellStyle name="Title 3 16 13" xfId="44516" xr:uid="{00000000-0005-0000-0000-0000E3AD0000}"/>
    <cellStyle name="Title 3 16 14" xfId="44517" xr:uid="{00000000-0005-0000-0000-0000E4AD0000}"/>
    <cellStyle name="Title 3 16 15" xfId="44518" xr:uid="{00000000-0005-0000-0000-0000E5AD0000}"/>
    <cellStyle name="Title 3 16 2" xfId="44519" xr:uid="{00000000-0005-0000-0000-0000E6AD0000}"/>
    <cellStyle name="Title 3 16 3" xfId="44520" xr:uid="{00000000-0005-0000-0000-0000E7AD0000}"/>
    <cellStyle name="Title 3 16 4" xfId="44521" xr:uid="{00000000-0005-0000-0000-0000E8AD0000}"/>
    <cellStyle name="Title 3 16 5" xfId="44522" xr:uid="{00000000-0005-0000-0000-0000E9AD0000}"/>
    <cellStyle name="Title 3 16 6" xfId="44523" xr:uid="{00000000-0005-0000-0000-0000EAAD0000}"/>
    <cellStyle name="Title 3 16 7" xfId="44524" xr:uid="{00000000-0005-0000-0000-0000EBAD0000}"/>
    <cellStyle name="Title 3 16 8" xfId="44525" xr:uid="{00000000-0005-0000-0000-0000ECAD0000}"/>
    <cellStyle name="Title 3 16 9" xfId="44526" xr:uid="{00000000-0005-0000-0000-0000EDAD0000}"/>
    <cellStyle name="Title 3 17" xfId="44527" xr:uid="{00000000-0005-0000-0000-0000EEAD0000}"/>
    <cellStyle name="Title 3 17 10" xfId="44528" xr:uid="{00000000-0005-0000-0000-0000EFAD0000}"/>
    <cellStyle name="Title 3 17 11" xfId="44529" xr:uid="{00000000-0005-0000-0000-0000F0AD0000}"/>
    <cellStyle name="Title 3 17 12" xfId="44530" xr:uid="{00000000-0005-0000-0000-0000F1AD0000}"/>
    <cellStyle name="Title 3 17 13" xfId="44531" xr:uid="{00000000-0005-0000-0000-0000F2AD0000}"/>
    <cellStyle name="Title 3 17 14" xfId="44532" xr:uid="{00000000-0005-0000-0000-0000F3AD0000}"/>
    <cellStyle name="Title 3 17 15" xfId="44533" xr:uid="{00000000-0005-0000-0000-0000F4AD0000}"/>
    <cellStyle name="Title 3 17 2" xfId="44534" xr:uid="{00000000-0005-0000-0000-0000F5AD0000}"/>
    <cellStyle name="Title 3 17 3" xfId="44535" xr:uid="{00000000-0005-0000-0000-0000F6AD0000}"/>
    <cellStyle name="Title 3 17 4" xfId="44536" xr:uid="{00000000-0005-0000-0000-0000F7AD0000}"/>
    <cellStyle name="Title 3 17 5" xfId="44537" xr:uid="{00000000-0005-0000-0000-0000F8AD0000}"/>
    <cellStyle name="Title 3 17 6" xfId="44538" xr:uid="{00000000-0005-0000-0000-0000F9AD0000}"/>
    <cellStyle name="Title 3 17 7" xfId="44539" xr:uid="{00000000-0005-0000-0000-0000FAAD0000}"/>
    <cellStyle name="Title 3 17 8" xfId="44540" xr:uid="{00000000-0005-0000-0000-0000FBAD0000}"/>
    <cellStyle name="Title 3 17 9" xfId="44541" xr:uid="{00000000-0005-0000-0000-0000FCAD0000}"/>
    <cellStyle name="Title 3 18" xfId="44542" xr:uid="{00000000-0005-0000-0000-0000FDAD0000}"/>
    <cellStyle name="Title 3 18 10" xfId="44543" xr:uid="{00000000-0005-0000-0000-0000FEAD0000}"/>
    <cellStyle name="Title 3 18 11" xfId="44544" xr:uid="{00000000-0005-0000-0000-0000FFAD0000}"/>
    <cellStyle name="Title 3 18 12" xfId="44545" xr:uid="{00000000-0005-0000-0000-000000AE0000}"/>
    <cellStyle name="Title 3 18 13" xfId="44546" xr:uid="{00000000-0005-0000-0000-000001AE0000}"/>
    <cellStyle name="Title 3 18 14" xfId="44547" xr:uid="{00000000-0005-0000-0000-000002AE0000}"/>
    <cellStyle name="Title 3 18 15" xfId="44548" xr:uid="{00000000-0005-0000-0000-000003AE0000}"/>
    <cellStyle name="Title 3 18 2" xfId="44549" xr:uid="{00000000-0005-0000-0000-000004AE0000}"/>
    <cellStyle name="Title 3 18 3" xfId="44550" xr:uid="{00000000-0005-0000-0000-000005AE0000}"/>
    <cellStyle name="Title 3 18 4" xfId="44551" xr:uid="{00000000-0005-0000-0000-000006AE0000}"/>
    <cellStyle name="Title 3 18 5" xfId="44552" xr:uid="{00000000-0005-0000-0000-000007AE0000}"/>
    <cellStyle name="Title 3 18 6" xfId="44553" xr:uid="{00000000-0005-0000-0000-000008AE0000}"/>
    <cellStyle name="Title 3 18 7" xfId="44554" xr:uid="{00000000-0005-0000-0000-000009AE0000}"/>
    <cellStyle name="Title 3 18 8" xfId="44555" xr:uid="{00000000-0005-0000-0000-00000AAE0000}"/>
    <cellStyle name="Title 3 18 9" xfId="44556" xr:uid="{00000000-0005-0000-0000-00000BAE0000}"/>
    <cellStyle name="Title 3 19" xfId="44557" xr:uid="{00000000-0005-0000-0000-00000CAE0000}"/>
    <cellStyle name="Title 3 19 10" xfId="44558" xr:uid="{00000000-0005-0000-0000-00000DAE0000}"/>
    <cellStyle name="Title 3 19 11" xfId="44559" xr:uid="{00000000-0005-0000-0000-00000EAE0000}"/>
    <cellStyle name="Title 3 19 12" xfId="44560" xr:uid="{00000000-0005-0000-0000-00000FAE0000}"/>
    <cellStyle name="Title 3 19 13" xfId="44561" xr:uid="{00000000-0005-0000-0000-000010AE0000}"/>
    <cellStyle name="Title 3 19 14" xfId="44562" xr:uid="{00000000-0005-0000-0000-000011AE0000}"/>
    <cellStyle name="Title 3 19 15" xfId="44563" xr:uid="{00000000-0005-0000-0000-000012AE0000}"/>
    <cellStyle name="Title 3 19 2" xfId="44564" xr:uid="{00000000-0005-0000-0000-000013AE0000}"/>
    <cellStyle name="Title 3 19 3" xfId="44565" xr:uid="{00000000-0005-0000-0000-000014AE0000}"/>
    <cellStyle name="Title 3 19 4" xfId="44566" xr:uid="{00000000-0005-0000-0000-000015AE0000}"/>
    <cellStyle name="Title 3 19 5" xfId="44567" xr:uid="{00000000-0005-0000-0000-000016AE0000}"/>
    <cellStyle name="Title 3 19 6" xfId="44568" xr:uid="{00000000-0005-0000-0000-000017AE0000}"/>
    <cellStyle name="Title 3 19 7" xfId="44569" xr:uid="{00000000-0005-0000-0000-000018AE0000}"/>
    <cellStyle name="Title 3 19 8" xfId="44570" xr:uid="{00000000-0005-0000-0000-000019AE0000}"/>
    <cellStyle name="Title 3 19 9" xfId="44571" xr:uid="{00000000-0005-0000-0000-00001AAE0000}"/>
    <cellStyle name="Title 3 2" xfId="44572" xr:uid="{00000000-0005-0000-0000-00001BAE0000}"/>
    <cellStyle name="Title 3 2 10" xfId="44573" xr:uid="{00000000-0005-0000-0000-00001CAE0000}"/>
    <cellStyle name="Title 3 2 11" xfId="44574" xr:uid="{00000000-0005-0000-0000-00001DAE0000}"/>
    <cellStyle name="Title 3 2 12" xfId="44575" xr:uid="{00000000-0005-0000-0000-00001EAE0000}"/>
    <cellStyle name="Title 3 2 13" xfId="44576" xr:uid="{00000000-0005-0000-0000-00001FAE0000}"/>
    <cellStyle name="Title 3 2 14" xfId="44577" xr:uid="{00000000-0005-0000-0000-000020AE0000}"/>
    <cellStyle name="Title 3 2 15" xfId="44578" xr:uid="{00000000-0005-0000-0000-000021AE0000}"/>
    <cellStyle name="Title 3 2 16" xfId="44579" xr:uid="{00000000-0005-0000-0000-000022AE0000}"/>
    <cellStyle name="Title 3 2 17" xfId="44580" xr:uid="{00000000-0005-0000-0000-000023AE0000}"/>
    <cellStyle name="Title 3 2 18" xfId="44581" xr:uid="{00000000-0005-0000-0000-000024AE0000}"/>
    <cellStyle name="Title 3 2 19" xfId="44582" xr:uid="{00000000-0005-0000-0000-000025AE0000}"/>
    <cellStyle name="Title 3 2 2" xfId="44583" xr:uid="{00000000-0005-0000-0000-000026AE0000}"/>
    <cellStyle name="Title 3 2 20" xfId="44584" xr:uid="{00000000-0005-0000-0000-000027AE0000}"/>
    <cellStyle name="Title 3 2 21" xfId="44585" xr:uid="{00000000-0005-0000-0000-000028AE0000}"/>
    <cellStyle name="Title 3 2 22" xfId="44586" xr:uid="{00000000-0005-0000-0000-000029AE0000}"/>
    <cellStyle name="Title 3 2 23" xfId="44587" xr:uid="{00000000-0005-0000-0000-00002AAE0000}"/>
    <cellStyle name="Title 3 2 24" xfId="44588" xr:uid="{00000000-0005-0000-0000-00002BAE0000}"/>
    <cellStyle name="Title 3 2 25" xfId="44589" xr:uid="{00000000-0005-0000-0000-00002CAE0000}"/>
    <cellStyle name="Title 3 2 26" xfId="44590" xr:uid="{00000000-0005-0000-0000-00002DAE0000}"/>
    <cellStyle name="Title 3 2 27" xfId="44591" xr:uid="{00000000-0005-0000-0000-00002EAE0000}"/>
    <cellStyle name="Title 3 2 28" xfId="44592" xr:uid="{00000000-0005-0000-0000-00002FAE0000}"/>
    <cellStyle name="Title 3 2 29" xfId="44593" xr:uid="{00000000-0005-0000-0000-000030AE0000}"/>
    <cellStyle name="Title 3 2 3" xfId="44594" xr:uid="{00000000-0005-0000-0000-000031AE0000}"/>
    <cellStyle name="Title 3 2 30" xfId="44595" xr:uid="{00000000-0005-0000-0000-000032AE0000}"/>
    <cellStyle name="Title 3 2 31" xfId="44596" xr:uid="{00000000-0005-0000-0000-000033AE0000}"/>
    <cellStyle name="Title 3 2 32" xfId="44597" xr:uid="{00000000-0005-0000-0000-000034AE0000}"/>
    <cellStyle name="Title 3 2 33" xfId="44598" xr:uid="{00000000-0005-0000-0000-000035AE0000}"/>
    <cellStyle name="Title 3 2 34" xfId="44599" xr:uid="{00000000-0005-0000-0000-000036AE0000}"/>
    <cellStyle name="Title 3 2 35" xfId="44600" xr:uid="{00000000-0005-0000-0000-000037AE0000}"/>
    <cellStyle name="Title 3 2 36" xfId="44601" xr:uid="{00000000-0005-0000-0000-000038AE0000}"/>
    <cellStyle name="Title 3 2 37" xfId="44602" xr:uid="{00000000-0005-0000-0000-000039AE0000}"/>
    <cellStyle name="Title 3 2 38" xfId="44603" xr:uid="{00000000-0005-0000-0000-00003AAE0000}"/>
    <cellStyle name="Title 3 2 39" xfId="44604" xr:uid="{00000000-0005-0000-0000-00003BAE0000}"/>
    <cellStyle name="Title 3 2 4" xfId="44605" xr:uid="{00000000-0005-0000-0000-00003CAE0000}"/>
    <cellStyle name="Title 3 2 40" xfId="44606" xr:uid="{00000000-0005-0000-0000-00003DAE0000}"/>
    <cellStyle name="Title 3 2 41" xfId="44607" xr:uid="{00000000-0005-0000-0000-00003EAE0000}"/>
    <cellStyle name="Title 3 2 42" xfId="44608" xr:uid="{00000000-0005-0000-0000-00003FAE0000}"/>
    <cellStyle name="Title 3 2 43" xfId="44609" xr:uid="{00000000-0005-0000-0000-000040AE0000}"/>
    <cellStyle name="Title 3 2 44" xfId="44610" xr:uid="{00000000-0005-0000-0000-000041AE0000}"/>
    <cellStyle name="Title 3 2 45" xfId="44611" xr:uid="{00000000-0005-0000-0000-000042AE0000}"/>
    <cellStyle name="Title 3 2 46" xfId="44612" xr:uid="{00000000-0005-0000-0000-000043AE0000}"/>
    <cellStyle name="Title 3 2 47" xfId="44613" xr:uid="{00000000-0005-0000-0000-000044AE0000}"/>
    <cellStyle name="Title 3 2 48" xfId="44614" xr:uid="{00000000-0005-0000-0000-000045AE0000}"/>
    <cellStyle name="Title 3 2 49" xfId="44615" xr:uid="{00000000-0005-0000-0000-000046AE0000}"/>
    <cellStyle name="Title 3 2 5" xfId="44616" xr:uid="{00000000-0005-0000-0000-000047AE0000}"/>
    <cellStyle name="Title 3 2 50" xfId="44617" xr:uid="{00000000-0005-0000-0000-000048AE0000}"/>
    <cellStyle name="Title 3 2 51" xfId="44618" xr:uid="{00000000-0005-0000-0000-000049AE0000}"/>
    <cellStyle name="Title 3 2 52" xfId="44619" xr:uid="{00000000-0005-0000-0000-00004AAE0000}"/>
    <cellStyle name="Title 3 2 53" xfId="44620" xr:uid="{00000000-0005-0000-0000-00004BAE0000}"/>
    <cellStyle name="Title 3 2 6" xfId="44621" xr:uid="{00000000-0005-0000-0000-00004CAE0000}"/>
    <cellStyle name="Title 3 2 7" xfId="44622" xr:uid="{00000000-0005-0000-0000-00004DAE0000}"/>
    <cellStyle name="Title 3 2 8" xfId="44623" xr:uid="{00000000-0005-0000-0000-00004EAE0000}"/>
    <cellStyle name="Title 3 2 9" xfId="44624" xr:uid="{00000000-0005-0000-0000-00004FAE0000}"/>
    <cellStyle name="Title 3 20" xfId="44625" xr:uid="{00000000-0005-0000-0000-000050AE0000}"/>
    <cellStyle name="Title 3 20 10" xfId="44626" xr:uid="{00000000-0005-0000-0000-000051AE0000}"/>
    <cellStyle name="Title 3 20 11" xfId="44627" xr:uid="{00000000-0005-0000-0000-000052AE0000}"/>
    <cellStyle name="Title 3 20 12" xfId="44628" xr:uid="{00000000-0005-0000-0000-000053AE0000}"/>
    <cellStyle name="Title 3 20 13" xfId="44629" xr:uid="{00000000-0005-0000-0000-000054AE0000}"/>
    <cellStyle name="Title 3 20 14" xfId="44630" xr:uid="{00000000-0005-0000-0000-000055AE0000}"/>
    <cellStyle name="Title 3 20 15" xfId="44631" xr:uid="{00000000-0005-0000-0000-000056AE0000}"/>
    <cellStyle name="Title 3 20 2" xfId="44632" xr:uid="{00000000-0005-0000-0000-000057AE0000}"/>
    <cellStyle name="Title 3 20 3" xfId="44633" xr:uid="{00000000-0005-0000-0000-000058AE0000}"/>
    <cellStyle name="Title 3 20 4" xfId="44634" xr:uid="{00000000-0005-0000-0000-000059AE0000}"/>
    <cellStyle name="Title 3 20 5" xfId="44635" xr:uid="{00000000-0005-0000-0000-00005AAE0000}"/>
    <cellStyle name="Title 3 20 6" xfId="44636" xr:uid="{00000000-0005-0000-0000-00005BAE0000}"/>
    <cellStyle name="Title 3 20 7" xfId="44637" xr:uid="{00000000-0005-0000-0000-00005CAE0000}"/>
    <cellStyle name="Title 3 20 8" xfId="44638" xr:uid="{00000000-0005-0000-0000-00005DAE0000}"/>
    <cellStyle name="Title 3 20 9" xfId="44639" xr:uid="{00000000-0005-0000-0000-00005EAE0000}"/>
    <cellStyle name="Title 3 21" xfId="44640" xr:uid="{00000000-0005-0000-0000-00005FAE0000}"/>
    <cellStyle name="Title 3 21 10" xfId="44641" xr:uid="{00000000-0005-0000-0000-000060AE0000}"/>
    <cellStyle name="Title 3 21 11" xfId="44642" xr:uid="{00000000-0005-0000-0000-000061AE0000}"/>
    <cellStyle name="Title 3 21 12" xfId="44643" xr:uid="{00000000-0005-0000-0000-000062AE0000}"/>
    <cellStyle name="Title 3 21 13" xfId="44644" xr:uid="{00000000-0005-0000-0000-000063AE0000}"/>
    <cellStyle name="Title 3 21 14" xfId="44645" xr:uid="{00000000-0005-0000-0000-000064AE0000}"/>
    <cellStyle name="Title 3 21 15" xfId="44646" xr:uid="{00000000-0005-0000-0000-000065AE0000}"/>
    <cellStyle name="Title 3 21 2" xfId="44647" xr:uid="{00000000-0005-0000-0000-000066AE0000}"/>
    <cellStyle name="Title 3 21 3" xfId="44648" xr:uid="{00000000-0005-0000-0000-000067AE0000}"/>
    <cellStyle name="Title 3 21 4" xfId="44649" xr:uid="{00000000-0005-0000-0000-000068AE0000}"/>
    <cellStyle name="Title 3 21 5" xfId="44650" xr:uid="{00000000-0005-0000-0000-000069AE0000}"/>
    <cellStyle name="Title 3 21 6" xfId="44651" xr:uid="{00000000-0005-0000-0000-00006AAE0000}"/>
    <cellStyle name="Title 3 21 7" xfId="44652" xr:uid="{00000000-0005-0000-0000-00006BAE0000}"/>
    <cellStyle name="Title 3 21 8" xfId="44653" xr:uid="{00000000-0005-0000-0000-00006CAE0000}"/>
    <cellStyle name="Title 3 21 9" xfId="44654" xr:uid="{00000000-0005-0000-0000-00006DAE0000}"/>
    <cellStyle name="Title 3 22" xfId="44655" xr:uid="{00000000-0005-0000-0000-00006EAE0000}"/>
    <cellStyle name="Title 3 22 10" xfId="44656" xr:uid="{00000000-0005-0000-0000-00006FAE0000}"/>
    <cellStyle name="Title 3 22 11" xfId="44657" xr:uid="{00000000-0005-0000-0000-000070AE0000}"/>
    <cellStyle name="Title 3 22 12" xfId="44658" xr:uid="{00000000-0005-0000-0000-000071AE0000}"/>
    <cellStyle name="Title 3 22 13" xfId="44659" xr:uid="{00000000-0005-0000-0000-000072AE0000}"/>
    <cellStyle name="Title 3 22 14" xfId="44660" xr:uid="{00000000-0005-0000-0000-000073AE0000}"/>
    <cellStyle name="Title 3 22 15" xfId="44661" xr:uid="{00000000-0005-0000-0000-000074AE0000}"/>
    <cellStyle name="Title 3 22 2" xfId="44662" xr:uid="{00000000-0005-0000-0000-000075AE0000}"/>
    <cellStyle name="Title 3 22 3" xfId="44663" xr:uid="{00000000-0005-0000-0000-000076AE0000}"/>
    <cellStyle name="Title 3 22 4" xfId="44664" xr:uid="{00000000-0005-0000-0000-000077AE0000}"/>
    <cellStyle name="Title 3 22 5" xfId="44665" xr:uid="{00000000-0005-0000-0000-000078AE0000}"/>
    <cellStyle name="Title 3 22 6" xfId="44666" xr:uid="{00000000-0005-0000-0000-000079AE0000}"/>
    <cellStyle name="Title 3 22 7" xfId="44667" xr:uid="{00000000-0005-0000-0000-00007AAE0000}"/>
    <cellStyle name="Title 3 22 8" xfId="44668" xr:uid="{00000000-0005-0000-0000-00007BAE0000}"/>
    <cellStyle name="Title 3 22 9" xfId="44669" xr:uid="{00000000-0005-0000-0000-00007CAE0000}"/>
    <cellStyle name="Title 3 23" xfId="44670" xr:uid="{00000000-0005-0000-0000-00007DAE0000}"/>
    <cellStyle name="Title 3 23 10" xfId="44671" xr:uid="{00000000-0005-0000-0000-00007EAE0000}"/>
    <cellStyle name="Title 3 23 11" xfId="44672" xr:uid="{00000000-0005-0000-0000-00007FAE0000}"/>
    <cellStyle name="Title 3 23 12" xfId="44673" xr:uid="{00000000-0005-0000-0000-000080AE0000}"/>
    <cellStyle name="Title 3 23 13" xfId="44674" xr:uid="{00000000-0005-0000-0000-000081AE0000}"/>
    <cellStyle name="Title 3 23 14" xfId="44675" xr:uid="{00000000-0005-0000-0000-000082AE0000}"/>
    <cellStyle name="Title 3 23 15" xfId="44676" xr:uid="{00000000-0005-0000-0000-000083AE0000}"/>
    <cellStyle name="Title 3 23 2" xfId="44677" xr:uid="{00000000-0005-0000-0000-000084AE0000}"/>
    <cellStyle name="Title 3 23 3" xfId="44678" xr:uid="{00000000-0005-0000-0000-000085AE0000}"/>
    <cellStyle name="Title 3 23 4" xfId="44679" xr:uid="{00000000-0005-0000-0000-000086AE0000}"/>
    <cellStyle name="Title 3 23 5" xfId="44680" xr:uid="{00000000-0005-0000-0000-000087AE0000}"/>
    <cellStyle name="Title 3 23 6" xfId="44681" xr:uid="{00000000-0005-0000-0000-000088AE0000}"/>
    <cellStyle name="Title 3 23 7" xfId="44682" xr:uid="{00000000-0005-0000-0000-000089AE0000}"/>
    <cellStyle name="Title 3 23 8" xfId="44683" xr:uid="{00000000-0005-0000-0000-00008AAE0000}"/>
    <cellStyle name="Title 3 23 9" xfId="44684" xr:uid="{00000000-0005-0000-0000-00008BAE0000}"/>
    <cellStyle name="Title 3 24" xfId="44685" xr:uid="{00000000-0005-0000-0000-00008CAE0000}"/>
    <cellStyle name="Title 3 24 10" xfId="44686" xr:uid="{00000000-0005-0000-0000-00008DAE0000}"/>
    <cellStyle name="Title 3 24 11" xfId="44687" xr:uid="{00000000-0005-0000-0000-00008EAE0000}"/>
    <cellStyle name="Title 3 24 12" xfId="44688" xr:uid="{00000000-0005-0000-0000-00008FAE0000}"/>
    <cellStyle name="Title 3 24 13" xfId="44689" xr:uid="{00000000-0005-0000-0000-000090AE0000}"/>
    <cellStyle name="Title 3 24 14" xfId="44690" xr:uid="{00000000-0005-0000-0000-000091AE0000}"/>
    <cellStyle name="Title 3 24 15" xfId="44691" xr:uid="{00000000-0005-0000-0000-000092AE0000}"/>
    <cellStyle name="Title 3 24 2" xfId="44692" xr:uid="{00000000-0005-0000-0000-000093AE0000}"/>
    <cellStyle name="Title 3 24 3" xfId="44693" xr:uid="{00000000-0005-0000-0000-000094AE0000}"/>
    <cellStyle name="Title 3 24 4" xfId="44694" xr:uid="{00000000-0005-0000-0000-000095AE0000}"/>
    <cellStyle name="Title 3 24 5" xfId="44695" xr:uid="{00000000-0005-0000-0000-000096AE0000}"/>
    <cellStyle name="Title 3 24 6" xfId="44696" xr:uid="{00000000-0005-0000-0000-000097AE0000}"/>
    <cellStyle name="Title 3 24 7" xfId="44697" xr:uid="{00000000-0005-0000-0000-000098AE0000}"/>
    <cellStyle name="Title 3 24 8" xfId="44698" xr:uid="{00000000-0005-0000-0000-000099AE0000}"/>
    <cellStyle name="Title 3 24 9" xfId="44699" xr:uid="{00000000-0005-0000-0000-00009AAE0000}"/>
    <cellStyle name="Title 3 25" xfId="44700" xr:uid="{00000000-0005-0000-0000-00009BAE0000}"/>
    <cellStyle name="Title 3 25 10" xfId="44701" xr:uid="{00000000-0005-0000-0000-00009CAE0000}"/>
    <cellStyle name="Title 3 25 11" xfId="44702" xr:uid="{00000000-0005-0000-0000-00009DAE0000}"/>
    <cellStyle name="Title 3 25 12" xfId="44703" xr:uid="{00000000-0005-0000-0000-00009EAE0000}"/>
    <cellStyle name="Title 3 25 13" xfId="44704" xr:uid="{00000000-0005-0000-0000-00009FAE0000}"/>
    <cellStyle name="Title 3 25 14" xfId="44705" xr:uid="{00000000-0005-0000-0000-0000A0AE0000}"/>
    <cellStyle name="Title 3 25 15" xfId="44706" xr:uid="{00000000-0005-0000-0000-0000A1AE0000}"/>
    <cellStyle name="Title 3 25 2" xfId="44707" xr:uid="{00000000-0005-0000-0000-0000A2AE0000}"/>
    <cellStyle name="Title 3 25 3" xfId="44708" xr:uid="{00000000-0005-0000-0000-0000A3AE0000}"/>
    <cellStyle name="Title 3 25 4" xfId="44709" xr:uid="{00000000-0005-0000-0000-0000A4AE0000}"/>
    <cellStyle name="Title 3 25 5" xfId="44710" xr:uid="{00000000-0005-0000-0000-0000A5AE0000}"/>
    <cellStyle name="Title 3 25 6" xfId="44711" xr:uid="{00000000-0005-0000-0000-0000A6AE0000}"/>
    <cellStyle name="Title 3 25 7" xfId="44712" xr:uid="{00000000-0005-0000-0000-0000A7AE0000}"/>
    <cellStyle name="Title 3 25 8" xfId="44713" xr:uid="{00000000-0005-0000-0000-0000A8AE0000}"/>
    <cellStyle name="Title 3 25 9" xfId="44714" xr:uid="{00000000-0005-0000-0000-0000A9AE0000}"/>
    <cellStyle name="Title 3 26" xfId="44715" xr:uid="{00000000-0005-0000-0000-0000AAAE0000}"/>
    <cellStyle name="Title 3 26 10" xfId="44716" xr:uid="{00000000-0005-0000-0000-0000ABAE0000}"/>
    <cellStyle name="Title 3 26 11" xfId="44717" xr:uid="{00000000-0005-0000-0000-0000ACAE0000}"/>
    <cellStyle name="Title 3 26 12" xfId="44718" xr:uid="{00000000-0005-0000-0000-0000ADAE0000}"/>
    <cellStyle name="Title 3 26 13" xfId="44719" xr:uid="{00000000-0005-0000-0000-0000AEAE0000}"/>
    <cellStyle name="Title 3 26 14" xfId="44720" xr:uid="{00000000-0005-0000-0000-0000AFAE0000}"/>
    <cellStyle name="Title 3 26 15" xfId="44721" xr:uid="{00000000-0005-0000-0000-0000B0AE0000}"/>
    <cellStyle name="Title 3 26 2" xfId="44722" xr:uid="{00000000-0005-0000-0000-0000B1AE0000}"/>
    <cellStyle name="Title 3 26 3" xfId="44723" xr:uid="{00000000-0005-0000-0000-0000B2AE0000}"/>
    <cellStyle name="Title 3 26 4" xfId="44724" xr:uid="{00000000-0005-0000-0000-0000B3AE0000}"/>
    <cellStyle name="Title 3 26 5" xfId="44725" xr:uid="{00000000-0005-0000-0000-0000B4AE0000}"/>
    <cellStyle name="Title 3 26 6" xfId="44726" xr:uid="{00000000-0005-0000-0000-0000B5AE0000}"/>
    <cellStyle name="Title 3 26 7" xfId="44727" xr:uid="{00000000-0005-0000-0000-0000B6AE0000}"/>
    <cellStyle name="Title 3 26 8" xfId="44728" xr:uid="{00000000-0005-0000-0000-0000B7AE0000}"/>
    <cellStyle name="Title 3 26 9" xfId="44729" xr:uid="{00000000-0005-0000-0000-0000B8AE0000}"/>
    <cellStyle name="Title 3 27" xfId="44730" xr:uid="{00000000-0005-0000-0000-0000B9AE0000}"/>
    <cellStyle name="Title 3 27 10" xfId="44731" xr:uid="{00000000-0005-0000-0000-0000BAAE0000}"/>
    <cellStyle name="Title 3 27 11" xfId="44732" xr:uid="{00000000-0005-0000-0000-0000BBAE0000}"/>
    <cellStyle name="Title 3 27 12" xfId="44733" xr:uid="{00000000-0005-0000-0000-0000BCAE0000}"/>
    <cellStyle name="Title 3 27 13" xfId="44734" xr:uid="{00000000-0005-0000-0000-0000BDAE0000}"/>
    <cellStyle name="Title 3 27 14" xfId="44735" xr:uid="{00000000-0005-0000-0000-0000BEAE0000}"/>
    <cellStyle name="Title 3 27 15" xfId="44736" xr:uid="{00000000-0005-0000-0000-0000BFAE0000}"/>
    <cellStyle name="Title 3 27 2" xfId="44737" xr:uid="{00000000-0005-0000-0000-0000C0AE0000}"/>
    <cellStyle name="Title 3 27 3" xfId="44738" xr:uid="{00000000-0005-0000-0000-0000C1AE0000}"/>
    <cellStyle name="Title 3 27 4" xfId="44739" xr:uid="{00000000-0005-0000-0000-0000C2AE0000}"/>
    <cellStyle name="Title 3 27 5" xfId="44740" xr:uid="{00000000-0005-0000-0000-0000C3AE0000}"/>
    <cellStyle name="Title 3 27 6" xfId="44741" xr:uid="{00000000-0005-0000-0000-0000C4AE0000}"/>
    <cellStyle name="Title 3 27 7" xfId="44742" xr:uid="{00000000-0005-0000-0000-0000C5AE0000}"/>
    <cellStyle name="Title 3 27 8" xfId="44743" xr:uid="{00000000-0005-0000-0000-0000C6AE0000}"/>
    <cellStyle name="Title 3 27 9" xfId="44744" xr:uid="{00000000-0005-0000-0000-0000C7AE0000}"/>
    <cellStyle name="Title 3 28" xfId="44745" xr:uid="{00000000-0005-0000-0000-0000C8AE0000}"/>
    <cellStyle name="Title 3 28 10" xfId="44746" xr:uid="{00000000-0005-0000-0000-0000C9AE0000}"/>
    <cellStyle name="Title 3 28 11" xfId="44747" xr:uid="{00000000-0005-0000-0000-0000CAAE0000}"/>
    <cellStyle name="Title 3 28 12" xfId="44748" xr:uid="{00000000-0005-0000-0000-0000CBAE0000}"/>
    <cellStyle name="Title 3 28 13" xfId="44749" xr:uid="{00000000-0005-0000-0000-0000CCAE0000}"/>
    <cellStyle name="Title 3 28 14" xfId="44750" xr:uid="{00000000-0005-0000-0000-0000CDAE0000}"/>
    <cellStyle name="Title 3 28 15" xfId="44751" xr:uid="{00000000-0005-0000-0000-0000CEAE0000}"/>
    <cellStyle name="Title 3 28 2" xfId="44752" xr:uid="{00000000-0005-0000-0000-0000CFAE0000}"/>
    <cellStyle name="Title 3 28 3" xfId="44753" xr:uid="{00000000-0005-0000-0000-0000D0AE0000}"/>
    <cellStyle name="Title 3 28 4" xfId="44754" xr:uid="{00000000-0005-0000-0000-0000D1AE0000}"/>
    <cellStyle name="Title 3 28 5" xfId="44755" xr:uid="{00000000-0005-0000-0000-0000D2AE0000}"/>
    <cellStyle name="Title 3 28 6" xfId="44756" xr:uid="{00000000-0005-0000-0000-0000D3AE0000}"/>
    <cellStyle name="Title 3 28 7" xfId="44757" xr:uid="{00000000-0005-0000-0000-0000D4AE0000}"/>
    <cellStyle name="Title 3 28 8" xfId="44758" xr:uid="{00000000-0005-0000-0000-0000D5AE0000}"/>
    <cellStyle name="Title 3 28 9" xfId="44759" xr:uid="{00000000-0005-0000-0000-0000D6AE0000}"/>
    <cellStyle name="Title 3 29" xfId="44760" xr:uid="{00000000-0005-0000-0000-0000D7AE0000}"/>
    <cellStyle name="Title 3 29 10" xfId="44761" xr:uid="{00000000-0005-0000-0000-0000D8AE0000}"/>
    <cellStyle name="Title 3 29 11" xfId="44762" xr:uid="{00000000-0005-0000-0000-0000D9AE0000}"/>
    <cellStyle name="Title 3 29 12" xfId="44763" xr:uid="{00000000-0005-0000-0000-0000DAAE0000}"/>
    <cellStyle name="Title 3 29 13" xfId="44764" xr:uid="{00000000-0005-0000-0000-0000DBAE0000}"/>
    <cellStyle name="Title 3 29 14" xfId="44765" xr:uid="{00000000-0005-0000-0000-0000DCAE0000}"/>
    <cellStyle name="Title 3 29 15" xfId="44766" xr:uid="{00000000-0005-0000-0000-0000DDAE0000}"/>
    <cellStyle name="Title 3 29 2" xfId="44767" xr:uid="{00000000-0005-0000-0000-0000DEAE0000}"/>
    <cellStyle name="Title 3 29 3" xfId="44768" xr:uid="{00000000-0005-0000-0000-0000DFAE0000}"/>
    <cellStyle name="Title 3 29 4" xfId="44769" xr:uid="{00000000-0005-0000-0000-0000E0AE0000}"/>
    <cellStyle name="Title 3 29 5" xfId="44770" xr:uid="{00000000-0005-0000-0000-0000E1AE0000}"/>
    <cellStyle name="Title 3 29 6" xfId="44771" xr:uid="{00000000-0005-0000-0000-0000E2AE0000}"/>
    <cellStyle name="Title 3 29 7" xfId="44772" xr:uid="{00000000-0005-0000-0000-0000E3AE0000}"/>
    <cellStyle name="Title 3 29 8" xfId="44773" xr:uid="{00000000-0005-0000-0000-0000E4AE0000}"/>
    <cellStyle name="Title 3 29 9" xfId="44774" xr:uid="{00000000-0005-0000-0000-0000E5AE0000}"/>
    <cellStyle name="Title 3 3" xfId="44775" xr:uid="{00000000-0005-0000-0000-0000E6AE0000}"/>
    <cellStyle name="Title 3 3 10" xfId="44776" xr:uid="{00000000-0005-0000-0000-0000E7AE0000}"/>
    <cellStyle name="Title 3 3 11" xfId="44777" xr:uid="{00000000-0005-0000-0000-0000E8AE0000}"/>
    <cellStyle name="Title 3 3 12" xfId="44778" xr:uid="{00000000-0005-0000-0000-0000E9AE0000}"/>
    <cellStyle name="Title 3 3 13" xfId="44779" xr:uid="{00000000-0005-0000-0000-0000EAAE0000}"/>
    <cellStyle name="Title 3 3 14" xfId="44780" xr:uid="{00000000-0005-0000-0000-0000EBAE0000}"/>
    <cellStyle name="Title 3 3 15" xfId="44781" xr:uid="{00000000-0005-0000-0000-0000ECAE0000}"/>
    <cellStyle name="Title 3 3 16" xfId="44782" xr:uid="{00000000-0005-0000-0000-0000EDAE0000}"/>
    <cellStyle name="Title 3 3 2" xfId="44783" xr:uid="{00000000-0005-0000-0000-0000EEAE0000}"/>
    <cellStyle name="Title 3 3 3" xfId="44784" xr:uid="{00000000-0005-0000-0000-0000EFAE0000}"/>
    <cellStyle name="Title 3 3 4" xfId="44785" xr:uid="{00000000-0005-0000-0000-0000F0AE0000}"/>
    <cellStyle name="Title 3 3 5" xfId="44786" xr:uid="{00000000-0005-0000-0000-0000F1AE0000}"/>
    <cellStyle name="Title 3 3 6" xfId="44787" xr:uid="{00000000-0005-0000-0000-0000F2AE0000}"/>
    <cellStyle name="Title 3 3 7" xfId="44788" xr:uid="{00000000-0005-0000-0000-0000F3AE0000}"/>
    <cellStyle name="Title 3 3 8" xfId="44789" xr:uid="{00000000-0005-0000-0000-0000F4AE0000}"/>
    <cellStyle name="Title 3 3 9" xfId="44790" xr:uid="{00000000-0005-0000-0000-0000F5AE0000}"/>
    <cellStyle name="Title 3 30" xfId="44791" xr:uid="{00000000-0005-0000-0000-0000F6AE0000}"/>
    <cellStyle name="Title 3 30 10" xfId="44792" xr:uid="{00000000-0005-0000-0000-0000F7AE0000}"/>
    <cellStyle name="Title 3 30 11" xfId="44793" xr:uid="{00000000-0005-0000-0000-0000F8AE0000}"/>
    <cellStyle name="Title 3 30 12" xfId="44794" xr:uid="{00000000-0005-0000-0000-0000F9AE0000}"/>
    <cellStyle name="Title 3 30 13" xfId="44795" xr:uid="{00000000-0005-0000-0000-0000FAAE0000}"/>
    <cellStyle name="Title 3 30 14" xfId="44796" xr:uid="{00000000-0005-0000-0000-0000FBAE0000}"/>
    <cellStyle name="Title 3 30 15" xfId="44797" xr:uid="{00000000-0005-0000-0000-0000FCAE0000}"/>
    <cellStyle name="Title 3 30 2" xfId="44798" xr:uid="{00000000-0005-0000-0000-0000FDAE0000}"/>
    <cellStyle name="Title 3 30 3" xfId="44799" xr:uid="{00000000-0005-0000-0000-0000FEAE0000}"/>
    <cellStyle name="Title 3 30 4" xfId="44800" xr:uid="{00000000-0005-0000-0000-0000FFAE0000}"/>
    <cellStyle name="Title 3 30 5" xfId="44801" xr:uid="{00000000-0005-0000-0000-000000AF0000}"/>
    <cellStyle name="Title 3 30 6" xfId="44802" xr:uid="{00000000-0005-0000-0000-000001AF0000}"/>
    <cellStyle name="Title 3 30 7" xfId="44803" xr:uid="{00000000-0005-0000-0000-000002AF0000}"/>
    <cellStyle name="Title 3 30 8" xfId="44804" xr:uid="{00000000-0005-0000-0000-000003AF0000}"/>
    <cellStyle name="Title 3 30 9" xfId="44805" xr:uid="{00000000-0005-0000-0000-000004AF0000}"/>
    <cellStyle name="Title 3 31" xfId="44806" xr:uid="{00000000-0005-0000-0000-000005AF0000}"/>
    <cellStyle name="Title 3 31 10" xfId="44807" xr:uid="{00000000-0005-0000-0000-000006AF0000}"/>
    <cellStyle name="Title 3 31 11" xfId="44808" xr:uid="{00000000-0005-0000-0000-000007AF0000}"/>
    <cellStyle name="Title 3 31 12" xfId="44809" xr:uid="{00000000-0005-0000-0000-000008AF0000}"/>
    <cellStyle name="Title 3 31 13" xfId="44810" xr:uid="{00000000-0005-0000-0000-000009AF0000}"/>
    <cellStyle name="Title 3 31 14" xfId="44811" xr:uid="{00000000-0005-0000-0000-00000AAF0000}"/>
    <cellStyle name="Title 3 31 15" xfId="44812" xr:uid="{00000000-0005-0000-0000-00000BAF0000}"/>
    <cellStyle name="Title 3 31 2" xfId="44813" xr:uid="{00000000-0005-0000-0000-00000CAF0000}"/>
    <cellStyle name="Title 3 31 3" xfId="44814" xr:uid="{00000000-0005-0000-0000-00000DAF0000}"/>
    <cellStyle name="Title 3 31 4" xfId="44815" xr:uid="{00000000-0005-0000-0000-00000EAF0000}"/>
    <cellStyle name="Title 3 31 5" xfId="44816" xr:uid="{00000000-0005-0000-0000-00000FAF0000}"/>
    <cellStyle name="Title 3 31 6" xfId="44817" xr:uid="{00000000-0005-0000-0000-000010AF0000}"/>
    <cellStyle name="Title 3 31 7" xfId="44818" xr:uid="{00000000-0005-0000-0000-000011AF0000}"/>
    <cellStyle name="Title 3 31 8" xfId="44819" xr:uid="{00000000-0005-0000-0000-000012AF0000}"/>
    <cellStyle name="Title 3 31 9" xfId="44820" xr:uid="{00000000-0005-0000-0000-000013AF0000}"/>
    <cellStyle name="Title 3 32" xfId="44821" xr:uid="{00000000-0005-0000-0000-000014AF0000}"/>
    <cellStyle name="Title 3 32 10" xfId="44822" xr:uid="{00000000-0005-0000-0000-000015AF0000}"/>
    <cellStyle name="Title 3 32 11" xfId="44823" xr:uid="{00000000-0005-0000-0000-000016AF0000}"/>
    <cellStyle name="Title 3 32 12" xfId="44824" xr:uid="{00000000-0005-0000-0000-000017AF0000}"/>
    <cellStyle name="Title 3 32 13" xfId="44825" xr:uid="{00000000-0005-0000-0000-000018AF0000}"/>
    <cellStyle name="Title 3 32 14" xfId="44826" xr:uid="{00000000-0005-0000-0000-000019AF0000}"/>
    <cellStyle name="Title 3 32 15" xfId="44827" xr:uid="{00000000-0005-0000-0000-00001AAF0000}"/>
    <cellStyle name="Title 3 32 2" xfId="44828" xr:uid="{00000000-0005-0000-0000-00001BAF0000}"/>
    <cellStyle name="Title 3 32 3" xfId="44829" xr:uid="{00000000-0005-0000-0000-00001CAF0000}"/>
    <cellStyle name="Title 3 32 4" xfId="44830" xr:uid="{00000000-0005-0000-0000-00001DAF0000}"/>
    <cellStyle name="Title 3 32 5" xfId="44831" xr:uid="{00000000-0005-0000-0000-00001EAF0000}"/>
    <cellStyle name="Title 3 32 6" xfId="44832" xr:uid="{00000000-0005-0000-0000-00001FAF0000}"/>
    <cellStyle name="Title 3 32 7" xfId="44833" xr:uid="{00000000-0005-0000-0000-000020AF0000}"/>
    <cellStyle name="Title 3 32 8" xfId="44834" xr:uid="{00000000-0005-0000-0000-000021AF0000}"/>
    <cellStyle name="Title 3 32 9" xfId="44835" xr:uid="{00000000-0005-0000-0000-000022AF0000}"/>
    <cellStyle name="Title 3 33" xfId="44836" xr:uid="{00000000-0005-0000-0000-000023AF0000}"/>
    <cellStyle name="Title 3 34" xfId="44837" xr:uid="{00000000-0005-0000-0000-000024AF0000}"/>
    <cellStyle name="Title 3 35" xfId="44838" xr:uid="{00000000-0005-0000-0000-000025AF0000}"/>
    <cellStyle name="Title 3 36" xfId="44839" xr:uid="{00000000-0005-0000-0000-000026AF0000}"/>
    <cellStyle name="Title 3 37" xfId="44840" xr:uid="{00000000-0005-0000-0000-000027AF0000}"/>
    <cellStyle name="Title 3 38" xfId="44841" xr:uid="{00000000-0005-0000-0000-000028AF0000}"/>
    <cellStyle name="Title 3 39" xfId="44842" xr:uid="{00000000-0005-0000-0000-000029AF0000}"/>
    <cellStyle name="Title 3 4" xfId="44843" xr:uid="{00000000-0005-0000-0000-00002AAF0000}"/>
    <cellStyle name="Title 3 4 10" xfId="44844" xr:uid="{00000000-0005-0000-0000-00002BAF0000}"/>
    <cellStyle name="Title 3 4 11" xfId="44845" xr:uid="{00000000-0005-0000-0000-00002CAF0000}"/>
    <cellStyle name="Title 3 4 12" xfId="44846" xr:uid="{00000000-0005-0000-0000-00002DAF0000}"/>
    <cellStyle name="Title 3 4 13" xfId="44847" xr:uid="{00000000-0005-0000-0000-00002EAF0000}"/>
    <cellStyle name="Title 3 4 14" xfId="44848" xr:uid="{00000000-0005-0000-0000-00002FAF0000}"/>
    <cellStyle name="Title 3 4 15" xfId="44849" xr:uid="{00000000-0005-0000-0000-000030AF0000}"/>
    <cellStyle name="Title 3 4 2" xfId="44850" xr:uid="{00000000-0005-0000-0000-000031AF0000}"/>
    <cellStyle name="Title 3 4 3" xfId="44851" xr:uid="{00000000-0005-0000-0000-000032AF0000}"/>
    <cellStyle name="Title 3 4 4" xfId="44852" xr:uid="{00000000-0005-0000-0000-000033AF0000}"/>
    <cellStyle name="Title 3 4 5" xfId="44853" xr:uid="{00000000-0005-0000-0000-000034AF0000}"/>
    <cellStyle name="Title 3 4 6" xfId="44854" xr:uid="{00000000-0005-0000-0000-000035AF0000}"/>
    <cellStyle name="Title 3 4 7" xfId="44855" xr:uid="{00000000-0005-0000-0000-000036AF0000}"/>
    <cellStyle name="Title 3 4 8" xfId="44856" xr:uid="{00000000-0005-0000-0000-000037AF0000}"/>
    <cellStyle name="Title 3 4 9" xfId="44857" xr:uid="{00000000-0005-0000-0000-000038AF0000}"/>
    <cellStyle name="Title 3 40" xfId="44858" xr:uid="{00000000-0005-0000-0000-000039AF0000}"/>
    <cellStyle name="Title 3 41" xfId="44859" xr:uid="{00000000-0005-0000-0000-00003AAF0000}"/>
    <cellStyle name="Title 3 42" xfId="44860" xr:uid="{00000000-0005-0000-0000-00003BAF0000}"/>
    <cellStyle name="Title 3 43" xfId="44861" xr:uid="{00000000-0005-0000-0000-00003CAF0000}"/>
    <cellStyle name="Title 3 44" xfId="44862" xr:uid="{00000000-0005-0000-0000-00003DAF0000}"/>
    <cellStyle name="Title 3 45" xfId="44863" xr:uid="{00000000-0005-0000-0000-00003EAF0000}"/>
    <cellStyle name="Title 3 46" xfId="44864" xr:uid="{00000000-0005-0000-0000-00003FAF0000}"/>
    <cellStyle name="Title 3 47" xfId="44865" xr:uid="{00000000-0005-0000-0000-000040AF0000}"/>
    <cellStyle name="Title 3 48" xfId="44866" xr:uid="{00000000-0005-0000-0000-000041AF0000}"/>
    <cellStyle name="Title 3 49" xfId="44867" xr:uid="{00000000-0005-0000-0000-000042AF0000}"/>
    <cellStyle name="Title 3 5" xfId="44868" xr:uid="{00000000-0005-0000-0000-000043AF0000}"/>
    <cellStyle name="Title 3 5 10" xfId="44869" xr:uid="{00000000-0005-0000-0000-000044AF0000}"/>
    <cellStyle name="Title 3 5 11" xfId="44870" xr:uid="{00000000-0005-0000-0000-000045AF0000}"/>
    <cellStyle name="Title 3 5 12" xfId="44871" xr:uid="{00000000-0005-0000-0000-000046AF0000}"/>
    <cellStyle name="Title 3 5 13" xfId="44872" xr:uid="{00000000-0005-0000-0000-000047AF0000}"/>
    <cellStyle name="Title 3 5 14" xfId="44873" xr:uid="{00000000-0005-0000-0000-000048AF0000}"/>
    <cellStyle name="Title 3 5 15" xfId="44874" xr:uid="{00000000-0005-0000-0000-000049AF0000}"/>
    <cellStyle name="Title 3 5 2" xfId="44875" xr:uid="{00000000-0005-0000-0000-00004AAF0000}"/>
    <cellStyle name="Title 3 5 3" xfId="44876" xr:uid="{00000000-0005-0000-0000-00004BAF0000}"/>
    <cellStyle name="Title 3 5 4" xfId="44877" xr:uid="{00000000-0005-0000-0000-00004CAF0000}"/>
    <cellStyle name="Title 3 5 5" xfId="44878" xr:uid="{00000000-0005-0000-0000-00004DAF0000}"/>
    <cellStyle name="Title 3 5 6" xfId="44879" xr:uid="{00000000-0005-0000-0000-00004EAF0000}"/>
    <cellStyle name="Title 3 5 7" xfId="44880" xr:uid="{00000000-0005-0000-0000-00004FAF0000}"/>
    <cellStyle name="Title 3 5 8" xfId="44881" xr:uid="{00000000-0005-0000-0000-000050AF0000}"/>
    <cellStyle name="Title 3 5 9" xfId="44882" xr:uid="{00000000-0005-0000-0000-000051AF0000}"/>
    <cellStyle name="Title 3 50" xfId="44883" xr:uid="{00000000-0005-0000-0000-000052AF0000}"/>
    <cellStyle name="Title 3 51" xfId="44884" xr:uid="{00000000-0005-0000-0000-000053AF0000}"/>
    <cellStyle name="Title 3 52" xfId="44885" xr:uid="{00000000-0005-0000-0000-000054AF0000}"/>
    <cellStyle name="Title 3 53" xfId="44886" xr:uid="{00000000-0005-0000-0000-000055AF0000}"/>
    <cellStyle name="Title 3 6" xfId="44887" xr:uid="{00000000-0005-0000-0000-000056AF0000}"/>
    <cellStyle name="Title 3 6 10" xfId="44888" xr:uid="{00000000-0005-0000-0000-000057AF0000}"/>
    <cellStyle name="Title 3 6 11" xfId="44889" xr:uid="{00000000-0005-0000-0000-000058AF0000}"/>
    <cellStyle name="Title 3 6 12" xfId="44890" xr:uid="{00000000-0005-0000-0000-000059AF0000}"/>
    <cellStyle name="Title 3 6 13" xfId="44891" xr:uid="{00000000-0005-0000-0000-00005AAF0000}"/>
    <cellStyle name="Title 3 6 14" xfId="44892" xr:uid="{00000000-0005-0000-0000-00005BAF0000}"/>
    <cellStyle name="Title 3 6 15" xfId="44893" xr:uid="{00000000-0005-0000-0000-00005CAF0000}"/>
    <cellStyle name="Title 3 6 2" xfId="44894" xr:uid="{00000000-0005-0000-0000-00005DAF0000}"/>
    <cellStyle name="Title 3 6 3" xfId="44895" xr:uid="{00000000-0005-0000-0000-00005EAF0000}"/>
    <cellStyle name="Title 3 6 4" xfId="44896" xr:uid="{00000000-0005-0000-0000-00005FAF0000}"/>
    <cellStyle name="Title 3 6 5" xfId="44897" xr:uid="{00000000-0005-0000-0000-000060AF0000}"/>
    <cellStyle name="Title 3 6 6" xfId="44898" xr:uid="{00000000-0005-0000-0000-000061AF0000}"/>
    <cellStyle name="Title 3 6 7" xfId="44899" xr:uid="{00000000-0005-0000-0000-000062AF0000}"/>
    <cellStyle name="Title 3 6 8" xfId="44900" xr:uid="{00000000-0005-0000-0000-000063AF0000}"/>
    <cellStyle name="Title 3 6 9" xfId="44901" xr:uid="{00000000-0005-0000-0000-000064AF0000}"/>
    <cellStyle name="Title 3 7" xfId="44902" xr:uid="{00000000-0005-0000-0000-000065AF0000}"/>
    <cellStyle name="Title 3 7 10" xfId="44903" xr:uid="{00000000-0005-0000-0000-000066AF0000}"/>
    <cellStyle name="Title 3 7 11" xfId="44904" xr:uid="{00000000-0005-0000-0000-000067AF0000}"/>
    <cellStyle name="Title 3 7 12" xfId="44905" xr:uid="{00000000-0005-0000-0000-000068AF0000}"/>
    <cellStyle name="Title 3 7 13" xfId="44906" xr:uid="{00000000-0005-0000-0000-000069AF0000}"/>
    <cellStyle name="Title 3 7 14" xfId="44907" xr:uid="{00000000-0005-0000-0000-00006AAF0000}"/>
    <cellStyle name="Title 3 7 15" xfId="44908" xr:uid="{00000000-0005-0000-0000-00006BAF0000}"/>
    <cellStyle name="Title 3 7 2" xfId="44909" xr:uid="{00000000-0005-0000-0000-00006CAF0000}"/>
    <cellStyle name="Title 3 7 3" xfId="44910" xr:uid="{00000000-0005-0000-0000-00006DAF0000}"/>
    <cellStyle name="Title 3 7 4" xfId="44911" xr:uid="{00000000-0005-0000-0000-00006EAF0000}"/>
    <cellStyle name="Title 3 7 5" xfId="44912" xr:uid="{00000000-0005-0000-0000-00006FAF0000}"/>
    <cellStyle name="Title 3 7 6" xfId="44913" xr:uid="{00000000-0005-0000-0000-000070AF0000}"/>
    <cellStyle name="Title 3 7 7" xfId="44914" xr:uid="{00000000-0005-0000-0000-000071AF0000}"/>
    <cellStyle name="Title 3 7 8" xfId="44915" xr:uid="{00000000-0005-0000-0000-000072AF0000}"/>
    <cellStyle name="Title 3 7 9" xfId="44916" xr:uid="{00000000-0005-0000-0000-000073AF0000}"/>
    <cellStyle name="Title 3 8" xfId="44917" xr:uid="{00000000-0005-0000-0000-000074AF0000}"/>
    <cellStyle name="Title 3 8 10" xfId="44918" xr:uid="{00000000-0005-0000-0000-000075AF0000}"/>
    <cellStyle name="Title 3 8 11" xfId="44919" xr:uid="{00000000-0005-0000-0000-000076AF0000}"/>
    <cellStyle name="Title 3 8 12" xfId="44920" xr:uid="{00000000-0005-0000-0000-000077AF0000}"/>
    <cellStyle name="Title 3 8 13" xfId="44921" xr:uid="{00000000-0005-0000-0000-000078AF0000}"/>
    <cellStyle name="Title 3 8 14" xfId="44922" xr:uid="{00000000-0005-0000-0000-000079AF0000}"/>
    <cellStyle name="Title 3 8 15" xfId="44923" xr:uid="{00000000-0005-0000-0000-00007AAF0000}"/>
    <cellStyle name="Title 3 8 2" xfId="44924" xr:uid="{00000000-0005-0000-0000-00007BAF0000}"/>
    <cellStyle name="Title 3 8 3" xfId="44925" xr:uid="{00000000-0005-0000-0000-00007CAF0000}"/>
    <cellStyle name="Title 3 8 4" xfId="44926" xr:uid="{00000000-0005-0000-0000-00007DAF0000}"/>
    <cellStyle name="Title 3 8 5" xfId="44927" xr:uid="{00000000-0005-0000-0000-00007EAF0000}"/>
    <cellStyle name="Title 3 8 6" xfId="44928" xr:uid="{00000000-0005-0000-0000-00007FAF0000}"/>
    <cellStyle name="Title 3 8 7" xfId="44929" xr:uid="{00000000-0005-0000-0000-000080AF0000}"/>
    <cellStyle name="Title 3 8 8" xfId="44930" xr:uid="{00000000-0005-0000-0000-000081AF0000}"/>
    <cellStyle name="Title 3 8 9" xfId="44931" xr:uid="{00000000-0005-0000-0000-000082AF0000}"/>
    <cellStyle name="Title 3 9" xfId="44932" xr:uid="{00000000-0005-0000-0000-000083AF0000}"/>
    <cellStyle name="Title 3 9 10" xfId="44933" xr:uid="{00000000-0005-0000-0000-000084AF0000}"/>
    <cellStyle name="Title 3 9 11" xfId="44934" xr:uid="{00000000-0005-0000-0000-000085AF0000}"/>
    <cellStyle name="Title 3 9 12" xfId="44935" xr:uid="{00000000-0005-0000-0000-000086AF0000}"/>
    <cellStyle name="Title 3 9 13" xfId="44936" xr:uid="{00000000-0005-0000-0000-000087AF0000}"/>
    <cellStyle name="Title 3 9 14" xfId="44937" xr:uid="{00000000-0005-0000-0000-000088AF0000}"/>
    <cellStyle name="Title 3 9 15" xfId="44938" xr:uid="{00000000-0005-0000-0000-000089AF0000}"/>
    <cellStyle name="Title 3 9 2" xfId="44939" xr:uid="{00000000-0005-0000-0000-00008AAF0000}"/>
    <cellStyle name="Title 3 9 3" xfId="44940" xr:uid="{00000000-0005-0000-0000-00008BAF0000}"/>
    <cellStyle name="Title 3 9 4" xfId="44941" xr:uid="{00000000-0005-0000-0000-00008CAF0000}"/>
    <cellStyle name="Title 3 9 5" xfId="44942" xr:uid="{00000000-0005-0000-0000-00008DAF0000}"/>
    <cellStyle name="Title 3 9 6" xfId="44943" xr:uid="{00000000-0005-0000-0000-00008EAF0000}"/>
    <cellStyle name="Title 3 9 7" xfId="44944" xr:uid="{00000000-0005-0000-0000-00008FAF0000}"/>
    <cellStyle name="Title 3 9 8" xfId="44945" xr:uid="{00000000-0005-0000-0000-000090AF0000}"/>
    <cellStyle name="Title 3 9 9" xfId="44946" xr:uid="{00000000-0005-0000-0000-000091AF0000}"/>
    <cellStyle name="Title 30" xfId="44947" xr:uid="{00000000-0005-0000-0000-000092AF0000}"/>
    <cellStyle name="Title 30 10" xfId="44948" xr:uid="{00000000-0005-0000-0000-000093AF0000}"/>
    <cellStyle name="Title 30 11" xfId="44949" xr:uid="{00000000-0005-0000-0000-000094AF0000}"/>
    <cellStyle name="Title 30 12" xfId="44950" xr:uid="{00000000-0005-0000-0000-000095AF0000}"/>
    <cellStyle name="Title 30 13" xfId="44951" xr:uid="{00000000-0005-0000-0000-000096AF0000}"/>
    <cellStyle name="Title 30 14" xfId="44952" xr:uid="{00000000-0005-0000-0000-000097AF0000}"/>
    <cellStyle name="Title 30 15" xfId="44953" xr:uid="{00000000-0005-0000-0000-000098AF0000}"/>
    <cellStyle name="Title 30 2" xfId="44954" xr:uid="{00000000-0005-0000-0000-000099AF0000}"/>
    <cellStyle name="Title 30 3" xfId="44955" xr:uid="{00000000-0005-0000-0000-00009AAF0000}"/>
    <cellStyle name="Title 30 4" xfId="44956" xr:uid="{00000000-0005-0000-0000-00009BAF0000}"/>
    <cellStyle name="Title 30 5" xfId="44957" xr:uid="{00000000-0005-0000-0000-00009CAF0000}"/>
    <cellStyle name="Title 30 6" xfId="44958" xr:uid="{00000000-0005-0000-0000-00009DAF0000}"/>
    <cellStyle name="Title 30 7" xfId="44959" xr:uid="{00000000-0005-0000-0000-00009EAF0000}"/>
    <cellStyle name="Title 30 8" xfId="44960" xr:uid="{00000000-0005-0000-0000-00009FAF0000}"/>
    <cellStyle name="Title 30 9" xfId="44961" xr:uid="{00000000-0005-0000-0000-0000A0AF0000}"/>
    <cellStyle name="Title 31" xfId="44962" xr:uid="{00000000-0005-0000-0000-0000A1AF0000}"/>
    <cellStyle name="Title 31 10" xfId="44963" xr:uid="{00000000-0005-0000-0000-0000A2AF0000}"/>
    <cellStyle name="Title 31 11" xfId="44964" xr:uid="{00000000-0005-0000-0000-0000A3AF0000}"/>
    <cellStyle name="Title 31 12" xfId="44965" xr:uid="{00000000-0005-0000-0000-0000A4AF0000}"/>
    <cellStyle name="Title 31 13" xfId="44966" xr:uid="{00000000-0005-0000-0000-0000A5AF0000}"/>
    <cellStyle name="Title 31 14" xfId="44967" xr:uid="{00000000-0005-0000-0000-0000A6AF0000}"/>
    <cellStyle name="Title 31 15" xfId="44968" xr:uid="{00000000-0005-0000-0000-0000A7AF0000}"/>
    <cellStyle name="Title 31 2" xfId="44969" xr:uid="{00000000-0005-0000-0000-0000A8AF0000}"/>
    <cellStyle name="Title 31 3" xfId="44970" xr:uid="{00000000-0005-0000-0000-0000A9AF0000}"/>
    <cellStyle name="Title 31 4" xfId="44971" xr:uid="{00000000-0005-0000-0000-0000AAAF0000}"/>
    <cellStyle name="Title 31 5" xfId="44972" xr:uid="{00000000-0005-0000-0000-0000ABAF0000}"/>
    <cellStyle name="Title 31 6" xfId="44973" xr:uid="{00000000-0005-0000-0000-0000ACAF0000}"/>
    <cellStyle name="Title 31 7" xfId="44974" xr:uid="{00000000-0005-0000-0000-0000ADAF0000}"/>
    <cellStyle name="Title 31 8" xfId="44975" xr:uid="{00000000-0005-0000-0000-0000AEAF0000}"/>
    <cellStyle name="Title 31 9" xfId="44976" xr:uid="{00000000-0005-0000-0000-0000AFAF0000}"/>
    <cellStyle name="Title 32" xfId="44977" xr:uid="{00000000-0005-0000-0000-0000B0AF0000}"/>
    <cellStyle name="Title 32 10" xfId="44978" xr:uid="{00000000-0005-0000-0000-0000B1AF0000}"/>
    <cellStyle name="Title 32 11" xfId="44979" xr:uid="{00000000-0005-0000-0000-0000B2AF0000}"/>
    <cellStyle name="Title 32 12" xfId="44980" xr:uid="{00000000-0005-0000-0000-0000B3AF0000}"/>
    <cellStyle name="Title 32 13" xfId="44981" xr:uid="{00000000-0005-0000-0000-0000B4AF0000}"/>
    <cellStyle name="Title 32 14" xfId="44982" xr:uid="{00000000-0005-0000-0000-0000B5AF0000}"/>
    <cellStyle name="Title 32 15" xfId="44983" xr:uid="{00000000-0005-0000-0000-0000B6AF0000}"/>
    <cellStyle name="Title 32 2" xfId="44984" xr:uid="{00000000-0005-0000-0000-0000B7AF0000}"/>
    <cellStyle name="Title 32 3" xfId="44985" xr:uid="{00000000-0005-0000-0000-0000B8AF0000}"/>
    <cellStyle name="Title 32 4" xfId="44986" xr:uid="{00000000-0005-0000-0000-0000B9AF0000}"/>
    <cellStyle name="Title 32 5" xfId="44987" xr:uid="{00000000-0005-0000-0000-0000BAAF0000}"/>
    <cellStyle name="Title 32 6" xfId="44988" xr:uid="{00000000-0005-0000-0000-0000BBAF0000}"/>
    <cellStyle name="Title 32 7" xfId="44989" xr:uid="{00000000-0005-0000-0000-0000BCAF0000}"/>
    <cellStyle name="Title 32 8" xfId="44990" xr:uid="{00000000-0005-0000-0000-0000BDAF0000}"/>
    <cellStyle name="Title 32 9" xfId="44991" xr:uid="{00000000-0005-0000-0000-0000BEAF0000}"/>
    <cellStyle name="Title 33" xfId="44992" xr:uid="{00000000-0005-0000-0000-0000BFAF0000}"/>
    <cellStyle name="Title 33 10" xfId="44993" xr:uid="{00000000-0005-0000-0000-0000C0AF0000}"/>
    <cellStyle name="Title 33 11" xfId="44994" xr:uid="{00000000-0005-0000-0000-0000C1AF0000}"/>
    <cellStyle name="Title 33 12" xfId="44995" xr:uid="{00000000-0005-0000-0000-0000C2AF0000}"/>
    <cellStyle name="Title 33 13" xfId="44996" xr:uid="{00000000-0005-0000-0000-0000C3AF0000}"/>
    <cellStyle name="Title 33 14" xfId="44997" xr:uid="{00000000-0005-0000-0000-0000C4AF0000}"/>
    <cellStyle name="Title 33 15" xfId="44998" xr:uid="{00000000-0005-0000-0000-0000C5AF0000}"/>
    <cellStyle name="Title 33 2" xfId="44999" xr:uid="{00000000-0005-0000-0000-0000C6AF0000}"/>
    <cellStyle name="Title 33 3" xfId="45000" xr:uid="{00000000-0005-0000-0000-0000C7AF0000}"/>
    <cellStyle name="Title 33 4" xfId="45001" xr:uid="{00000000-0005-0000-0000-0000C8AF0000}"/>
    <cellStyle name="Title 33 5" xfId="45002" xr:uid="{00000000-0005-0000-0000-0000C9AF0000}"/>
    <cellStyle name="Title 33 6" xfId="45003" xr:uid="{00000000-0005-0000-0000-0000CAAF0000}"/>
    <cellStyle name="Title 33 7" xfId="45004" xr:uid="{00000000-0005-0000-0000-0000CBAF0000}"/>
    <cellStyle name="Title 33 8" xfId="45005" xr:uid="{00000000-0005-0000-0000-0000CCAF0000}"/>
    <cellStyle name="Title 33 9" xfId="45006" xr:uid="{00000000-0005-0000-0000-0000CDAF0000}"/>
    <cellStyle name="Title 34" xfId="45007" xr:uid="{00000000-0005-0000-0000-0000CEAF0000}"/>
    <cellStyle name="Title 34 10" xfId="45008" xr:uid="{00000000-0005-0000-0000-0000CFAF0000}"/>
    <cellStyle name="Title 34 11" xfId="45009" xr:uid="{00000000-0005-0000-0000-0000D0AF0000}"/>
    <cellStyle name="Title 34 12" xfId="45010" xr:uid="{00000000-0005-0000-0000-0000D1AF0000}"/>
    <cellStyle name="Title 34 13" xfId="45011" xr:uid="{00000000-0005-0000-0000-0000D2AF0000}"/>
    <cellStyle name="Title 34 14" xfId="45012" xr:uid="{00000000-0005-0000-0000-0000D3AF0000}"/>
    <cellStyle name="Title 34 15" xfId="45013" xr:uid="{00000000-0005-0000-0000-0000D4AF0000}"/>
    <cellStyle name="Title 34 2" xfId="45014" xr:uid="{00000000-0005-0000-0000-0000D5AF0000}"/>
    <cellStyle name="Title 34 3" xfId="45015" xr:uid="{00000000-0005-0000-0000-0000D6AF0000}"/>
    <cellStyle name="Title 34 4" xfId="45016" xr:uid="{00000000-0005-0000-0000-0000D7AF0000}"/>
    <cellStyle name="Title 34 5" xfId="45017" xr:uid="{00000000-0005-0000-0000-0000D8AF0000}"/>
    <cellStyle name="Title 34 6" xfId="45018" xr:uid="{00000000-0005-0000-0000-0000D9AF0000}"/>
    <cellStyle name="Title 34 7" xfId="45019" xr:uid="{00000000-0005-0000-0000-0000DAAF0000}"/>
    <cellStyle name="Title 34 8" xfId="45020" xr:uid="{00000000-0005-0000-0000-0000DBAF0000}"/>
    <cellStyle name="Title 34 9" xfId="45021" xr:uid="{00000000-0005-0000-0000-0000DCAF0000}"/>
    <cellStyle name="Title 35" xfId="45022" xr:uid="{00000000-0005-0000-0000-0000DDAF0000}"/>
    <cellStyle name="Title 35 10" xfId="45023" xr:uid="{00000000-0005-0000-0000-0000DEAF0000}"/>
    <cellStyle name="Title 35 11" xfId="45024" xr:uid="{00000000-0005-0000-0000-0000DFAF0000}"/>
    <cellStyle name="Title 35 12" xfId="45025" xr:uid="{00000000-0005-0000-0000-0000E0AF0000}"/>
    <cellStyle name="Title 35 13" xfId="45026" xr:uid="{00000000-0005-0000-0000-0000E1AF0000}"/>
    <cellStyle name="Title 35 14" xfId="45027" xr:uid="{00000000-0005-0000-0000-0000E2AF0000}"/>
    <cellStyle name="Title 35 15" xfId="45028" xr:uid="{00000000-0005-0000-0000-0000E3AF0000}"/>
    <cellStyle name="Title 35 2" xfId="45029" xr:uid="{00000000-0005-0000-0000-0000E4AF0000}"/>
    <cellStyle name="Title 35 3" xfId="45030" xr:uid="{00000000-0005-0000-0000-0000E5AF0000}"/>
    <cellStyle name="Title 35 4" xfId="45031" xr:uid="{00000000-0005-0000-0000-0000E6AF0000}"/>
    <cellStyle name="Title 35 5" xfId="45032" xr:uid="{00000000-0005-0000-0000-0000E7AF0000}"/>
    <cellStyle name="Title 35 6" xfId="45033" xr:uid="{00000000-0005-0000-0000-0000E8AF0000}"/>
    <cellStyle name="Title 35 7" xfId="45034" xr:uid="{00000000-0005-0000-0000-0000E9AF0000}"/>
    <cellStyle name="Title 35 8" xfId="45035" xr:uid="{00000000-0005-0000-0000-0000EAAF0000}"/>
    <cellStyle name="Title 35 9" xfId="45036" xr:uid="{00000000-0005-0000-0000-0000EBAF0000}"/>
    <cellStyle name="Title 36" xfId="45037" xr:uid="{00000000-0005-0000-0000-0000ECAF0000}"/>
    <cellStyle name="Title 36 10" xfId="45038" xr:uid="{00000000-0005-0000-0000-0000EDAF0000}"/>
    <cellStyle name="Title 36 11" xfId="45039" xr:uid="{00000000-0005-0000-0000-0000EEAF0000}"/>
    <cellStyle name="Title 36 12" xfId="45040" xr:uid="{00000000-0005-0000-0000-0000EFAF0000}"/>
    <cellStyle name="Title 36 13" xfId="45041" xr:uid="{00000000-0005-0000-0000-0000F0AF0000}"/>
    <cellStyle name="Title 36 14" xfId="45042" xr:uid="{00000000-0005-0000-0000-0000F1AF0000}"/>
    <cellStyle name="Title 36 15" xfId="45043" xr:uid="{00000000-0005-0000-0000-0000F2AF0000}"/>
    <cellStyle name="Title 36 2" xfId="45044" xr:uid="{00000000-0005-0000-0000-0000F3AF0000}"/>
    <cellStyle name="Title 36 3" xfId="45045" xr:uid="{00000000-0005-0000-0000-0000F4AF0000}"/>
    <cellStyle name="Title 36 4" xfId="45046" xr:uid="{00000000-0005-0000-0000-0000F5AF0000}"/>
    <cellStyle name="Title 36 5" xfId="45047" xr:uid="{00000000-0005-0000-0000-0000F6AF0000}"/>
    <cellStyle name="Title 36 6" xfId="45048" xr:uid="{00000000-0005-0000-0000-0000F7AF0000}"/>
    <cellStyle name="Title 36 7" xfId="45049" xr:uid="{00000000-0005-0000-0000-0000F8AF0000}"/>
    <cellStyle name="Title 36 8" xfId="45050" xr:uid="{00000000-0005-0000-0000-0000F9AF0000}"/>
    <cellStyle name="Title 36 9" xfId="45051" xr:uid="{00000000-0005-0000-0000-0000FAAF0000}"/>
    <cellStyle name="Title 37" xfId="45052" xr:uid="{00000000-0005-0000-0000-0000FBAF0000}"/>
    <cellStyle name="Title 37 10" xfId="45053" xr:uid="{00000000-0005-0000-0000-0000FCAF0000}"/>
    <cellStyle name="Title 37 11" xfId="45054" xr:uid="{00000000-0005-0000-0000-0000FDAF0000}"/>
    <cellStyle name="Title 37 12" xfId="45055" xr:uid="{00000000-0005-0000-0000-0000FEAF0000}"/>
    <cellStyle name="Title 37 13" xfId="45056" xr:uid="{00000000-0005-0000-0000-0000FFAF0000}"/>
    <cellStyle name="Title 37 14" xfId="45057" xr:uid="{00000000-0005-0000-0000-000000B00000}"/>
    <cellStyle name="Title 37 15" xfId="45058" xr:uid="{00000000-0005-0000-0000-000001B00000}"/>
    <cellStyle name="Title 37 2" xfId="45059" xr:uid="{00000000-0005-0000-0000-000002B00000}"/>
    <cellStyle name="Title 37 3" xfId="45060" xr:uid="{00000000-0005-0000-0000-000003B00000}"/>
    <cellStyle name="Title 37 4" xfId="45061" xr:uid="{00000000-0005-0000-0000-000004B00000}"/>
    <cellStyle name="Title 37 5" xfId="45062" xr:uid="{00000000-0005-0000-0000-000005B00000}"/>
    <cellStyle name="Title 37 6" xfId="45063" xr:uid="{00000000-0005-0000-0000-000006B00000}"/>
    <cellStyle name="Title 37 7" xfId="45064" xr:uid="{00000000-0005-0000-0000-000007B00000}"/>
    <cellStyle name="Title 37 8" xfId="45065" xr:uid="{00000000-0005-0000-0000-000008B00000}"/>
    <cellStyle name="Title 37 9" xfId="45066" xr:uid="{00000000-0005-0000-0000-000009B00000}"/>
    <cellStyle name="Title 38" xfId="45067" xr:uid="{00000000-0005-0000-0000-00000AB00000}"/>
    <cellStyle name="Title 38 10" xfId="45068" xr:uid="{00000000-0005-0000-0000-00000BB00000}"/>
    <cellStyle name="Title 38 11" xfId="45069" xr:uid="{00000000-0005-0000-0000-00000CB00000}"/>
    <cellStyle name="Title 38 12" xfId="45070" xr:uid="{00000000-0005-0000-0000-00000DB00000}"/>
    <cellStyle name="Title 38 13" xfId="45071" xr:uid="{00000000-0005-0000-0000-00000EB00000}"/>
    <cellStyle name="Title 38 14" xfId="45072" xr:uid="{00000000-0005-0000-0000-00000FB00000}"/>
    <cellStyle name="Title 38 15" xfId="45073" xr:uid="{00000000-0005-0000-0000-000010B00000}"/>
    <cellStyle name="Title 38 2" xfId="45074" xr:uid="{00000000-0005-0000-0000-000011B00000}"/>
    <cellStyle name="Title 38 3" xfId="45075" xr:uid="{00000000-0005-0000-0000-000012B00000}"/>
    <cellStyle name="Title 38 4" xfId="45076" xr:uid="{00000000-0005-0000-0000-000013B00000}"/>
    <cellStyle name="Title 38 5" xfId="45077" xr:uid="{00000000-0005-0000-0000-000014B00000}"/>
    <cellStyle name="Title 38 6" xfId="45078" xr:uid="{00000000-0005-0000-0000-000015B00000}"/>
    <cellStyle name="Title 38 7" xfId="45079" xr:uid="{00000000-0005-0000-0000-000016B00000}"/>
    <cellStyle name="Title 38 8" xfId="45080" xr:uid="{00000000-0005-0000-0000-000017B00000}"/>
    <cellStyle name="Title 38 9" xfId="45081" xr:uid="{00000000-0005-0000-0000-000018B00000}"/>
    <cellStyle name="Title 39" xfId="45082" xr:uid="{00000000-0005-0000-0000-000019B00000}"/>
    <cellStyle name="Title 39 10" xfId="45083" xr:uid="{00000000-0005-0000-0000-00001AB00000}"/>
    <cellStyle name="Title 39 11" xfId="45084" xr:uid="{00000000-0005-0000-0000-00001BB00000}"/>
    <cellStyle name="Title 39 12" xfId="45085" xr:uid="{00000000-0005-0000-0000-00001CB00000}"/>
    <cellStyle name="Title 39 13" xfId="45086" xr:uid="{00000000-0005-0000-0000-00001DB00000}"/>
    <cellStyle name="Title 39 14" xfId="45087" xr:uid="{00000000-0005-0000-0000-00001EB00000}"/>
    <cellStyle name="Title 39 15" xfId="45088" xr:uid="{00000000-0005-0000-0000-00001FB00000}"/>
    <cellStyle name="Title 39 2" xfId="45089" xr:uid="{00000000-0005-0000-0000-000020B00000}"/>
    <cellStyle name="Title 39 3" xfId="45090" xr:uid="{00000000-0005-0000-0000-000021B00000}"/>
    <cellStyle name="Title 39 4" xfId="45091" xr:uid="{00000000-0005-0000-0000-000022B00000}"/>
    <cellStyle name="Title 39 5" xfId="45092" xr:uid="{00000000-0005-0000-0000-000023B00000}"/>
    <cellStyle name="Title 39 6" xfId="45093" xr:uid="{00000000-0005-0000-0000-000024B00000}"/>
    <cellStyle name="Title 39 7" xfId="45094" xr:uid="{00000000-0005-0000-0000-000025B00000}"/>
    <cellStyle name="Title 39 8" xfId="45095" xr:uid="{00000000-0005-0000-0000-000026B00000}"/>
    <cellStyle name="Title 39 9" xfId="45096" xr:uid="{00000000-0005-0000-0000-000027B00000}"/>
    <cellStyle name="Title 4" xfId="45097" xr:uid="{00000000-0005-0000-0000-000028B00000}"/>
    <cellStyle name="Title 4 2" xfId="45098" xr:uid="{00000000-0005-0000-0000-000029B00000}"/>
    <cellStyle name="Title 4 2 2" xfId="45099" xr:uid="{00000000-0005-0000-0000-00002AB00000}"/>
    <cellStyle name="Title 4 3" xfId="45100" xr:uid="{00000000-0005-0000-0000-00002BB00000}"/>
    <cellStyle name="Title 4 3 2" xfId="45101" xr:uid="{00000000-0005-0000-0000-00002CB00000}"/>
    <cellStyle name="Title 4 4" xfId="45102" xr:uid="{00000000-0005-0000-0000-00002DB00000}"/>
    <cellStyle name="Title 4 4 2" xfId="45103" xr:uid="{00000000-0005-0000-0000-00002EB00000}"/>
    <cellStyle name="Title 4 5" xfId="45104" xr:uid="{00000000-0005-0000-0000-00002FB00000}"/>
    <cellStyle name="Title 4 5 2" xfId="45105" xr:uid="{00000000-0005-0000-0000-000030B00000}"/>
    <cellStyle name="Title 4 6" xfId="45106" xr:uid="{00000000-0005-0000-0000-000031B00000}"/>
    <cellStyle name="Title 4 6 2" xfId="45107" xr:uid="{00000000-0005-0000-0000-000032B00000}"/>
    <cellStyle name="Title 4 7" xfId="45108" xr:uid="{00000000-0005-0000-0000-000033B00000}"/>
    <cellStyle name="Title 40" xfId="45109" xr:uid="{00000000-0005-0000-0000-000034B00000}"/>
    <cellStyle name="Title 41" xfId="45110" xr:uid="{00000000-0005-0000-0000-000035B00000}"/>
    <cellStyle name="Title 42" xfId="45111" xr:uid="{00000000-0005-0000-0000-000036B00000}"/>
    <cellStyle name="Title 43" xfId="45112" xr:uid="{00000000-0005-0000-0000-000037B00000}"/>
    <cellStyle name="Title 44" xfId="45113" xr:uid="{00000000-0005-0000-0000-000038B00000}"/>
    <cellStyle name="Title 45" xfId="45114" xr:uid="{00000000-0005-0000-0000-000039B00000}"/>
    <cellStyle name="Title 46" xfId="45115" xr:uid="{00000000-0005-0000-0000-00003AB00000}"/>
    <cellStyle name="Title 47" xfId="45116" xr:uid="{00000000-0005-0000-0000-00003BB00000}"/>
    <cellStyle name="Title 48" xfId="45117" xr:uid="{00000000-0005-0000-0000-00003CB00000}"/>
    <cellStyle name="Title 49" xfId="45118" xr:uid="{00000000-0005-0000-0000-00003DB00000}"/>
    <cellStyle name="Title 5" xfId="45119" xr:uid="{00000000-0005-0000-0000-00003EB00000}"/>
    <cellStyle name="Title 5 2" xfId="45120" xr:uid="{00000000-0005-0000-0000-00003FB00000}"/>
    <cellStyle name="Title 5 2 2" xfId="45121" xr:uid="{00000000-0005-0000-0000-000040B00000}"/>
    <cellStyle name="Title 5 2 3" xfId="45122" xr:uid="{00000000-0005-0000-0000-000041B00000}"/>
    <cellStyle name="Title 5 2 4" xfId="45123" xr:uid="{00000000-0005-0000-0000-000042B00000}"/>
    <cellStyle name="Title 5 3" xfId="45124" xr:uid="{00000000-0005-0000-0000-000043B00000}"/>
    <cellStyle name="Title 5 3 2" xfId="45125" xr:uid="{00000000-0005-0000-0000-000044B00000}"/>
    <cellStyle name="Title 5 3 3" xfId="45126" xr:uid="{00000000-0005-0000-0000-000045B00000}"/>
    <cellStyle name="Title 5 4" xfId="45127" xr:uid="{00000000-0005-0000-0000-000046B00000}"/>
    <cellStyle name="Title 50" xfId="45128" xr:uid="{00000000-0005-0000-0000-000047B00000}"/>
    <cellStyle name="Title 51" xfId="45129" xr:uid="{00000000-0005-0000-0000-000048B00000}"/>
    <cellStyle name="Title 52" xfId="45130" xr:uid="{00000000-0005-0000-0000-000049B00000}"/>
    <cellStyle name="Title 53" xfId="45131" xr:uid="{00000000-0005-0000-0000-00004AB00000}"/>
    <cellStyle name="Title 54" xfId="45132" xr:uid="{00000000-0005-0000-0000-00004BB00000}"/>
    <cellStyle name="Title 55" xfId="45133" xr:uid="{00000000-0005-0000-0000-00004CB00000}"/>
    <cellStyle name="Title 56" xfId="45134" xr:uid="{00000000-0005-0000-0000-00004DB00000}"/>
    <cellStyle name="Title 57" xfId="45135" xr:uid="{00000000-0005-0000-0000-00004EB00000}"/>
    <cellStyle name="Title 58" xfId="45136" xr:uid="{00000000-0005-0000-0000-00004FB00000}"/>
    <cellStyle name="Title 59" xfId="45137" xr:uid="{00000000-0005-0000-0000-000050B00000}"/>
    <cellStyle name="Title 6" xfId="45138" xr:uid="{00000000-0005-0000-0000-000051B00000}"/>
    <cellStyle name="Title 6 2" xfId="45139" xr:uid="{00000000-0005-0000-0000-000052B00000}"/>
    <cellStyle name="Title 60" xfId="45140" xr:uid="{00000000-0005-0000-0000-000053B00000}"/>
    <cellStyle name="Title 61" xfId="45141" xr:uid="{00000000-0005-0000-0000-000054B00000}"/>
    <cellStyle name="Title 62" xfId="45142" xr:uid="{00000000-0005-0000-0000-000055B00000}"/>
    <cellStyle name="Title 63" xfId="45143" xr:uid="{00000000-0005-0000-0000-000056B00000}"/>
    <cellStyle name="Title 64" xfId="45144" xr:uid="{00000000-0005-0000-0000-000057B00000}"/>
    <cellStyle name="Title 65" xfId="45145" xr:uid="{00000000-0005-0000-0000-000058B00000}"/>
    <cellStyle name="Title 66" xfId="45146" xr:uid="{00000000-0005-0000-0000-000059B00000}"/>
    <cellStyle name="Title 67" xfId="45147" xr:uid="{00000000-0005-0000-0000-00005AB00000}"/>
    <cellStyle name="Title 68" xfId="45148" xr:uid="{00000000-0005-0000-0000-00005BB00000}"/>
    <cellStyle name="Title 69" xfId="45149" xr:uid="{00000000-0005-0000-0000-00005CB00000}"/>
    <cellStyle name="Title 7" xfId="45150" xr:uid="{00000000-0005-0000-0000-00005DB00000}"/>
    <cellStyle name="Title 7 2" xfId="45151" xr:uid="{00000000-0005-0000-0000-00005EB00000}"/>
    <cellStyle name="Title 70" xfId="45152" xr:uid="{00000000-0005-0000-0000-00005FB00000}"/>
    <cellStyle name="Title 71" xfId="45153" xr:uid="{00000000-0005-0000-0000-000060B00000}"/>
    <cellStyle name="Title 72" xfId="45154" xr:uid="{00000000-0005-0000-0000-000061B00000}"/>
    <cellStyle name="Title 73" xfId="45155" xr:uid="{00000000-0005-0000-0000-000062B00000}"/>
    <cellStyle name="Title 74" xfId="45156" xr:uid="{00000000-0005-0000-0000-000063B00000}"/>
    <cellStyle name="Title 75" xfId="45157" xr:uid="{00000000-0005-0000-0000-000064B00000}"/>
    <cellStyle name="Title 76" xfId="45158" xr:uid="{00000000-0005-0000-0000-000065B00000}"/>
    <cellStyle name="Title 77" xfId="45159" xr:uid="{00000000-0005-0000-0000-000066B00000}"/>
    <cellStyle name="Title 78" xfId="45160" xr:uid="{00000000-0005-0000-0000-000067B00000}"/>
    <cellStyle name="Title 79" xfId="45161" xr:uid="{00000000-0005-0000-0000-000068B00000}"/>
    <cellStyle name="Title 79 2" xfId="45162" xr:uid="{00000000-0005-0000-0000-000069B00000}"/>
    <cellStyle name="Title 8" xfId="45163" xr:uid="{00000000-0005-0000-0000-00006AB00000}"/>
    <cellStyle name="Title 8 2" xfId="45164" xr:uid="{00000000-0005-0000-0000-00006BB00000}"/>
    <cellStyle name="Title 80" xfId="45165" xr:uid="{00000000-0005-0000-0000-00006CB00000}"/>
    <cellStyle name="Title 80 2" xfId="45166" xr:uid="{00000000-0005-0000-0000-00006DB00000}"/>
    <cellStyle name="Title 81" xfId="45167" xr:uid="{00000000-0005-0000-0000-00006EB00000}"/>
    <cellStyle name="Title 81 2" xfId="45168" xr:uid="{00000000-0005-0000-0000-00006FB00000}"/>
    <cellStyle name="Title 82" xfId="45169" xr:uid="{00000000-0005-0000-0000-000070B00000}"/>
    <cellStyle name="Title 82 2" xfId="45170" xr:uid="{00000000-0005-0000-0000-000071B00000}"/>
    <cellStyle name="Title 83" xfId="45171" xr:uid="{00000000-0005-0000-0000-000072B00000}"/>
    <cellStyle name="Title 83 2" xfId="45172" xr:uid="{00000000-0005-0000-0000-000073B00000}"/>
    <cellStyle name="Title 84" xfId="45173" xr:uid="{00000000-0005-0000-0000-000074B00000}"/>
    <cellStyle name="Title 84 2" xfId="45174" xr:uid="{00000000-0005-0000-0000-000075B00000}"/>
    <cellStyle name="Title 85" xfId="45175" xr:uid="{00000000-0005-0000-0000-000076B00000}"/>
    <cellStyle name="Title 85 2" xfId="45176" xr:uid="{00000000-0005-0000-0000-000077B00000}"/>
    <cellStyle name="Title 86" xfId="45177" xr:uid="{00000000-0005-0000-0000-000078B00000}"/>
    <cellStyle name="Title 86 2" xfId="45178" xr:uid="{00000000-0005-0000-0000-000079B00000}"/>
    <cellStyle name="Title 87" xfId="45179" xr:uid="{00000000-0005-0000-0000-00007AB00000}"/>
    <cellStyle name="Title 87 2" xfId="45180" xr:uid="{00000000-0005-0000-0000-00007BB00000}"/>
    <cellStyle name="Title 88" xfId="45181" xr:uid="{00000000-0005-0000-0000-00007CB00000}"/>
    <cellStyle name="Title 88 2" xfId="45182" xr:uid="{00000000-0005-0000-0000-00007DB00000}"/>
    <cellStyle name="Title 89" xfId="45183" xr:uid="{00000000-0005-0000-0000-00007EB00000}"/>
    <cellStyle name="Title 89 2" xfId="45184" xr:uid="{00000000-0005-0000-0000-00007FB00000}"/>
    <cellStyle name="Title 9" xfId="45185" xr:uid="{00000000-0005-0000-0000-000080B00000}"/>
    <cellStyle name="Title 9 2" xfId="45186" xr:uid="{00000000-0005-0000-0000-000081B00000}"/>
    <cellStyle name="Title 90" xfId="45187" xr:uid="{00000000-0005-0000-0000-000082B00000}"/>
    <cellStyle name="Title 91" xfId="45188" xr:uid="{00000000-0005-0000-0000-000083B00000}"/>
    <cellStyle name="Title 92" xfId="45189" xr:uid="{00000000-0005-0000-0000-000084B00000}"/>
    <cellStyle name="Title 93" xfId="45190" xr:uid="{00000000-0005-0000-0000-000085B00000}"/>
    <cellStyle name="Title 94" xfId="45191" xr:uid="{00000000-0005-0000-0000-000086B00000}"/>
    <cellStyle name="Title 95" xfId="45192" xr:uid="{00000000-0005-0000-0000-000087B00000}"/>
    <cellStyle name="Title 96" xfId="45193" xr:uid="{00000000-0005-0000-0000-000088B00000}"/>
    <cellStyle name="Title 97" xfId="45194" xr:uid="{00000000-0005-0000-0000-000089B00000}"/>
    <cellStyle name="Title 98" xfId="45195" xr:uid="{00000000-0005-0000-0000-00008AB00000}"/>
    <cellStyle name="Title 99" xfId="45196" xr:uid="{00000000-0005-0000-0000-00008BB00000}"/>
    <cellStyle name="Titre" xfId="45197" xr:uid="{00000000-0005-0000-0000-00008CB00000}"/>
    <cellStyle name="Titre 1" xfId="45198" xr:uid="{00000000-0005-0000-0000-00008DB00000}"/>
    <cellStyle name="Titre 2" xfId="45199" xr:uid="{00000000-0005-0000-0000-00008EB00000}"/>
    <cellStyle name="Titre 3" xfId="45200" xr:uid="{00000000-0005-0000-0000-00008FB00000}"/>
    <cellStyle name="Titre 4" xfId="45201" xr:uid="{00000000-0005-0000-0000-000090B00000}"/>
    <cellStyle name="TMS" xfId="45202" xr:uid="{00000000-0005-0000-0000-000091B00000}"/>
    <cellStyle name="Total" xfId="17" builtinId="25" hidden="1" customBuiltin="1"/>
    <cellStyle name="Total" xfId="64" builtinId="25" hidden="1" customBuiltin="1"/>
    <cellStyle name="Total" xfId="86" builtinId="25" customBuiltin="1"/>
    <cellStyle name="Total 10" xfId="45203" xr:uid="{00000000-0005-0000-0000-000095B00000}"/>
    <cellStyle name="Total 10 2" xfId="45204" xr:uid="{00000000-0005-0000-0000-000096B00000}"/>
    <cellStyle name="Total 100" xfId="45205" xr:uid="{00000000-0005-0000-0000-000097B00000}"/>
    <cellStyle name="Total 101" xfId="45206" xr:uid="{00000000-0005-0000-0000-000098B00000}"/>
    <cellStyle name="Total 102" xfId="45207" xr:uid="{00000000-0005-0000-0000-000099B00000}"/>
    <cellStyle name="Total 103" xfId="45208" xr:uid="{00000000-0005-0000-0000-00009AB00000}"/>
    <cellStyle name="Total 104" xfId="45209" xr:uid="{00000000-0005-0000-0000-00009BB00000}"/>
    <cellStyle name="Total 105" xfId="45210" xr:uid="{00000000-0005-0000-0000-00009CB00000}"/>
    <cellStyle name="Total 106" xfId="45211" xr:uid="{00000000-0005-0000-0000-00009DB00000}"/>
    <cellStyle name="Total 107" xfId="45212" xr:uid="{00000000-0005-0000-0000-00009EB00000}"/>
    <cellStyle name="Total 108" xfId="45213" xr:uid="{00000000-0005-0000-0000-00009FB00000}"/>
    <cellStyle name="Total 109" xfId="45214" xr:uid="{00000000-0005-0000-0000-0000A0B00000}"/>
    <cellStyle name="Total 11" xfId="45215" xr:uid="{00000000-0005-0000-0000-0000A1B00000}"/>
    <cellStyle name="Total 11 2" xfId="45216" xr:uid="{00000000-0005-0000-0000-0000A2B00000}"/>
    <cellStyle name="Total 110" xfId="45217" xr:uid="{00000000-0005-0000-0000-0000A3B00000}"/>
    <cellStyle name="Total 111" xfId="45218" xr:uid="{00000000-0005-0000-0000-0000A4B00000}"/>
    <cellStyle name="Total 112" xfId="45219" xr:uid="{00000000-0005-0000-0000-0000A5B00000}"/>
    <cellStyle name="Total 113" xfId="45220" xr:uid="{00000000-0005-0000-0000-0000A6B00000}"/>
    <cellStyle name="Total 114" xfId="45221" xr:uid="{00000000-0005-0000-0000-0000A7B00000}"/>
    <cellStyle name="Total 115" xfId="45222" xr:uid="{00000000-0005-0000-0000-0000A8B00000}"/>
    <cellStyle name="Total 116" xfId="45223" xr:uid="{00000000-0005-0000-0000-0000A9B00000}"/>
    <cellStyle name="Total 117" xfId="45224" xr:uid="{00000000-0005-0000-0000-0000AAB00000}"/>
    <cellStyle name="Total 118" xfId="45225" xr:uid="{00000000-0005-0000-0000-0000ABB00000}"/>
    <cellStyle name="Total 119" xfId="45226" xr:uid="{00000000-0005-0000-0000-0000ACB00000}"/>
    <cellStyle name="Total 12" xfId="45227" xr:uid="{00000000-0005-0000-0000-0000ADB00000}"/>
    <cellStyle name="Total 12 2" xfId="45228" xr:uid="{00000000-0005-0000-0000-0000AEB00000}"/>
    <cellStyle name="Total 120" xfId="45229" xr:uid="{00000000-0005-0000-0000-0000AFB00000}"/>
    <cellStyle name="Total 121" xfId="45230" xr:uid="{00000000-0005-0000-0000-0000B0B00000}"/>
    <cellStyle name="Total 122" xfId="45231" xr:uid="{00000000-0005-0000-0000-0000B1B00000}"/>
    <cellStyle name="Total 123" xfId="45232" xr:uid="{00000000-0005-0000-0000-0000B2B00000}"/>
    <cellStyle name="Total 124" xfId="45233" xr:uid="{00000000-0005-0000-0000-0000B3B00000}"/>
    <cellStyle name="Total 125" xfId="45234" xr:uid="{00000000-0005-0000-0000-0000B4B00000}"/>
    <cellStyle name="Total 126" xfId="45235" xr:uid="{00000000-0005-0000-0000-0000B5B00000}"/>
    <cellStyle name="Total 127" xfId="45236" xr:uid="{00000000-0005-0000-0000-0000B6B00000}"/>
    <cellStyle name="Total 128" xfId="45237" xr:uid="{00000000-0005-0000-0000-0000B7B00000}"/>
    <cellStyle name="Total 129" xfId="45238" xr:uid="{00000000-0005-0000-0000-0000B8B00000}"/>
    <cellStyle name="Total 13" xfId="45239" xr:uid="{00000000-0005-0000-0000-0000B9B00000}"/>
    <cellStyle name="Total 13 2" xfId="45240" xr:uid="{00000000-0005-0000-0000-0000BAB00000}"/>
    <cellStyle name="Total 130" xfId="45241" xr:uid="{00000000-0005-0000-0000-0000BBB00000}"/>
    <cellStyle name="Total 131" xfId="45242" xr:uid="{00000000-0005-0000-0000-0000BCB00000}"/>
    <cellStyle name="Total 132" xfId="45243" xr:uid="{00000000-0005-0000-0000-0000BDB00000}"/>
    <cellStyle name="Total 133" xfId="45244" xr:uid="{00000000-0005-0000-0000-0000BEB00000}"/>
    <cellStyle name="Total 134" xfId="45245" xr:uid="{00000000-0005-0000-0000-0000BFB00000}"/>
    <cellStyle name="Total 135" xfId="45246" xr:uid="{00000000-0005-0000-0000-0000C0B00000}"/>
    <cellStyle name="Total 136" xfId="45247" xr:uid="{00000000-0005-0000-0000-0000C1B00000}"/>
    <cellStyle name="Total 137" xfId="45248" xr:uid="{00000000-0005-0000-0000-0000C2B00000}"/>
    <cellStyle name="Total 138" xfId="45249" xr:uid="{00000000-0005-0000-0000-0000C3B00000}"/>
    <cellStyle name="Total 139" xfId="45250" xr:uid="{00000000-0005-0000-0000-0000C4B00000}"/>
    <cellStyle name="Total 14" xfId="45251" xr:uid="{00000000-0005-0000-0000-0000C5B00000}"/>
    <cellStyle name="Total 14 2" xfId="45252" xr:uid="{00000000-0005-0000-0000-0000C6B00000}"/>
    <cellStyle name="Total 140" xfId="45253" xr:uid="{00000000-0005-0000-0000-0000C7B00000}"/>
    <cellStyle name="Total 141" xfId="45254" xr:uid="{00000000-0005-0000-0000-0000C8B00000}"/>
    <cellStyle name="Total 142" xfId="45255" xr:uid="{00000000-0005-0000-0000-0000C9B00000}"/>
    <cellStyle name="Total 143" xfId="45256" xr:uid="{00000000-0005-0000-0000-0000CAB00000}"/>
    <cellStyle name="Total 144" xfId="45257" xr:uid="{00000000-0005-0000-0000-0000CBB00000}"/>
    <cellStyle name="Total 145" xfId="45258" xr:uid="{00000000-0005-0000-0000-0000CCB00000}"/>
    <cellStyle name="Total 146" xfId="45259" xr:uid="{00000000-0005-0000-0000-0000CDB00000}"/>
    <cellStyle name="Total 147" xfId="45260" xr:uid="{00000000-0005-0000-0000-0000CEB00000}"/>
    <cellStyle name="Total 148" xfId="45261" xr:uid="{00000000-0005-0000-0000-0000CFB00000}"/>
    <cellStyle name="Total 149" xfId="45262" xr:uid="{00000000-0005-0000-0000-0000D0B00000}"/>
    <cellStyle name="Total 15" xfId="45263" xr:uid="{00000000-0005-0000-0000-0000D1B00000}"/>
    <cellStyle name="Total 15 2" xfId="45264" xr:uid="{00000000-0005-0000-0000-0000D2B00000}"/>
    <cellStyle name="Total 150" xfId="45265" xr:uid="{00000000-0005-0000-0000-0000D3B00000}"/>
    <cellStyle name="Total 151" xfId="45266" xr:uid="{00000000-0005-0000-0000-0000D4B00000}"/>
    <cellStyle name="Total 152" xfId="45267" xr:uid="{00000000-0005-0000-0000-0000D5B00000}"/>
    <cellStyle name="Total 153" xfId="45268" xr:uid="{00000000-0005-0000-0000-0000D6B00000}"/>
    <cellStyle name="Total 154" xfId="45269" xr:uid="{00000000-0005-0000-0000-0000D7B00000}"/>
    <cellStyle name="Total 155" xfId="45270" xr:uid="{00000000-0005-0000-0000-0000D8B00000}"/>
    <cellStyle name="Total 156" xfId="45271" xr:uid="{00000000-0005-0000-0000-0000D9B00000}"/>
    <cellStyle name="Total 157" xfId="45272" xr:uid="{00000000-0005-0000-0000-0000DAB00000}"/>
    <cellStyle name="Total 158" xfId="45273" xr:uid="{00000000-0005-0000-0000-0000DBB00000}"/>
    <cellStyle name="Total 159" xfId="45274" xr:uid="{00000000-0005-0000-0000-0000DCB00000}"/>
    <cellStyle name="Total 16" xfId="45275" xr:uid="{00000000-0005-0000-0000-0000DDB00000}"/>
    <cellStyle name="Total 160" xfId="45276" xr:uid="{00000000-0005-0000-0000-0000DEB00000}"/>
    <cellStyle name="Total 161" xfId="45277" xr:uid="{00000000-0005-0000-0000-0000DFB00000}"/>
    <cellStyle name="Total 162" xfId="45278" xr:uid="{00000000-0005-0000-0000-0000E0B00000}"/>
    <cellStyle name="Total 163" xfId="45279" xr:uid="{00000000-0005-0000-0000-0000E1B00000}"/>
    <cellStyle name="Total 164" xfId="45280" xr:uid="{00000000-0005-0000-0000-0000E2B00000}"/>
    <cellStyle name="Total 165" xfId="45281" xr:uid="{00000000-0005-0000-0000-0000E3B00000}"/>
    <cellStyle name="Total 166" xfId="45282" xr:uid="{00000000-0005-0000-0000-0000E4B00000}"/>
    <cellStyle name="Total 167" xfId="45283" xr:uid="{00000000-0005-0000-0000-0000E5B00000}"/>
    <cellStyle name="Total 17" xfId="45284" xr:uid="{00000000-0005-0000-0000-0000E6B00000}"/>
    <cellStyle name="Total 18" xfId="45285" xr:uid="{00000000-0005-0000-0000-0000E7B00000}"/>
    <cellStyle name="Total 19" xfId="45286" xr:uid="{00000000-0005-0000-0000-0000E8B00000}"/>
    <cellStyle name="Total 2" xfId="45287" xr:uid="{00000000-0005-0000-0000-0000E9B00000}"/>
    <cellStyle name="Total 2 10" xfId="45288" xr:uid="{00000000-0005-0000-0000-0000EAB00000}"/>
    <cellStyle name="Total 2 11" xfId="45289" xr:uid="{00000000-0005-0000-0000-0000EBB00000}"/>
    <cellStyle name="Total 2 12" xfId="45290" xr:uid="{00000000-0005-0000-0000-0000ECB00000}"/>
    <cellStyle name="Total 2 13" xfId="45291" xr:uid="{00000000-0005-0000-0000-0000EDB00000}"/>
    <cellStyle name="Total 2 14" xfId="45292" xr:uid="{00000000-0005-0000-0000-0000EEB00000}"/>
    <cellStyle name="Total 2 15" xfId="45293" xr:uid="{00000000-0005-0000-0000-0000EFB00000}"/>
    <cellStyle name="Total 2 16" xfId="45294" xr:uid="{00000000-0005-0000-0000-0000F0B00000}"/>
    <cellStyle name="Total 2 17" xfId="45295" xr:uid="{00000000-0005-0000-0000-0000F1B00000}"/>
    <cellStyle name="Total 2 18" xfId="45296" xr:uid="{00000000-0005-0000-0000-0000F2B00000}"/>
    <cellStyle name="Total 2 19" xfId="45297" xr:uid="{00000000-0005-0000-0000-0000F3B00000}"/>
    <cellStyle name="Total 2 2" xfId="45298" xr:uid="{00000000-0005-0000-0000-0000F4B00000}"/>
    <cellStyle name="Total 2 2 10" xfId="45299" xr:uid="{00000000-0005-0000-0000-0000F5B00000}"/>
    <cellStyle name="Total 2 2 11" xfId="45300" xr:uid="{00000000-0005-0000-0000-0000F6B00000}"/>
    <cellStyle name="Total 2 2 12" xfId="45301" xr:uid="{00000000-0005-0000-0000-0000F7B00000}"/>
    <cellStyle name="Total 2 2 13" xfId="45302" xr:uid="{00000000-0005-0000-0000-0000F8B00000}"/>
    <cellStyle name="Total 2 2 14" xfId="45303" xr:uid="{00000000-0005-0000-0000-0000F9B00000}"/>
    <cellStyle name="Total 2 2 2" xfId="45304" xr:uid="{00000000-0005-0000-0000-0000FAB00000}"/>
    <cellStyle name="Total 2 2 3" xfId="45305" xr:uid="{00000000-0005-0000-0000-0000FBB00000}"/>
    <cellStyle name="Total 2 2 4" xfId="45306" xr:uid="{00000000-0005-0000-0000-0000FCB00000}"/>
    <cellStyle name="Total 2 2 5" xfId="45307" xr:uid="{00000000-0005-0000-0000-0000FDB00000}"/>
    <cellStyle name="Total 2 2 6" xfId="45308" xr:uid="{00000000-0005-0000-0000-0000FEB00000}"/>
    <cellStyle name="Total 2 2 7" xfId="45309" xr:uid="{00000000-0005-0000-0000-0000FFB00000}"/>
    <cellStyle name="Total 2 2 8" xfId="45310" xr:uid="{00000000-0005-0000-0000-000000B10000}"/>
    <cellStyle name="Total 2 2 9" xfId="45311" xr:uid="{00000000-0005-0000-0000-000001B10000}"/>
    <cellStyle name="Total 2 20" xfId="45312" xr:uid="{00000000-0005-0000-0000-000002B10000}"/>
    <cellStyle name="Total 2 21" xfId="45313" xr:uid="{00000000-0005-0000-0000-000003B10000}"/>
    <cellStyle name="Total 2 22" xfId="45314" xr:uid="{00000000-0005-0000-0000-000004B10000}"/>
    <cellStyle name="Total 2 23" xfId="45315" xr:uid="{00000000-0005-0000-0000-000005B10000}"/>
    <cellStyle name="Total 2 24" xfId="45316" xr:uid="{00000000-0005-0000-0000-000006B10000}"/>
    <cellStyle name="Total 2 25" xfId="45317" xr:uid="{00000000-0005-0000-0000-000007B10000}"/>
    <cellStyle name="Total 2 26" xfId="45318" xr:uid="{00000000-0005-0000-0000-000008B10000}"/>
    <cellStyle name="Total 2 27" xfId="45319" xr:uid="{00000000-0005-0000-0000-000009B10000}"/>
    <cellStyle name="Total 2 28" xfId="45320" xr:uid="{00000000-0005-0000-0000-00000AB10000}"/>
    <cellStyle name="Total 2 29" xfId="45321" xr:uid="{00000000-0005-0000-0000-00000BB10000}"/>
    <cellStyle name="Total 2 3" xfId="45322" xr:uid="{00000000-0005-0000-0000-00000CB10000}"/>
    <cellStyle name="Total 2 3 10" xfId="45323" xr:uid="{00000000-0005-0000-0000-00000DB10000}"/>
    <cellStyle name="Total 2 3 11" xfId="45324" xr:uid="{00000000-0005-0000-0000-00000EB10000}"/>
    <cellStyle name="Total 2 3 12" xfId="45325" xr:uid="{00000000-0005-0000-0000-00000FB10000}"/>
    <cellStyle name="Total 2 3 13" xfId="45326" xr:uid="{00000000-0005-0000-0000-000010B10000}"/>
    <cellStyle name="Total 2 3 14" xfId="45327" xr:uid="{00000000-0005-0000-0000-000011B10000}"/>
    <cellStyle name="Total 2 3 2" xfId="45328" xr:uid="{00000000-0005-0000-0000-000012B10000}"/>
    <cellStyle name="Total 2 3 3" xfId="45329" xr:uid="{00000000-0005-0000-0000-000013B10000}"/>
    <cellStyle name="Total 2 3 4" xfId="45330" xr:uid="{00000000-0005-0000-0000-000014B10000}"/>
    <cellStyle name="Total 2 3 5" xfId="45331" xr:uid="{00000000-0005-0000-0000-000015B10000}"/>
    <cellStyle name="Total 2 3 6" xfId="45332" xr:uid="{00000000-0005-0000-0000-000016B10000}"/>
    <cellStyle name="Total 2 3 7" xfId="45333" xr:uid="{00000000-0005-0000-0000-000017B10000}"/>
    <cellStyle name="Total 2 3 8" xfId="45334" xr:uid="{00000000-0005-0000-0000-000018B10000}"/>
    <cellStyle name="Total 2 3 9" xfId="45335" xr:uid="{00000000-0005-0000-0000-000019B10000}"/>
    <cellStyle name="Total 2 30" xfId="45336" xr:uid="{00000000-0005-0000-0000-00001AB10000}"/>
    <cellStyle name="Total 2 31" xfId="45337" xr:uid="{00000000-0005-0000-0000-00001BB10000}"/>
    <cellStyle name="Total 2 32" xfId="45338" xr:uid="{00000000-0005-0000-0000-00001CB10000}"/>
    <cellStyle name="Total 2 33" xfId="45339" xr:uid="{00000000-0005-0000-0000-00001DB10000}"/>
    <cellStyle name="Total 2 34" xfId="45340" xr:uid="{00000000-0005-0000-0000-00001EB10000}"/>
    <cellStyle name="Total 2 35" xfId="45341" xr:uid="{00000000-0005-0000-0000-00001FB10000}"/>
    <cellStyle name="Total 2 4" xfId="45342" xr:uid="{00000000-0005-0000-0000-000020B10000}"/>
    <cellStyle name="Total 2 5" xfId="45343" xr:uid="{00000000-0005-0000-0000-000021B10000}"/>
    <cellStyle name="Total 2 6" xfId="45344" xr:uid="{00000000-0005-0000-0000-000022B10000}"/>
    <cellStyle name="Total 2 7" xfId="45345" xr:uid="{00000000-0005-0000-0000-000023B10000}"/>
    <cellStyle name="Total 2 8" xfId="45346" xr:uid="{00000000-0005-0000-0000-000024B10000}"/>
    <cellStyle name="Total 2 9" xfId="45347" xr:uid="{00000000-0005-0000-0000-000025B10000}"/>
    <cellStyle name="Total 2_Belker-InternalTrade" xfId="45348" xr:uid="{00000000-0005-0000-0000-000026B10000}"/>
    <cellStyle name="Total 20" xfId="45349" xr:uid="{00000000-0005-0000-0000-000027B10000}"/>
    <cellStyle name="Total 20 10" xfId="45350" xr:uid="{00000000-0005-0000-0000-000028B10000}"/>
    <cellStyle name="Total 20 11" xfId="45351" xr:uid="{00000000-0005-0000-0000-000029B10000}"/>
    <cellStyle name="Total 20 12" xfId="45352" xr:uid="{00000000-0005-0000-0000-00002AB10000}"/>
    <cellStyle name="Total 20 13" xfId="45353" xr:uid="{00000000-0005-0000-0000-00002BB10000}"/>
    <cellStyle name="Total 20 14" xfId="45354" xr:uid="{00000000-0005-0000-0000-00002CB10000}"/>
    <cellStyle name="Total 20 15" xfId="45355" xr:uid="{00000000-0005-0000-0000-00002DB10000}"/>
    <cellStyle name="Total 20 16" xfId="45356" xr:uid="{00000000-0005-0000-0000-00002EB10000}"/>
    <cellStyle name="Total 20 2" xfId="45357" xr:uid="{00000000-0005-0000-0000-00002FB10000}"/>
    <cellStyle name="Total 20 3" xfId="45358" xr:uid="{00000000-0005-0000-0000-000030B10000}"/>
    <cellStyle name="Total 20 4" xfId="45359" xr:uid="{00000000-0005-0000-0000-000031B10000}"/>
    <cellStyle name="Total 20 5" xfId="45360" xr:uid="{00000000-0005-0000-0000-000032B10000}"/>
    <cellStyle name="Total 20 6" xfId="45361" xr:uid="{00000000-0005-0000-0000-000033B10000}"/>
    <cellStyle name="Total 20 7" xfId="45362" xr:uid="{00000000-0005-0000-0000-000034B10000}"/>
    <cellStyle name="Total 20 8" xfId="45363" xr:uid="{00000000-0005-0000-0000-000035B10000}"/>
    <cellStyle name="Total 20 9" xfId="45364" xr:uid="{00000000-0005-0000-0000-000036B10000}"/>
    <cellStyle name="Total 21" xfId="45365" xr:uid="{00000000-0005-0000-0000-000037B10000}"/>
    <cellStyle name="Total 21 2" xfId="45366" xr:uid="{00000000-0005-0000-0000-000038B10000}"/>
    <cellStyle name="Total 21 3" xfId="45367" xr:uid="{00000000-0005-0000-0000-000039B10000}"/>
    <cellStyle name="Total 22" xfId="45368" xr:uid="{00000000-0005-0000-0000-00003AB10000}"/>
    <cellStyle name="Total 23" xfId="45369" xr:uid="{00000000-0005-0000-0000-00003BB10000}"/>
    <cellStyle name="Total 24" xfId="45370" xr:uid="{00000000-0005-0000-0000-00003CB10000}"/>
    <cellStyle name="Total 25" xfId="45371" xr:uid="{00000000-0005-0000-0000-00003DB10000}"/>
    <cellStyle name="Total 26" xfId="45372" xr:uid="{00000000-0005-0000-0000-00003EB10000}"/>
    <cellStyle name="Total 27" xfId="45373" xr:uid="{00000000-0005-0000-0000-00003FB10000}"/>
    <cellStyle name="Total 28" xfId="45374" xr:uid="{00000000-0005-0000-0000-000040B10000}"/>
    <cellStyle name="Total 29" xfId="45375" xr:uid="{00000000-0005-0000-0000-000041B10000}"/>
    <cellStyle name="Total 3" xfId="45376" xr:uid="{00000000-0005-0000-0000-000042B10000}"/>
    <cellStyle name="Total 3 10" xfId="45377" xr:uid="{00000000-0005-0000-0000-000043B10000}"/>
    <cellStyle name="Total 3 10 10" xfId="45378" xr:uid="{00000000-0005-0000-0000-000044B10000}"/>
    <cellStyle name="Total 3 10 11" xfId="45379" xr:uid="{00000000-0005-0000-0000-000045B10000}"/>
    <cellStyle name="Total 3 10 12" xfId="45380" xr:uid="{00000000-0005-0000-0000-000046B10000}"/>
    <cellStyle name="Total 3 10 13" xfId="45381" xr:uid="{00000000-0005-0000-0000-000047B10000}"/>
    <cellStyle name="Total 3 10 14" xfId="45382" xr:uid="{00000000-0005-0000-0000-000048B10000}"/>
    <cellStyle name="Total 3 10 15" xfId="45383" xr:uid="{00000000-0005-0000-0000-000049B10000}"/>
    <cellStyle name="Total 3 10 2" xfId="45384" xr:uid="{00000000-0005-0000-0000-00004AB10000}"/>
    <cellStyle name="Total 3 10 3" xfId="45385" xr:uid="{00000000-0005-0000-0000-00004BB10000}"/>
    <cellStyle name="Total 3 10 4" xfId="45386" xr:uid="{00000000-0005-0000-0000-00004CB10000}"/>
    <cellStyle name="Total 3 10 5" xfId="45387" xr:uid="{00000000-0005-0000-0000-00004DB10000}"/>
    <cellStyle name="Total 3 10 6" xfId="45388" xr:uid="{00000000-0005-0000-0000-00004EB10000}"/>
    <cellStyle name="Total 3 10 7" xfId="45389" xr:uid="{00000000-0005-0000-0000-00004FB10000}"/>
    <cellStyle name="Total 3 10 8" xfId="45390" xr:uid="{00000000-0005-0000-0000-000050B10000}"/>
    <cellStyle name="Total 3 10 9" xfId="45391" xr:uid="{00000000-0005-0000-0000-000051B10000}"/>
    <cellStyle name="Total 3 11" xfId="45392" xr:uid="{00000000-0005-0000-0000-000052B10000}"/>
    <cellStyle name="Total 3 11 10" xfId="45393" xr:uid="{00000000-0005-0000-0000-000053B10000}"/>
    <cellStyle name="Total 3 11 11" xfId="45394" xr:uid="{00000000-0005-0000-0000-000054B10000}"/>
    <cellStyle name="Total 3 11 12" xfId="45395" xr:uid="{00000000-0005-0000-0000-000055B10000}"/>
    <cellStyle name="Total 3 11 13" xfId="45396" xr:uid="{00000000-0005-0000-0000-000056B10000}"/>
    <cellStyle name="Total 3 11 14" xfId="45397" xr:uid="{00000000-0005-0000-0000-000057B10000}"/>
    <cellStyle name="Total 3 11 15" xfId="45398" xr:uid="{00000000-0005-0000-0000-000058B10000}"/>
    <cellStyle name="Total 3 11 2" xfId="45399" xr:uid="{00000000-0005-0000-0000-000059B10000}"/>
    <cellStyle name="Total 3 11 3" xfId="45400" xr:uid="{00000000-0005-0000-0000-00005AB10000}"/>
    <cellStyle name="Total 3 11 4" xfId="45401" xr:uid="{00000000-0005-0000-0000-00005BB10000}"/>
    <cellStyle name="Total 3 11 5" xfId="45402" xr:uid="{00000000-0005-0000-0000-00005CB10000}"/>
    <cellStyle name="Total 3 11 6" xfId="45403" xr:uid="{00000000-0005-0000-0000-00005DB10000}"/>
    <cellStyle name="Total 3 11 7" xfId="45404" xr:uid="{00000000-0005-0000-0000-00005EB10000}"/>
    <cellStyle name="Total 3 11 8" xfId="45405" xr:uid="{00000000-0005-0000-0000-00005FB10000}"/>
    <cellStyle name="Total 3 11 9" xfId="45406" xr:uid="{00000000-0005-0000-0000-000060B10000}"/>
    <cellStyle name="Total 3 12" xfId="45407" xr:uid="{00000000-0005-0000-0000-000061B10000}"/>
    <cellStyle name="Total 3 12 10" xfId="45408" xr:uid="{00000000-0005-0000-0000-000062B10000}"/>
    <cellStyle name="Total 3 12 11" xfId="45409" xr:uid="{00000000-0005-0000-0000-000063B10000}"/>
    <cellStyle name="Total 3 12 12" xfId="45410" xr:uid="{00000000-0005-0000-0000-000064B10000}"/>
    <cellStyle name="Total 3 12 13" xfId="45411" xr:uid="{00000000-0005-0000-0000-000065B10000}"/>
    <cellStyle name="Total 3 12 14" xfId="45412" xr:uid="{00000000-0005-0000-0000-000066B10000}"/>
    <cellStyle name="Total 3 12 15" xfId="45413" xr:uid="{00000000-0005-0000-0000-000067B10000}"/>
    <cellStyle name="Total 3 12 2" xfId="45414" xr:uid="{00000000-0005-0000-0000-000068B10000}"/>
    <cellStyle name="Total 3 12 3" xfId="45415" xr:uid="{00000000-0005-0000-0000-000069B10000}"/>
    <cellStyle name="Total 3 12 4" xfId="45416" xr:uid="{00000000-0005-0000-0000-00006AB10000}"/>
    <cellStyle name="Total 3 12 5" xfId="45417" xr:uid="{00000000-0005-0000-0000-00006BB10000}"/>
    <cellStyle name="Total 3 12 6" xfId="45418" xr:uid="{00000000-0005-0000-0000-00006CB10000}"/>
    <cellStyle name="Total 3 12 7" xfId="45419" xr:uid="{00000000-0005-0000-0000-00006DB10000}"/>
    <cellStyle name="Total 3 12 8" xfId="45420" xr:uid="{00000000-0005-0000-0000-00006EB10000}"/>
    <cellStyle name="Total 3 12 9" xfId="45421" xr:uid="{00000000-0005-0000-0000-00006FB10000}"/>
    <cellStyle name="Total 3 13" xfId="45422" xr:uid="{00000000-0005-0000-0000-000070B10000}"/>
    <cellStyle name="Total 3 13 10" xfId="45423" xr:uid="{00000000-0005-0000-0000-000071B10000}"/>
    <cellStyle name="Total 3 13 11" xfId="45424" xr:uid="{00000000-0005-0000-0000-000072B10000}"/>
    <cellStyle name="Total 3 13 12" xfId="45425" xr:uid="{00000000-0005-0000-0000-000073B10000}"/>
    <cellStyle name="Total 3 13 13" xfId="45426" xr:uid="{00000000-0005-0000-0000-000074B10000}"/>
    <cellStyle name="Total 3 13 14" xfId="45427" xr:uid="{00000000-0005-0000-0000-000075B10000}"/>
    <cellStyle name="Total 3 13 15" xfId="45428" xr:uid="{00000000-0005-0000-0000-000076B10000}"/>
    <cellStyle name="Total 3 13 2" xfId="45429" xr:uid="{00000000-0005-0000-0000-000077B10000}"/>
    <cellStyle name="Total 3 13 3" xfId="45430" xr:uid="{00000000-0005-0000-0000-000078B10000}"/>
    <cellStyle name="Total 3 13 4" xfId="45431" xr:uid="{00000000-0005-0000-0000-000079B10000}"/>
    <cellStyle name="Total 3 13 5" xfId="45432" xr:uid="{00000000-0005-0000-0000-00007AB10000}"/>
    <cellStyle name="Total 3 13 6" xfId="45433" xr:uid="{00000000-0005-0000-0000-00007BB10000}"/>
    <cellStyle name="Total 3 13 7" xfId="45434" xr:uid="{00000000-0005-0000-0000-00007CB10000}"/>
    <cellStyle name="Total 3 13 8" xfId="45435" xr:uid="{00000000-0005-0000-0000-00007DB10000}"/>
    <cellStyle name="Total 3 13 9" xfId="45436" xr:uid="{00000000-0005-0000-0000-00007EB10000}"/>
    <cellStyle name="Total 3 14" xfId="45437" xr:uid="{00000000-0005-0000-0000-00007FB10000}"/>
    <cellStyle name="Total 3 14 10" xfId="45438" xr:uid="{00000000-0005-0000-0000-000080B10000}"/>
    <cellStyle name="Total 3 14 11" xfId="45439" xr:uid="{00000000-0005-0000-0000-000081B10000}"/>
    <cellStyle name="Total 3 14 12" xfId="45440" xr:uid="{00000000-0005-0000-0000-000082B10000}"/>
    <cellStyle name="Total 3 14 13" xfId="45441" xr:uid="{00000000-0005-0000-0000-000083B10000}"/>
    <cellStyle name="Total 3 14 14" xfId="45442" xr:uid="{00000000-0005-0000-0000-000084B10000}"/>
    <cellStyle name="Total 3 14 15" xfId="45443" xr:uid="{00000000-0005-0000-0000-000085B10000}"/>
    <cellStyle name="Total 3 14 2" xfId="45444" xr:uid="{00000000-0005-0000-0000-000086B10000}"/>
    <cellStyle name="Total 3 14 3" xfId="45445" xr:uid="{00000000-0005-0000-0000-000087B10000}"/>
    <cellStyle name="Total 3 14 4" xfId="45446" xr:uid="{00000000-0005-0000-0000-000088B10000}"/>
    <cellStyle name="Total 3 14 5" xfId="45447" xr:uid="{00000000-0005-0000-0000-000089B10000}"/>
    <cellStyle name="Total 3 14 6" xfId="45448" xr:uid="{00000000-0005-0000-0000-00008AB10000}"/>
    <cellStyle name="Total 3 14 7" xfId="45449" xr:uid="{00000000-0005-0000-0000-00008BB10000}"/>
    <cellStyle name="Total 3 14 8" xfId="45450" xr:uid="{00000000-0005-0000-0000-00008CB10000}"/>
    <cellStyle name="Total 3 14 9" xfId="45451" xr:uid="{00000000-0005-0000-0000-00008DB10000}"/>
    <cellStyle name="Total 3 15" xfId="45452" xr:uid="{00000000-0005-0000-0000-00008EB10000}"/>
    <cellStyle name="Total 3 15 10" xfId="45453" xr:uid="{00000000-0005-0000-0000-00008FB10000}"/>
    <cellStyle name="Total 3 15 11" xfId="45454" xr:uid="{00000000-0005-0000-0000-000090B10000}"/>
    <cellStyle name="Total 3 15 12" xfId="45455" xr:uid="{00000000-0005-0000-0000-000091B10000}"/>
    <cellStyle name="Total 3 15 13" xfId="45456" xr:uid="{00000000-0005-0000-0000-000092B10000}"/>
    <cellStyle name="Total 3 15 14" xfId="45457" xr:uid="{00000000-0005-0000-0000-000093B10000}"/>
    <cellStyle name="Total 3 15 15" xfId="45458" xr:uid="{00000000-0005-0000-0000-000094B10000}"/>
    <cellStyle name="Total 3 15 2" xfId="45459" xr:uid="{00000000-0005-0000-0000-000095B10000}"/>
    <cellStyle name="Total 3 15 3" xfId="45460" xr:uid="{00000000-0005-0000-0000-000096B10000}"/>
    <cellStyle name="Total 3 15 4" xfId="45461" xr:uid="{00000000-0005-0000-0000-000097B10000}"/>
    <cellStyle name="Total 3 15 5" xfId="45462" xr:uid="{00000000-0005-0000-0000-000098B10000}"/>
    <cellStyle name="Total 3 15 6" xfId="45463" xr:uid="{00000000-0005-0000-0000-000099B10000}"/>
    <cellStyle name="Total 3 15 7" xfId="45464" xr:uid="{00000000-0005-0000-0000-00009AB10000}"/>
    <cellStyle name="Total 3 15 8" xfId="45465" xr:uid="{00000000-0005-0000-0000-00009BB10000}"/>
    <cellStyle name="Total 3 15 9" xfId="45466" xr:uid="{00000000-0005-0000-0000-00009CB10000}"/>
    <cellStyle name="Total 3 16" xfId="45467" xr:uid="{00000000-0005-0000-0000-00009DB10000}"/>
    <cellStyle name="Total 3 16 10" xfId="45468" xr:uid="{00000000-0005-0000-0000-00009EB10000}"/>
    <cellStyle name="Total 3 16 11" xfId="45469" xr:uid="{00000000-0005-0000-0000-00009FB10000}"/>
    <cellStyle name="Total 3 16 12" xfId="45470" xr:uid="{00000000-0005-0000-0000-0000A0B10000}"/>
    <cellStyle name="Total 3 16 13" xfId="45471" xr:uid="{00000000-0005-0000-0000-0000A1B10000}"/>
    <cellStyle name="Total 3 16 14" xfId="45472" xr:uid="{00000000-0005-0000-0000-0000A2B10000}"/>
    <cellStyle name="Total 3 16 15" xfId="45473" xr:uid="{00000000-0005-0000-0000-0000A3B10000}"/>
    <cellStyle name="Total 3 16 2" xfId="45474" xr:uid="{00000000-0005-0000-0000-0000A4B10000}"/>
    <cellStyle name="Total 3 16 3" xfId="45475" xr:uid="{00000000-0005-0000-0000-0000A5B10000}"/>
    <cellStyle name="Total 3 16 4" xfId="45476" xr:uid="{00000000-0005-0000-0000-0000A6B10000}"/>
    <cellStyle name="Total 3 16 5" xfId="45477" xr:uid="{00000000-0005-0000-0000-0000A7B10000}"/>
    <cellStyle name="Total 3 16 6" xfId="45478" xr:uid="{00000000-0005-0000-0000-0000A8B10000}"/>
    <cellStyle name="Total 3 16 7" xfId="45479" xr:uid="{00000000-0005-0000-0000-0000A9B10000}"/>
    <cellStyle name="Total 3 16 8" xfId="45480" xr:uid="{00000000-0005-0000-0000-0000AAB10000}"/>
    <cellStyle name="Total 3 16 9" xfId="45481" xr:uid="{00000000-0005-0000-0000-0000ABB10000}"/>
    <cellStyle name="Total 3 17" xfId="45482" xr:uid="{00000000-0005-0000-0000-0000ACB10000}"/>
    <cellStyle name="Total 3 17 10" xfId="45483" xr:uid="{00000000-0005-0000-0000-0000ADB10000}"/>
    <cellStyle name="Total 3 17 11" xfId="45484" xr:uid="{00000000-0005-0000-0000-0000AEB10000}"/>
    <cellStyle name="Total 3 17 12" xfId="45485" xr:uid="{00000000-0005-0000-0000-0000AFB10000}"/>
    <cellStyle name="Total 3 17 13" xfId="45486" xr:uid="{00000000-0005-0000-0000-0000B0B10000}"/>
    <cellStyle name="Total 3 17 14" xfId="45487" xr:uid="{00000000-0005-0000-0000-0000B1B10000}"/>
    <cellStyle name="Total 3 17 15" xfId="45488" xr:uid="{00000000-0005-0000-0000-0000B2B10000}"/>
    <cellStyle name="Total 3 17 2" xfId="45489" xr:uid="{00000000-0005-0000-0000-0000B3B10000}"/>
    <cellStyle name="Total 3 17 3" xfId="45490" xr:uid="{00000000-0005-0000-0000-0000B4B10000}"/>
    <cellStyle name="Total 3 17 4" xfId="45491" xr:uid="{00000000-0005-0000-0000-0000B5B10000}"/>
    <cellStyle name="Total 3 17 5" xfId="45492" xr:uid="{00000000-0005-0000-0000-0000B6B10000}"/>
    <cellStyle name="Total 3 17 6" xfId="45493" xr:uid="{00000000-0005-0000-0000-0000B7B10000}"/>
    <cellStyle name="Total 3 17 7" xfId="45494" xr:uid="{00000000-0005-0000-0000-0000B8B10000}"/>
    <cellStyle name="Total 3 17 8" xfId="45495" xr:uid="{00000000-0005-0000-0000-0000B9B10000}"/>
    <cellStyle name="Total 3 17 9" xfId="45496" xr:uid="{00000000-0005-0000-0000-0000BAB10000}"/>
    <cellStyle name="Total 3 18" xfId="45497" xr:uid="{00000000-0005-0000-0000-0000BBB10000}"/>
    <cellStyle name="Total 3 18 10" xfId="45498" xr:uid="{00000000-0005-0000-0000-0000BCB10000}"/>
    <cellStyle name="Total 3 18 11" xfId="45499" xr:uid="{00000000-0005-0000-0000-0000BDB10000}"/>
    <cellStyle name="Total 3 18 12" xfId="45500" xr:uid="{00000000-0005-0000-0000-0000BEB10000}"/>
    <cellStyle name="Total 3 18 13" xfId="45501" xr:uid="{00000000-0005-0000-0000-0000BFB10000}"/>
    <cellStyle name="Total 3 18 14" xfId="45502" xr:uid="{00000000-0005-0000-0000-0000C0B10000}"/>
    <cellStyle name="Total 3 18 15" xfId="45503" xr:uid="{00000000-0005-0000-0000-0000C1B10000}"/>
    <cellStyle name="Total 3 18 2" xfId="45504" xr:uid="{00000000-0005-0000-0000-0000C2B10000}"/>
    <cellStyle name="Total 3 18 3" xfId="45505" xr:uid="{00000000-0005-0000-0000-0000C3B10000}"/>
    <cellStyle name="Total 3 18 4" xfId="45506" xr:uid="{00000000-0005-0000-0000-0000C4B10000}"/>
    <cellStyle name="Total 3 18 5" xfId="45507" xr:uid="{00000000-0005-0000-0000-0000C5B10000}"/>
    <cellStyle name="Total 3 18 6" xfId="45508" xr:uid="{00000000-0005-0000-0000-0000C6B10000}"/>
    <cellStyle name="Total 3 18 7" xfId="45509" xr:uid="{00000000-0005-0000-0000-0000C7B10000}"/>
    <cellStyle name="Total 3 18 8" xfId="45510" xr:uid="{00000000-0005-0000-0000-0000C8B10000}"/>
    <cellStyle name="Total 3 18 9" xfId="45511" xr:uid="{00000000-0005-0000-0000-0000C9B10000}"/>
    <cellStyle name="Total 3 19" xfId="45512" xr:uid="{00000000-0005-0000-0000-0000CAB10000}"/>
    <cellStyle name="Total 3 19 10" xfId="45513" xr:uid="{00000000-0005-0000-0000-0000CBB10000}"/>
    <cellStyle name="Total 3 19 11" xfId="45514" xr:uid="{00000000-0005-0000-0000-0000CCB10000}"/>
    <cellStyle name="Total 3 19 12" xfId="45515" xr:uid="{00000000-0005-0000-0000-0000CDB10000}"/>
    <cellStyle name="Total 3 19 13" xfId="45516" xr:uid="{00000000-0005-0000-0000-0000CEB10000}"/>
    <cellStyle name="Total 3 19 14" xfId="45517" xr:uid="{00000000-0005-0000-0000-0000CFB10000}"/>
    <cellStyle name="Total 3 19 15" xfId="45518" xr:uid="{00000000-0005-0000-0000-0000D0B10000}"/>
    <cellStyle name="Total 3 19 2" xfId="45519" xr:uid="{00000000-0005-0000-0000-0000D1B10000}"/>
    <cellStyle name="Total 3 19 3" xfId="45520" xr:uid="{00000000-0005-0000-0000-0000D2B10000}"/>
    <cellStyle name="Total 3 19 4" xfId="45521" xr:uid="{00000000-0005-0000-0000-0000D3B10000}"/>
    <cellStyle name="Total 3 19 5" xfId="45522" xr:uid="{00000000-0005-0000-0000-0000D4B10000}"/>
    <cellStyle name="Total 3 19 6" xfId="45523" xr:uid="{00000000-0005-0000-0000-0000D5B10000}"/>
    <cellStyle name="Total 3 19 7" xfId="45524" xr:uid="{00000000-0005-0000-0000-0000D6B10000}"/>
    <cellStyle name="Total 3 19 8" xfId="45525" xr:uid="{00000000-0005-0000-0000-0000D7B10000}"/>
    <cellStyle name="Total 3 19 9" xfId="45526" xr:uid="{00000000-0005-0000-0000-0000D8B10000}"/>
    <cellStyle name="Total 3 2" xfId="45527" xr:uid="{00000000-0005-0000-0000-0000D9B10000}"/>
    <cellStyle name="Total 3 2 10" xfId="45528" xr:uid="{00000000-0005-0000-0000-0000DAB10000}"/>
    <cellStyle name="Total 3 2 11" xfId="45529" xr:uid="{00000000-0005-0000-0000-0000DBB10000}"/>
    <cellStyle name="Total 3 2 12" xfId="45530" xr:uid="{00000000-0005-0000-0000-0000DCB10000}"/>
    <cellStyle name="Total 3 2 13" xfId="45531" xr:uid="{00000000-0005-0000-0000-0000DDB10000}"/>
    <cellStyle name="Total 3 2 14" xfId="45532" xr:uid="{00000000-0005-0000-0000-0000DEB10000}"/>
    <cellStyle name="Total 3 2 15" xfId="45533" xr:uid="{00000000-0005-0000-0000-0000DFB10000}"/>
    <cellStyle name="Total 3 2 16" xfId="45534" xr:uid="{00000000-0005-0000-0000-0000E0B10000}"/>
    <cellStyle name="Total 3 2 17" xfId="45535" xr:uid="{00000000-0005-0000-0000-0000E1B10000}"/>
    <cellStyle name="Total 3 2 18" xfId="45536" xr:uid="{00000000-0005-0000-0000-0000E2B10000}"/>
    <cellStyle name="Total 3 2 19" xfId="45537" xr:uid="{00000000-0005-0000-0000-0000E3B10000}"/>
    <cellStyle name="Total 3 2 2" xfId="45538" xr:uid="{00000000-0005-0000-0000-0000E4B10000}"/>
    <cellStyle name="Total 3 2 20" xfId="45539" xr:uid="{00000000-0005-0000-0000-0000E5B10000}"/>
    <cellStyle name="Total 3 2 21" xfId="45540" xr:uid="{00000000-0005-0000-0000-0000E6B10000}"/>
    <cellStyle name="Total 3 2 22" xfId="45541" xr:uid="{00000000-0005-0000-0000-0000E7B10000}"/>
    <cellStyle name="Total 3 2 23" xfId="45542" xr:uid="{00000000-0005-0000-0000-0000E8B10000}"/>
    <cellStyle name="Total 3 2 24" xfId="45543" xr:uid="{00000000-0005-0000-0000-0000E9B10000}"/>
    <cellStyle name="Total 3 2 25" xfId="45544" xr:uid="{00000000-0005-0000-0000-0000EAB10000}"/>
    <cellStyle name="Total 3 2 26" xfId="45545" xr:uid="{00000000-0005-0000-0000-0000EBB10000}"/>
    <cellStyle name="Total 3 2 27" xfId="45546" xr:uid="{00000000-0005-0000-0000-0000ECB10000}"/>
    <cellStyle name="Total 3 2 28" xfId="45547" xr:uid="{00000000-0005-0000-0000-0000EDB10000}"/>
    <cellStyle name="Total 3 2 29" xfId="45548" xr:uid="{00000000-0005-0000-0000-0000EEB10000}"/>
    <cellStyle name="Total 3 2 3" xfId="45549" xr:uid="{00000000-0005-0000-0000-0000EFB10000}"/>
    <cellStyle name="Total 3 2 30" xfId="45550" xr:uid="{00000000-0005-0000-0000-0000F0B10000}"/>
    <cellStyle name="Total 3 2 31" xfId="45551" xr:uid="{00000000-0005-0000-0000-0000F1B10000}"/>
    <cellStyle name="Total 3 2 32" xfId="45552" xr:uid="{00000000-0005-0000-0000-0000F2B10000}"/>
    <cellStyle name="Total 3 2 33" xfId="45553" xr:uid="{00000000-0005-0000-0000-0000F3B10000}"/>
    <cellStyle name="Total 3 2 34" xfId="45554" xr:uid="{00000000-0005-0000-0000-0000F4B10000}"/>
    <cellStyle name="Total 3 2 35" xfId="45555" xr:uid="{00000000-0005-0000-0000-0000F5B10000}"/>
    <cellStyle name="Total 3 2 36" xfId="45556" xr:uid="{00000000-0005-0000-0000-0000F6B10000}"/>
    <cellStyle name="Total 3 2 37" xfId="45557" xr:uid="{00000000-0005-0000-0000-0000F7B10000}"/>
    <cellStyle name="Total 3 2 38" xfId="45558" xr:uid="{00000000-0005-0000-0000-0000F8B10000}"/>
    <cellStyle name="Total 3 2 39" xfId="45559" xr:uid="{00000000-0005-0000-0000-0000F9B10000}"/>
    <cellStyle name="Total 3 2 4" xfId="45560" xr:uid="{00000000-0005-0000-0000-0000FAB10000}"/>
    <cellStyle name="Total 3 2 40" xfId="45561" xr:uid="{00000000-0005-0000-0000-0000FBB10000}"/>
    <cellStyle name="Total 3 2 41" xfId="45562" xr:uid="{00000000-0005-0000-0000-0000FCB10000}"/>
    <cellStyle name="Total 3 2 42" xfId="45563" xr:uid="{00000000-0005-0000-0000-0000FDB10000}"/>
    <cellStyle name="Total 3 2 43" xfId="45564" xr:uid="{00000000-0005-0000-0000-0000FEB10000}"/>
    <cellStyle name="Total 3 2 44" xfId="45565" xr:uid="{00000000-0005-0000-0000-0000FFB10000}"/>
    <cellStyle name="Total 3 2 45" xfId="45566" xr:uid="{00000000-0005-0000-0000-000000B20000}"/>
    <cellStyle name="Total 3 2 46" xfId="45567" xr:uid="{00000000-0005-0000-0000-000001B20000}"/>
    <cellStyle name="Total 3 2 47" xfId="45568" xr:uid="{00000000-0005-0000-0000-000002B20000}"/>
    <cellStyle name="Total 3 2 48" xfId="45569" xr:uid="{00000000-0005-0000-0000-000003B20000}"/>
    <cellStyle name="Total 3 2 49" xfId="45570" xr:uid="{00000000-0005-0000-0000-000004B20000}"/>
    <cellStyle name="Total 3 2 5" xfId="45571" xr:uid="{00000000-0005-0000-0000-000005B20000}"/>
    <cellStyle name="Total 3 2 50" xfId="45572" xr:uid="{00000000-0005-0000-0000-000006B20000}"/>
    <cellStyle name="Total 3 2 51" xfId="45573" xr:uid="{00000000-0005-0000-0000-000007B20000}"/>
    <cellStyle name="Total 3 2 52" xfId="45574" xr:uid="{00000000-0005-0000-0000-000008B20000}"/>
    <cellStyle name="Total 3 2 53" xfId="45575" xr:uid="{00000000-0005-0000-0000-000009B20000}"/>
    <cellStyle name="Total 3 2 6" xfId="45576" xr:uid="{00000000-0005-0000-0000-00000AB20000}"/>
    <cellStyle name="Total 3 2 7" xfId="45577" xr:uid="{00000000-0005-0000-0000-00000BB20000}"/>
    <cellStyle name="Total 3 2 8" xfId="45578" xr:uid="{00000000-0005-0000-0000-00000CB20000}"/>
    <cellStyle name="Total 3 2 9" xfId="45579" xr:uid="{00000000-0005-0000-0000-00000DB20000}"/>
    <cellStyle name="Total 3 20" xfId="45580" xr:uid="{00000000-0005-0000-0000-00000EB20000}"/>
    <cellStyle name="Total 3 20 10" xfId="45581" xr:uid="{00000000-0005-0000-0000-00000FB20000}"/>
    <cellStyle name="Total 3 20 11" xfId="45582" xr:uid="{00000000-0005-0000-0000-000010B20000}"/>
    <cellStyle name="Total 3 20 12" xfId="45583" xr:uid="{00000000-0005-0000-0000-000011B20000}"/>
    <cellStyle name="Total 3 20 13" xfId="45584" xr:uid="{00000000-0005-0000-0000-000012B20000}"/>
    <cellStyle name="Total 3 20 14" xfId="45585" xr:uid="{00000000-0005-0000-0000-000013B20000}"/>
    <cellStyle name="Total 3 20 15" xfId="45586" xr:uid="{00000000-0005-0000-0000-000014B20000}"/>
    <cellStyle name="Total 3 20 2" xfId="45587" xr:uid="{00000000-0005-0000-0000-000015B20000}"/>
    <cellStyle name="Total 3 20 3" xfId="45588" xr:uid="{00000000-0005-0000-0000-000016B20000}"/>
    <cellStyle name="Total 3 20 4" xfId="45589" xr:uid="{00000000-0005-0000-0000-000017B20000}"/>
    <cellStyle name="Total 3 20 5" xfId="45590" xr:uid="{00000000-0005-0000-0000-000018B20000}"/>
    <cellStyle name="Total 3 20 6" xfId="45591" xr:uid="{00000000-0005-0000-0000-000019B20000}"/>
    <cellStyle name="Total 3 20 7" xfId="45592" xr:uid="{00000000-0005-0000-0000-00001AB20000}"/>
    <cellStyle name="Total 3 20 8" xfId="45593" xr:uid="{00000000-0005-0000-0000-00001BB20000}"/>
    <cellStyle name="Total 3 20 9" xfId="45594" xr:uid="{00000000-0005-0000-0000-00001CB20000}"/>
    <cellStyle name="Total 3 21" xfId="45595" xr:uid="{00000000-0005-0000-0000-00001DB20000}"/>
    <cellStyle name="Total 3 21 10" xfId="45596" xr:uid="{00000000-0005-0000-0000-00001EB20000}"/>
    <cellStyle name="Total 3 21 11" xfId="45597" xr:uid="{00000000-0005-0000-0000-00001FB20000}"/>
    <cellStyle name="Total 3 21 12" xfId="45598" xr:uid="{00000000-0005-0000-0000-000020B20000}"/>
    <cellStyle name="Total 3 21 13" xfId="45599" xr:uid="{00000000-0005-0000-0000-000021B20000}"/>
    <cellStyle name="Total 3 21 14" xfId="45600" xr:uid="{00000000-0005-0000-0000-000022B20000}"/>
    <cellStyle name="Total 3 21 15" xfId="45601" xr:uid="{00000000-0005-0000-0000-000023B20000}"/>
    <cellStyle name="Total 3 21 2" xfId="45602" xr:uid="{00000000-0005-0000-0000-000024B20000}"/>
    <cellStyle name="Total 3 21 3" xfId="45603" xr:uid="{00000000-0005-0000-0000-000025B20000}"/>
    <cellStyle name="Total 3 21 4" xfId="45604" xr:uid="{00000000-0005-0000-0000-000026B20000}"/>
    <cellStyle name="Total 3 21 5" xfId="45605" xr:uid="{00000000-0005-0000-0000-000027B20000}"/>
    <cellStyle name="Total 3 21 6" xfId="45606" xr:uid="{00000000-0005-0000-0000-000028B20000}"/>
    <cellStyle name="Total 3 21 7" xfId="45607" xr:uid="{00000000-0005-0000-0000-000029B20000}"/>
    <cellStyle name="Total 3 21 8" xfId="45608" xr:uid="{00000000-0005-0000-0000-00002AB20000}"/>
    <cellStyle name="Total 3 21 9" xfId="45609" xr:uid="{00000000-0005-0000-0000-00002BB20000}"/>
    <cellStyle name="Total 3 22" xfId="45610" xr:uid="{00000000-0005-0000-0000-00002CB20000}"/>
    <cellStyle name="Total 3 22 10" xfId="45611" xr:uid="{00000000-0005-0000-0000-00002DB20000}"/>
    <cellStyle name="Total 3 22 11" xfId="45612" xr:uid="{00000000-0005-0000-0000-00002EB20000}"/>
    <cellStyle name="Total 3 22 12" xfId="45613" xr:uid="{00000000-0005-0000-0000-00002FB20000}"/>
    <cellStyle name="Total 3 22 13" xfId="45614" xr:uid="{00000000-0005-0000-0000-000030B20000}"/>
    <cellStyle name="Total 3 22 14" xfId="45615" xr:uid="{00000000-0005-0000-0000-000031B20000}"/>
    <cellStyle name="Total 3 22 15" xfId="45616" xr:uid="{00000000-0005-0000-0000-000032B20000}"/>
    <cellStyle name="Total 3 22 2" xfId="45617" xr:uid="{00000000-0005-0000-0000-000033B20000}"/>
    <cellStyle name="Total 3 22 3" xfId="45618" xr:uid="{00000000-0005-0000-0000-000034B20000}"/>
    <cellStyle name="Total 3 22 4" xfId="45619" xr:uid="{00000000-0005-0000-0000-000035B20000}"/>
    <cellStyle name="Total 3 22 5" xfId="45620" xr:uid="{00000000-0005-0000-0000-000036B20000}"/>
    <cellStyle name="Total 3 22 6" xfId="45621" xr:uid="{00000000-0005-0000-0000-000037B20000}"/>
    <cellStyle name="Total 3 22 7" xfId="45622" xr:uid="{00000000-0005-0000-0000-000038B20000}"/>
    <cellStyle name="Total 3 22 8" xfId="45623" xr:uid="{00000000-0005-0000-0000-000039B20000}"/>
    <cellStyle name="Total 3 22 9" xfId="45624" xr:uid="{00000000-0005-0000-0000-00003AB20000}"/>
    <cellStyle name="Total 3 23" xfId="45625" xr:uid="{00000000-0005-0000-0000-00003BB20000}"/>
    <cellStyle name="Total 3 23 10" xfId="45626" xr:uid="{00000000-0005-0000-0000-00003CB20000}"/>
    <cellStyle name="Total 3 23 11" xfId="45627" xr:uid="{00000000-0005-0000-0000-00003DB20000}"/>
    <cellStyle name="Total 3 23 12" xfId="45628" xr:uid="{00000000-0005-0000-0000-00003EB20000}"/>
    <cellStyle name="Total 3 23 13" xfId="45629" xr:uid="{00000000-0005-0000-0000-00003FB20000}"/>
    <cellStyle name="Total 3 23 14" xfId="45630" xr:uid="{00000000-0005-0000-0000-000040B20000}"/>
    <cellStyle name="Total 3 23 15" xfId="45631" xr:uid="{00000000-0005-0000-0000-000041B20000}"/>
    <cellStyle name="Total 3 23 2" xfId="45632" xr:uid="{00000000-0005-0000-0000-000042B20000}"/>
    <cellStyle name="Total 3 23 3" xfId="45633" xr:uid="{00000000-0005-0000-0000-000043B20000}"/>
    <cellStyle name="Total 3 23 4" xfId="45634" xr:uid="{00000000-0005-0000-0000-000044B20000}"/>
    <cellStyle name="Total 3 23 5" xfId="45635" xr:uid="{00000000-0005-0000-0000-000045B20000}"/>
    <cellStyle name="Total 3 23 6" xfId="45636" xr:uid="{00000000-0005-0000-0000-000046B20000}"/>
    <cellStyle name="Total 3 23 7" xfId="45637" xr:uid="{00000000-0005-0000-0000-000047B20000}"/>
    <cellStyle name="Total 3 23 8" xfId="45638" xr:uid="{00000000-0005-0000-0000-000048B20000}"/>
    <cellStyle name="Total 3 23 9" xfId="45639" xr:uid="{00000000-0005-0000-0000-000049B20000}"/>
    <cellStyle name="Total 3 24" xfId="45640" xr:uid="{00000000-0005-0000-0000-00004AB20000}"/>
    <cellStyle name="Total 3 24 10" xfId="45641" xr:uid="{00000000-0005-0000-0000-00004BB20000}"/>
    <cellStyle name="Total 3 24 11" xfId="45642" xr:uid="{00000000-0005-0000-0000-00004CB20000}"/>
    <cellStyle name="Total 3 24 12" xfId="45643" xr:uid="{00000000-0005-0000-0000-00004DB20000}"/>
    <cellStyle name="Total 3 24 13" xfId="45644" xr:uid="{00000000-0005-0000-0000-00004EB20000}"/>
    <cellStyle name="Total 3 24 14" xfId="45645" xr:uid="{00000000-0005-0000-0000-00004FB20000}"/>
    <cellStyle name="Total 3 24 15" xfId="45646" xr:uid="{00000000-0005-0000-0000-000050B20000}"/>
    <cellStyle name="Total 3 24 2" xfId="45647" xr:uid="{00000000-0005-0000-0000-000051B20000}"/>
    <cellStyle name="Total 3 24 3" xfId="45648" xr:uid="{00000000-0005-0000-0000-000052B20000}"/>
    <cellStyle name="Total 3 24 4" xfId="45649" xr:uid="{00000000-0005-0000-0000-000053B20000}"/>
    <cellStyle name="Total 3 24 5" xfId="45650" xr:uid="{00000000-0005-0000-0000-000054B20000}"/>
    <cellStyle name="Total 3 24 6" xfId="45651" xr:uid="{00000000-0005-0000-0000-000055B20000}"/>
    <cellStyle name="Total 3 24 7" xfId="45652" xr:uid="{00000000-0005-0000-0000-000056B20000}"/>
    <cellStyle name="Total 3 24 8" xfId="45653" xr:uid="{00000000-0005-0000-0000-000057B20000}"/>
    <cellStyle name="Total 3 24 9" xfId="45654" xr:uid="{00000000-0005-0000-0000-000058B20000}"/>
    <cellStyle name="Total 3 25" xfId="45655" xr:uid="{00000000-0005-0000-0000-000059B20000}"/>
    <cellStyle name="Total 3 25 10" xfId="45656" xr:uid="{00000000-0005-0000-0000-00005AB20000}"/>
    <cellStyle name="Total 3 25 11" xfId="45657" xr:uid="{00000000-0005-0000-0000-00005BB20000}"/>
    <cellStyle name="Total 3 25 12" xfId="45658" xr:uid="{00000000-0005-0000-0000-00005CB20000}"/>
    <cellStyle name="Total 3 25 13" xfId="45659" xr:uid="{00000000-0005-0000-0000-00005DB20000}"/>
    <cellStyle name="Total 3 25 14" xfId="45660" xr:uid="{00000000-0005-0000-0000-00005EB20000}"/>
    <cellStyle name="Total 3 25 15" xfId="45661" xr:uid="{00000000-0005-0000-0000-00005FB20000}"/>
    <cellStyle name="Total 3 25 2" xfId="45662" xr:uid="{00000000-0005-0000-0000-000060B20000}"/>
    <cellStyle name="Total 3 25 3" xfId="45663" xr:uid="{00000000-0005-0000-0000-000061B20000}"/>
    <cellStyle name="Total 3 25 4" xfId="45664" xr:uid="{00000000-0005-0000-0000-000062B20000}"/>
    <cellStyle name="Total 3 25 5" xfId="45665" xr:uid="{00000000-0005-0000-0000-000063B20000}"/>
    <cellStyle name="Total 3 25 6" xfId="45666" xr:uid="{00000000-0005-0000-0000-000064B20000}"/>
    <cellStyle name="Total 3 25 7" xfId="45667" xr:uid="{00000000-0005-0000-0000-000065B20000}"/>
    <cellStyle name="Total 3 25 8" xfId="45668" xr:uid="{00000000-0005-0000-0000-000066B20000}"/>
    <cellStyle name="Total 3 25 9" xfId="45669" xr:uid="{00000000-0005-0000-0000-000067B20000}"/>
    <cellStyle name="Total 3 26" xfId="45670" xr:uid="{00000000-0005-0000-0000-000068B20000}"/>
    <cellStyle name="Total 3 26 10" xfId="45671" xr:uid="{00000000-0005-0000-0000-000069B20000}"/>
    <cellStyle name="Total 3 26 11" xfId="45672" xr:uid="{00000000-0005-0000-0000-00006AB20000}"/>
    <cellStyle name="Total 3 26 12" xfId="45673" xr:uid="{00000000-0005-0000-0000-00006BB20000}"/>
    <cellStyle name="Total 3 26 13" xfId="45674" xr:uid="{00000000-0005-0000-0000-00006CB20000}"/>
    <cellStyle name="Total 3 26 14" xfId="45675" xr:uid="{00000000-0005-0000-0000-00006DB20000}"/>
    <cellStyle name="Total 3 26 15" xfId="45676" xr:uid="{00000000-0005-0000-0000-00006EB20000}"/>
    <cellStyle name="Total 3 26 2" xfId="45677" xr:uid="{00000000-0005-0000-0000-00006FB20000}"/>
    <cellStyle name="Total 3 26 3" xfId="45678" xr:uid="{00000000-0005-0000-0000-000070B20000}"/>
    <cellStyle name="Total 3 26 4" xfId="45679" xr:uid="{00000000-0005-0000-0000-000071B20000}"/>
    <cellStyle name="Total 3 26 5" xfId="45680" xr:uid="{00000000-0005-0000-0000-000072B20000}"/>
    <cellStyle name="Total 3 26 6" xfId="45681" xr:uid="{00000000-0005-0000-0000-000073B20000}"/>
    <cellStyle name="Total 3 26 7" xfId="45682" xr:uid="{00000000-0005-0000-0000-000074B20000}"/>
    <cellStyle name="Total 3 26 8" xfId="45683" xr:uid="{00000000-0005-0000-0000-000075B20000}"/>
    <cellStyle name="Total 3 26 9" xfId="45684" xr:uid="{00000000-0005-0000-0000-000076B20000}"/>
    <cellStyle name="Total 3 27" xfId="45685" xr:uid="{00000000-0005-0000-0000-000077B20000}"/>
    <cellStyle name="Total 3 27 10" xfId="45686" xr:uid="{00000000-0005-0000-0000-000078B20000}"/>
    <cellStyle name="Total 3 27 11" xfId="45687" xr:uid="{00000000-0005-0000-0000-000079B20000}"/>
    <cellStyle name="Total 3 27 12" xfId="45688" xr:uid="{00000000-0005-0000-0000-00007AB20000}"/>
    <cellStyle name="Total 3 27 13" xfId="45689" xr:uid="{00000000-0005-0000-0000-00007BB20000}"/>
    <cellStyle name="Total 3 27 14" xfId="45690" xr:uid="{00000000-0005-0000-0000-00007CB20000}"/>
    <cellStyle name="Total 3 27 15" xfId="45691" xr:uid="{00000000-0005-0000-0000-00007DB20000}"/>
    <cellStyle name="Total 3 27 2" xfId="45692" xr:uid="{00000000-0005-0000-0000-00007EB20000}"/>
    <cellStyle name="Total 3 27 3" xfId="45693" xr:uid="{00000000-0005-0000-0000-00007FB20000}"/>
    <cellStyle name="Total 3 27 4" xfId="45694" xr:uid="{00000000-0005-0000-0000-000080B20000}"/>
    <cellStyle name="Total 3 27 5" xfId="45695" xr:uid="{00000000-0005-0000-0000-000081B20000}"/>
    <cellStyle name="Total 3 27 6" xfId="45696" xr:uid="{00000000-0005-0000-0000-000082B20000}"/>
    <cellStyle name="Total 3 27 7" xfId="45697" xr:uid="{00000000-0005-0000-0000-000083B20000}"/>
    <cellStyle name="Total 3 27 8" xfId="45698" xr:uid="{00000000-0005-0000-0000-000084B20000}"/>
    <cellStyle name="Total 3 27 9" xfId="45699" xr:uid="{00000000-0005-0000-0000-000085B20000}"/>
    <cellStyle name="Total 3 28" xfId="45700" xr:uid="{00000000-0005-0000-0000-000086B20000}"/>
    <cellStyle name="Total 3 28 10" xfId="45701" xr:uid="{00000000-0005-0000-0000-000087B20000}"/>
    <cellStyle name="Total 3 28 11" xfId="45702" xr:uid="{00000000-0005-0000-0000-000088B20000}"/>
    <cellStyle name="Total 3 28 12" xfId="45703" xr:uid="{00000000-0005-0000-0000-000089B20000}"/>
    <cellStyle name="Total 3 28 13" xfId="45704" xr:uid="{00000000-0005-0000-0000-00008AB20000}"/>
    <cellStyle name="Total 3 28 14" xfId="45705" xr:uid="{00000000-0005-0000-0000-00008BB20000}"/>
    <cellStyle name="Total 3 28 15" xfId="45706" xr:uid="{00000000-0005-0000-0000-00008CB20000}"/>
    <cellStyle name="Total 3 28 2" xfId="45707" xr:uid="{00000000-0005-0000-0000-00008DB20000}"/>
    <cellStyle name="Total 3 28 3" xfId="45708" xr:uid="{00000000-0005-0000-0000-00008EB20000}"/>
    <cellStyle name="Total 3 28 4" xfId="45709" xr:uid="{00000000-0005-0000-0000-00008FB20000}"/>
    <cellStyle name="Total 3 28 5" xfId="45710" xr:uid="{00000000-0005-0000-0000-000090B20000}"/>
    <cellStyle name="Total 3 28 6" xfId="45711" xr:uid="{00000000-0005-0000-0000-000091B20000}"/>
    <cellStyle name="Total 3 28 7" xfId="45712" xr:uid="{00000000-0005-0000-0000-000092B20000}"/>
    <cellStyle name="Total 3 28 8" xfId="45713" xr:uid="{00000000-0005-0000-0000-000093B20000}"/>
    <cellStyle name="Total 3 28 9" xfId="45714" xr:uid="{00000000-0005-0000-0000-000094B20000}"/>
    <cellStyle name="Total 3 29" xfId="45715" xr:uid="{00000000-0005-0000-0000-000095B20000}"/>
    <cellStyle name="Total 3 29 10" xfId="45716" xr:uid="{00000000-0005-0000-0000-000096B20000}"/>
    <cellStyle name="Total 3 29 11" xfId="45717" xr:uid="{00000000-0005-0000-0000-000097B20000}"/>
    <cellStyle name="Total 3 29 12" xfId="45718" xr:uid="{00000000-0005-0000-0000-000098B20000}"/>
    <cellStyle name="Total 3 29 13" xfId="45719" xr:uid="{00000000-0005-0000-0000-000099B20000}"/>
    <cellStyle name="Total 3 29 14" xfId="45720" xr:uid="{00000000-0005-0000-0000-00009AB20000}"/>
    <cellStyle name="Total 3 29 15" xfId="45721" xr:uid="{00000000-0005-0000-0000-00009BB20000}"/>
    <cellStyle name="Total 3 29 2" xfId="45722" xr:uid="{00000000-0005-0000-0000-00009CB20000}"/>
    <cellStyle name="Total 3 29 3" xfId="45723" xr:uid="{00000000-0005-0000-0000-00009DB20000}"/>
    <cellStyle name="Total 3 29 4" xfId="45724" xr:uid="{00000000-0005-0000-0000-00009EB20000}"/>
    <cellStyle name="Total 3 29 5" xfId="45725" xr:uid="{00000000-0005-0000-0000-00009FB20000}"/>
    <cellStyle name="Total 3 29 6" xfId="45726" xr:uid="{00000000-0005-0000-0000-0000A0B20000}"/>
    <cellStyle name="Total 3 29 7" xfId="45727" xr:uid="{00000000-0005-0000-0000-0000A1B20000}"/>
    <cellStyle name="Total 3 29 8" xfId="45728" xr:uid="{00000000-0005-0000-0000-0000A2B20000}"/>
    <cellStyle name="Total 3 29 9" xfId="45729" xr:uid="{00000000-0005-0000-0000-0000A3B20000}"/>
    <cellStyle name="Total 3 3" xfId="45730" xr:uid="{00000000-0005-0000-0000-0000A4B20000}"/>
    <cellStyle name="Total 3 3 10" xfId="45731" xr:uid="{00000000-0005-0000-0000-0000A5B20000}"/>
    <cellStyle name="Total 3 3 11" xfId="45732" xr:uid="{00000000-0005-0000-0000-0000A6B20000}"/>
    <cellStyle name="Total 3 3 12" xfId="45733" xr:uid="{00000000-0005-0000-0000-0000A7B20000}"/>
    <cellStyle name="Total 3 3 13" xfId="45734" xr:uid="{00000000-0005-0000-0000-0000A8B20000}"/>
    <cellStyle name="Total 3 3 14" xfId="45735" xr:uid="{00000000-0005-0000-0000-0000A9B20000}"/>
    <cellStyle name="Total 3 3 15" xfId="45736" xr:uid="{00000000-0005-0000-0000-0000AAB20000}"/>
    <cellStyle name="Total 3 3 16" xfId="45737" xr:uid="{00000000-0005-0000-0000-0000ABB20000}"/>
    <cellStyle name="Total 3 3 2" xfId="45738" xr:uid="{00000000-0005-0000-0000-0000ACB20000}"/>
    <cellStyle name="Total 3 3 3" xfId="45739" xr:uid="{00000000-0005-0000-0000-0000ADB20000}"/>
    <cellStyle name="Total 3 3 4" xfId="45740" xr:uid="{00000000-0005-0000-0000-0000AEB20000}"/>
    <cellStyle name="Total 3 3 5" xfId="45741" xr:uid="{00000000-0005-0000-0000-0000AFB20000}"/>
    <cellStyle name="Total 3 3 6" xfId="45742" xr:uid="{00000000-0005-0000-0000-0000B0B20000}"/>
    <cellStyle name="Total 3 3 7" xfId="45743" xr:uid="{00000000-0005-0000-0000-0000B1B20000}"/>
    <cellStyle name="Total 3 3 8" xfId="45744" xr:uid="{00000000-0005-0000-0000-0000B2B20000}"/>
    <cellStyle name="Total 3 3 9" xfId="45745" xr:uid="{00000000-0005-0000-0000-0000B3B20000}"/>
    <cellStyle name="Total 3 30" xfId="45746" xr:uid="{00000000-0005-0000-0000-0000B4B20000}"/>
    <cellStyle name="Total 3 30 10" xfId="45747" xr:uid="{00000000-0005-0000-0000-0000B5B20000}"/>
    <cellStyle name="Total 3 30 11" xfId="45748" xr:uid="{00000000-0005-0000-0000-0000B6B20000}"/>
    <cellStyle name="Total 3 30 12" xfId="45749" xr:uid="{00000000-0005-0000-0000-0000B7B20000}"/>
    <cellStyle name="Total 3 30 13" xfId="45750" xr:uid="{00000000-0005-0000-0000-0000B8B20000}"/>
    <cellStyle name="Total 3 30 14" xfId="45751" xr:uid="{00000000-0005-0000-0000-0000B9B20000}"/>
    <cellStyle name="Total 3 30 15" xfId="45752" xr:uid="{00000000-0005-0000-0000-0000BAB20000}"/>
    <cellStyle name="Total 3 30 2" xfId="45753" xr:uid="{00000000-0005-0000-0000-0000BBB20000}"/>
    <cellStyle name="Total 3 30 3" xfId="45754" xr:uid="{00000000-0005-0000-0000-0000BCB20000}"/>
    <cellStyle name="Total 3 30 4" xfId="45755" xr:uid="{00000000-0005-0000-0000-0000BDB20000}"/>
    <cellStyle name="Total 3 30 5" xfId="45756" xr:uid="{00000000-0005-0000-0000-0000BEB20000}"/>
    <cellStyle name="Total 3 30 6" xfId="45757" xr:uid="{00000000-0005-0000-0000-0000BFB20000}"/>
    <cellStyle name="Total 3 30 7" xfId="45758" xr:uid="{00000000-0005-0000-0000-0000C0B20000}"/>
    <cellStyle name="Total 3 30 8" xfId="45759" xr:uid="{00000000-0005-0000-0000-0000C1B20000}"/>
    <cellStyle name="Total 3 30 9" xfId="45760" xr:uid="{00000000-0005-0000-0000-0000C2B20000}"/>
    <cellStyle name="Total 3 31" xfId="45761" xr:uid="{00000000-0005-0000-0000-0000C3B20000}"/>
    <cellStyle name="Total 3 31 10" xfId="45762" xr:uid="{00000000-0005-0000-0000-0000C4B20000}"/>
    <cellStyle name="Total 3 31 11" xfId="45763" xr:uid="{00000000-0005-0000-0000-0000C5B20000}"/>
    <cellStyle name="Total 3 31 12" xfId="45764" xr:uid="{00000000-0005-0000-0000-0000C6B20000}"/>
    <cellStyle name="Total 3 31 13" xfId="45765" xr:uid="{00000000-0005-0000-0000-0000C7B20000}"/>
    <cellStyle name="Total 3 31 14" xfId="45766" xr:uid="{00000000-0005-0000-0000-0000C8B20000}"/>
    <cellStyle name="Total 3 31 15" xfId="45767" xr:uid="{00000000-0005-0000-0000-0000C9B20000}"/>
    <cellStyle name="Total 3 31 2" xfId="45768" xr:uid="{00000000-0005-0000-0000-0000CAB20000}"/>
    <cellStyle name="Total 3 31 3" xfId="45769" xr:uid="{00000000-0005-0000-0000-0000CBB20000}"/>
    <cellStyle name="Total 3 31 4" xfId="45770" xr:uid="{00000000-0005-0000-0000-0000CCB20000}"/>
    <cellStyle name="Total 3 31 5" xfId="45771" xr:uid="{00000000-0005-0000-0000-0000CDB20000}"/>
    <cellStyle name="Total 3 31 6" xfId="45772" xr:uid="{00000000-0005-0000-0000-0000CEB20000}"/>
    <cellStyle name="Total 3 31 7" xfId="45773" xr:uid="{00000000-0005-0000-0000-0000CFB20000}"/>
    <cellStyle name="Total 3 31 8" xfId="45774" xr:uid="{00000000-0005-0000-0000-0000D0B20000}"/>
    <cellStyle name="Total 3 31 9" xfId="45775" xr:uid="{00000000-0005-0000-0000-0000D1B20000}"/>
    <cellStyle name="Total 3 32" xfId="45776" xr:uid="{00000000-0005-0000-0000-0000D2B20000}"/>
    <cellStyle name="Total 3 32 10" xfId="45777" xr:uid="{00000000-0005-0000-0000-0000D3B20000}"/>
    <cellStyle name="Total 3 32 11" xfId="45778" xr:uid="{00000000-0005-0000-0000-0000D4B20000}"/>
    <cellStyle name="Total 3 32 12" xfId="45779" xr:uid="{00000000-0005-0000-0000-0000D5B20000}"/>
    <cellStyle name="Total 3 32 13" xfId="45780" xr:uid="{00000000-0005-0000-0000-0000D6B20000}"/>
    <cellStyle name="Total 3 32 14" xfId="45781" xr:uid="{00000000-0005-0000-0000-0000D7B20000}"/>
    <cellStyle name="Total 3 32 15" xfId="45782" xr:uid="{00000000-0005-0000-0000-0000D8B20000}"/>
    <cellStyle name="Total 3 32 2" xfId="45783" xr:uid="{00000000-0005-0000-0000-0000D9B20000}"/>
    <cellStyle name="Total 3 32 3" xfId="45784" xr:uid="{00000000-0005-0000-0000-0000DAB20000}"/>
    <cellStyle name="Total 3 32 4" xfId="45785" xr:uid="{00000000-0005-0000-0000-0000DBB20000}"/>
    <cellStyle name="Total 3 32 5" xfId="45786" xr:uid="{00000000-0005-0000-0000-0000DCB20000}"/>
    <cellStyle name="Total 3 32 6" xfId="45787" xr:uid="{00000000-0005-0000-0000-0000DDB20000}"/>
    <cellStyle name="Total 3 32 7" xfId="45788" xr:uid="{00000000-0005-0000-0000-0000DEB20000}"/>
    <cellStyle name="Total 3 32 8" xfId="45789" xr:uid="{00000000-0005-0000-0000-0000DFB20000}"/>
    <cellStyle name="Total 3 32 9" xfId="45790" xr:uid="{00000000-0005-0000-0000-0000E0B20000}"/>
    <cellStyle name="Total 3 33" xfId="45791" xr:uid="{00000000-0005-0000-0000-0000E1B20000}"/>
    <cellStyle name="Total 3 34" xfId="45792" xr:uid="{00000000-0005-0000-0000-0000E2B20000}"/>
    <cellStyle name="Total 3 35" xfId="45793" xr:uid="{00000000-0005-0000-0000-0000E3B20000}"/>
    <cellStyle name="Total 3 36" xfId="45794" xr:uid="{00000000-0005-0000-0000-0000E4B20000}"/>
    <cellStyle name="Total 3 37" xfId="45795" xr:uid="{00000000-0005-0000-0000-0000E5B20000}"/>
    <cellStyle name="Total 3 38" xfId="45796" xr:uid="{00000000-0005-0000-0000-0000E6B20000}"/>
    <cellStyle name="Total 3 39" xfId="45797" xr:uid="{00000000-0005-0000-0000-0000E7B20000}"/>
    <cellStyle name="Total 3 4" xfId="45798" xr:uid="{00000000-0005-0000-0000-0000E8B20000}"/>
    <cellStyle name="Total 3 4 10" xfId="45799" xr:uid="{00000000-0005-0000-0000-0000E9B20000}"/>
    <cellStyle name="Total 3 4 11" xfId="45800" xr:uid="{00000000-0005-0000-0000-0000EAB20000}"/>
    <cellStyle name="Total 3 4 12" xfId="45801" xr:uid="{00000000-0005-0000-0000-0000EBB20000}"/>
    <cellStyle name="Total 3 4 13" xfId="45802" xr:uid="{00000000-0005-0000-0000-0000ECB20000}"/>
    <cellStyle name="Total 3 4 14" xfId="45803" xr:uid="{00000000-0005-0000-0000-0000EDB20000}"/>
    <cellStyle name="Total 3 4 15" xfId="45804" xr:uid="{00000000-0005-0000-0000-0000EEB20000}"/>
    <cellStyle name="Total 3 4 2" xfId="45805" xr:uid="{00000000-0005-0000-0000-0000EFB20000}"/>
    <cellStyle name="Total 3 4 3" xfId="45806" xr:uid="{00000000-0005-0000-0000-0000F0B20000}"/>
    <cellStyle name="Total 3 4 4" xfId="45807" xr:uid="{00000000-0005-0000-0000-0000F1B20000}"/>
    <cellStyle name="Total 3 4 5" xfId="45808" xr:uid="{00000000-0005-0000-0000-0000F2B20000}"/>
    <cellStyle name="Total 3 4 6" xfId="45809" xr:uid="{00000000-0005-0000-0000-0000F3B20000}"/>
    <cellStyle name="Total 3 4 7" xfId="45810" xr:uid="{00000000-0005-0000-0000-0000F4B20000}"/>
    <cellStyle name="Total 3 4 8" xfId="45811" xr:uid="{00000000-0005-0000-0000-0000F5B20000}"/>
    <cellStyle name="Total 3 4 9" xfId="45812" xr:uid="{00000000-0005-0000-0000-0000F6B20000}"/>
    <cellStyle name="Total 3 40" xfId="45813" xr:uid="{00000000-0005-0000-0000-0000F7B20000}"/>
    <cellStyle name="Total 3 41" xfId="45814" xr:uid="{00000000-0005-0000-0000-0000F8B20000}"/>
    <cellStyle name="Total 3 42" xfId="45815" xr:uid="{00000000-0005-0000-0000-0000F9B20000}"/>
    <cellStyle name="Total 3 43" xfId="45816" xr:uid="{00000000-0005-0000-0000-0000FAB20000}"/>
    <cellStyle name="Total 3 44" xfId="45817" xr:uid="{00000000-0005-0000-0000-0000FBB20000}"/>
    <cellStyle name="Total 3 45" xfId="45818" xr:uid="{00000000-0005-0000-0000-0000FCB20000}"/>
    <cellStyle name="Total 3 46" xfId="45819" xr:uid="{00000000-0005-0000-0000-0000FDB20000}"/>
    <cellStyle name="Total 3 47" xfId="45820" xr:uid="{00000000-0005-0000-0000-0000FEB20000}"/>
    <cellStyle name="Total 3 48" xfId="45821" xr:uid="{00000000-0005-0000-0000-0000FFB20000}"/>
    <cellStyle name="Total 3 49" xfId="45822" xr:uid="{00000000-0005-0000-0000-000000B30000}"/>
    <cellStyle name="Total 3 5" xfId="45823" xr:uid="{00000000-0005-0000-0000-000001B30000}"/>
    <cellStyle name="Total 3 5 10" xfId="45824" xr:uid="{00000000-0005-0000-0000-000002B30000}"/>
    <cellStyle name="Total 3 5 11" xfId="45825" xr:uid="{00000000-0005-0000-0000-000003B30000}"/>
    <cellStyle name="Total 3 5 12" xfId="45826" xr:uid="{00000000-0005-0000-0000-000004B30000}"/>
    <cellStyle name="Total 3 5 13" xfId="45827" xr:uid="{00000000-0005-0000-0000-000005B30000}"/>
    <cellStyle name="Total 3 5 14" xfId="45828" xr:uid="{00000000-0005-0000-0000-000006B30000}"/>
    <cellStyle name="Total 3 5 15" xfId="45829" xr:uid="{00000000-0005-0000-0000-000007B30000}"/>
    <cellStyle name="Total 3 5 2" xfId="45830" xr:uid="{00000000-0005-0000-0000-000008B30000}"/>
    <cellStyle name="Total 3 5 3" xfId="45831" xr:uid="{00000000-0005-0000-0000-000009B30000}"/>
    <cellStyle name="Total 3 5 4" xfId="45832" xr:uid="{00000000-0005-0000-0000-00000AB30000}"/>
    <cellStyle name="Total 3 5 5" xfId="45833" xr:uid="{00000000-0005-0000-0000-00000BB30000}"/>
    <cellStyle name="Total 3 5 6" xfId="45834" xr:uid="{00000000-0005-0000-0000-00000CB30000}"/>
    <cellStyle name="Total 3 5 7" xfId="45835" xr:uid="{00000000-0005-0000-0000-00000DB30000}"/>
    <cellStyle name="Total 3 5 8" xfId="45836" xr:uid="{00000000-0005-0000-0000-00000EB30000}"/>
    <cellStyle name="Total 3 5 9" xfId="45837" xr:uid="{00000000-0005-0000-0000-00000FB30000}"/>
    <cellStyle name="Total 3 50" xfId="45838" xr:uid="{00000000-0005-0000-0000-000010B30000}"/>
    <cellStyle name="Total 3 51" xfId="45839" xr:uid="{00000000-0005-0000-0000-000011B30000}"/>
    <cellStyle name="Total 3 52" xfId="45840" xr:uid="{00000000-0005-0000-0000-000012B30000}"/>
    <cellStyle name="Total 3 53" xfId="45841" xr:uid="{00000000-0005-0000-0000-000013B30000}"/>
    <cellStyle name="Total 3 6" xfId="45842" xr:uid="{00000000-0005-0000-0000-000014B30000}"/>
    <cellStyle name="Total 3 6 10" xfId="45843" xr:uid="{00000000-0005-0000-0000-000015B30000}"/>
    <cellStyle name="Total 3 6 11" xfId="45844" xr:uid="{00000000-0005-0000-0000-000016B30000}"/>
    <cellStyle name="Total 3 6 12" xfId="45845" xr:uid="{00000000-0005-0000-0000-000017B30000}"/>
    <cellStyle name="Total 3 6 13" xfId="45846" xr:uid="{00000000-0005-0000-0000-000018B30000}"/>
    <cellStyle name="Total 3 6 14" xfId="45847" xr:uid="{00000000-0005-0000-0000-000019B30000}"/>
    <cellStyle name="Total 3 6 15" xfId="45848" xr:uid="{00000000-0005-0000-0000-00001AB30000}"/>
    <cellStyle name="Total 3 6 2" xfId="45849" xr:uid="{00000000-0005-0000-0000-00001BB30000}"/>
    <cellStyle name="Total 3 6 3" xfId="45850" xr:uid="{00000000-0005-0000-0000-00001CB30000}"/>
    <cellStyle name="Total 3 6 4" xfId="45851" xr:uid="{00000000-0005-0000-0000-00001DB30000}"/>
    <cellStyle name="Total 3 6 5" xfId="45852" xr:uid="{00000000-0005-0000-0000-00001EB30000}"/>
    <cellStyle name="Total 3 6 6" xfId="45853" xr:uid="{00000000-0005-0000-0000-00001FB30000}"/>
    <cellStyle name="Total 3 6 7" xfId="45854" xr:uid="{00000000-0005-0000-0000-000020B30000}"/>
    <cellStyle name="Total 3 6 8" xfId="45855" xr:uid="{00000000-0005-0000-0000-000021B30000}"/>
    <cellStyle name="Total 3 6 9" xfId="45856" xr:uid="{00000000-0005-0000-0000-000022B30000}"/>
    <cellStyle name="Total 3 7" xfId="45857" xr:uid="{00000000-0005-0000-0000-000023B30000}"/>
    <cellStyle name="Total 3 7 10" xfId="45858" xr:uid="{00000000-0005-0000-0000-000024B30000}"/>
    <cellStyle name="Total 3 7 11" xfId="45859" xr:uid="{00000000-0005-0000-0000-000025B30000}"/>
    <cellStyle name="Total 3 7 12" xfId="45860" xr:uid="{00000000-0005-0000-0000-000026B30000}"/>
    <cellStyle name="Total 3 7 13" xfId="45861" xr:uid="{00000000-0005-0000-0000-000027B30000}"/>
    <cellStyle name="Total 3 7 14" xfId="45862" xr:uid="{00000000-0005-0000-0000-000028B30000}"/>
    <cellStyle name="Total 3 7 15" xfId="45863" xr:uid="{00000000-0005-0000-0000-000029B30000}"/>
    <cellStyle name="Total 3 7 2" xfId="45864" xr:uid="{00000000-0005-0000-0000-00002AB30000}"/>
    <cellStyle name="Total 3 7 3" xfId="45865" xr:uid="{00000000-0005-0000-0000-00002BB30000}"/>
    <cellStyle name="Total 3 7 4" xfId="45866" xr:uid="{00000000-0005-0000-0000-00002CB30000}"/>
    <cellStyle name="Total 3 7 5" xfId="45867" xr:uid="{00000000-0005-0000-0000-00002DB30000}"/>
    <cellStyle name="Total 3 7 6" xfId="45868" xr:uid="{00000000-0005-0000-0000-00002EB30000}"/>
    <cellStyle name="Total 3 7 7" xfId="45869" xr:uid="{00000000-0005-0000-0000-00002FB30000}"/>
    <cellStyle name="Total 3 7 8" xfId="45870" xr:uid="{00000000-0005-0000-0000-000030B30000}"/>
    <cellStyle name="Total 3 7 9" xfId="45871" xr:uid="{00000000-0005-0000-0000-000031B30000}"/>
    <cellStyle name="Total 3 8" xfId="45872" xr:uid="{00000000-0005-0000-0000-000032B30000}"/>
    <cellStyle name="Total 3 8 10" xfId="45873" xr:uid="{00000000-0005-0000-0000-000033B30000}"/>
    <cellStyle name="Total 3 8 11" xfId="45874" xr:uid="{00000000-0005-0000-0000-000034B30000}"/>
    <cellStyle name="Total 3 8 12" xfId="45875" xr:uid="{00000000-0005-0000-0000-000035B30000}"/>
    <cellStyle name="Total 3 8 13" xfId="45876" xr:uid="{00000000-0005-0000-0000-000036B30000}"/>
    <cellStyle name="Total 3 8 14" xfId="45877" xr:uid="{00000000-0005-0000-0000-000037B30000}"/>
    <cellStyle name="Total 3 8 15" xfId="45878" xr:uid="{00000000-0005-0000-0000-000038B30000}"/>
    <cellStyle name="Total 3 8 2" xfId="45879" xr:uid="{00000000-0005-0000-0000-000039B30000}"/>
    <cellStyle name="Total 3 8 3" xfId="45880" xr:uid="{00000000-0005-0000-0000-00003AB30000}"/>
    <cellStyle name="Total 3 8 4" xfId="45881" xr:uid="{00000000-0005-0000-0000-00003BB30000}"/>
    <cellStyle name="Total 3 8 5" xfId="45882" xr:uid="{00000000-0005-0000-0000-00003CB30000}"/>
    <cellStyle name="Total 3 8 6" xfId="45883" xr:uid="{00000000-0005-0000-0000-00003DB30000}"/>
    <cellStyle name="Total 3 8 7" xfId="45884" xr:uid="{00000000-0005-0000-0000-00003EB30000}"/>
    <cellStyle name="Total 3 8 8" xfId="45885" xr:uid="{00000000-0005-0000-0000-00003FB30000}"/>
    <cellStyle name="Total 3 8 9" xfId="45886" xr:uid="{00000000-0005-0000-0000-000040B30000}"/>
    <cellStyle name="Total 3 9" xfId="45887" xr:uid="{00000000-0005-0000-0000-000041B30000}"/>
    <cellStyle name="Total 3 9 10" xfId="45888" xr:uid="{00000000-0005-0000-0000-000042B30000}"/>
    <cellStyle name="Total 3 9 11" xfId="45889" xr:uid="{00000000-0005-0000-0000-000043B30000}"/>
    <cellStyle name="Total 3 9 12" xfId="45890" xr:uid="{00000000-0005-0000-0000-000044B30000}"/>
    <cellStyle name="Total 3 9 13" xfId="45891" xr:uid="{00000000-0005-0000-0000-000045B30000}"/>
    <cellStyle name="Total 3 9 14" xfId="45892" xr:uid="{00000000-0005-0000-0000-000046B30000}"/>
    <cellStyle name="Total 3 9 15" xfId="45893" xr:uid="{00000000-0005-0000-0000-000047B30000}"/>
    <cellStyle name="Total 3 9 2" xfId="45894" xr:uid="{00000000-0005-0000-0000-000048B30000}"/>
    <cellStyle name="Total 3 9 3" xfId="45895" xr:uid="{00000000-0005-0000-0000-000049B30000}"/>
    <cellStyle name="Total 3 9 4" xfId="45896" xr:uid="{00000000-0005-0000-0000-00004AB30000}"/>
    <cellStyle name="Total 3 9 5" xfId="45897" xr:uid="{00000000-0005-0000-0000-00004BB30000}"/>
    <cellStyle name="Total 3 9 6" xfId="45898" xr:uid="{00000000-0005-0000-0000-00004CB30000}"/>
    <cellStyle name="Total 3 9 7" xfId="45899" xr:uid="{00000000-0005-0000-0000-00004DB30000}"/>
    <cellStyle name="Total 3 9 8" xfId="45900" xr:uid="{00000000-0005-0000-0000-00004EB30000}"/>
    <cellStyle name="Total 3 9 9" xfId="45901" xr:uid="{00000000-0005-0000-0000-00004FB30000}"/>
    <cellStyle name="Total 30" xfId="45902" xr:uid="{00000000-0005-0000-0000-000050B30000}"/>
    <cellStyle name="Total 30 10" xfId="45903" xr:uid="{00000000-0005-0000-0000-000051B30000}"/>
    <cellStyle name="Total 30 11" xfId="45904" xr:uid="{00000000-0005-0000-0000-000052B30000}"/>
    <cellStyle name="Total 30 12" xfId="45905" xr:uid="{00000000-0005-0000-0000-000053B30000}"/>
    <cellStyle name="Total 30 13" xfId="45906" xr:uid="{00000000-0005-0000-0000-000054B30000}"/>
    <cellStyle name="Total 30 14" xfId="45907" xr:uid="{00000000-0005-0000-0000-000055B30000}"/>
    <cellStyle name="Total 30 15" xfId="45908" xr:uid="{00000000-0005-0000-0000-000056B30000}"/>
    <cellStyle name="Total 30 2" xfId="45909" xr:uid="{00000000-0005-0000-0000-000057B30000}"/>
    <cellStyle name="Total 30 3" xfId="45910" xr:uid="{00000000-0005-0000-0000-000058B30000}"/>
    <cellStyle name="Total 30 4" xfId="45911" xr:uid="{00000000-0005-0000-0000-000059B30000}"/>
    <cellStyle name="Total 30 5" xfId="45912" xr:uid="{00000000-0005-0000-0000-00005AB30000}"/>
    <cellStyle name="Total 30 6" xfId="45913" xr:uid="{00000000-0005-0000-0000-00005BB30000}"/>
    <cellStyle name="Total 30 7" xfId="45914" xr:uid="{00000000-0005-0000-0000-00005CB30000}"/>
    <cellStyle name="Total 30 8" xfId="45915" xr:uid="{00000000-0005-0000-0000-00005DB30000}"/>
    <cellStyle name="Total 30 9" xfId="45916" xr:uid="{00000000-0005-0000-0000-00005EB30000}"/>
    <cellStyle name="Total 31" xfId="45917" xr:uid="{00000000-0005-0000-0000-00005FB30000}"/>
    <cellStyle name="Total 31 10" xfId="45918" xr:uid="{00000000-0005-0000-0000-000060B30000}"/>
    <cellStyle name="Total 31 11" xfId="45919" xr:uid="{00000000-0005-0000-0000-000061B30000}"/>
    <cellStyle name="Total 31 12" xfId="45920" xr:uid="{00000000-0005-0000-0000-000062B30000}"/>
    <cellStyle name="Total 31 13" xfId="45921" xr:uid="{00000000-0005-0000-0000-000063B30000}"/>
    <cellStyle name="Total 31 14" xfId="45922" xr:uid="{00000000-0005-0000-0000-000064B30000}"/>
    <cellStyle name="Total 31 15" xfId="45923" xr:uid="{00000000-0005-0000-0000-000065B30000}"/>
    <cellStyle name="Total 31 2" xfId="45924" xr:uid="{00000000-0005-0000-0000-000066B30000}"/>
    <cellStyle name="Total 31 3" xfId="45925" xr:uid="{00000000-0005-0000-0000-000067B30000}"/>
    <cellStyle name="Total 31 4" xfId="45926" xr:uid="{00000000-0005-0000-0000-000068B30000}"/>
    <cellStyle name="Total 31 5" xfId="45927" xr:uid="{00000000-0005-0000-0000-000069B30000}"/>
    <cellStyle name="Total 31 6" xfId="45928" xr:uid="{00000000-0005-0000-0000-00006AB30000}"/>
    <cellStyle name="Total 31 7" xfId="45929" xr:uid="{00000000-0005-0000-0000-00006BB30000}"/>
    <cellStyle name="Total 31 8" xfId="45930" xr:uid="{00000000-0005-0000-0000-00006CB30000}"/>
    <cellStyle name="Total 31 9" xfId="45931" xr:uid="{00000000-0005-0000-0000-00006DB30000}"/>
    <cellStyle name="Total 32" xfId="45932" xr:uid="{00000000-0005-0000-0000-00006EB30000}"/>
    <cellStyle name="Total 32 10" xfId="45933" xr:uid="{00000000-0005-0000-0000-00006FB30000}"/>
    <cellStyle name="Total 32 11" xfId="45934" xr:uid="{00000000-0005-0000-0000-000070B30000}"/>
    <cellStyle name="Total 32 12" xfId="45935" xr:uid="{00000000-0005-0000-0000-000071B30000}"/>
    <cellStyle name="Total 32 13" xfId="45936" xr:uid="{00000000-0005-0000-0000-000072B30000}"/>
    <cellStyle name="Total 32 14" xfId="45937" xr:uid="{00000000-0005-0000-0000-000073B30000}"/>
    <cellStyle name="Total 32 15" xfId="45938" xr:uid="{00000000-0005-0000-0000-000074B30000}"/>
    <cellStyle name="Total 32 2" xfId="45939" xr:uid="{00000000-0005-0000-0000-000075B30000}"/>
    <cellStyle name="Total 32 3" xfId="45940" xr:uid="{00000000-0005-0000-0000-000076B30000}"/>
    <cellStyle name="Total 32 4" xfId="45941" xr:uid="{00000000-0005-0000-0000-000077B30000}"/>
    <cellStyle name="Total 32 5" xfId="45942" xr:uid="{00000000-0005-0000-0000-000078B30000}"/>
    <cellStyle name="Total 32 6" xfId="45943" xr:uid="{00000000-0005-0000-0000-000079B30000}"/>
    <cellStyle name="Total 32 7" xfId="45944" xr:uid="{00000000-0005-0000-0000-00007AB30000}"/>
    <cellStyle name="Total 32 8" xfId="45945" xr:uid="{00000000-0005-0000-0000-00007BB30000}"/>
    <cellStyle name="Total 32 9" xfId="45946" xr:uid="{00000000-0005-0000-0000-00007CB30000}"/>
    <cellStyle name="Total 33" xfId="45947" xr:uid="{00000000-0005-0000-0000-00007DB30000}"/>
    <cellStyle name="Total 33 10" xfId="45948" xr:uid="{00000000-0005-0000-0000-00007EB30000}"/>
    <cellStyle name="Total 33 11" xfId="45949" xr:uid="{00000000-0005-0000-0000-00007FB30000}"/>
    <cellStyle name="Total 33 12" xfId="45950" xr:uid="{00000000-0005-0000-0000-000080B30000}"/>
    <cellStyle name="Total 33 13" xfId="45951" xr:uid="{00000000-0005-0000-0000-000081B30000}"/>
    <cellStyle name="Total 33 14" xfId="45952" xr:uid="{00000000-0005-0000-0000-000082B30000}"/>
    <cellStyle name="Total 33 15" xfId="45953" xr:uid="{00000000-0005-0000-0000-000083B30000}"/>
    <cellStyle name="Total 33 2" xfId="45954" xr:uid="{00000000-0005-0000-0000-000084B30000}"/>
    <cellStyle name="Total 33 3" xfId="45955" xr:uid="{00000000-0005-0000-0000-000085B30000}"/>
    <cellStyle name="Total 33 4" xfId="45956" xr:uid="{00000000-0005-0000-0000-000086B30000}"/>
    <cellStyle name="Total 33 5" xfId="45957" xr:uid="{00000000-0005-0000-0000-000087B30000}"/>
    <cellStyle name="Total 33 6" xfId="45958" xr:uid="{00000000-0005-0000-0000-000088B30000}"/>
    <cellStyle name="Total 33 7" xfId="45959" xr:uid="{00000000-0005-0000-0000-000089B30000}"/>
    <cellStyle name="Total 33 8" xfId="45960" xr:uid="{00000000-0005-0000-0000-00008AB30000}"/>
    <cellStyle name="Total 33 9" xfId="45961" xr:uid="{00000000-0005-0000-0000-00008BB30000}"/>
    <cellStyle name="Total 34" xfId="45962" xr:uid="{00000000-0005-0000-0000-00008CB30000}"/>
    <cellStyle name="Total 34 10" xfId="45963" xr:uid="{00000000-0005-0000-0000-00008DB30000}"/>
    <cellStyle name="Total 34 11" xfId="45964" xr:uid="{00000000-0005-0000-0000-00008EB30000}"/>
    <cellStyle name="Total 34 12" xfId="45965" xr:uid="{00000000-0005-0000-0000-00008FB30000}"/>
    <cellStyle name="Total 34 13" xfId="45966" xr:uid="{00000000-0005-0000-0000-000090B30000}"/>
    <cellStyle name="Total 34 14" xfId="45967" xr:uid="{00000000-0005-0000-0000-000091B30000}"/>
    <cellStyle name="Total 34 15" xfId="45968" xr:uid="{00000000-0005-0000-0000-000092B30000}"/>
    <cellStyle name="Total 34 2" xfId="45969" xr:uid="{00000000-0005-0000-0000-000093B30000}"/>
    <cellStyle name="Total 34 3" xfId="45970" xr:uid="{00000000-0005-0000-0000-000094B30000}"/>
    <cellStyle name="Total 34 4" xfId="45971" xr:uid="{00000000-0005-0000-0000-000095B30000}"/>
    <cellStyle name="Total 34 5" xfId="45972" xr:uid="{00000000-0005-0000-0000-000096B30000}"/>
    <cellStyle name="Total 34 6" xfId="45973" xr:uid="{00000000-0005-0000-0000-000097B30000}"/>
    <cellStyle name="Total 34 7" xfId="45974" xr:uid="{00000000-0005-0000-0000-000098B30000}"/>
    <cellStyle name="Total 34 8" xfId="45975" xr:uid="{00000000-0005-0000-0000-000099B30000}"/>
    <cellStyle name="Total 34 9" xfId="45976" xr:uid="{00000000-0005-0000-0000-00009AB30000}"/>
    <cellStyle name="Total 35" xfId="45977" xr:uid="{00000000-0005-0000-0000-00009BB30000}"/>
    <cellStyle name="Total 35 10" xfId="45978" xr:uid="{00000000-0005-0000-0000-00009CB30000}"/>
    <cellStyle name="Total 35 11" xfId="45979" xr:uid="{00000000-0005-0000-0000-00009DB30000}"/>
    <cellStyle name="Total 35 12" xfId="45980" xr:uid="{00000000-0005-0000-0000-00009EB30000}"/>
    <cellStyle name="Total 35 13" xfId="45981" xr:uid="{00000000-0005-0000-0000-00009FB30000}"/>
    <cellStyle name="Total 35 14" xfId="45982" xr:uid="{00000000-0005-0000-0000-0000A0B30000}"/>
    <cellStyle name="Total 35 15" xfId="45983" xr:uid="{00000000-0005-0000-0000-0000A1B30000}"/>
    <cellStyle name="Total 35 2" xfId="45984" xr:uid="{00000000-0005-0000-0000-0000A2B30000}"/>
    <cellStyle name="Total 35 3" xfId="45985" xr:uid="{00000000-0005-0000-0000-0000A3B30000}"/>
    <cellStyle name="Total 35 4" xfId="45986" xr:uid="{00000000-0005-0000-0000-0000A4B30000}"/>
    <cellStyle name="Total 35 5" xfId="45987" xr:uid="{00000000-0005-0000-0000-0000A5B30000}"/>
    <cellStyle name="Total 35 6" xfId="45988" xr:uid="{00000000-0005-0000-0000-0000A6B30000}"/>
    <cellStyle name="Total 35 7" xfId="45989" xr:uid="{00000000-0005-0000-0000-0000A7B30000}"/>
    <cellStyle name="Total 35 8" xfId="45990" xr:uid="{00000000-0005-0000-0000-0000A8B30000}"/>
    <cellStyle name="Total 35 9" xfId="45991" xr:uid="{00000000-0005-0000-0000-0000A9B30000}"/>
    <cellStyle name="Total 36" xfId="45992" xr:uid="{00000000-0005-0000-0000-0000AAB30000}"/>
    <cellStyle name="Total 36 10" xfId="45993" xr:uid="{00000000-0005-0000-0000-0000ABB30000}"/>
    <cellStyle name="Total 36 11" xfId="45994" xr:uid="{00000000-0005-0000-0000-0000ACB30000}"/>
    <cellStyle name="Total 36 12" xfId="45995" xr:uid="{00000000-0005-0000-0000-0000ADB30000}"/>
    <cellStyle name="Total 36 13" xfId="45996" xr:uid="{00000000-0005-0000-0000-0000AEB30000}"/>
    <cellStyle name="Total 36 14" xfId="45997" xr:uid="{00000000-0005-0000-0000-0000AFB30000}"/>
    <cellStyle name="Total 36 15" xfId="45998" xr:uid="{00000000-0005-0000-0000-0000B0B30000}"/>
    <cellStyle name="Total 36 2" xfId="45999" xr:uid="{00000000-0005-0000-0000-0000B1B30000}"/>
    <cellStyle name="Total 36 3" xfId="46000" xr:uid="{00000000-0005-0000-0000-0000B2B30000}"/>
    <cellStyle name="Total 36 4" xfId="46001" xr:uid="{00000000-0005-0000-0000-0000B3B30000}"/>
    <cellStyle name="Total 36 5" xfId="46002" xr:uid="{00000000-0005-0000-0000-0000B4B30000}"/>
    <cellStyle name="Total 36 6" xfId="46003" xr:uid="{00000000-0005-0000-0000-0000B5B30000}"/>
    <cellStyle name="Total 36 7" xfId="46004" xr:uid="{00000000-0005-0000-0000-0000B6B30000}"/>
    <cellStyle name="Total 36 8" xfId="46005" xr:uid="{00000000-0005-0000-0000-0000B7B30000}"/>
    <cellStyle name="Total 36 9" xfId="46006" xr:uid="{00000000-0005-0000-0000-0000B8B30000}"/>
    <cellStyle name="Total 37" xfId="46007" xr:uid="{00000000-0005-0000-0000-0000B9B30000}"/>
    <cellStyle name="Total 37 10" xfId="46008" xr:uid="{00000000-0005-0000-0000-0000BAB30000}"/>
    <cellStyle name="Total 37 11" xfId="46009" xr:uid="{00000000-0005-0000-0000-0000BBB30000}"/>
    <cellStyle name="Total 37 12" xfId="46010" xr:uid="{00000000-0005-0000-0000-0000BCB30000}"/>
    <cellStyle name="Total 37 13" xfId="46011" xr:uid="{00000000-0005-0000-0000-0000BDB30000}"/>
    <cellStyle name="Total 37 14" xfId="46012" xr:uid="{00000000-0005-0000-0000-0000BEB30000}"/>
    <cellStyle name="Total 37 15" xfId="46013" xr:uid="{00000000-0005-0000-0000-0000BFB30000}"/>
    <cellStyle name="Total 37 2" xfId="46014" xr:uid="{00000000-0005-0000-0000-0000C0B30000}"/>
    <cellStyle name="Total 37 3" xfId="46015" xr:uid="{00000000-0005-0000-0000-0000C1B30000}"/>
    <cellStyle name="Total 37 4" xfId="46016" xr:uid="{00000000-0005-0000-0000-0000C2B30000}"/>
    <cellStyle name="Total 37 5" xfId="46017" xr:uid="{00000000-0005-0000-0000-0000C3B30000}"/>
    <cellStyle name="Total 37 6" xfId="46018" xr:uid="{00000000-0005-0000-0000-0000C4B30000}"/>
    <cellStyle name="Total 37 7" xfId="46019" xr:uid="{00000000-0005-0000-0000-0000C5B30000}"/>
    <cellStyle name="Total 37 8" xfId="46020" xr:uid="{00000000-0005-0000-0000-0000C6B30000}"/>
    <cellStyle name="Total 37 9" xfId="46021" xr:uid="{00000000-0005-0000-0000-0000C7B30000}"/>
    <cellStyle name="Total 38" xfId="46022" xr:uid="{00000000-0005-0000-0000-0000C8B30000}"/>
    <cellStyle name="Total 38 10" xfId="46023" xr:uid="{00000000-0005-0000-0000-0000C9B30000}"/>
    <cellStyle name="Total 38 11" xfId="46024" xr:uid="{00000000-0005-0000-0000-0000CAB30000}"/>
    <cellStyle name="Total 38 12" xfId="46025" xr:uid="{00000000-0005-0000-0000-0000CBB30000}"/>
    <cellStyle name="Total 38 13" xfId="46026" xr:uid="{00000000-0005-0000-0000-0000CCB30000}"/>
    <cellStyle name="Total 38 14" xfId="46027" xr:uid="{00000000-0005-0000-0000-0000CDB30000}"/>
    <cellStyle name="Total 38 15" xfId="46028" xr:uid="{00000000-0005-0000-0000-0000CEB30000}"/>
    <cellStyle name="Total 38 2" xfId="46029" xr:uid="{00000000-0005-0000-0000-0000CFB30000}"/>
    <cellStyle name="Total 38 3" xfId="46030" xr:uid="{00000000-0005-0000-0000-0000D0B30000}"/>
    <cellStyle name="Total 38 4" xfId="46031" xr:uid="{00000000-0005-0000-0000-0000D1B30000}"/>
    <cellStyle name="Total 38 5" xfId="46032" xr:uid="{00000000-0005-0000-0000-0000D2B30000}"/>
    <cellStyle name="Total 38 6" xfId="46033" xr:uid="{00000000-0005-0000-0000-0000D3B30000}"/>
    <cellStyle name="Total 38 7" xfId="46034" xr:uid="{00000000-0005-0000-0000-0000D4B30000}"/>
    <cellStyle name="Total 38 8" xfId="46035" xr:uid="{00000000-0005-0000-0000-0000D5B30000}"/>
    <cellStyle name="Total 38 9" xfId="46036" xr:uid="{00000000-0005-0000-0000-0000D6B30000}"/>
    <cellStyle name="Total 39" xfId="46037" xr:uid="{00000000-0005-0000-0000-0000D7B30000}"/>
    <cellStyle name="Total 39 10" xfId="46038" xr:uid="{00000000-0005-0000-0000-0000D8B30000}"/>
    <cellStyle name="Total 39 11" xfId="46039" xr:uid="{00000000-0005-0000-0000-0000D9B30000}"/>
    <cellStyle name="Total 39 12" xfId="46040" xr:uid="{00000000-0005-0000-0000-0000DAB30000}"/>
    <cellStyle name="Total 39 13" xfId="46041" xr:uid="{00000000-0005-0000-0000-0000DBB30000}"/>
    <cellStyle name="Total 39 14" xfId="46042" xr:uid="{00000000-0005-0000-0000-0000DCB30000}"/>
    <cellStyle name="Total 39 15" xfId="46043" xr:uid="{00000000-0005-0000-0000-0000DDB30000}"/>
    <cellStyle name="Total 39 2" xfId="46044" xr:uid="{00000000-0005-0000-0000-0000DEB30000}"/>
    <cellStyle name="Total 39 3" xfId="46045" xr:uid="{00000000-0005-0000-0000-0000DFB30000}"/>
    <cellStyle name="Total 39 4" xfId="46046" xr:uid="{00000000-0005-0000-0000-0000E0B30000}"/>
    <cellStyle name="Total 39 5" xfId="46047" xr:uid="{00000000-0005-0000-0000-0000E1B30000}"/>
    <cellStyle name="Total 39 6" xfId="46048" xr:uid="{00000000-0005-0000-0000-0000E2B30000}"/>
    <cellStyle name="Total 39 7" xfId="46049" xr:uid="{00000000-0005-0000-0000-0000E3B30000}"/>
    <cellStyle name="Total 39 8" xfId="46050" xr:uid="{00000000-0005-0000-0000-0000E4B30000}"/>
    <cellStyle name="Total 39 9" xfId="46051" xr:uid="{00000000-0005-0000-0000-0000E5B30000}"/>
    <cellStyle name="Total 4" xfId="46052" xr:uid="{00000000-0005-0000-0000-0000E6B30000}"/>
    <cellStyle name="Total 4 2" xfId="46053" xr:uid="{00000000-0005-0000-0000-0000E7B30000}"/>
    <cellStyle name="Total 4 2 2" xfId="46054" xr:uid="{00000000-0005-0000-0000-0000E8B30000}"/>
    <cellStyle name="Total 4 3" xfId="46055" xr:uid="{00000000-0005-0000-0000-0000E9B30000}"/>
    <cellStyle name="Total 4 3 2" xfId="46056" xr:uid="{00000000-0005-0000-0000-0000EAB30000}"/>
    <cellStyle name="Total 4 4" xfId="46057" xr:uid="{00000000-0005-0000-0000-0000EBB30000}"/>
    <cellStyle name="Total 4 4 2" xfId="46058" xr:uid="{00000000-0005-0000-0000-0000ECB30000}"/>
    <cellStyle name="Total 4 5" xfId="46059" xr:uid="{00000000-0005-0000-0000-0000EDB30000}"/>
    <cellStyle name="Total 4 5 2" xfId="46060" xr:uid="{00000000-0005-0000-0000-0000EEB30000}"/>
    <cellStyle name="Total 4 6" xfId="46061" xr:uid="{00000000-0005-0000-0000-0000EFB30000}"/>
    <cellStyle name="Total 4 6 2" xfId="46062" xr:uid="{00000000-0005-0000-0000-0000F0B30000}"/>
    <cellStyle name="Total 4 7" xfId="46063" xr:uid="{00000000-0005-0000-0000-0000F1B30000}"/>
    <cellStyle name="Total 40" xfId="46064" xr:uid="{00000000-0005-0000-0000-0000F2B30000}"/>
    <cellStyle name="Total 41" xfId="46065" xr:uid="{00000000-0005-0000-0000-0000F3B30000}"/>
    <cellStyle name="Total 42" xfId="46066" xr:uid="{00000000-0005-0000-0000-0000F4B30000}"/>
    <cellStyle name="Total 43" xfId="46067" xr:uid="{00000000-0005-0000-0000-0000F5B30000}"/>
    <cellStyle name="Total 44" xfId="46068" xr:uid="{00000000-0005-0000-0000-0000F6B30000}"/>
    <cellStyle name="Total 45" xfId="46069" xr:uid="{00000000-0005-0000-0000-0000F7B30000}"/>
    <cellStyle name="Total 46" xfId="46070" xr:uid="{00000000-0005-0000-0000-0000F8B30000}"/>
    <cellStyle name="Total 47" xfId="46071" xr:uid="{00000000-0005-0000-0000-0000F9B30000}"/>
    <cellStyle name="Total 48" xfId="46072" xr:uid="{00000000-0005-0000-0000-0000FAB30000}"/>
    <cellStyle name="Total 49" xfId="46073" xr:uid="{00000000-0005-0000-0000-0000FBB30000}"/>
    <cellStyle name="Total 5" xfId="46074" xr:uid="{00000000-0005-0000-0000-0000FCB30000}"/>
    <cellStyle name="Total 5 2" xfId="46075" xr:uid="{00000000-0005-0000-0000-0000FDB30000}"/>
    <cellStyle name="Total 5 2 2" xfId="46076" xr:uid="{00000000-0005-0000-0000-0000FEB30000}"/>
    <cellStyle name="Total 5 2 3" xfId="46077" xr:uid="{00000000-0005-0000-0000-0000FFB30000}"/>
    <cellStyle name="Total 5 2 4" xfId="46078" xr:uid="{00000000-0005-0000-0000-000000B40000}"/>
    <cellStyle name="Total 5 3" xfId="46079" xr:uid="{00000000-0005-0000-0000-000001B40000}"/>
    <cellStyle name="Total 5 3 2" xfId="46080" xr:uid="{00000000-0005-0000-0000-000002B40000}"/>
    <cellStyle name="Total 5 3 3" xfId="46081" xr:uid="{00000000-0005-0000-0000-000003B40000}"/>
    <cellStyle name="Total 5 4" xfId="46082" xr:uid="{00000000-0005-0000-0000-000004B40000}"/>
    <cellStyle name="Total 50" xfId="46083" xr:uid="{00000000-0005-0000-0000-000005B40000}"/>
    <cellStyle name="Total 51" xfId="46084" xr:uid="{00000000-0005-0000-0000-000006B40000}"/>
    <cellStyle name="Total 52" xfId="46085" xr:uid="{00000000-0005-0000-0000-000007B40000}"/>
    <cellStyle name="Total 53" xfId="46086" xr:uid="{00000000-0005-0000-0000-000008B40000}"/>
    <cellStyle name="Total 54" xfId="46087" xr:uid="{00000000-0005-0000-0000-000009B40000}"/>
    <cellStyle name="Total 55" xfId="46088" xr:uid="{00000000-0005-0000-0000-00000AB40000}"/>
    <cellStyle name="Total 56" xfId="46089" xr:uid="{00000000-0005-0000-0000-00000BB40000}"/>
    <cellStyle name="Total 57" xfId="46090" xr:uid="{00000000-0005-0000-0000-00000CB40000}"/>
    <cellStyle name="Total 58" xfId="46091" xr:uid="{00000000-0005-0000-0000-00000DB40000}"/>
    <cellStyle name="Total 59" xfId="46092" xr:uid="{00000000-0005-0000-0000-00000EB40000}"/>
    <cellStyle name="Total 6" xfId="46093" xr:uid="{00000000-0005-0000-0000-00000FB40000}"/>
    <cellStyle name="Total 6 2" xfId="46094" xr:uid="{00000000-0005-0000-0000-000010B40000}"/>
    <cellStyle name="Total 60" xfId="46095" xr:uid="{00000000-0005-0000-0000-000011B40000}"/>
    <cellStyle name="Total 61" xfId="46096" xr:uid="{00000000-0005-0000-0000-000012B40000}"/>
    <cellStyle name="Total 62" xfId="46097" xr:uid="{00000000-0005-0000-0000-000013B40000}"/>
    <cellStyle name="Total 63" xfId="46098" xr:uid="{00000000-0005-0000-0000-000014B40000}"/>
    <cellStyle name="Total 64" xfId="46099" xr:uid="{00000000-0005-0000-0000-000015B40000}"/>
    <cellStyle name="Total 65" xfId="46100" xr:uid="{00000000-0005-0000-0000-000016B40000}"/>
    <cellStyle name="Total 66" xfId="46101" xr:uid="{00000000-0005-0000-0000-000017B40000}"/>
    <cellStyle name="Total 67" xfId="46102" xr:uid="{00000000-0005-0000-0000-000018B40000}"/>
    <cellStyle name="Total 68" xfId="46103" xr:uid="{00000000-0005-0000-0000-000019B40000}"/>
    <cellStyle name="Total 69" xfId="46104" xr:uid="{00000000-0005-0000-0000-00001AB40000}"/>
    <cellStyle name="Total 7" xfId="46105" xr:uid="{00000000-0005-0000-0000-00001BB40000}"/>
    <cellStyle name="Total 7 2" xfId="46106" xr:uid="{00000000-0005-0000-0000-00001CB40000}"/>
    <cellStyle name="Total 70" xfId="46107" xr:uid="{00000000-0005-0000-0000-00001DB40000}"/>
    <cellStyle name="Total 71" xfId="46108" xr:uid="{00000000-0005-0000-0000-00001EB40000}"/>
    <cellStyle name="Total 72" xfId="46109" xr:uid="{00000000-0005-0000-0000-00001FB40000}"/>
    <cellStyle name="Total 73" xfId="46110" xr:uid="{00000000-0005-0000-0000-000020B40000}"/>
    <cellStyle name="Total 74" xfId="46111" xr:uid="{00000000-0005-0000-0000-000021B40000}"/>
    <cellStyle name="Total 75" xfId="46112" xr:uid="{00000000-0005-0000-0000-000022B40000}"/>
    <cellStyle name="Total 76" xfId="46113" xr:uid="{00000000-0005-0000-0000-000023B40000}"/>
    <cellStyle name="Total 77" xfId="46114" xr:uid="{00000000-0005-0000-0000-000024B40000}"/>
    <cellStyle name="Total 78" xfId="46115" xr:uid="{00000000-0005-0000-0000-000025B40000}"/>
    <cellStyle name="Total 79" xfId="46116" xr:uid="{00000000-0005-0000-0000-000026B40000}"/>
    <cellStyle name="Total 79 2" xfId="46117" xr:uid="{00000000-0005-0000-0000-000027B40000}"/>
    <cellStyle name="Total 8" xfId="46118" xr:uid="{00000000-0005-0000-0000-000028B40000}"/>
    <cellStyle name="Total 8 2" xfId="46119" xr:uid="{00000000-0005-0000-0000-000029B40000}"/>
    <cellStyle name="Total 80" xfId="46120" xr:uid="{00000000-0005-0000-0000-00002AB40000}"/>
    <cellStyle name="Total 80 2" xfId="46121" xr:uid="{00000000-0005-0000-0000-00002BB40000}"/>
    <cellStyle name="Total 81" xfId="46122" xr:uid="{00000000-0005-0000-0000-00002CB40000}"/>
    <cellStyle name="Total 81 2" xfId="46123" xr:uid="{00000000-0005-0000-0000-00002DB40000}"/>
    <cellStyle name="Total 82" xfId="46124" xr:uid="{00000000-0005-0000-0000-00002EB40000}"/>
    <cellStyle name="Total 82 2" xfId="46125" xr:uid="{00000000-0005-0000-0000-00002FB40000}"/>
    <cellStyle name="Total 83" xfId="46126" xr:uid="{00000000-0005-0000-0000-000030B40000}"/>
    <cellStyle name="Total 83 2" xfId="46127" xr:uid="{00000000-0005-0000-0000-000031B40000}"/>
    <cellStyle name="Total 84" xfId="46128" xr:uid="{00000000-0005-0000-0000-000032B40000}"/>
    <cellStyle name="Total 84 2" xfId="46129" xr:uid="{00000000-0005-0000-0000-000033B40000}"/>
    <cellStyle name="Total 85" xfId="46130" xr:uid="{00000000-0005-0000-0000-000034B40000}"/>
    <cellStyle name="Total 85 2" xfId="46131" xr:uid="{00000000-0005-0000-0000-000035B40000}"/>
    <cellStyle name="Total 86" xfId="46132" xr:uid="{00000000-0005-0000-0000-000036B40000}"/>
    <cellStyle name="Total 86 2" xfId="46133" xr:uid="{00000000-0005-0000-0000-000037B40000}"/>
    <cellStyle name="Total 87" xfId="46134" xr:uid="{00000000-0005-0000-0000-000038B40000}"/>
    <cellStyle name="Total 87 2" xfId="46135" xr:uid="{00000000-0005-0000-0000-000039B40000}"/>
    <cellStyle name="Total 88" xfId="46136" xr:uid="{00000000-0005-0000-0000-00003AB40000}"/>
    <cellStyle name="Total 88 2" xfId="46137" xr:uid="{00000000-0005-0000-0000-00003BB40000}"/>
    <cellStyle name="Total 89" xfId="46138" xr:uid="{00000000-0005-0000-0000-00003CB40000}"/>
    <cellStyle name="Total 89 2" xfId="46139" xr:uid="{00000000-0005-0000-0000-00003DB40000}"/>
    <cellStyle name="Total 9" xfId="46140" xr:uid="{00000000-0005-0000-0000-00003EB40000}"/>
    <cellStyle name="Total 9 2" xfId="46141" xr:uid="{00000000-0005-0000-0000-00003FB40000}"/>
    <cellStyle name="Total 90" xfId="46142" xr:uid="{00000000-0005-0000-0000-000040B40000}"/>
    <cellStyle name="Total 91" xfId="46143" xr:uid="{00000000-0005-0000-0000-000041B40000}"/>
    <cellStyle name="Total 92" xfId="46144" xr:uid="{00000000-0005-0000-0000-000042B40000}"/>
    <cellStyle name="Total 93" xfId="46145" xr:uid="{00000000-0005-0000-0000-000043B40000}"/>
    <cellStyle name="Total 94" xfId="46146" xr:uid="{00000000-0005-0000-0000-000044B40000}"/>
    <cellStyle name="Total 95" xfId="46147" xr:uid="{00000000-0005-0000-0000-000045B40000}"/>
    <cellStyle name="Total 96" xfId="46148" xr:uid="{00000000-0005-0000-0000-000046B40000}"/>
    <cellStyle name="Total 97" xfId="46149" xr:uid="{00000000-0005-0000-0000-000047B40000}"/>
    <cellStyle name="Total 98" xfId="46150" xr:uid="{00000000-0005-0000-0000-000048B40000}"/>
    <cellStyle name="Total 99" xfId="46151" xr:uid="{00000000-0005-0000-0000-000049B40000}"/>
    <cellStyle name="Tytuł" xfId="46152" xr:uid="{00000000-0005-0000-0000-00004AB40000}"/>
    <cellStyle name="User Input" xfId="46" xr:uid="{00000000-0005-0000-0000-00004BB40000}"/>
    <cellStyle name="Uwaga" xfId="46153" xr:uid="{00000000-0005-0000-0000-00004CB40000}"/>
    <cellStyle name="Vérification" xfId="46154" xr:uid="{00000000-0005-0000-0000-00004DB40000}"/>
    <cellStyle name="Warning Text" xfId="14" builtinId="11" hidden="1" customBuiltin="1"/>
    <cellStyle name="Warning Text" xfId="61" builtinId="11" hidden="1" customBuiltin="1"/>
    <cellStyle name="Warning Text" xfId="83" builtinId="11" hidden="1" customBuiltin="1"/>
    <cellStyle name="Warning Text 10" xfId="46155" xr:uid="{00000000-0005-0000-0000-000051B40000}"/>
    <cellStyle name="Warning Text 10 2" xfId="46156" xr:uid="{00000000-0005-0000-0000-000052B40000}"/>
    <cellStyle name="Warning Text 100" xfId="46157" xr:uid="{00000000-0005-0000-0000-000053B40000}"/>
    <cellStyle name="Warning Text 101" xfId="46158" xr:uid="{00000000-0005-0000-0000-000054B40000}"/>
    <cellStyle name="Warning Text 102" xfId="46159" xr:uid="{00000000-0005-0000-0000-000055B40000}"/>
    <cellStyle name="Warning Text 103" xfId="46160" xr:uid="{00000000-0005-0000-0000-000056B40000}"/>
    <cellStyle name="Warning Text 104" xfId="46161" xr:uid="{00000000-0005-0000-0000-000057B40000}"/>
    <cellStyle name="Warning Text 105" xfId="46162" xr:uid="{00000000-0005-0000-0000-000058B40000}"/>
    <cellStyle name="Warning Text 106" xfId="46163" xr:uid="{00000000-0005-0000-0000-000059B40000}"/>
    <cellStyle name="Warning Text 107" xfId="46164" xr:uid="{00000000-0005-0000-0000-00005AB40000}"/>
    <cellStyle name="Warning Text 108" xfId="46165" xr:uid="{00000000-0005-0000-0000-00005BB40000}"/>
    <cellStyle name="Warning Text 109" xfId="46166" xr:uid="{00000000-0005-0000-0000-00005CB40000}"/>
    <cellStyle name="Warning Text 11" xfId="46167" xr:uid="{00000000-0005-0000-0000-00005DB40000}"/>
    <cellStyle name="Warning Text 11 2" xfId="46168" xr:uid="{00000000-0005-0000-0000-00005EB40000}"/>
    <cellStyle name="Warning Text 110" xfId="46169" xr:uid="{00000000-0005-0000-0000-00005FB40000}"/>
    <cellStyle name="Warning Text 111" xfId="46170" xr:uid="{00000000-0005-0000-0000-000060B40000}"/>
    <cellStyle name="Warning Text 112" xfId="46171" xr:uid="{00000000-0005-0000-0000-000061B40000}"/>
    <cellStyle name="Warning Text 113" xfId="46172" xr:uid="{00000000-0005-0000-0000-000062B40000}"/>
    <cellStyle name="Warning Text 114" xfId="46173" xr:uid="{00000000-0005-0000-0000-000063B40000}"/>
    <cellStyle name="Warning Text 115" xfId="46174" xr:uid="{00000000-0005-0000-0000-000064B40000}"/>
    <cellStyle name="Warning Text 116" xfId="46175" xr:uid="{00000000-0005-0000-0000-000065B40000}"/>
    <cellStyle name="Warning Text 117" xfId="46176" xr:uid="{00000000-0005-0000-0000-000066B40000}"/>
    <cellStyle name="Warning Text 118" xfId="46177" xr:uid="{00000000-0005-0000-0000-000067B40000}"/>
    <cellStyle name="Warning Text 119" xfId="46178" xr:uid="{00000000-0005-0000-0000-000068B40000}"/>
    <cellStyle name="Warning Text 12" xfId="46179" xr:uid="{00000000-0005-0000-0000-000069B40000}"/>
    <cellStyle name="Warning Text 12 2" xfId="46180" xr:uid="{00000000-0005-0000-0000-00006AB40000}"/>
    <cellStyle name="Warning Text 120" xfId="46181" xr:uid="{00000000-0005-0000-0000-00006BB40000}"/>
    <cellStyle name="Warning Text 121" xfId="46182" xr:uid="{00000000-0005-0000-0000-00006CB40000}"/>
    <cellStyle name="Warning Text 122" xfId="46183" xr:uid="{00000000-0005-0000-0000-00006DB40000}"/>
    <cellStyle name="Warning Text 123" xfId="46184" xr:uid="{00000000-0005-0000-0000-00006EB40000}"/>
    <cellStyle name="Warning Text 124" xfId="46185" xr:uid="{00000000-0005-0000-0000-00006FB40000}"/>
    <cellStyle name="Warning Text 125" xfId="46186" xr:uid="{00000000-0005-0000-0000-000070B40000}"/>
    <cellStyle name="Warning Text 126" xfId="46187" xr:uid="{00000000-0005-0000-0000-000071B40000}"/>
    <cellStyle name="Warning Text 127" xfId="46188" xr:uid="{00000000-0005-0000-0000-000072B40000}"/>
    <cellStyle name="Warning Text 128" xfId="46189" xr:uid="{00000000-0005-0000-0000-000073B40000}"/>
    <cellStyle name="Warning Text 129" xfId="46190" xr:uid="{00000000-0005-0000-0000-000074B40000}"/>
    <cellStyle name="Warning Text 13" xfId="46191" xr:uid="{00000000-0005-0000-0000-000075B40000}"/>
    <cellStyle name="Warning Text 13 2" xfId="46192" xr:uid="{00000000-0005-0000-0000-000076B40000}"/>
    <cellStyle name="Warning Text 130" xfId="46193" xr:uid="{00000000-0005-0000-0000-000077B40000}"/>
    <cellStyle name="Warning Text 131" xfId="46194" xr:uid="{00000000-0005-0000-0000-000078B40000}"/>
    <cellStyle name="Warning Text 132" xfId="46195" xr:uid="{00000000-0005-0000-0000-000079B40000}"/>
    <cellStyle name="Warning Text 133" xfId="46196" xr:uid="{00000000-0005-0000-0000-00007AB40000}"/>
    <cellStyle name="Warning Text 134" xfId="46197" xr:uid="{00000000-0005-0000-0000-00007BB40000}"/>
    <cellStyle name="Warning Text 135" xfId="46198" xr:uid="{00000000-0005-0000-0000-00007CB40000}"/>
    <cellStyle name="Warning Text 136" xfId="46199" xr:uid="{00000000-0005-0000-0000-00007DB40000}"/>
    <cellStyle name="Warning Text 137" xfId="46200" xr:uid="{00000000-0005-0000-0000-00007EB40000}"/>
    <cellStyle name="Warning Text 138" xfId="46201" xr:uid="{00000000-0005-0000-0000-00007FB40000}"/>
    <cellStyle name="Warning Text 139" xfId="46202" xr:uid="{00000000-0005-0000-0000-000080B40000}"/>
    <cellStyle name="Warning Text 14" xfId="46203" xr:uid="{00000000-0005-0000-0000-000081B40000}"/>
    <cellStyle name="Warning Text 14 2" xfId="46204" xr:uid="{00000000-0005-0000-0000-000082B40000}"/>
    <cellStyle name="Warning Text 140" xfId="46205" xr:uid="{00000000-0005-0000-0000-000083B40000}"/>
    <cellStyle name="Warning Text 141" xfId="46206" xr:uid="{00000000-0005-0000-0000-000084B40000}"/>
    <cellStyle name="Warning Text 142" xfId="46207" xr:uid="{00000000-0005-0000-0000-000085B40000}"/>
    <cellStyle name="Warning Text 143" xfId="46208" xr:uid="{00000000-0005-0000-0000-000086B40000}"/>
    <cellStyle name="Warning Text 144" xfId="46209" xr:uid="{00000000-0005-0000-0000-000087B40000}"/>
    <cellStyle name="Warning Text 145" xfId="46210" xr:uid="{00000000-0005-0000-0000-000088B40000}"/>
    <cellStyle name="Warning Text 146" xfId="46211" xr:uid="{00000000-0005-0000-0000-000089B40000}"/>
    <cellStyle name="Warning Text 147" xfId="46212" xr:uid="{00000000-0005-0000-0000-00008AB40000}"/>
    <cellStyle name="Warning Text 148" xfId="46213" xr:uid="{00000000-0005-0000-0000-00008BB40000}"/>
    <cellStyle name="Warning Text 149" xfId="46214" xr:uid="{00000000-0005-0000-0000-00008CB40000}"/>
    <cellStyle name="Warning Text 15" xfId="46215" xr:uid="{00000000-0005-0000-0000-00008DB40000}"/>
    <cellStyle name="Warning Text 15 2" xfId="46216" xr:uid="{00000000-0005-0000-0000-00008EB40000}"/>
    <cellStyle name="Warning Text 150" xfId="46217" xr:uid="{00000000-0005-0000-0000-00008FB40000}"/>
    <cellStyle name="Warning Text 151" xfId="46218" xr:uid="{00000000-0005-0000-0000-000090B40000}"/>
    <cellStyle name="Warning Text 152" xfId="46219" xr:uid="{00000000-0005-0000-0000-000091B40000}"/>
    <cellStyle name="Warning Text 153" xfId="46220" xr:uid="{00000000-0005-0000-0000-000092B40000}"/>
    <cellStyle name="Warning Text 154" xfId="46221" xr:uid="{00000000-0005-0000-0000-000093B40000}"/>
    <cellStyle name="Warning Text 155" xfId="46222" xr:uid="{00000000-0005-0000-0000-000094B40000}"/>
    <cellStyle name="Warning Text 156" xfId="46223" xr:uid="{00000000-0005-0000-0000-000095B40000}"/>
    <cellStyle name="Warning Text 157" xfId="46224" xr:uid="{00000000-0005-0000-0000-000096B40000}"/>
    <cellStyle name="Warning Text 158" xfId="46225" xr:uid="{00000000-0005-0000-0000-000097B40000}"/>
    <cellStyle name="Warning Text 159" xfId="46226" xr:uid="{00000000-0005-0000-0000-000098B40000}"/>
    <cellStyle name="Warning Text 16" xfId="46227" xr:uid="{00000000-0005-0000-0000-000099B40000}"/>
    <cellStyle name="Warning Text 160" xfId="46228" xr:uid="{00000000-0005-0000-0000-00009AB40000}"/>
    <cellStyle name="Warning Text 161" xfId="46229" xr:uid="{00000000-0005-0000-0000-00009BB40000}"/>
    <cellStyle name="Warning Text 162" xfId="46230" xr:uid="{00000000-0005-0000-0000-00009CB40000}"/>
    <cellStyle name="Warning Text 163" xfId="46231" xr:uid="{00000000-0005-0000-0000-00009DB40000}"/>
    <cellStyle name="Warning Text 164" xfId="46232" xr:uid="{00000000-0005-0000-0000-00009EB40000}"/>
    <cellStyle name="Warning Text 165" xfId="46233" xr:uid="{00000000-0005-0000-0000-00009FB40000}"/>
    <cellStyle name="Warning Text 166" xfId="46234" xr:uid="{00000000-0005-0000-0000-0000A0B40000}"/>
    <cellStyle name="Warning Text 167" xfId="46235" xr:uid="{00000000-0005-0000-0000-0000A1B40000}"/>
    <cellStyle name="Warning Text 17" xfId="46236" xr:uid="{00000000-0005-0000-0000-0000A2B40000}"/>
    <cellStyle name="Warning Text 18" xfId="46237" xr:uid="{00000000-0005-0000-0000-0000A3B40000}"/>
    <cellStyle name="Warning Text 19" xfId="46238" xr:uid="{00000000-0005-0000-0000-0000A4B40000}"/>
    <cellStyle name="Warning Text 2" xfId="46239" xr:uid="{00000000-0005-0000-0000-0000A5B40000}"/>
    <cellStyle name="Warning Text 2 10" xfId="46240" xr:uid="{00000000-0005-0000-0000-0000A6B40000}"/>
    <cellStyle name="Warning Text 2 11" xfId="46241" xr:uid="{00000000-0005-0000-0000-0000A7B40000}"/>
    <cellStyle name="Warning Text 2 12" xfId="46242" xr:uid="{00000000-0005-0000-0000-0000A8B40000}"/>
    <cellStyle name="Warning Text 2 13" xfId="46243" xr:uid="{00000000-0005-0000-0000-0000A9B40000}"/>
    <cellStyle name="Warning Text 2 14" xfId="46244" xr:uid="{00000000-0005-0000-0000-0000AAB40000}"/>
    <cellStyle name="Warning Text 2 15" xfId="46245" xr:uid="{00000000-0005-0000-0000-0000ABB40000}"/>
    <cellStyle name="Warning Text 2 16" xfId="46246" xr:uid="{00000000-0005-0000-0000-0000ACB40000}"/>
    <cellStyle name="Warning Text 2 17" xfId="46247" xr:uid="{00000000-0005-0000-0000-0000ADB40000}"/>
    <cellStyle name="Warning Text 2 18" xfId="46248" xr:uid="{00000000-0005-0000-0000-0000AEB40000}"/>
    <cellStyle name="Warning Text 2 19" xfId="46249" xr:uid="{00000000-0005-0000-0000-0000AFB40000}"/>
    <cellStyle name="Warning Text 2 2" xfId="46250" xr:uid="{00000000-0005-0000-0000-0000B0B40000}"/>
    <cellStyle name="Warning Text 2 20" xfId="46251" xr:uid="{00000000-0005-0000-0000-0000B1B40000}"/>
    <cellStyle name="Warning Text 2 21" xfId="46252" xr:uid="{00000000-0005-0000-0000-0000B2B40000}"/>
    <cellStyle name="Warning Text 2 22" xfId="46253" xr:uid="{00000000-0005-0000-0000-0000B3B40000}"/>
    <cellStyle name="Warning Text 2 23" xfId="46254" xr:uid="{00000000-0005-0000-0000-0000B4B40000}"/>
    <cellStyle name="Warning Text 2 24" xfId="46255" xr:uid="{00000000-0005-0000-0000-0000B5B40000}"/>
    <cellStyle name="Warning Text 2 25" xfId="46256" xr:uid="{00000000-0005-0000-0000-0000B6B40000}"/>
    <cellStyle name="Warning Text 2 26" xfId="46257" xr:uid="{00000000-0005-0000-0000-0000B7B40000}"/>
    <cellStyle name="Warning Text 2 27" xfId="46258" xr:uid="{00000000-0005-0000-0000-0000B8B40000}"/>
    <cellStyle name="Warning Text 2 28" xfId="46259" xr:uid="{00000000-0005-0000-0000-0000B9B40000}"/>
    <cellStyle name="Warning Text 2 29" xfId="46260" xr:uid="{00000000-0005-0000-0000-0000BAB40000}"/>
    <cellStyle name="Warning Text 2 3" xfId="46261" xr:uid="{00000000-0005-0000-0000-0000BBB40000}"/>
    <cellStyle name="Warning Text 2 30" xfId="46262" xr:uid="{00000000-0005-0000-0000-0000BCB40000}"/>
    <cellStyle name="Warning Text 2 31" xfId="46263" xr:uid="{00000000-0005-0000-0000-0000BDB40000}"/>
    <cellStyle name="Warning Text 2 32" xfId="46264" xr:uid="{00000000-0005-0000-0000-0000BEB40000}"/>
    <cellStyle name="Warning Text 2 33" xfId="46265" xr:uid="{00000000-0005-0000-0000-0000BFB40000}"/>
    <cellStyle name="Warning Text 2 34" xfId="46266" xr:uid="{00000000-0005-0000-0000-0000C0B40000}"/>
    <cellStyle name="Warning Text 2 35" xfId="46267" xr:uid="{00000000-0005-0000-0000-0000C1B40000}"/>
    <cellStyle name="Warning Text 2 4" xfId="46268" xr:uid="{00000000-0005-0000-0000-0000C2B40000}"/>
    <cellStyle name="Warning Text 2 5" xfId="46269" xr:uid="{00000000-0005-0000-0000-0000C3B40000}"/>
    <cellStyle name="Warning Text 2 6" xfId="46270" xr:uid="{00000000-0005-0000-0000-0000C4B40000}"/>
    <cellStyle name="Warning Text 2 7" xfId="46271" xr:uid="{00000000-0005-0000-0000-0000C5B40000}"/>
    <cellStyle name="Warning Text 2 8" xfId="46272" xr:uid="{00000000-0005-0000-0000-0000C6B40000}"/>
    <cellStyle name="Warning Text 2 9" xfId="46273" xr:uid="{00000000-0005-0000-0000-0000C7B40000}"/>
    <cellStyle name="Warning Text 20" xfId="46274" xr:uid="{00000000-0005-0000-0000-0000C8B40000}"/>
    <cellStyle name="Warning Text 20 10" xfId="46275" xr:uid="{00000000-0005-0000-0000-0000C9B40000}"/>
    <cellStyle name="Warning Text 20 11" xfId="46276" xr:uid="{00000000-0005-0000-0000-0000CAB40000}"/>
    <cellStyle name="Warning Text 20 12" xfId="46277" xr:uid="{00000000-0005-0000-0000-0000CBB40000}"/>
    <cellStyle name="Warning Text 20 13" xfId="46278" xr:uid="{00000000-0005-0000-0000-0000CCB40000}"/>
    <cellStyle name="Warning Text 20 14" xfId="46279" xr:uid="{00000000-0005-0000-0000-0000CDB40000}"/>
    <cellStyle name="Warning Text 20 15" xfId="46280" xr:uid="{00000000-0005-0000-0000-0000CEB40000}"/>
    <cellStyle name="Warning Text 20 16" xfId="46281" xr:uid="{00000000-0005-0000-0000-0000CFB40000}"/>
    <cellStyle name="Warning Text 20 2" xfId="46282" xr:uid="{00000000-0005-0000-0000-0000D0B40000}"/>
    <cellStyle name="Warning Text 20 3" xfId="46283" xr:uid="{00000000-0005-0000-0000-0000D1B40000}"/>
    <cellStyle name="Warning Text 20 4" xfId="46284" xr:uid="{00000000-0005-0000-0000-0000D2B40000}"/>
    <cellStyle name="Warning Text 20 5" xfId="46285" xr:uid="{00000000-0005-0000-0000-0000D3B40000}"/>
    <cellStyle name="Warning Text 20 6" xfId="46286" xr:uid="{00000000-0005-0000-0000-0000D4B40000}"/>
    <cellStyle name="Warning Text 20 7" xfId="46287" xr:uid="{00000000-0005-0000-0000-0000D5B40000}"/>
    <cellStyle name="Warning Text 20 8" xfId="46288" xr:uid="{00000000-0005-0000-0000-0000D6B40000}"/>
    <cellStyle name="Warning Text 20 9" xfId="46289" xr:uid="{00000000-0005-0000-0000-0000D7B40000}"/>
    <cellStyle name="Warning Text 21" xfId="46290" xr:uid="{00000000-0005-0000-0000-0000D8B40000}"/>
    <cellStyle name="Warning Text 21 2" xfId="46291" xr:uid="{00000000-0005-0000-0000-0000D9B40000}"/>
    <cellStyle name="Warning Text 21 3" xfId="46292" xr:uid="{00000000-0005-0000-0000-0000DAB40000}"/>
    <cellStyle name="Warning Text 22" xfId="46293" xr:uid="{00000000-0005-0000-0000-0000DBB40000}"/>
    <cellStyle name="Warning Text 23" xfId="46294" xr:uid="{00000000-0005-0000-0000-0000DCB40000}"/>
    <cellStyle name="Warning Text 24" xfId="46295" xr:uid="{00000000-0005-0000-0000-0000DDB40000}"/>
    <cellStyle name="Warning Text 25" xfId="46296" xr:uid="{00000000-0005-0000-0000-0000DEB40000}"/>
    <cellStyle name="Warning Text 26" xfId="46297" xr:uid="{00000000-0005-0000-0000-0000DFB40000}"/>
    <cellStyle name="Warning Text 27" xfId="46298" xr:uid="{00000000-0005-0000-0000-0000E0B40000}"/>
    <cellStyle name="Warning Text 28" xfId="46299" xr:uid="{00000000-0005-0000-0000-0000E1B40000}"/>
    <cellStyle name="Warning Text 29" xfId="46300" xr:uid="{00000000-0005-0000-0000-0000E2B40000}"/>
    <cellStyle name="Warning Text 3" xfId="46301" xr:uid="{00000000-0005-0000-0000-0000E3B40000}"/>
    <cellStyle name="Warning Text 3 10" xfId="46302" xr:uid="{00000000-0005-0000-0000-0000E4B40000}"/>
    <cellStyle name="Warning Text 3 10 10" xfId="46303" xr:uid="{00000000-0005-0000-0000-0000E5B40000}"/>
    <cellStyle name="Warning Text 3 10 11" xfId="46304" xr:uid="{00000000-0005-0000-0000-0000E6B40000}"/>
    <cellStyle name="Warning Text 3 10 12" xfId="46305" xr:uid="{00000000-0005-0000-0000-0000E7B40000}"/>
    <cellStyle name="Warning Text 3 10 13" xfId="46306" xr:uid="{00000000-0005-0000-0000-0000E8B40000}"/>
    <cellStyle name="Warning Text 3 10 14" xfId="46307" xr:uid="{00000000-0005-0000-0000-0000E9B40000}"/>
    <cellStyle name="Warning Text 3 10 15" xfId="46308" xr:uid="{00000000-0005-0000-0000-0000EAB40000}"/>
    <cellStyle name="Warning Text 3 10 2" xfId="46309" xr:uid="{00000000-0005-0000-0000-0000EBB40000}"/>
    <cellStyle name="Warning Text 3 10 3" xfId="46310" xr:uid="{00000000-0005-0000-0000-0000ECB40000}"/>
    <cellStyle name="Warning Text 3 10 4" xfId="46311" xr:uid="{00000000-0005-0000-0000-0000EDB40000}"/>
    <cellStyle name="Warning Text 3 10 5" xfId="46312" xr:uid="{00000000-0005-0000-0000-0000EEB40000}"/>
    <cellStyle name="Warning Text 3 10 6" xfId="46313" xr:uid="{00000000-0005-0000-0000-0000EFB40000}"/>
    <cellStyle name="Warning Text 3 10 7" xfId="46314" xr:uid="{00000000-0005-0000-0000-0000F0B40000}"/>
    <cellStyle name="Warning Text 3 10 8" xfId="46315" xr:uid="{00000000-0005-0000-0000-0000F1B40000}"/>
    <cellStyle name="Warning Text 3 10 9" xfId="46316" xr:uid="{00000000-0005-0000-0000-0000F2B40000}"/>
    <cellStyle name="Warning Text 3 11" xfId="46317" xr:uid="{00000000-0005-0000-0000-0000F3B40000}"/>
    <cellStyle name="Warning Text 3 11 10" xfId="46318" xr:uid="{00000000-0005-0000-0000-0000F4B40000}"/>
    <cellStyle name="Warning Text 3 11 11" xfId="46319" xr:uid="{00000000-0005-0000-0000-0000F5B40000}"/>
    <cellStyle name="Warning Text 3 11 12" xfId="46320" xr:uid="{00000000-0005-0000-0000-0000F6B40000}"/>
    <cellStyle name="Warning Text 3 11 13" xfId="46321" xr:uid="{00000000-0005-0000-0000-0000F7B40000}"/>
    <cellStyle name="Warning Text 3 11 14" xfId="46322" xr:uid="{00000000-0005-0000-0000-0000F8B40000}"/>
    <cellStyle name="Warning Text 3 11 15" xfId="46323" xr:uid="{00000000-0005-0000-0000-0000F9B40000}"/>
    <cellStyle name="Warning Text 3 11 2" xfId="46324" xr:uid="{00000000-0005-0000-0000-0000FAB40000}"/>
    <cellStyle name="Warning Text 3 11 3" xfId="46325" xr:uid="{00000000-0005-0000-0000-0000FBB40000}"/>
    <cellStyle name="Warning Text 3 11 4" xfId="46326" xr:uid="{00000000-0005-0000-0000-0000FCB40000}"/>
    <cellStyle name="Warning Text 3 11 5" xfId="46327" xr:uid="{00000000-0005-0000-0000-0000FDB40000}"/>
    <cellStyle name="Warning Text 3 11 6" xfId="46328" xr:uid="{00000000-0005-0000-0000-0000FEB40000}"/>
    <cellStyle name="Warning Text 3 11 7" xfId="46329" xr:uid="{00000000-0005-0000-0000-0000FFB40000}"/>
    <cellStyle name="Warning Text 3 11 8" xfId="46330" xr:uid="{00000000-0005-0000-0000-000000B50000}"/>
    <cellStyle name="Warning Text 3 11 9" xfId="46331" xr:uid="{00000000-0005-0000-0000-000001B50000}"/>
    <cellStyle name="Warning Text 3 12" xfId="46332" xr:uid="{00000000-0005-0000-0000-000002B50000}"/>
    <cellStyle name="Warning Text 3 12 10" xfId="46333" xr:uid="{00000000-0005-0000-0000-000003B50000}"/>
    <cellStyle name="Warning Text 3 12 11" xfId="46334" xr:uid="{00000000-0005-0000-0000-000004B50000}"/>
    <cellStyle name="Warning Text 3 12 12" xfId="46335" xr:uid="{00000000-0005-0000-0000-000005B50000}"/>
    <cellStyle name="Warning Text 3 12 13" xfId="46336" xr:uid="{00000000-0005-0000-0000-000006B50000}"/>
    <cellStyle name="Warning Text 3 12 14" xfId="46337" xr:uid="{00000000-0005-0000-0000-000007B50000}"/>
    <cellStyle name="Warning Text 3 12 15" xfId="46338" xr:uid="{00000000-0005-0000-0000-000008B50000}"/>
    <cellStyle name="Warning Text 3 12 2" xfId="46339" xr:uid="{00000000-0005-0000-0000-000009B50000}"/>
    <cellStyle name="Warning Text 3 12 3" xfId="46340" xr:uid="{00000000-0005-0000-0000-00000AB50000}"/>
    <cellStyle name="Warning Text 3 12 4" xfId="46341" xr:uid="{00000000-0005-0000-0000-00000BB50000}"/>
    <cellStyle name="Warning Text 3 12 5" xfId="46342" xr:uid="{00000000-0005-0000-0000-00000CB50000}"/>
    <cellStyle name="Warning Text 3 12 6" xfId="46343" xr:uid="{00000000-0005-0000-0000-00000DB50000}"/>
    <cellStyle name="Warning Text 3 12 7" xfId="46344" xr:uid="{00000000-0005-0000-0000-00000EB50000}"/>
    <cellStyle name="Warning Text 3 12 8" xfId="46345" xr:uid="{00000000-0005-0000-0000-00000FB50000}"/>
    <cellStyle name="Warning Text 3 12 9" xfId="46346" xr:uid="{00000000-0005-0000-0000-000010B50000}"/>
    <cellStyle name="Warning Text 3 13" xfId="46347" xr:uid="{00000000-0005-0000-0000-000011B50000}"/>
    <cellStyle name="Warning Text 3 13 10" xfId="46348" xr:uid="{00000000-0005-0000-0000-000012B50000}"/>
    <cellStyle name="Warning Text 3 13 11" xfId="46349" xr:uid="{00000000-0005-0000-0000-000013B50000}"/>
    <cellStyle name="Warning Text 3 13 12" xfId="46350" xr:uid="{00000000-0005-0000-0000-000014B50000}"/>
    <cellStyle name="Warning Text 3 13 13" xfId="46351" xr:uid="{00000000-0005-0000-0000-000015B50000}"/>
    <cellStyle name="Warning Text 3 13 14" xfId="46352" xr:uid="{00000000-0005-0000-0000-000016B50000}"/>
    <cellStyle name="Warning Text 3 13 15" xfId="46353" xr:uid="{00000000-0005-0000-0000-000017B50000}"/>
    <cellStyle name="Warning Text 3 13 2" xfId="46354" xr:uid="{00000000-0005-0000-0000-000018B50000}"/>
    <cellStyle name="Warning Text 3 13 3" xfId="46355" xr:uid="{00000000-0005-0000-0000-000019B50000}"/>
    <cellStyle name="Warning Text 3 13 4" xfId="46356" xr:uid="{00000000-0005-0000-0000-00001AB50000}"/>
    <cellStyle name="Warning Text 3 13 5" xfId="46357" xr:uid="{00000000-0005-0000-0000-00001BB50000}"/>
    <cellStyle name="Warning Text 3 13 6" xfId="46358" xr:uid="{00000000-0005-0000-0000-00001CB50000}"/>
    <cellStyle name="Warning Text 3 13 7" xfId="46359" xr:uid="{00000000-0005-0000-0000-00001DB50000}"/>
    <cellStyle name="Warning Text 3 13 8" xfId="46360" xr:uid="{00000000-0005-0000-0000-00001EB50000}"/>
    <cellStyle name="Warning Text 3 13 9" xfId="46361" xr:uid="{00000000-0005-0000-0000-00001FB50000}"/>
    <cellStyle name="Warning Text 3 14" xfId="46362" xr:uid="{00000000-0005-0000-0000-000020B50000}"/>
    <cellStyle name="Warning Text 3 14 10" xfId="46363" xr:uid="{00000000-0005-0000-0000-000021B50000}"/>
    <cellStyle name="Warning Text 3 14 11" xfId="46364" xr:uid="{00000000-0005-0000-0000-000022B50000}"/>
    <cellStyle name="Warning Text 3 14 12" xfId="46365" xr:uid="{00000000-0005-0000-0000-000023B50000}"/>
    <cellStyle name="Warning Text 3 14 13" xfId="46366" xr:uid="{00000000-0005-0000-0000-000024B50000}"/>
    <cellStyle name="Warning Text 3 14 14" xfId="46367" xr:uid="{00000000-0005-0000-0000-000025B50000}"/>
    <cellStyle name="Warning Text 3 14 15" xfId="46368" xr:uid="{00000000-0005-0000-0000-000026B50000}"/>
    <cellStyle name="Warning Text 3 14 2" xfId="46369" xr:uid="{00000000-0005-0000-0000-000027B50000}"/>
    <cellStyle name="Warning Text 3 14 3" xfId="46370" xr:uid="{00000000-0005-0000-0000-000028B50000}"/>
    <cellStyle name="Warning Text 3 14 4" xfId="46371" xr:uid="{00000000-0005-0000-0000-000029B50000}"/>
    <cellStyle name="Warning Text 3 14 5" xfId="46372" xr:uid="{00000000-0005-0000-0000-00002AB50000}"/>
    <cellStyle name="Warning Text 3 14 6" xfId="46373" xr:uid="{00000000-0005-0000-0000-00002BB50000}"/>
    <cellStyle name="Warning Text 3 14 7" xfId="46374" xr:uid="{00000000-0005-0000-0000-00002CB50000}"/>
    <cellStyle name="Warning Text 3 14 8" xfId="46375" xr:uid="{00000000-0005-0000-0000-00002DB50000}"/>
    <cellStyle name="Warning Text 3 14 9" xfId="46376" xr:uid="{00000000-0005-0000-0000-00002EB50000}"/>
    <cellStyle name="Warning Text 3 15" xfId="46377" xr:uid="{00000000-0005-0000-0000-00002FB50000}"/>
    <cellStyle name="Warning Text 3 15 10" xfId="46378" xr:uid="{00000000-0005-0000-0000-000030B50000}"/>
    <cellStyle name="Warning Text 3 15 11" xfId="46379" xr:uid="{00000000-0005-0000-0000-000031B50000}"/>
    <cellStyle name="Warning Text 3 15 12" xfId="46380" xr:uid="{00000000-0005-0000-0000-000032B50000}"/>
    <cellStyle name="Warning Text 3 15 13" xfId="46381" xr:uid="{00000000-0005-0000-0000-000033B50000}"/>
    <cellStyle name="Warning Text 3 15 14" xfId="46382" xr:uid="{00000000-0005-0000-0000-000034B50000}"/>
    <cellStyle name="Warning Text 3 15 15" xfId="46383" xr:uid="{00000000-0005-0000-0000-000035B50000}"/>
    <cellStyle name="Warning Text 3 15 2" xfId="46384" xr:uid="{00000000-0005-0000-0000-000036B50000}"/>
    <cellStyle name="Warning Text 3 15 3" xfId="46385" xr:uid="{00000000-0005-0000-0000-000037B50000}"/>
    <cellStyle name="Warning Text 3 15 4" xfId="46386" xr:uid="{00000000-0005-0000-0000-000038B50000}"/>
    <cellStyle name="Warning Text 3 15 5" xfId="46387" xr:uid="{00000000-0005-0000-0000-000039B50000}"/>
    <cellStyle name="Warning Text 3 15 6" xfId="46388" xr:uid="{00000000-0005-0000-0000-00003AB50000}"/>
    <cellStyle name="Warning Text 3 15 7" xfId="46389" xr:uid="{00000000-0005-0000-0000-00003BB50000}"/>
    <cellStyle name="Warning Text 3 15 8" xfId="46390" xr:uid="{00000000-0005-0000-0000-00003CB50000}"/>
    <cellStyle name="Warning Text 3 15 9" xfId="46391" xr:uid="{00000000-0005-0000-0000-00003DB50000}"/>
    <cellStyle name="Warning Text 3 16" xfId="46392" xr:uid="{00000000-0005-0000-0000-00003EB50000}"/>
    <cellStyle name="Warning Text 3 16 10" xfId="46393" xr:uid="{00000000-0005-0000-0000-00003FB50000}"/>
    <cellStyle name="Warning Text 3 16 11" xfId="46394" xr:uid="{00000000-0005-0000-0000-000040B50000}"/>
    <cellStyle name="Warning Text 3 16 12" xfId="46395" xr:uid="{00000000-0005-0000-0000-000041B50000}"/>
    <cellStyle name="Warning Text 3 16 13" xfId="46396" xr:uid="{00000000-0005-0000-0000-000042B50000}"/>
    <cellStyle name="Warning Text 3 16 14" xfId="46397" xr:uid="{00000000-0005-0000-0000-000043B50000}"/>
    <cellStyle name="Warning Text 3 16 15" xfId="46398" xr:uid="{00000000-0005-0000-0000-000044B50000}"/>
    <cellStyle name="Warning Text 3 16 2" xfId="46399" xr:uid="{00000000-0005-0000-0000-000045B50000}"/>
    <cellStyle name="Warning Text 3 16 3" xfId="46400" xr:uid="{00000000-0005-0000-0000-000046B50000}"/>
    <cellStyle name="Warning Text 3 16 4" xfId="46401" xr:uid="{00000000-0005-0000-0000-000047B50000}"/>
    <cellStyle name="Warning Text 3 16 5" xfId="46402" xr:uid="{00000000-0005-0000-0000-000048B50000}"/>
    <cellStyle name="Warning Text 3 16 6" xfId="46403" xr:uid="{00000000-0005-0000-0000-000049B50000}"/>
    <cellStyle name="Warning Text 3 16 7" xfId="46404" xr:uid="{00000000-0005-0000-0000-00004AB50000}"/>
    <cellStyle name="Warning Text 3 16 8" xfId="46405" xr:uid="{00000000-0005-0000-0000-00004BB50000}"/>
    <cellStyle name="Warning Text 3 16 9" xfId="46406" xr:uid="{00000000-0005-0000-0000-00004CB50000}"/>
    <cellStyle name="Warning Text 3 17" xfId="46407" xr:uid="{00000000-0005-0000-0000-00004DB50000}"/>
    <cellStyle name="Warning Text 3 17 10" xfId="46408" xr:uid="{00000000-0005-0000-0000-00004EB50000}"/>
    <cellStyle name="Warning Text 3 17 11" xfId="46409" xr:uid="{00000000-0005-0000-0000-00004FB50000}"/>
    <cellStyle name="Warning Text 3 17 12" xfId="46410" xr:uid="{00000000-0005-0000-0000-000050B50000}"/>
    <cellStyle name="Warning Text 3 17 13" xfId="46411" xr:uid="{00000000-0005-0000-0000-000051B50000}"/>
    <cellStyle name="Warning Text 3 17 14" xfId="46412" xr:uid="{00000000-0005-0000-0000-000052B50000}"/>
    <cellStyle name="Warning Text 3 17 15" xfId="46413" xr:uid="{00000000-0005-0000-0000-000053B50000}"/>
    <cellStyle name="Warning Text 3 17 2" xfId="46414" xr:uid="{00000000-0005-0000-0000-000054B50000}"/>
    <cellStyle name="Warning Text 3 17 3" xfId="46415" xr:uid="{00000000-0005-0000-0000-000055B50000}"/>
    <cellStyle name="Warning Text 3 17 4" xfId="46416" xr:uid="{00000000-0005-0000-0000-000056B50000}"/>
    <cellStyle name="Warning Text 3 17 5" xfId="46417" xr:uid="{00000000-0005-0000-0000-000057B50000}"/>
    <cellStyle name="Warning Text 3 17 6" xfId="46418" xr:uid="{00000000-0005-0000-0000-000058B50000}"/>
    <cellStyle name="Warning Text 3 17 7" xfId="46419" xr:uid="{00000000-0005-0000-0000-000059B50000}"/>
    <cellStyle name="Warning Text 3 17 8" xfId="46420" xr:uid="{00000000-0005-0000-0000-00005AB50000}"/>
    <cellStyle name="Warning Text 3 17 9" xfId="46421" xr:uid="{00000000-0005-0000-0000-00005BB50000}"/>
    <cellStyle name="Warning Text 3 18" xfId="46422" xr:uid="{00000000-0005-0000-0000-00005CB50000}"/>
    <cellStyle name="Warning Text 3 18 10" xfId="46423" xr:uid="{00000000-0005-0000-0000-00005DB50000}"/>
    <cellStyle name="Warning Text 3 18 11" xfId="46424" xr:uid="{00000000-0005-0000-0000-00005EB50000}"/>
    <cellStyle name="Warning Text 3 18 12" xfId="46425" xr:uid="{00000000-0005-0000-0000-00005FB50000}"/>
    <cellStyle name="Warning Text 3 18 13" xfId="46426" xr:uid="{00000000-0005-0000-0000-000060B50000}"/>
    <cellStyle name="Warning Text 3 18 14" xfId="46427" xr:uid="{00000000-0005-0000-0000-000061B50000}"/>
    <cellStyle name="Warning Text 3 18 15" xfId="46428" xr:uid="{00000000-0005-0000-0000-000062B50000}"/>
    <cellStyle name="Warning Text 3 18 2" xfId="46429" xr:uid="{00000000-0005-0000-0000-000063B50000}"/>
    <cellStyle name="Warning Text 3 18 3" xfId="46430" xr:uid="{00000000-0005-0000-0000-000064B50000}"/>
    <cellStyle name="Warning Text 3 18 4" xfId="46431" xr:uid="{00000000-0005-0000-0000-000065B50000}"/>
    <cellStyle name="Warning Text 3 18 5" xfId="46432" xr:uid="{00000000-0005-0000-0000-000066B50000}"/>
    <cellStyle name="Warning Text 3 18 6" xfId="46433" xr:uid="{00000000-0005-0000-0000-000067B50000}"/>
    <cellStyle name="Warning Text 3 18 7" xfId="46434" xr:uid="{00000000-0005-0000-0000-000068B50000}"/>
    <cellStyle name="Warning Text 3 18 8" xfId="46435" xr:uid="{00000000-0005-0000-0000-000069B50000}"/>
    <cellStyle name="Warning Text 3 18 9" xfId="46436" xr:uid="{00000000-0005-0000-0000-00006AB50000}"/>
    <cellStyle name="Warning Text 3 19" xfId="46437" xr:uid="{00000000-0005-0000-0000-00006BB50000}"/>
    <cellStyle name="Warning Text 3 19 10" xfId="46438" xr:uid="{00000000-0005-0000-0000-00006CB50000}"/>
    <cellStyle name="Warning Text 3 19 11" xfId="46439" xr:uid="{00000000-0005-0000-0000-00006DB50000}"/>
    <cellStyle name="Warning Text 3 19 12" xfId="46440" xr:uid="{00000000-0005-0000-0000-00006EB50000}"/>
    <cellStyle name="Warning Text 3 19 13" xfId="46441" xr:uid="{00000000-0005-0000-0000-00006FB50000}"/>
    <cellStyle name="Warning Text 3 19 14" xfId="46442" xr:uid="{00000000-0005-0000-0000-000070B50000}"/>
    <cellStyle name="Warning Text 3 19 15" xfId="46443" xr:uid="{00000000-0005-0000-0000-000071B50000}"/>
    <cellStyle name="Warning Text 3 19 2" xfId="46444" xr:uid="{00000000-0005-0000-0000-000072B50000}"/>
    <cellStyle name="Warning Text 3 19 3" xfId="46445" xr:uid="{00000000-0005-0000-0000-000073B50000}"/>
    <cellStyle name="Warning Text 3 19 4" xfId="46446" xr:uid="{00000000-0005-0000-0000-000074B50000}"/>
    <cellStyle name="Warning Text 3 19 5" xfId="46447" xr:uid="{00000000-0005-0000-0000-000075B50000}"/>
    <cellStyle name="Warning Text 3 19 6" xfId="46448" xr:uid="{00000000-0005-0000-0000-000076B50000}"/>
    <cellStyle name="Warning Text 3 19 7" xfId="46449" xr:uid="{00000000-0005-0000-0000-000077B50000}"/>
    <cellStyle name="Warning Text 3 19 8" xfId="46450" xr:uid="{00000000-0005-0000-0000-000078B50000}"/>
    <cellStyle name="Warning Text 3 19 9" xfId="46451" xr:uid="{00000000-0005-0000-0000-000079B50000}"/>
    <cellStyle name="Warning Text 3 2" xfId="46452" xr:uid="{00000000-0005-0000-0000-00007AB50000}"/>
    <cellStyle name="Warning Text 3 2 10" xfId="46453" xr:uid="{00000000-0005-0000-0000-00007BB50000}"/>
    <cellStyle name="Warning Text 3 2 11" xfId="46454" xr:uid="{00000000-0005-0000-0000-00007CB50000}"/>
    <cellStyle name="Warning Text 3 2 12" xfId="46455" xr:uid="{00000000-0005-0000-0000-00007DB50000}"/>
    <cellStyle name="Warning Text 3 2 13" xfId="46456" xr:uid="{00000000-0005-0000-0000-00007EB50000}"/>
    <cellStyle name="Warning Text 3 2 14" xfId="46457" xr:uid="{00000000-0005-0000-0000-00007FB50000}"/>
    <cellStyle name="Warning Text 3 2 15" xfId="46458" xr:uid="{00000000-0005-0000-0000-000080B50000}"/>
    <cellStyle name="Warning Text 3 2 16" xfId="46459" xr:uid="{00000000-0005-0000-0000-000081B50000}"/>
    <cellStyle name="Warning Text 3 2 17" xfId="46460" xr:uid="{00000000-0005-0000-0000-000082B50000}"/>
    <cellStyle name="Warning Text 3 2 18" xfId="46461" xr:uid="{00000000-0005-0000-0000-000083B50000}"/>
    <cellStyle name="Warning Text 3 2 19" xfId="46462" xr:uid="{00000000-0005-0000-0000-000084B50000}"/>
    <cellStyle name="Warning Text 3 2 2" xfId="46463" xr:uid="{00000000-0005-0000-0000-000085B50000}"/>
    <cellStyle name="Warning Text 3 2 20" xfId="46464" xr:uid="{00000000-0005-0000-0000-000086B50000}"/>
    <cellStyle name="Warning Text 3 2 21" xfId="46465" xr:uid="{00000000-0005-0000-0000-000087B50000}"/>
    <cellStyle name="Warning Text 3 2 22" xfId="46466" xr:uid="{00000000-0005-0000-0000-000088B50000}"/>
    <cellStyle name="Warning Text 3 2 23" xfId="46467" xr:uid="{00000000-0005-0000-0000-000089B50000}"/>
    <cellStyle name="Warning Text 3 2 24" xfId="46468" xr:uid="{00000000-0005-0000-0000-00008AB50000}"/>
    <cellStyle name="Warning Text 3 2 25" xfId="46469" xr:uid="{00000000-0005-0000-0000-00008BB50000}"/>
    <cellStyle name="Warning Text 3 2 26" xfId="46470" xr:uid="{00000000-0005-0000-0000-00008CB50000}"/>
    <cellStyle name="Warning Text 3 2 27" xfId="46471" xr:uid="{00000000-0005-0000-0000-00008DB50000}"/>
    <cellStyle name="Warning Text 3 2 28" xfId="46472" xr:uid="{00000000-0005-0000-0000-00008EB50000}"/>
    <cellStyle name="Warning Text 3 2 29" xfId="46473" xr:uid="{00000000-0005-0000-0000-00008FB50000}"/>
    <cellStyle name="Warning Text 3 2 3" xfId="46474" xr:uid="{00000000-0005-0000-0000-000090B50000}"/>
    <cellStyle name="Warning Text 3 2 30" xfId="46475" xr:uid="{00000000-0005-0000-0000-000091B50000}"/>
    <cellStyle name="Warning Text 3 2 31" xfId="46476" xr:uid="{00000000-0005-0000-0000-000092B50000}"/>
    <cellStyle name="Warning Text 3 2 32" xfId="46477" xr:uid="{00000000-0005-0000-0000-000093B50000}"/>
    <cellStyle name="Warning Text 3 2 33" xfId="46478" xr:uid="{00000000-0005-0000-0000-000094B50000}"/>
    <cellStyle name="Warning Text 3 2 34" xfId="46479" xr:uid="{00000000-0005-0000-0000-000095B50000}"/>
    <cellStyle name="Warning Text 3 2 35" xfId="46480" xr:uid="{00000000-0005-0000-0000-000096B50000}"/>
    <cellStyle name="Warning Text 3 2 36" xfId="46481" xr:uid="{00000000-0005-0000-0000-000097B50000}"/>
    <cellStyle name="Warning Text 3 2 37" xfId="46482" xr:uid="{00000000-0005-0000-0000-000098B50000}"/>
    <cellStyle name="Warning Text 3 2 38" xfId="46483" xr:uid="{00000000-0005-0000-0000-000099B50000}"/>
    <cellStyle name="Warning Text 3 2 39" xfId="46484" xr:uid="{00000000-0005-0000-0000-00009AB50000}"/>
    <cellStyle name="Warning Text 3 2 4" xfId="46485" xr:uid="{00000000-0005-0000-0000-00009BB50000}"/>
    <cellStyle name="Warning Text 3 2 40" xfId="46486" xr:uid="{00000000-0005-0000-0000-00009CB50000}"/>
    <cellStyle name="Warning Text 3 2 41" xfId="46487" xr:uid="{00000000-0005-0000-0000-00009DB50000}"/>
    <cellStyle name="Warning Text 3 2 42" xfId="46488" xr:uid="{00000000-0005-0000-0000-00009EB50000}"/>
    <cellStyle name="Warning Text 3 2 43" xfId="46489" xr:uid="{00000000-0005-0000-0000-00009FB50000}"/>
    <cellStyle name="Warning Text 3 2 44" xfId="46490" xr:uid="{00000000-0005-0000-0000-0000A0B50000}"/>
    <cellStyle name="Warning Text 3 2 45" xfId="46491" xr:uid="{00000000-0005-0000-0000-0000A1B50000}"/>
    <cellStyle name="Warning Text 3 2 46" xfId="46492" xr:uid="{00000000-0005-0000-0000-0000A2B50000}"/>
    <cellStyle name="Warning Text 3 2 47" xfId="46493" xr:uid="{00000000-0005-0000-0000-0000A3B50000}"/>
    <cellStyle name="Warning Text 3 2 48" xfId="46494" xr:uid="{00000000-0005-0000-0000-0000A4B50000}"/>
    <cellStyle name="Warning Text 3 2 49" xfId="46495" xr:uid="{00000000-0005-0000-0000-0000A5B50000}"/>
    <cellStyle name="Warning Text 3 2 5" xfId="46496" xr:uid="{00000000-0005-0000-0000-0000A6B50000}"/>
    <cellStyle name="Warning Text 3 2 50" xfId="46497" xr:uid="{00000000-0005-0000-0000-0000A7B50000}"/>
    <cellStyle name="Warning Text 3 2 51" xfId="46498" xr:uid="{00000000-0005-0000-0000-0000A8B50000}"/>
    <cellStyle name="Warning Text 3 2 52" xfId="46499" xr:uid="{00000000-0005-0000-0000-0000A9B50000}"/>
    <cellStyle name="Warning Text 3 2 53" xfId="46500" xr:uid="{00000000-0005-0000-0000-0000AAB50000}"/>
    <cellStyle name="Warning Text 3 2 6" xfId="46501" xr:uid="{00000000-0005-0000-0000-0000ABB50000}"/>
    <cellStyle name="Warning Text 3 2 7" xfId="46502" xr:uid="{00000000-0005-0000-0000-0000ACB50000}"/>
    <cellStyle name="Warning Text 3 2 8" xfId="46503" xr:uid="{00000000-0005-0000-0000-0000ADB50000}"/>
    <cellStyle name="Warning Text 3 2 9" xfId="46504" xr:uid="{00000000-0005-0000-0000-0000AEB50000}"/>
    <cellStyle name="Warning Text 3 20" xfId="46505" xr:uid="{00000000-0005-0000-0000-0000AFB50000}"/>
    <cellStyle name="Warning Text 3 20 10" xfId="46506" xr:uid="{00000000-0005-0000-0000-0000B0B50000}"/>
    <cellStyle name="Warning Text 3 20 11" xfId="46507" xr:uid="{00000000-0005-0000-0000-0000B1B50000}"/>
    <cellStyle name="Warning Text 3 20 12" xfId="46508" xr:uid="{00000000-0005-0000-0000-0000B2B50000}"/>
    <cellStyle name="Warning Text 3 20 13" xfId="46509" xr:uid="{00000000-0005-0000-0000-0000B3B50000}"/>
    <cellStyle name="Warning Text 3 20 14" xfId="46510" xr:uid="{00000000-0005-0000-0000-0000B4B50000}"/>
    <cellStyle name="Warning Text 3 20 15" xfId="46511" xr:uid="{00000000-0005-0000-0000-0000B5B50000}"/>
    <cellStyle name="Warning Text 3 20 2" xfId="46512" xr:uid="{00000000-0005-0000-0000-0000B6B50000}"/>
    <cellStyle name="Warning Text 3 20 3" xfId="46513" xr:uid="{00000000-0005-0000-0000-0000B7B50000}"/>
    <cellStyle name="Warning Text 3 20 4" xfId="46514" xr:uid="{00000000-0005-0000-0000-0000B8B50000}"/>
    <cellStyle name="Warning Text 3 20 5" xfId="46515" xr:uid="{00000000-0005-0000-0000-0000B9B50000}"/>
    <cellStyle name="Warning Text 3 20 6" xfId="46516" xr:uid="{00000000-0005-0000-0000-0000BAB50000}"/>
    <cellStyle name="Warning Text 3 20 7" xfId="46517" xr:uid="{00000000-0005-0000-0000-0000BBB50000}"/>
    <cellStyle name="Warning Text 3 20 8" xfId="46518" xr:uid="{00000000-0005-0000-0000-0000BCB50000}"/>
    <cellStyle name="Warning Text 3 20 9" xfId="46519" xr:uid="{00000000-0005-0000-0000-0000BDB50000}"/>
    <cellStyle name="Warning Text 3 21" xfId="46520" xr:uid="{00000000-0005-0000-0000-0000BEB50000}"/>
    <cellStyle name="Warning Text 3 21 10" xfId="46521" xr:uid="{00000000-0005-0000-0000-0000BFB50000}"/>
    <cellStyle name="Warning Text 3 21 11" xfId="46522" xr:uid="{00000000-0005-0000-0000-0000C0B50000}"/>
    <cellStyle name="Warning Text 3 21 12" xfId="46523" xr:uid="{00000000-0005-0000-0000-0000C1B50000}"/>
    <cellStyle name="Warning Text 3 21 13" xfId="46524" xr:uid="{00000000-0005-0000-0000-0000C2B50000}"/>
    <cellStyle name="Warning Text 3 21 14" xfId="46525" xr:uid="{00000000-0005-0000-0000-0000C3B50000}"/>
    <cellStyle name="Warning Text 3 21 15" xfId="46526" xr:uid="{00000000-0005-0000-0000-0000C4B50000}"/>
    <cellStyle name="Warning Text 3 21 2" xfId="46527" xr:uid="{00000000-0005-0000-0000-0000C5B50000}"/>
    <cellStyle name="Warning Text 3 21 3" xfId="46528" xr:uid="{00000000-0005-0000-0000-0000C6B50000}"/>
    <cellStyle name="Warning Text 3 21 4" xfId="46529" xr:uid="{00000000-0005-0000-0000-0000C7B50000}"/>
    <cellStyle name="Warning Text 3 21 5" xfId="46530" xr:uid="{00000000-0005-0000-0000-0000C8B50000}"/>
    <cellStyle name="Warning Text 3 21 6" xfId="46531" xr:uid="{00000000-0005-0000-0000-0000C9B50000}"/>
    <cellStyle name="Warning Text 3 21 7" xfId="46532" xr:uid="{00000000-0005-0000-0000-0000CAB50000}"/>
    <cellStyle name="Warning Text 3 21 8" xfId="46533" xr:uid="{00000000-0005-0000-0000-0000CBB50000}"/>
    <cellStyle name="Warning Text 3 21 9" xfId="46534" xr:uid="{00000000-0005-0000-0000-0000CCB50000}"/>
    <cellStyle name="Warning Text 3 22" xfId="46535" xr:uid="{00000000-0005-0000-0000-0000CDB50000}"/>
    <cellStyle name="Warning Text 3 22 10" xfId="46536" xr:uid="{00000000-0005-0000-0000-0000CEB50000}"/>
    <cellStyle name="Warning Text 3 22 11" xfId="46537" xr:uid="{00000000-0005-0000-0000-0000CFB50000}"/>
    <cellStyle name="Warning Text 3 22 12" xfId="46538" xr:uid="{00000000-0005-0000-0000-0000D0B50000}"/>
    <cellStyle name="Warning Text 3 22 13" xfId="46539" xr:uid="{00000000-0005-0000-0000-0000D1B50000}"/>
    <cellStyle name="Warning Text 3 22 14" xfId="46540" xr:uid="{00000000-0005-0000-0000-0000D2B50000}"/>
    <cellStyle name="Warning Text 3 22 15" xfId="46541" xr:uid="{00000000-0005-0000-0000-0000D3B50000}"/>
    <cellStyle name="Warning Text 3 22 2" xfId="46542" xr:uid="{00000000-0005-0000-0000-0000D4B50000}"/>
    <cellStyle name="Warning Text 3 22 3" xfId="46543" xr:uid="{00000000-0005-0000-0000-0000D5B50000}"/>
    <cellStyle name="Warning Text 3 22 4" xfId="46544" xr:uid="{00000000-0005-0000-0000-0000D6B50000}"/>
    <cellStyle name="Warning Text 3 22 5" xfId="46545" xr:uid="{00000000-0005-0000-0000-0000D7B50000}"/>
    <cellStyle name="Warning Text 3 22 6" xfId="46546" xr:uid="{00000000-0005-0000-0000-0000D8B50000}"/>
    <cellStyle name="Warning Text 3 22 7" xfId="46547" xr:uid="{00000000-0005-0000-0000-0000D9B50000}"/>
    <cellStyle name="Warning Text 3 22 8" xfId="46548" xr:uid="{00000000-0005-0000-0000-0000DAB50000}"/>
    <cellStyle name="Warning Text 3 22 9" xfId="46549" xr:uid="{00000000-0005-0000-0000-0000DBB50000}"/>
    <cellStyle name="Warning Text 3 23" xfId="46550" xr:uid="{00000000-0005-0000-0000-0000DCB50000}"/>
    <cellStyle name="Warning Text 3 23 10" xfId="46551" xr:uid="{00000000-0005-0000-0000-0000DDB50000}"/>
    <cellStyle name="Warning Text 3 23 11" xfId="46552" xr:uid="{00000000-0005-0000-0000-0000DEB50000}"/>
    <cellStyle name="Warning Text 3 23 12" xfId="46553" xr:uid="{00000000-0005-0000-0000-0000DFB50000}"/>
    <cellStyle name="Warning Text 3 23 13" xfId="46554" xr:uid="{00000000-0005-0000-0000-0000E0B50000}"/>
    <cellStyle name="Warning Text 3 23 14" xfId="46555" xr:uid="{00000000-0005-0000-0000-0000E1B50000}"/>
    <cellStyle name="Warning Text 3 23 15" xfId="46556" xr:uid="{00000000-0005-0000-0000-0000E2B50000}"/>
    <cellStyle name="Warning Text 3 23 2" xfId="46557" xr:uid="{00000000-0005-0000-0000-0000E3B50000}"/>
    <cellStyle name="Warning Text 3 23 3" xfId="46558" xr:uid="{00000000-0005-0000-0000-0000E4B50000}"/>
    <cellStyle name="Warning Text 3 23 4" xfId="46559" xr:uid="{00000000-0005-0000-0000-0000E5B50000}"/>
    <cellStyle name="Warning Text 3 23 5" xfId="46560" xr:uid="{00000000-0005-0000-0000-0000E6B50000}"/>
    <cellStyle name="Warning Text 3 23 6" xfId="46561" xr:uid="{00000000-0005-0000-0000-0000E7B50000}"/>
    <cellStyle name="Warning Text 3 23 7" xfId="46562" xr:uid="{00000000-0005-0000-0000-0000E8B50000}"/>
    <cellStyle name="Warning Text 3 23 8" xfId="46563" xr:uid="{00000000-0005-0000-0000-0000E9B50000}"/>
    <cellStyle name="Warning Text 3 23 9" xfId="46564" xr:uid="{00000000-0005-0000-0000-0000EAB50000}"/>
    <cellStyle name="Warning Text 3 24" xfId="46565" xr:uid="{00000000-0005-0000-0000-0000EBB50000}"/>
    <cellStyle name="Warning Text 3 24 10" xfId="46566" xr:uid="{00000000-0005-0000-0000-0000ECB50000}"/>
    <cellStyle name="Warning Text 3 24 11" xfId="46567" xr:uid="{00000000-0005-0000-0000-0000EDB50000}"/>
    <cellStyle name="Warning Text 3 24 12" xfId="46568" xr:uid="{00000000-0005-0000-0000-0000EEB50000}"/>
    <cellStyle name="Warning Text 3 24 13" xfId="46569" xr:uid="{00000000-0005-0000-0000-0000EFB50000}"/>
    <cellStyle name="Warning Text 3 24 14" xfId="46570" xr:uid="{00000000-0005-0000-0000-0000F0B50000}"/>
    <cellStyle name="Warning Text 3 24 15" xfId="46571" xr:uid="{00000000-0005-0000-0000-0000F1B50000}"/>
    <cellStyle name="Warning Text 3 24 2" xfId="46572" xr:uid="{00000000-0005-0000-0000-0000F2B50000}"/>
    <cellStyle name="Warning Text 3 24 3" xfId="46573" xr:uid="{00000000-0005-0000-0000-0000F3B50000}"/>
    <cellStyle name="Warning Text 3 24 4" xfId="46574" xr:uid="{00000000-0005-0000-0000-0000F4B50000}"/>
    <cellStyle name="Warning Text 3 24 5" xfId="46575" xr:uid="{00000000-0005-0000-0000-0000F5B50000}"/>
    <cellStyle name="Warning Text 3 24 6" xfId="46576" xr:uid="{00000000-0005-0000-0000-0000F6B50000}"/>
    <cellStyle name="Warning Text 3 24 7" xfId="46577" xr:uid="{00000000-0005-0000-0000-0000F7B50000}"/>
    <cellStyle name="Warning Text 3 24 8" xfId="46578" xr:uid="{00000000-0005-0000-0000-0000F8B50000}"/>
    <cellStyle name="Warning Text 3 24 9" xfId="46579" xr:uid="{00000000-0005-0000-0000-0000F9B50000}"/>
    <cellStyle name="Warning Text 3 25" xfId="46580" xr:uid="{00000000-0005-0000-0000-0000FAB50000}"/>
    <cellStyle name="Warning Text 3 25 10" xfId="46581" xr:uid="{00000000-0005-0000-0000-0000FBB50000}"/>
    <cellStyle name="Warning Text 3 25 11" xfId="46582" xr:uid="{00000000-0005-0000-0000-0000FCB50000}"/>
    <cellStyle name="Warning Text 3 25 12" xfId="46583" xr:uid="{00000000-0005-0000-0000-0000FDB50000}"/>
    <cellStyle name="Warning Text 3 25 13" xfId="46584" xr:uid="{00000000-0005-0000-0000-0000FEB50000}"/>
    <cellStyle name="Warning Text 3 25 14" xfId="46585" xr:uid="{00000000-0005-0000-0000-0000FFB50000}"/>
    <cellStyle name="Warning Text 3 25 15" xfId="46586" xr:uid="{00000000-0005-0000-0000-000000B60000}"/>
    <cellStyle name="Warning Text 3 25 2" xfId="46587" xr:uid="{00000000-0005-0000-0000-000001B60000}"/>
    <cellStyle name="Warning Text 3 25 3" xfId="46588" xr:uid="{00000000-0005-0000-0000-000002B60000}"/>
    <cellStyle name="Warning Text 3 25 4" xfId="46589" xr:uid="{00000000-0005-0000-0000-000003B60000}"/>
    <cellStyle name="Warning Text 3 25 5" xfId="46590" xr:uid="{00000000-0005-0000-0000-000004B60000}"/>
    <cellStyle name="Warning Text 3 25 6" xfId="46591" xr:uid="{00000000-0005-0000-0000-000005B60000}"/>
    <cellStyle name="Warning Text 3 25 7" xfId="46592" xr:uid="{00000000-0005-0000-0000-000006B60000}"/>
    <cellStyle name="Warning Text 3 25 8" xfId="46593" xr:uid="{00000000-0005-0000-0000-000007B60000}"/>
    <cellStyle name="Warning Text 3 25 9" xfId="46594" xr:uid="{00000000-0005-0000-0000-000008B60000}"/>
    <cellStyle name="Warning Text 3 26" xfId="46595" xr:uid="{00000000-0005-0000-0000-000009B60000}"/>
    <cellStyle name="Warning Text 3 26 10" xfId="46596" xr:uid="{00000000-0005-0000-0000-00000AB60000}"/>
    <cellStyle name="Warning Text 3 26 11" xfId="46597" xr:uid="{00000000-0005-0000-0000-00000BB60000}"/>
    <cellStyle name="Warning Text 3 26 12" xfId="46598" xr:uid="{00000000-0005-0000-0000-00000CB60000}"/>
    <cellStyle name="Warning Text 3 26 13" xfId="46599" xr:uid="{00000000-0005-0000-0000-00000DB60000}"/>
    <cellStyle name="Warning Text 3 26 14" xfId="46600" xr:uid="{00000000-0005-0000-0000-00000EB60000}"/>
    <cellStyle name="Warning Text 3 26 15" xfId="46601" xr:uid="{00000000-0005-0000-0000-00000FB60000}"/>
    <cellStyle name="Warning Text 3 26 2" xfId="46602" xr:uid="{00000000-0005-0000-0000-000010B60000}"/>
    <cellStyle name="Warning Text 3 26 3" xfId="46603" xr:uid="{00000000-0005-0000-0000-000011B60000}"/>
    <cellStyle name="Warning Text 3 26 4" xfId="46604" xr:uid="{00000000-0005-0000-0000-000012B60000}"/>
    <cellStyle name="Warning Text 3 26 5" xfId="46605" xr:uid="{00000000-0005-0000-0000-000013B60000}"/>
    <cellStyle name="Warning Text 3 26 6" xfId="46606" xr:uid="{00000000-0005-0000-0000-000014B60000}"/>
    <cellStyle name="Warning Text 3 26 7" xfId="46607" xr:uid="{00000000-0005-0000-0000-000015B60000}"/>
    <cellStyle name="Warning Text 3 26 8" xfId="46608" xr:uid="{00000000-0005-0000-0000-000016B60000}"/>
    <cellStyle name="Warning Text 3 26 9" xfId="46609" xr:uid="{00000000-0005-0000-0000-000017B60000}"/>
    <cellStyle name="Warning Text 3 27" xfId="46610" xr:uid="{00000000-0005-0000-0000-000018B60000}"/>
    <cellStyle name="Warning Text 3 27 10" xfId="46611" xr:uid="{00000000-0005-0000-0000-000019B60000}"/>
    <cellStyle name="Warning Text 3 27 11" xfId="46612" xr:uid="{00000000-0005-0000-0000-00001AB60000}"/>
    <cellStyle name="Warning Text 3 27 12" xfId="46613" xr:uid="{00000000-0005-0000-0000-00001BB60000}"/>
    <cellStyle name="Warning Text 3 27 13" xfId="46614" xr:uid="{00000000-0005-0000-0000-00001CB60000}"/>
    <cellStyle name="Warning Text 3 27 14" xfId="46615" xr:uid="{00000000-0005-0000-0000-00001DB60000}"/>
    <cellStyle name="Warning Text 3 27 15" xfId="46616" xr:uid="{00000000-0005-0000-0000-00001EB60000}"/>
    <cellStyle name="Warning Text 3 27 2" xfId="46617" xr:uid="{00000000-0005-0000-0000-00001FB60000}"/>
    <cellStyle name="Warning Text 3 27 3" xfId="46618" xr:uid="{00000000-0005-0000-0000-000020B60000}"/>
    <cellStyle name="Warning Text 3 27 4" xfId="46619" xr:uid="{00000000-0005-0000-0000-000021B60000}"/>
    <cellStyle name="Warning Text 3 27 5" xfId="46620" xr:uid="{00000000-0005-0000-0000-000022B60000}"/>
    <cellStyle name="Warning Text 3 27 6" xfId="46621" xr:uid="{00000000-0005-0000-0000-000023B60000}"/>
    <cellStyle name="Warning Text 3 27 7" xfId="46622" xr:uid="{00000000-0005-0000-0000-000024B60000}"/>
    <cellStyle name="Warning Text 3 27 8" xfId="46623" xr:uid="{00000000-0005-0000-0000-000025B60000}"/>
    <cellStyle name="Warning Text 3 27 9" xfId="46624" xr:uid="{00000000-0005-0000-0000-000026B60000}"/>
    <cellStyle name="Warning Text 3 28" xfId="46625" xr:uid="{00000000-0005-0000-0000-000027B60000}"/>
    <cellStyle name="Warning Text 3 28 10" xfId="46626" xr:uid="{00000000-0005-0000-0000-000028B60000}"/>
    <cellStyle name="Warning Text 3 28 11" xfId="46627" xr:uid="{00000000-0005-0000-0000-000029B60000}"/>
    <cellStyle name="Warning Text 3 28 12" xfId="46628" xr:uid="{00000000-0005-0000-0000-00002AB60000}"/>
    <cellStyle name="Warning Text 3 28 13" xfId="46629" xr:uid="{00000000-0005-0000-0000-00002BB60000}"/>
    <cellStyle name="Warning Text 3 28 14" xfId="46630" xr:uid="{00000000-0005-0000-0000-00002CB60000}"/>
    <cellStyle name="Warning Text 3 28 15" xfId="46631" xr:uid="{00000000-0005-0000-0000-00002DB60000}"/>
    <cellStyle name="Warning Text 3 28 2" xfId="46632" xr:uid="{00000000-0005-0000-0000-00002EB60000}"/>
    <cellStyle name="Warning Text 3 28 3" xfId="46633" xr:uid="{00000000-0005-0000-0000-00002FB60000}"/>
    <cellStyle name="Warning Text 3 28 4" xfId="46634" xr:uid="{00000000-0005-0000-0000-000030B60000}"/>
    <cellStyle name="Warning Text 3 28 5" xfId="46635" xr:uid="{00000000-0005-0000-0000-000031B60000}"/>
    <cellStyle name="Warning Text 3 28 6" xfId="46636" xr:uid="{00000000-0005-0000-0000-000032B60000}"/>
    <cellStyle name="Warning Text 3 28 7" xfId="46637" xr:uid="{00000000-0005-0000-0000-000033B60000}"/>
    <cellStyle name="Warning Text 3 28 8" xfId="46638" xr:uid="{00000000-0005-0000-0000-000034B60000}"/>
    <cellStyle name="Warning Text 3 28 9" xfId="46639" xr:uid="{00000000-0005-0000-0000-000035B60000}"/>
    <cellStyle name="Warning Text 3 29" xfId="46640" xr:uid="{00000000-0005-0000-0000-000036B60000}"/>
    <cellStyle name="Warning Text 3 29 10" xfId="46641" xr:uid="{00000000-0005-0000-0000-000037B60000}"/>
    <cellStyle name="Warning Text 3 29 11" xfId="46642" xr:uid="{00000000-0005-0000-0000-000038B60000}"/>
    <cellStyle name="Warning Text 3 29 12" xfId="46643" xr:uid="{00000000-0005-0000-0000-000039B60000}"/>
    <cellStyle name="Warning Text 3 29 13" xfId="46644" xr:uid="{00000000-0005-0000-0000-00003AB60000}"/>
    <cellStyle name="Warning Text 3 29 14" xfId="46645" xr:uid="{00000000-0005-0000-0000-00003BB60000}"/>
    <cellStyle name="Warning Text 3 29 15" xfId="46646" xr:uid="{00000000-0005-0000-0000-00003CB60000}"/>
    <cellStyle name="Warning Text 3 29 2" xfId="46647" xr:uid="{00000000-0005-0000-0000-00003DB60000}"/>
    <cellStyle name="Warning Text 3 29 3" xfId="46648" xr:uid="{00000000-0005-0000-0000-00003EB60000}"/>
    <cellStyle name="Warning Text 3 29 4" xfId="46649" xr:uid="{00000000-0005-0000-0000-00003FB60000}"/>
    <cellStyle name="Warning Text 3 29 5" xfId="46650" xr:uid="{00000000-0005-0000-0000-000040B60000}"/>
    <cellStyle name="Warning Text 3 29 6" xfId="46651" xr:uid="{00000000-0005-0000-0000-000041B60000}"/>
    <cellStyle name="Warning Text 3 29 7" xfId="46652" xr:uid="{00000000-0005-0000-0000-000042B60000}"/>
    <cellStyle name="Warning Text 3 29 8" xfId="46653" xr:uid="{00000000-0005-0000-0000-000043B60000}"/>
    <cellStyle name="Warning Text 3 29 9" xfId="46654" xr:uid="{00000000-0005-0000-0000-000044B60000}"/>
    <cellStyle name="Warning Text 3 3" xfId="46655" xr:uid="{00000000-0005-0000-0000-000045B60000}"/>
    <cellStyle name="Warning Text 3 3 10" xfId="46656" xr:uid="{00000000-0005-0000-0000-000046B60000}"/>
    <cellStyle name="Warning Text 3 3 11" xfId="46657" xr:uid="{00000000-0005-0000-0000-000047B60000}"/>
    <cellStyle name="Warning Text 3 3 12" xfId="46658" xr:uid="{00000000-0005-0000-0000-000048B60000}"/>
    <cellStyle name="Warning Text 3 3 13" xfId="46659" xr:uid="{00000000-0005-0000-0000-000049B60000}"/>
    <cellStyle name="Warning Text 3 3 14" xfId="46660" xr:uid="{00000000-0005-0000-0000-00004AB60000}"/>
    <cellStyle name="Warning Text 3 3 15" xfId="46661" xr:uid="{00000000-0005-0000-0000-00004BB60000}"/>
    <cellStyle name="Warning Text 3 3 16" xfId="46662" xr:uid="{00000000-0005-0000-0000-00004CB60000}"/>
    <cellStyle name="Warning Text 3 3 2" xfId="46663" xr:uid="{00000000-0005-0000-0000-00004DB60000}"/>
    <cellStyle name="Warning Text 3 3 3" xfId="46664" xr:uid="{00000000-0005-0000-0000-00004EB60000}"/>
    <cellStyle name="Warning Text 3 3 4" xfId="46665" xr:uid="{00000000-0005-0000-0000-00004FB60000}"/>
    <cellStyle name="Warning Text 3 3 5" xfId="46666" xr:uid="{00000000-0005-0000-0000-000050B60000}"/>
    <cellStyle name="Warning Text 3 3 6" xfId="46667" xr:uid="{00000000-0005-0000-0000-000051B60000}"/>
    <cellStyle name="Warning Text 3 3 7" xfId="46668" xr:uid="{00000000-0005-0000-0000-000052B60000}"/>
    <cellStyle name="Warning Text 3 3 8" xfId="46669" xr:uid="{00000000-0005-0000-0000-000053B60000}"/>
    <cellStyle name="Warning Text 3 3 9" xfId="46670" xr:uid="{00000000-0005-0000-0000-000054B60000}"/>
    <cellStyle name="Warning Text 3 30" xfId="46671" xr:uid="{00000000-0005-0000-0000-000055B60000}"/>
    <cellStyle name="Warning Text 3 30 10" xfId="46672" xr:uid="{00000000-0005-0000-0000-000056B60000}"/>
    <cellStyle name="Warning Text 3 30 11" xfId="46673" xr:uid="{00000000-0005-0000-0000-000057B60000}"/>
    <cellStyle name="Warning Text 3 30 12" xfId="46674" xr:uid="{00000000-0005-0000-0000-000058B60000}"/>
    <cellStyle name="Warning Text 3 30 13" xfId="46675" xr:uid="{00000000-0005-0000-0000-000059B60000}"/>
    <cellStyle name="Warning Text 3 30 14" xfId="46676" xr:uid="{00000000-0005-0000-0000-00005AB60000}"/>
    <cellStyle name="Warning Text 3 30 15" xfId="46677" xr:uid="{00000000-0005-0000-0000-00005BB60000}"/>
    <cellStyle name="Warning Text 3 30 2" xfId="46678" xr:uid="{00000000-0005-0000-0000-00005CB60000}"/>
    <cellStyle name="Warning Text 3 30 3" xfId="46679" xr:uid="{00000000-0005-0000-0000-00005DB60000}"/>
    <cellStyle name="Warning Text 3 30 4" xfId="46680" xr:uid="{00000000-0005-0000-0000-00005EB60000}"/>
    <cellStyle name="Warning Text 3 30 5" xfId="46681" xr:uid="{00000000-0005-0000-0000-00005FB60000}"/>
    <cellStyle name="Warning Text 3 30 6" xfId="46682" xr:uid="{00000000-0005-0000-0000-000060B60000}"/>
    <cellStyle name="Warning Text 3 30 7" xfId="46683" xr:uid="{00000000-0005-0000-0000-000061B60000}"/>
    <cellStyle name="Warning Text 3 30 8" xfId="46684" xr:uid="{00000000-0005-0000-0000-000062B60000}"/>
    <cellStyle name="Warning Text 3 30 9" xfId="46685" xr:uid="{00000000-0005-0000-0000-000063B60000}"/>
    <cellStyle name="Warning Text 3 31" xfId="46686" xr:uid="{00000000-0005-0000-0000-000064B60000}"/>
    <cellStyle name="Warning Text 3 31 10" xfId="46687" xr:uid="{00000000-0005-0000-0000-000065B60000}"/>
    <cellStyle name="Warning Text 3 31 11" xfId="46688" xr:uid="{00000000-0005-0000-0000-000066B60000}"/>
    <cellStyle name="Warning Text 3 31 12" xfId="46689" xr:uid="{00000000-0005-0000-0000-000067B60000}"/>
    <cellStyle name="Warning Text 3 31 13" xfId="46690" xr:uid="{00000000-0005-0000-0000-000068B60000}"/>
    <cellStyle name="Warning Text 3 31 14" xfId="46691" xr:uid="{00000000-0005-0000-0000-000069B60000}"/>
    <cellStyle name="Warning Text 3 31 15" xfId="46692" xr:uid="{00000000-0005-0000-0000-00006AB60000}"/>
    <cellStyle name="Warning Text 3 31 2" xfId="46693" xr:uid="{00000000-0005-0000-0000-00006BB60000}"/>
    <cellStyle name="Warning Text 3 31 3" xfId="46694" xr:uid="{00000000-0005-0000-0000-00006CB60000}"/>
    <cellStyle name="Warning Text 3 31 4" xfId="46695" xr:uid="{00000000-0005-0000-0000-00006DB60000}"/>
    <cellStyle name="Warning Text 3 31 5" xfId="46696" xr:uid="{00000000-0005-0000-0000-00006EB60000}"/>
    <cellStyle name="Warning Text 3 31 6" xfId="46697" xr:uid="{00000000-0005-0000-0000-00006FB60000}"/>
    <cellStyle name="Warning Text 3 31 7" xfId="46698" xr:uid="{00000000-0005-0000-0000-000070B60000}"/>
    <cellStyle name="Warning Text 3 31 8" xfId="46699" xr:uid="{00000000-0005-0000-0000-000071B60000}"/>
    <cellStyle name="Warning Text 3 31 9" xfId="46700" xr:uid="{00000000-0005-0000-0000-000072B60000}"/>
    <cellStyle name="Warning Text 3 32" xfId="46701" xr:uid="{00000000-0005-0000-0000-000073B60000}"/>
    <cellStyle name="Warning Text 3 32 10" xfId="46702" xr:uid="{00000000-0005-0000-0000-000074B60000}"/>
    <cellStyle name="Warning Text 3 32 11" xfId="46703" xr:uid="{00000000-0005-0000-0000-000075B60000}"/>
    <cellStyle name="Warning Text 3 32 12" xfId="46704" xr:uid="{00000000-0005-0000-0000-000076B60000}"/>
    <cellStyle name="Warning Text 3 32 13" xfId="46705" xr:uid="{00000000-0005-0000-0000-000077B60000}"/>
    <cellStyle name="Warning Text 3 32 14" xfId="46706" xr:uid="{00000000-0005-0000-0000-000078B60000}"/>
    <cellStyle name="Warning Text 3 32 15" xfId="46707" xr:uid="{00000000-0005-0000-0000-000079B60000}"/>
    <cellStyle name="Warning Text 3 32 2" xfId="46708" xr:uid="{00000000-0005-0000-0000-00007AB60000}"/>
    <cellStyle name="Warning Text 3 32 3" xfId="46709" xr:uid="{00000000-0005-0000-0000-00007BB60000}"/>
    <cellStyle name="Warning Text 3 32 4" xfId="46710" xr:uid="{00000000-0005-0000-0000-00007CB60000}"/>
    <cellStyle name="Warning Text 3 32 5" xfId="46711" xr:uid="{00000000-0005-0000-0000-00007DB60000}"/>
    <cellStyle name="Warning Text 3 32 6" xfId="46712" xr:uid="{00000000-0005-0000-0000-00007EB60000}"/>
    <cellStyle name="Warning Text 3 32 7" xfId="46713" xr:uid="{00000000-0005-0000-0000-00007FB60000}"/>
    <cellStyle name="Warning Text 3 32 8" xfId="46714" xr:uid="{00000000-0005-0000-0000-000080B60000}"/>
    <cellStyle name="Warning Text 3 32 9" xfId="46715" xr:uid="{00000000-0005-0000-0000-000081B60000}"/>
    <cellStyle name="Warning Text 3 33" xfId="46716" xr:uid="{00000000-0005-0000-0000-000082B60000}"/>
    <cellStyle name="Warning Text 3 34" xfId="46717" xr:uid="{00000000-0005-0000-0000-000083B60000}"/>
    <cellStyle name="Warning Text 3 35" xfId="46718" xr:uid="{00000000-0005-0000-0000-000084B60000}"/>
    <cellStyle name="Warning Text 3 36" xfId="46719" xr:uid="{00000000-0005-0000-0000-000085B60000}"/>
    <cellStyle name="Warning Text 3 37" xfId="46720" xr:uid="{00000000-0005-0000-0000-000086B60000}"/>
    <cellStyle name="Warning Text 3 38" xfId="46721" xr:uid="{00000000-0005-0000-0000-000087B60000}"/>
    <cellStyle name="Warning Text 3 39" xfId="46722" xr:uid="{00000000-0005-0000-0000-000088B60000}"/>
    <cellStyle name="Warning Text 3 4" xfId="46723" xr:uid="{00000000-0005-0000-0000-000089B60000}"/>
    <cellStyle name="Warning Text 3 4 10" xfId="46724" xr:uid="{00000000-0005-0000-0000-00008AB60000}"/>
    <cellStyle name="Warning Text 3 4 11" xfId="46725" xr:uid="{00000000-0005-0000-0000-00008BB60000}"/>
    <cellStyle name="Warning Text 3 4 12" xfId="46726" xr:uid="{00000000-0005-0000-0000-00008CB60000}"/>
    <cellStyle name="Warning Text 3 4 13" xfId="46727" xr:uid="{00000000-0005-0000-0000-00008DB60000}"/>
    <cellStyle name="Warning Text 3 4 14" xfId="46728" xr:uid="{00000000-0005-0000-0000-00008EB60000}"/>
    <cellStyle name="Warning Text 3 4 15" xfId="46729" xr:uid="{00000000-0005-0000-0000-00008FB60000}"/>
    <cellStyle name="Warning Text 3 4 2" xfId="46730" xr:uid="{00000000-0005-0000-0000-000090B60000}"/>
    <cellStyle name="Warning Text 3 4 3" xfId="46731" xr:uid="{00000000-0005-0000-0000-000091B60000}"/>
    <cellStyle name="Warning Text 3 4 4" xfId="46732" xr:uid="{00000000-0005-0000-0000-000092B60000}"/>
    <cellStyle name="Warning Text 3 4 5" xfId="46733" xr:uid="{00000000-0005-0000-0000-000093B60000}"/>
    <cellStyle name="Warning Text 3 4 6" xfId="46734" xr:uid="{00000000-0005-0000-0000-000094B60000}"/>
    <cellStyle name="Warning Text 3 4 7" xfId="46735" xr:uid="{00000000-0005-0000-0000-000095B60000}"/>
    <cellStyle name="Warning Text 3 4 8" xfId="46736" xr:uid="{00000000-0005-0000-0000-000096B60000}"/>
    <cellStyle name="Warning Text 3 4 9" xfId="46737" xr:uid="{00000000-0005-0000-0000-000097B60000}"/>
    <cellStyle name="Warning Text 3 40" xfId="46738" xr:uid="{00000000-0005-0000-0000-000098B60000}"/>
    <cellStyle name="Warning Text 3 41" xfId="46739" xr:uid="{00000000-0005-0000-0000-000099B60000}"/>
    <cellStyle name="Warning Text 3 42" xfId="46740" xr:uid="{00000000-0005-0000-0000-00009AB60000}"/>
    <cellStyle name="Warning Text 3 43" xfId="46741" xr:uid="{00000000-0005-0000-0000-00009BB60000}"/>
    <cellStyle name="Warning Text 3 44" xfId="46742" xr:uid="{00000000-0005-0000-0000-00009CB60000}"/>
    <cellStyle name="Warning Text 3 45" xfId="46743" xr:uid="{00000000-0005-0000-0000-00009DB60000}"/>
    <cellStyle name="Warning Text 3 46" xfId="46744" xr:uid="{00000000-0005-0000-0000-00009EB60000}"/>
    <cellStyle name="Warning Text 3 47" xfId="46745" xr:uid="{00000000-0005-0000-0000-00009FB60000}"/>
    <cellStyle name="Warning Text 3 48" xfId="46746" xr:uid="{00000000-0005-0000-0000-0000A0B60000}"/>
    <cellStyle name="Warning Text 3 49" xfId="46747" xr:uid="{00000000-0005-0000-0000-0000A1B60000}"/>
    <cellStyle name="Warning Text 3 5" xfId="46748" xr:uid="{00000000-0005-0000-0000-0000A2B60000}"/>
    <cellStyle name="Warning Text 3 5 10" xfId="46749" xr:uid="{00000000-0005-0000-0000-0000A3B60000}"/>
    <cellStyle name="Warning Text 3 5 11" xfId="46750" xr:uid="{00000000-0005-0000-0000-0000A4B60000}"/>
    <cellStyle name="Warning Text 3 5 12" xfId="46751" xr:uid="{00000000-0005-0000-0000-0000A5B60000}"/>
    <cellStyle name="Warning Text 3 5 13" xfId="46752" xr:uid="{00000000-0005-0000-0000-0000A6B60000}"/>
    <cellStyle name="Warning Text 3 5 14" xfId="46753" xr:uid="{00000000-0005-0000-0000-0000A7B60000}"/>
    <cellStyle name="Warning Text 3 5 15" xfId="46754" xr:uid="{00000000-0005-0000-0000-0000A8B60000}"/>
    <cellStyle name="Warning Text 3 5 2" xfId="46755" xr:uid="{00000000-0005-0000-0000-0000A9B60000}"/>
    <cellStyle name="Warning Text 3 5 3" xfId="46756" xr:uid="{00000000-0005-0000-0000-0000AAB60000}"/>
    <cellStyle name="Warning Text 3 5 4" xfId="46757" xr:uid="{00000000-0005-0000-0000-0000ABB60000}"/>
    <cellStyle name="Warning Text 3 5 5" xfId="46758" xr:uid="{00000000-0005-0000-0000-0000ACB60000}"/>
    <cellStyle name="Warning Text 3 5 6" xfId="46759" xr:uid="{00000000-0005-0000-0000-0000ADB60000}"/>
    <cellStyle name="Warning Text 3 5 7" xfId="46760" xr:uid="{00000000-0005-0000-0000-0000AEB60000}"/>
    <cellStyle name="Warning Text 3 5 8" xfId="46761" xr:uid="{00000000-0005-0000-0000-0000AFB60000}"/>
    <cellStyle name="Warning Text 3 5 9" xfId="46762" xr:uid="{00000000-0005-0000-0000-0000B0B60000}"/>
    <cellStyle name="Warning Text 3 50" xfId="46763" xr:uid="{00000000-0005-0000-0000-0000B1B60000}"/>
    <cellStyle name="Warning Text 3 51" xfId="46764" xr:uid="{00000000-0005-0000-0000-0000B2B60000}"/>
    <cellStyle name="Warning Text 3 52" xfId="46765" xr:uid="{00000000-0005-0000-0000-0000B3B60000}"/>
    <cellStyle name="Warning Text 3 53" xfId="46766" xr:uid="{00000000-0005-0000-0000-0000B4B60000}"/>
    <cellStyle name="Warning Text 3 6" xfId="46767" xr:uid="{00000000-0005-0000-0000-0000B5B60000}"/>
    <cellStyle name="Warning Text 3 6 10" xfId="46768" xr:uid="{00000000-0005-0000-0000-0000B6B60000}"/>
    <cellStyle name="Warning Text 3 6 11" xfId="46769" xr:uid="{00000000-0005-0000-0000-0000B7B60000}"/>
    <cellStyle name="Warning Text 3 6 12" xfId="46770" xr:uid="{00000000-0005-0000-0000-0000B8B60000}"/>
    <cellStyle name="Warning Text 3 6 13" xfId="46771" xr:uid="{00000000-0005-0000-0000-0000B9B60000}"/>
    <cellStyle name="Warning Text 3 6 14" xfId="46772" xr:uid="{00000000-0005-0000-0000-0000BAB60000}"/>
    <cellStyle name="Warning Text 3 6 15" xfId="46773" xr:uid="{00000000-0005-0000-0000-0000BBB60000}"/>
    <cellStyle name="Warning Text 3 6 2" xfId="46774" xr:uid="{00000000-0005-0000-0000-0000BCB60000}"/>
    <cellStyle name="Warning Text 3 6 3" xfId="46775" xr:uid="{00000000-0005-0000-0000-0000BDB60000}"/>
    <cellStyle name="Warning Text 3 6 4" xfId="46776" xr:uid="{00000000-0005-0000-0000-0000BEB60000}"/>
    <cellStyle name="Warning Text 3 6 5" xfId="46777" xr:uid="{00000000-0005-0000-0000-0000BFB60000}"/>
    <cellStyle name="Warning Text 3 6 6" xfId="46778" xr:uid="{00000000-0005-0000-0000-0000C0B60000}"/>
    <cellStyle name="Warning Text 3 6 7" xfId="46779" xr:uid="{00000000-0005-0000-0000-0000C1B60000}"/>
    <cellStyle name="Warning Text 3 6 8" xfId="46780" xr:uid="{00000000-0005-0000-0000-0000C2B60000}"/>
    <cellStyle name="Warning Text 3 6 9" xfId="46781" xr:uid="{00000000-0005-0000-0000-0000C3B60000}"/>
    <cellStyle name="Warning Text 3 7" xfId="46782" xr:uid="{00000000-0005-0000-0000-0000C4B60000}"/>
    <cellStyle name="Warning Text 3 7 10" xfId="46783" xr:uid="{00000000-0005-0000-0000-0000C5B60000}"/>
    <cellStyle name="Warning Text 3 7 11" xfId="46784" xr:uid="{00000000-0005-0000-0000-0000C6B60000}"/>
    <cellStyle name="Warning Text 3 7 12" xfId="46785" xr:uid="{00000000-0005-0000-0000-0000C7B60000}"/>
    <cellStyle name="Warning Text 3 7 13" xfId="46786" xr:uid="{00000000-0005-0000-0000-0000C8B60000}"/>
    <cellStyle name="Warning Text 3 7 14" xfId="46787" xr:uid="{00000000-0005-0000-0000-0000C9B60000}"/>
    <cellStyle name="Warning Text 3 7 15" xfId="46788" xr:uid="{00000000-0005-0000-0000-0000CAB60000}"/>
    <cellStyle name="Warning Text 3 7 2" xfId="46789" xr:uid="{00000000-0005-0000-0000-0000CBB60000}"/>
    <cellStyle name="Warning Text 3 7 3" xfId="46790" xr:uid="{00000000-0005-0000-0000-0000CCB60000}"/>
    <cellStyle name="Warning Text 3 7 4" xfId="46791" xr:uid="{00000000-0005-0000-0000-0000CDB60000}"/>
    <cellStyle name="Warning Text 3 7 5" xfId="46792" xr:uid="{00000000-0005-0000-0000-0000CEB60000}"/>
    <cellStyle name="Warning Text 3 7 6" xfId="46793" xr:uid="{00000000-0005-0000-0000-0000CFB60000}"/>
    <cellStyle name="Warning Text 3 7 7" xfId="46794" xr:uid="{00000000-0005-0000-0000-0000D0B60000}"/>
    <cellStyle name="Warning Text 3 7 8" xfId="46795" xr:uid="{00000000-0005-0000-0000-0000D1B60000}"/>
    <cellStyle name="Warning Text 3 7 9" xfId="46796" xr:uid="{00000000-0005-0000-0000-0000D2B60000}"/>
    <cellStyle name="Warning Text 3 8" xfId="46797" xr:uid="{00000000-0005-0000-0000-0000D3B60000}"/>
    <cellStyle name="Warning Text 3 8 10" xfId="46798" xr:uid="{00000000-0005-0000-0000-0000D4B60000}"/>
    <cellStyle name="Warning Text 3 8 11" xfId="46799" xr:uid="{00000000-0005-0000-0000-0000D5B60000}"/>
    <cellStyle name="Warning Text 3 8 12" xfId="46800" xr:uid="{00000000-0005-0000-0000-0000D6B60000}"/>
    <cellStyle name="Warning Text 3 8 13" xfId="46801" xr:uid="{00000000-0005-0000-0000-0000D7B60000}"/>
    <cellStyle name="Warning Text 3 8 14" xfId="46802" xr:uid="{00000000-0005-0000-0000-0000D8B60000}"/>
    <cellStyle name="Warning Text 3 8 15" xfId="46803" xr:uid="{00000000-0005-0000-0000-0000D9B60000}"/>
    <cellStyle name="Warning Text 3 8 2" xfId="46804" xr:uid="{00000000-0005-0000-0000-0000DAB60000}"/>
    <cellStyle name="Warning Text 3 8 3" xfId="46805" xr:uid="{00000000-0005-0000-0000-0000DBB60000}"/>
    <cellStyle name="Warning Text 3 8 4" xfId="46806" xr:uid="{00000000-0005-0000-0000-0000DCB60000}"/>
    <cellStyle name="Warning Text 3 8 5" xfId="46807" xr:uid="{00000000-0005-0000-0000-0000DDB60000}"/>
    <cellStyle name="Warning Text 3 8 6" xfId="46808" xr:uid="{00000000-0005-0000-0000-0000DEB60000}"/>
    <cellStyle name="Warning Text 3 8 7" xfId="46809" xr:uid="{00000000-0005-0000-0000-0000DFB60000}"/>
    <cellStyle name="Warning Text 3 8 8" xfId="46810" xr:uid="{00000000-0005-0000-0000-0000E0B60000}"/>
    <cellStyle name="Warning Text 3 8 9" xfId="46811" xr:uid="{00000000-0005-0000-0000-0000E1B60000}"/>
    <cellStyle name="Warning Text 3 9" xfId="46812" xr:uid="{00000000-0005-0000-0000-0000E2B60000}"/>
    <cellStyle name="Warning Text 3 9 10" xfId="46813" xr:uid="{00000000-0005-0000-0000-0000E3B60000}"/>
    <cellStyle name="Warning Text 3 9 11" xfId="46814" xr:uid="{00000000-0005-0000-0000-0000E4B60000}"/>
    <cellStyle name="Warning Text 3 9 12" xfId="46815" xr:uid="{00000000-0005-0000-0000-0000E5B60000}"/>
    <cellStyle name="Warning Text 3 9 13" xfId="46816" xr:uid="{00000000-0005-0000-0000-0000E6B60000}"/>
    <cellStyle name="Warning Text 3 9 14" xfId="46817" xr:uid="{00000000-0005-0000-0000-0000E7B60000}"/>
    <cellStyle name="Warning Text 3 9 15" xfId="46818" xr:uid="{00000000-0005-0000-0000-0000E8B60000}"/>
    <cellStyle name="Warning Text 3 9 2" xfId="46819" xr:uid="{00000000-0005-0000-0000-0000E9B60000}"/>
    <cellStyle name="Warning Text 3 9 3" xfId="46820" xr:uid="{00000000-0005-0000-0000-0000EAB60000}"/>
    <cellStyle name="Warning Text 3 9 4" xfId="46821" xr:uid="{00000000-0005-0000-0000-0000EBB60000}"/>
    <cellStyle name="Warning Text 3 9 5" xfId="46822" xr:uid="{00000000-0005-0000-0000-0000ECB60000}"/>
    <cellStyle name="Warning Text 3 9 6" xfId="46823" xr:uid="{00000000-0005-0000-0000-0000EDB60000}"/>
    <cellStyle name="Warning Text 3 9 7" xfId="46824" xr:uid="{00000000-0005-0000-0000-0000EEB60000}"/>
    <cellStyle name="Warning Text 3 9 8" xfId="46825" xr:uid="{00000000-0005-0000-0000-0000EFB60000}"/>
    <cellStyle name="Warning Text 3 9 9" xfId="46826" xr:uid="{00000000-0005-0000-0000-0000F0B60000}"/>
    <cellStyle name="Warning Text 30" xfId="46827" xr:uid="{00000000-0005-0000-0000-0000F1B60000}"/>
    <cellStyle name="Warning Text 30 10" xfId="46828" xr:uid="{00000000-0005-0000-0000-0000F2B60000}"/>
    <cellStyle name="Warning Text 30 11" xfId="46829" xr:uid="{00000000-0005-0000-0000-0000F3B60000}"/>
    <cellStyle name="Warning Text 30 12" xfId="46830" xr:uid="{00000000-0005-0000-0000-0000F4B60000}"/>
    <cellStyle name="Warning Text 30 13" xfId="46831" xr:uid="{00000000-0005-0000-0000-0000F5B60000}"/>
    <cellStyle name="Warning Text 30 14" xfId="46832" xr:uid="{00000000-0005-0000-0000-0000F6B60000}"/>
    <cellStyle name="Warning Text 30 15" xfId="46833" xr:uid="{00000000-0005-0000-0000-0000F7B60000}"/>
    <cellStyle name="Warning Text 30 2" xfId="46834" xr:uid="{00000000-0005-0000-0000-0000F8B60000}"/>
    <cellStyle name="Warning Text 30 3" xfId="46835" xr:uid="{00000000-0005-0000-0000-0000F9B60000}"/>
    <cellStyle name="Warning Text 30 4" xfId="46836" xr:uid="{00000000-0005-0000-0000-0000FAB60000}"/>
    <cellStyle name="Warning Text 30 5" xfId="46837" xr:uid="{00000000-0005-0000-0000-0000FBB60000}"/>
    <cellStyle name="Warning Text 30 6" xfId="46838" xr:uid="{00000000-0005-0000-0000-0000FCB60000}"/>
    <cellStyle name="Warning Text 30 7" xfId="46839" xr:uid="{00000000-0005-0000-0000-0000FDB60000}"/>
    <cellStyle name="Warning Text 30 8" xfId="46840" xr:uid="{00000000-0005-0000-0000-0000FEB60000}"/>
    <cellStyle name="Warning Text 30 9" xfId="46841" xr:uid="{00000000-0005-0000-0000-0000FFB60000}"/>
    <cellStyle name="Warning Text 31" xfId="46842" xr:uid="{00000000-0005-0000-0000-000000B70000}"/>
    <cellStyle name="Warning Text 31 10" xfId="46843" xr:uid="{00000000-0005-0000-0000-000001B70000}"/>
    <cellStyle name="Warning Text 31 11" xfId="46844" xr:uid="{00000000-0005-0000-0000-000002B70000}"/>
    <cellStyle name="Warning Text 31 12" xfId="46845" xr:uid="{00000000-0005-0000-0000-000003B70000}"/>
    <cellStyle name="Warning Text 31 13" xfId="46846" xr:uid="{00000000-0005-0000-0000-000004B70000}"/>
    <cellStyle name="Warning Text 31 14" xfId="46847" xr:uid="{00000000-0005-0000-0000-000005B70000}"/>
    <cellStyle name="Warning Text 31 15" xfId="46848" xr:uid="{00000000-0005-0000-0000-000006B70000}"/>
    <cellStyle name="Warning Text 31 2" xfId="46849" xr:uid="{00000000-0005-0000-0000-000007B70000}"/>
    <cellStyle name="Warning Text 31 3" xfId="46850" xr:uid="{00000000-0005-0000-0000-000008B70000}"/>
    <cellStyle name="Warning Text 31 4" xfId="46851" xr:uid="{00000000-0005-0000-0000-000009B70000}"/>
    <cellStyle name="Warning Text 31 5" xfId="46852" xr:uid="{00000000-0005-0000-0000-00000AB70000}"/>
    <cellStyle name="Warning Text 31 6" xfId="46853" xr:uid="{00000000-0005-0000-0000-00000BB70000}"/>
    <cellStyle name="Warning Text 31 7" xfId="46854" xr:uid="{00000000-0005-0000-0000-00000CB70000}"/>
    <cellStyle name="Warning Text 31 8" xfId="46855" xr:uid="{00000000-0005-0000-0000-00000DB70000}"/>
    <cellStyle name="Warning Text 31 9" xfId="46856" xr:uid="{00000000-0005-0000-0000-00000EB70000}"/>
    <cellStyle name="Warning Text 32" xfId="46857" xr:uid="{00000000-0005-0000-0000-00000FB70000}"/>
    <cellStyle name="Warning Text 32 10" xfId="46858" xr:uid="{00000000-0005-0000-0000-000010B70000}"/>
    <cellStyle name="Warning Text 32 11" xfId="46859" xr:uid="{00000000-0005-0000-0000-000011B70000}"/>
    <cellStyle name="Warning Text 32 12" xfId="46860" xr:uid="{00000000-0005-0000-0000-000012B70000}"/>
    <cellStyle name="Warning Text 32 13" xfId="46861" xr:uid="{00000000-0005-0000-0000-000013B70000}"/>
    <cellStyle name="Warning Text 32 14" xfId="46862" xr:uid="{00000000-0005-0000-0000-000014B70000}"/>
    <cellStyle name="Warning Text 32 15" xfId="46863" xr:uid="{00000000-0005-0000-0000-000015B70000}"/>
    <cellStyle name="Warning Text 32 2" xfId="46864" xr:uid="{00000000-0005-0000-0000-000016B70000}"/>
    <cellStyle name="Warning Text 32 3" xfId="46865" xr:uid="{00000000-0005-0000-0000-000017B70000}"/>
    <cellStyle name="Warning Text 32 4" xfId="46866" xr:uid="{00000000-0005-0000-0000-000018B70000}"/>
    <cellStyle name="Warning Text 32 5" xfId="46867" xr:uid="{00000000-0005-0000-0000-000019B70000}"/>
    <cellStyle name="Warning Text 32 6" xfId="46868" xr:uid="{00000000-0005-0000-0000-00001AB70000}"/>
    <cellStyle name="Warning Text 32 7" xfId="46869" xr:uid="{00000000-0005-0000-0000-00001BB70000}"/>
    <cellStyle name="Warning Text 32 8" xfId="46870" xr:uid="{00000000-0005-0000-0000-00001CB70000}"/>
    <cellStyle name="Warning Text 32 9" xfId="46871" xr:uid="{00000000-0005-0000-0000-00001DB70000}"/>
    <cellStyle name="Warning Text 33" xfId="46872" xr:uid="{00000000-0005-0000-0000-00001EB70000}"/>
    <cellStyle name="Warning Text 33 10" xfId="46873" xr:uid="{00000000-0005-0000-0000-00001FB70000}"/>
    <cellStyle name="Warning Text 33 11" xfId="46874" xr:uid="{00000000-0005-0000-0000-000020B70000}"/>
    <cellStyle name="Warning Text 33 12" xfId="46875" xr:uid="{00000000-0005-0000-0000-000021B70000}"/>
    <cellStyle name="Warning Text 33 13" xfId="46876" xr:uid="{00000000-0005-0000-0000-000022B70000}"/>
    <cellStyle name="Warning Text 33 14" xfId="46877" xr:uid="{00000000-0005-0000-0000-000023B70000}"/>
    <cellStyle name="Warning Text 33 15" xfId="46878" xr:uid="{00000000-0005-0000-0000-000024B70000}"/>
    <cellStyle name="Warning Text 33 2" xfId="46879" xr:uid="{00000000-0005-0000-0000-000025B70000}"/>
    <cellStyle name="Warning Text 33 3" xfId="46880" xr:uid="{00000000-0005-0000-0000-000026B70000}"/>
    <cellStyle name="Warning Text 33 4" xfId="46881" xr:uid="{00000000-0005-0000-0000-000027B70000}"/>
    <cellStyle name="Warning Text 33 5" xfId="46882" xr:uid="{00000000-0005-0000-0000-000028B70000}"/>
    <cellStyle name="Warning Text 33 6" xfId="46883" xr:uid="{00000000-0005-0000-0000-000029B70000}"/>
    <cellStyle name="Warning Text 33 7" xfId="46884" xr:uid="{00000000-0005-0000-0000-00002AB70000}"/>
    <cellStyle name="Warning Text 33 8" xfId="46885" xr:uid="{00000000-0005-0000-0000-00002BB70000}"/>
    <cellStyle name="Warning Text 33 9" xfId="46886" xr:uid="{00000000-0005-0000-0000-00002CB70000}"/>
    <cellStyle name="Warning Text 34" xfId="46887" xr:uid="{00000000-0005-0000-0000-00002DB70000}"/>
    <cellStyle name="Warning Text 34 10" xfId="46888" xr:uid="{00000000-0005-0000-0000-00002EB70000}"/>
    <cellStyle name="Warning Text 34 11" xfId="46889" xr:uid="{00000000-0005-0000-0000-00002FB70000}"/>
    <cellStyle name="Warning Text 34 12" xfId="46890" xr:uid="{00000000-0005-0000-0000-000030B70000}"/>
    <cellStyle name="Warning Text 34 13" xfId="46891" xr:uid="{00000000-0005-0000-0000-000031B70000}"/>
    <cellStyle name="Warning Text 34 14" xfId="46892" xr:uid="{00000000-0005-0000-0000-000032B70000}"/>
    <cellStyle name="Warning Text 34 15" xfId="46893" xr:uid="{00000000-0005-0000-0000-000033B70000}"/>
    <cellStyle name="Warning Text 34 2" xfId="46894" xr:uid="{00000000-0005-0000-0000-000034B70000}"/>
    <cellStyle name="Warning Text 34 3" xfId="46895" xr:uid="{00000000-0005-0000-0000-000035B70000}"/>
    <cellStyle name="Warning Text 34 4" xfId="46896" xr:uid="{00000000-0005-0000-0000-000036B70000}"/>
    <cellStyle name="Warning Text 34 5" xfId="46897" xr:uid="{00000000-0005-0000-0000-000037B70000}"/>
    <cellStyle name="Warning Text 34 6" xfId="46898" xr:uid="{00000000-0005-0000-0000-000038B70000}"/>
    <cellStyle name="Warning Text 34 7" xfId="46899" xr:uid="{00000000-0005-0000-0000-000039B70000}"/>
    <cellStyle name="Warning Text 34 8" xfId="46900" xr:uid="{00000000-0005-0000-0000-00003AB70000}"/>
    <cellStyle name="Warning Text 34 9" xfId="46901" xr:uid="{00000000-0005-0000-0000-00003BB70000}"/>
    <cellStyle name="Warning Text 35" xfId="46902" xr:uid="{00000000-0005-0000-0000-00003CB70000}"/>
    <cellStyle name="Warning Text 35 10" xfId="46903" xr:uid="{00000000-0005-0000-0000-00003DB70000}"/>
    <cellStyle name="Warning Text 35 11" xfId="46904" xr:uid="{00000000-0005-0000-0000-00003EB70000}"/>
    <cellStyle name="Warning Text 35 12" xfId="46905" xr:uid="{00000000-0005-0000-0000-00003FB70000}"/>
    <cellStyle name="Warning Text 35 13" xfId="46906" xr:uid="{00000000-0005-0000-0000-000040B70000}"/>
    <cellStyle name="Warning Text 35 14" xfId="46907" xr:uid="{00000000-0005-0000-0000-000041B70000}"/>
    <cellStyle name="Warning Text 35 15" xfId="46908" xr:uid="{00000000-0005-0000-0000-000042B70000}"/>
    <cellStyle name="Warning Text 35 2" xfId="46909" xr:uid="{00000000-0005-0000-0000-000043B70000}"/>
    <cellStyle name="Warning Text 35 3" xfId="46910" xr:uid="{00000000-0005-0000-0000-000044B70000}"/>
    <cellStyle name="Warning Text 35 4" xfId="46911" xr:uid="{00000000-0005-0000-0000-000045B70000}"/>
    <cellStyle name="Warning Text 35 5" xfId="46912" xr:uid="{00000000-0005-0000-0000-000046B70000}"/>
    <cellStyle name="Warning Text 35 6" xfId="46913" xr:uid="{00000000-0005-0000-0000-000047B70000}"/>
    <cellStyle name="Warning Text 35 7" xfId="46914" xr:uid="{00000000-0005-0000-0000-000048B70000}"/>
    <cellStyle name="Warning Text 35 8" xfId="46915" xr:uid="{00000000-0005-0000-0000-000049B70000}"/>
    <cellStyle name="Warning Text 35 9" xfId="46916" xr:uid="{00000000-0005-0000-0000-00004AB70000}"/>
    <cellStyle name="Warning Text 36" xfId="46917" xr:uid="{00000000-0005-0000-0000-00004BB70000}"/>
    <cellStyle name="Warning Text 36 10" xfId="46918" xr:uid="{00000000-0005-0000-0000-00004CB70000}"/>
    <cellStyle name="Warning Text 36 11" xfId="46919" xr:uid="{00000000-0005-0000-0000-00004DB70000}"/>
    <cellStyle name="Warning Text 36 12" xfId="46920" xr:uid="{00000000-0005-0000-0000-00004EB70000}"/>
    <cellStyle name="Warning Text 36 13" xfId="46921" xr:uid="{00000000-0005-0000-0000-00004FB70000}"/>
    <cellStyle name="Warning Text 36 14" xfId="46922" xr:uid="{00000000-0005-0000-0000-000050B70000}"/>
    <cellStyle name="Warning Text 36 15" xfId="46923" xr:uid="{00000000-0005-0000-0000-000051B70000}"/>
    <cellStyle name="Warning Text 36 2" xfId="46924" xr:uid="{00000000-0005-0000-0000-000052B70000}"/>
    <cellStyle name="Warning Text 36 3" xfId="46925" xr:uid="{00000000-0005-0000-0000-000053B70000}"/>
    <cellStyle name="Warning Text 36 4" xfId="46926" xr:uid="{00000000-0005-0000-0000-000054B70000}"/>
    <cellStyle name="Warning Text 36 5" xfId="46927" xr:uid="{00000000-0005-0000-0000-000055B70000}"/>
    <cellStyle name="Warning Text 36 6" xfId="46928" xr:uid="{00000000-0005-0000-0000-000056B70000}"/>
    <cellStyle name="Warning Text 36 7" xfId="46929" xr:uid="{00000000-0005-0000-0000-000057B70000}"/>
    <cellStyle name="Warning Text 36 8" xfId="46930" xr:uid="{00000000-0005-0000-0000-000058B70000}"/>
    <cellStyle name="Warning Text 36 9" xfId="46931" xr:uid="{00000000-0005-0000-0000-000059B70000}"/>
    <cellStyle name="Warning Text 37" xfId="46932" xr:uid="{00000000-0005-0000-0000-00005AB70000}"/>
    <cellStyle name="Warning Text 37 10" xfId="46933" xr:uid="{00000000-0005-0000-0000-00005BB70000}"/>
    <cellStyle name="Warning Text 37 11" xfId="46934" xr:uid="{00000000-0005-0000-0000-00005CB70000}"/>
    <cellStyle name="Warning Text 37 12" xfId="46935" xr:uid="{00000000-0005-0000-0000-00005DB70000}"/>
    <cellStyle name="Warning Text 37 13" xfId="46936" xr:uid="{00000000-0005-0000-0000-00005EB70000}"/>
    <cellStyle name="Warning Text 37 14" xfId="46937" xr:uid="{00000000-0005-0000-0000-00005FB70000}"/>
    <cellStyle name="Warning Text 37 15" xfId="46938" xr:uid="{00000000-0005-0000-0000-000060B70000}"/>
    <cellStyle name="Warning Text 37 2" xfId="46939" xr:uid="{00000000-0005-0000-0000-000061B70000}"/>
    <cellStyle name="Warning Text 37 3" xfId="46940" xr:uid="{00000000-0005-0000-0000-000062B70000}"/>
    <cellStyle name="Warning Text 37 4" xfId="46941" xr:uid="{00000000-0005-0000-0000-000063B70000}"/>
    <cellStyle name="Warning Text 37 5" xfId="46942" xr:uid="{00000000-0005-0000-0000-000064B70000}"/>
    <cellStyle name="Warning Text 37 6" xfId="46943" xr:uid="{00000000-0005-0000-0000-000065B70000}"/>
    <cellStyle name="Warning Text 37 7" xfId="46944" xr:uid="{00000000-0005-0000-0000-000066B70000}"/>
    <cellStyle name="Warning Text 37 8" xfId="46945" xr:uid="{00000000-0005-0000-0000-000067B70000}"/>
    <cellStyle name="Warning Text 37 9" xfId="46946" xr:uid="{00000000-0005-0000-0000-000068B70000}"/>
    <cellStyle name="Warning Text 38" xfId="46947" xr:uid="{00000000-0005-0000-0000-000069B70000}"/>
    <cellStyle name="Warning Text 38 10" xfId="46948" xr:uid="{00000000-0005-0000-0000-00006AB70000}"/>
    <cellStyle name="Warning Text 38 11" xfId="46949" xr:uid="{00000000-0005-0000-0000-00006BB70000}"/>
    <cellStyle name="Warning Text 38 12" xfId="46950" xr:uid="{00000000-0005-0000-0000-00006CB70000}"/>
    <cellStyle name="Warning Text 38 13" xfId="46951" xr:uid="{00000000-0005-0000-0000-00006DB70000}"/>
    <cellStyle name="Warning Text 38 14" xfId="46952" xr:uid="{00000000-0005-0000-0000-00006EB70000}"/>
    <cellStyle name="Warning Text 38 15" xfId="46953" xr:uid="{00000000-0005-0000-0000-00006FB70000}"/>
    <cellStyle name="Warning Text 38 2" xfId="46954" xr:uid="{00000000-0005-0000-0000-000070B70000}"/>
    <cellStyle name="Warning Text 38 3" xfId="46955" xr:uid="{00000000-0005-0000-0000-000071B70000}"/>
    <cellStyle name="Warning Text 38 4" xfId="46956" xr:uid="{00000000-0005-0000-0000-000072B70000}"/>
    <cellStyle name="Warning Text 38 5" xfId="46957" xr:uid="{00000000-0005-0000-0000-000073B70000}"/>
    <cellStyle name="Warning Text 38 6" xfId="46958" xr:uid="{00000000-0005-0000-0000-000074B70000}"/>
    <cellStyle name="Warning Text 38 7" xfId="46959" xr:uid="{00000000-0005-0000-0000-000075B70000}"/>
    <cellStyle name="Warning Text 38 8" xfId="46960" xr:uid="{00000000-0005-0000-0000-000076B70000}"/>
    <cellStyle name="Warning Text 38 9" xfId="46961" xr:uid="{00000000-0005-0000-0000-000077B70000}"/>
    <cellStyle name="Warning Text 39" xfId="46962" xr:uid="{00000000-0005-0000-0000-000078B70000}"/>
    <cellStyle name="Warning Text 39 10" xfId="46963" xr:uid="{00000000-0005-0000-0000-000079B70000}"/>
    <cellStyle name="Warning Text 39 11" xfId="46964" xr:uid="{00000000-0005-0000-0000-00007AB70000}"/>
    <cellStyle name="Warning Text 39 12" xfId="46965" xr:uid="{00000000-0005-0000-0000-00007BB70000}"/>
    <cellStyle name="Warning Text 39 13" xfId="46966" xr:uid="{00000000-0005-0000-0000-00007CB70000}"/>
    <cellStyle name="Warning Text 39 14" xfId="46967" xr:uid="{00000000-0005-0000-0000-00007DB70000}"/>
    <cellStyle name="Warning Text 39 15" xfId="46968" xr:uid="{00000000-0005-0000-0000-00007EB70000}"/>
    <cellStyle name="Warning Text 39 2" xfId="46969" xr:uid="{00000000-0005-0000-0000-00007FB70000}"/>
    <cellStyle name="Warning Text 39 3" xfId="46970" xr:uid="{00000000-0005-0000-0000-000080B70000}"/>
    <cellStyle name="Warning Text 39 4" xfId="46971" xr:uid="{00000000-0005-0000-0000-000081B70000}"/>
    <cellStyle name="Warning Text 39 5" xfId="46972" xr:uid="{00000000-0005-0000-0000-000082B70000}"/>
    <cellStyle name="Warning Text 39 6" xfId="46973" xr:uid="{00000000-0005-0000-0000-000083B70000}"/>
    <cellStyle name="Warning Text 39 7" xfId="46974" xr:uid="{00000000-0005-0000-0000-000084B70000}"/>
    <cellStyle name="Warning Text 39 8" xfId="46975" xr:uid="{00000000-0005-0000-0000-000085B70000}"/>
    <cellStyle name="Warning Text 39 9" xfId="46976" xr:uid="{00000000-0005-0000-0000-000086B70000}"/>
    <cellStyle name="Warning Text 4" xfId="46977" xr:uid="{00000000-0005-0000-0000-000087B70000}"/>
    <cellStyle name="Warning Text 4 2" xfId="46978" xr:uid="{00000000-0005-0000-0000-000088B70000}"/>
    <cellStyle name="Warning Text 4 2 2" xfId="46979" xr:uid="{00000000-0005-0000-0000-000089B70000}"/>
    <cellStyle name="Warning Text 4 3" xfId="46980" xr:uid="{00000000-0005-0000-0000-00008AB70000}"/>
    <cellStyle name="Warning Text 4 3 2" xfId="46981" xr:uid="{00000000-0005-0000-0000-00008BB70000}"/>
    <cellStyle name="Warning Text 4 4" xfId="46982" xr:uid="{00000000-0005-0000-0000-00008CB70000}"/>
    <cellStyle name="Warning Text 4 4 2" xfId="46983" xr:uid="{00000000-0005-0000-0000-00008DB70000}"/>
    <cellStyle name="Warning Text 4 5" xfId="46984" xr:uid="{00000000-0005-0000-0000-00008EB70000}"/>
    <cellStyle name="Warning Text 4 5 2" xfId="46985" xr:uid="{00000000-0005-0000-0000-00008FB70000}"/>
    <cellStyle name="Warning Text 4 6" xfId="46986" xr:uid="{00000000-0005-0000-0000-000090B70000}"/>
    <cellStyle name="Warning Text 4 6 2" xfId="46987" xr:uid="{00000000-0005-0000-0000-000091B70000}"/>
    <cellStyle name="Warning Text 4 7" xfId="46988" xr:uid="{00000000-0005-0000-0000-000092B70000}"/>
    <cellStyle name="Warning Text 40" xfId="46989" xr:uid="{00000000-0005-0000-0000-000093B70000}"/>
    <cellStyle name="Warning Text 41" xfId="46990" xr:uid="{00000000-0005-0000-0000-000094B70000}"/>
    <cellStyle name="Warning Text 42" xfId="46991" xr:uid="{00000000-0005-0000-0000-000095B70000}"/>
    <cellStyle name="Warning Text 43" xfId="46992" xr:uid="{00000000-0005-0000-0000-000096B70000}"/>
    <cellStyle name="Warning Text 44" xfId="46993" xr:uid="{00000000-0005-0000-0000-000097B70000}"/>
    <cellStyle name="Warning Text 45" xfId="46994" xr:uid="{00000000-0005-0000-0000-000098B70000}"/>
    <cellStyle name="Warning Text 46" xfId="46995" xr:uid="{00000000-0005-0000-0000-000099B70000}"/>
    <cellStyle name="Warning Text 47" xfId="46996" xr:uid="{00000000-0005-0000-0000-00009AB70000}"/>
    <cellStyle name="Warning Text 48" xfId="46997" xr:uid="{00000000-0005-0000-0000-00009BB70000}"/>
    <cellStyle name="Warning Text 49" xfId="46998" xr:uid="{00000000-0005-0000-0000-00009CB70000}"/>
    <cellStyle name="Warning Text 5" xfId="46999" xr:uid="{00000000-0005-0000-0000-00009DB70000}"/>
    <cellStyle name="Warning Text 5 2" xfId="47000" xr:uid="{00000000-0005-0000-0000-00009EB70000}"/>
    <cellStyle name="Warning Text 5 2 2" xfId="47001" xr:uid="{00000000-0005-0000-0000-00009FB70000}"/>
    <cellStyle name="Warning Text 5 2 3" xfId="47002" xr:uid="{00000000-0005-0000-0000-0000A0B70000}"/>
    <cellStyle name="Warning Text 5 2 4" xfId="47003" xr:uid="{00000000-0005-0000-0000-0000A1B70000}"/>
    <cellStyle name="Warning Text 5 3" xfId="47004" xr:uid="{00000000-0005-0000-0000-0000A2B70000}"/>
    <cellStyle name="Warning Text 5 3 2" xfId="47005" xr:uid="{00000000-0005-0000-0000-0000A3B70000}"/>
    <cellStyle name="Warning Text 5 3 3" xfId="47006" xr:uid="{00000000-0005-0000-0000-0000A4B70000}"/>
    <cellStyle name="Warning Text 5 4" xfId="47007" xr:uid="{00000000-0005-0000-0000-0000A5B70000}"/>
    <cellStyle name="Warning Text 50" xfId="47008" xr:uid="{00000000-0005-0000-0000-0000A6B70000}"/>
    <cellStyle name="Warning Text 51" xfId="47009" xr:uid="{00000000-0005-0000-0000-0000A7B70000}"/>
    <cellStyle name="Warning Text 52" xfId="47010" xr:uid="{00000000-0005-0000-0000-0000A8B70000}"/>
    <cellStyle name="Warning Text 53" xfId="47011" xr:uid="{00000000-0005-0000-0000-0000A9B70000}"/>
    <cellStyle name="Warning Text 54" xfId="47012" xr:uid="{00000000-0005-0000-0000-0000AAB70000}"/>
    <cellStyle name="Warning Text 55" xfId="47013" xr:uid="{00000000-0005-0000-0000-0000ABB70000}"/>
    <cellStyle name="Warning Text 56" xfId="47014" xr:uid="{00000000-0005-0000-0000-0000ACB70000}"/>
    <cellStyle name="Warning Text 57" xfId="47015" xr:uid="{00000000-0005-0000-0000-0000ADB70000}"/>
    <cellStyle name="Warning Text 58" xfId="47016" xr:uid="{00000000-0005-0000-0000-0000AEB70000}"/>
    <cellStyle name="Warning Text 59" xfId="47017" xr:uid="{00000000-0005-0000-0000-0000AFB70000}"/>
    <cellStyle name="Warning Text 6" xfId="47018" xr:uid="{00000000-0005-0000-0000-0000B0B70000}"/>
    <cellStyle name="Warning Text 6 2" xfId="47019" xr:uid="{00000000-0005-0000-0000-0000B1B70000}"/>
    <cellStyle name="Warning Text 60" xfId="47020" xr:uid="{00000000-0005-0000-0000-0000B2B70000}"/>
    <cellStyle name="Warning Text 61" xfId="47021" xr:uid="{00000000-0005-0000-0000-0000B3B70000}"/>
    <cellStyle name="Warning Text 62" xfId="47022" xr:uid="{00000000-0005-0000-0000-0000B4B70000}"/>
    <cellStyle name="Warning Text 63" xfId="47023" xr:uid="{00000000-0005-0000-0000-0000B5B70000}"/>
    <cellStyle name="Warning Text 64" xfId="47024" xr:uid="{00000000-0005-0000-0000-0000B6B70000}"/>
    <cellStyle name="Warning Text 65" xfId="47025" xr:uid="{00000000-0005-0000-0000-0000B7B70000}"/>
    <cellStyle name="Warning Text 66" xfId="47026" xr:uid="{00000000-0005-0000-0000-0000B8B70000}"/>
    <cellStyle name="Warning Text 67" xfId="47027" xr:uid="{00000000-0005-0000-0000-0000B9B70000}"/>
    <cellStyle name="Warning Text 68" xfId="47028" xr:uid="{00000000-0005-0000-0000-0000BAB70000}"/>
    <cellStyle name="Warning Text 69" xfId="47029" xr:uid="{00000000-0005-0000-0000-0000BBB70000}"/>
    <cellStyle name="Warning Text 7" xfId="47030" xr:uid="{00000000-0005-0000-0000-0000BCB70000}"/>
    <cellStyle name="Warning Text 7 2" xfId="47031" xr:uid="{00000000-0005-0000-0000-0000BDB70000}"/>
    <cellStyle name="Warning Text 70" xfId="47032" xr:uid="{00000000-0005-0000-0000-0000BEB70000}"/>
    <cellStyle name="Warning Text 71" xfId="47033" xr:uid="{00000000-0005-0000-0000-0000BFB70000}"/>
    <cellStyle name="Warning Text 72" xfId="47034" xr:uid="{00000000-0005-0000-0000-0000C0B70000}"/>
    <cellStyle name="Warning Text 73" xfId="47035" xr:uid="{00000000-0005-0000-0000-0000C1B70000}"/>
    <cellStyle name="Warning Text 74" xfId="47036" xr:uid="{00000000-0005-0000-0000-0000C2B70000}"/>
    <cellStyle name="Warning Text 75" xfId="47037" xr:uid="{00000000-0005-0000-0000-0000C3B70000}"/>
    <cellStyle name="Warning Text 76" xfId="47038" xr:uid="{00000000-0005-0000-0000-0000C4B70000}"/>
    <cellStyle name="Warning Text 77" xfId="47039" xr:uid="{00000000-0005-0000-0000-0000C5B70000}"/>
    <cellStyle name="Warning Text 78" xfId="47040" xr:uid="{00000000-0005-0000-0000-0000C6B70000}"/>
    <cellStyle name="Warning Text 79" xfId="47041" xr:uid="{00000000-0005-0000-0000-0000C7B70000}"/>
    <cellStyle name="Warning Text 79 2" xfId="47042" xr:uid="{00000000-0005-0000-0000-0000C8B70000}"/>
    <cellStyle name="Warning Text 8" xfId="47043" xr:uid="{00000000-0005-0000-0000-0000C9B70000}"/>
    <cellStyle name="Warning Text 8 2" xfId="47044" xr:uid="{00000000-0005-0000-0000-0000CAB70000}"/>
    <cellStyle name="Warning Text 80" xfId="47045" xr:uid="{00000000-0005-0000-0000-0000CBB70000}"/>
    <cellStyle name="Warning Text 80 2" xfId="47046" xr:uid="{00000000-0005-0000-0000-0000CCB70000}"/>
    <cellStyle name="Warning Text 81" xfId="47047" xr:uid="{00000000-0005-0000-0000-0000CDB70000}"/>
    <cellStyle name="Warning Text 81 2" xfId="47048" xr:uid="{00000000-0005-0000-0000-0000CEB70000}"/>
    <cellStyle name="Warning Text 82" xfId="47049" xr:uid="{00000000-0005-0000-0000-0000CFB70000}"/>
    <cellStyle name="Warning Text 82 2" xfId="47050" xr:uid="{00000000-0005-0000-0000-0000D0B70000}"/>
    <cellStyle name="Warning Text 83" xfId="47051" xr:uid="{00000000-0005-0000-0000-0000D1B70000}"/>
    <cellStyle name="Warning Text 83 2" xfId="47052" xr:uid="{00000000-0005-0000-0000-0000D2B70000}"/>
    <cellStyle name="Warning Text 84" xfId="47053" xr:uid="{00000000-0005-0000-0000-0000D3B70000}"/>
    <cellStyle name="Warning Text 84 2" xfId="47054" xr:uid="{00000000-0005-0000-0000-0000D4B70000}"/>
    <cellStyle name="Warning Text 85" xfId="47055" xr:uid="{00000000-0005-0000-0000-0000D5B70000}"/>
    <cellStyle name="Warning Text 85 2" xfId="47056" xr:uid="{00000000-0005-0000-0000-0000D6B70000}"/>
    <cellStyle name="Warning Text 86" xfId="47057" xr:uid="{00000000-0005-0000-0000-0000D7B70000}"/>
    <cellStyle name="Warning Text 86 2" xfId="47058" xr:uid="{00000000-0005-0000-0000-0000D8B70000}"/>
    <cellStyle name="Warning Text 87" xfId="47059" xr:uid="{00000000-0005-0000-0000-0000D9B70000}"/>
    <cellStyle name="Warning Text 87 2" xfId="47060" xr:uid="{00000000-0005-0000-0000-0000DAB70000}"/>
    <cellStyle name="Warning Text 88" xfId="47061" xr:uid="{00000000-0005-0000-0000-0000DBB70000}"/>
    <cellStyle name="Warning Text 88 2" xfId="47062" xr:uid="{00000000-0005-0000-0000-0000DCB70000}"/>
    <cellStyle name="Warning Text 89" xfId="47063" xr:uid="{00000000-0005-0000-0000-0000DDB70000}"/>
    <cellStyle name="Warning Text 89 2" xfId="47064" xr:uid="{00000000-0005-0000-0000-0000DEB70000}"/>
    <cellStyle name="Warning Text 9" xfId="47065" xr:uid="{00000000-0005-0000-0000-0000DFB70000}"/>
    <cellStyle name="Warning Text 9 2" xfId="47066" xr:uid="{00000000-0005-0000-0000-0000E0B70000}"/>
    <cellStyle name="Warning Text 90" xfId="47067" xr:uid="{00000000-0005-0000-0000-0000E1B70000}"/>
    <cellStyle name="Warning Text 91" xfId="47068" xr:uid="{00000000-0005-0000-0000-0000E2B70000}"/>
    <cellStyle name="Warning Text 92" xfId="47069" xr:uid="{00000000-0005-0000-0000-0000E3B70000}"/>
    <cellStyle name="Warning Text 93" xfId="47070" xr:uid="{00000000-0005-0000-0000-0000E4B70000}"/>
    <cellStyle name="Warning Text 94" xfId="47071" xr:uid="{00000000-0005-0000-0000-0000E5B70000}"/>
    <cellStyle name="Warning Text 95" xfId="47072" xr:uid="{00000000-0005-0000-0000-0000E6B70000}"/>
    <cellStyle name="Warning Text 96" xfId="47073" xr:uid="{00000000-0005-0000-0000-0000E7B70000}"/>
    <cellStyle name="Warning Text 97" xfId="47074" xr:uid="{00000000-0005-0000-0000-0000E8B70000}"/>
    <cellStyle name="Warning Text 98" xfId="47075" xr:uid="{00000000-0005-0000-0000-0000E9B70000}"/>
    <cellStyle name="Warning Text 99" xfId="47076" xr:uid="{00000000-0005-0000-0000-0000EAB70000}"/>
    <cellStyle name="year" xfId="47077" xr:uid="{00000000-0005-0000-0000-0000EBB70000}"/>
    <cellStyle name="Złe" xfId="47078" xr:uid="{00000000-0005-0000-0000-0000ECB70000}"/>
    <cellStyle name="콤마 [0]_ 2팀층별 " xfId="47079" xr:uid="{00000000-0005-0000-0000-0000EDB70000}"/>
    <cellStyle name="콤마_ 2팀층별 " xfId="47080" xr:uid="{00000000-0005-0000-0000-0000EEB70000}"/>
    <cellStyle name="표준_0N-HANDLING " xfId="47081" xr:uid="{00000000-0005-0000-0000-0000EFB70000}"/>
  </cellStyles>
  <dxfs count="63">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s>
  <tableStyles count="0" defaultTableStyle="TableStyleMedium9" defaultPivotStyle="PivotStyleLight16"/>
  <colors>
    <mruColors>
      <color rgb="FFDCDCDC"/>
      <color rgb="FF008000"/>
      <color rgb="FFFF9900"/>
      <color rgb="FFDC3912"/>
      <color rgb="FF4684EE"/>
      <color rgb="FFBBF2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45018763718771"/>
          <c:y val="4.9910960322950004E-2"/>
          <c:w val="0.83294710755505263"/>
          <c:h val="0.8092705709506095"/>
        </c:manualLayout>
      </c:layout>
      <c:scatterChart>
        <c:scatterStyle val="smoothMarker"/>
        <c:varyColors val="0"/>
        <c:ser>
          <c:idx val="0"/>
          <c:order val="0"/>
          <c:spPr>
            <a:ln>
              <a:solidFill>
                <a:schemeClr val="tx1"/>
              </a:solidFill>
            </a:ln>
          </c:spPr>
          <c:marker>
            <c:symbol val="none"/>
          </c:marker>
          <c:xVal>
            <c:numRef>
              <c:f>Assets!$C$532:$C$533</c:f>
              <c:numCache>
                <c:formatCode>_([$€-2]* #,##0.00_);_([$€-2]* \(#,##0.00\);_([$€-2]* "-"??_)</c:formatCode>
                <c:ptCount val="2"/>
                <c:pt idx="0">
                  <c:v>0</c:v>
                </c:pt>
                <c:pt idx="1">
                  <c:v>6</c:v>
                </c:pt>
              </c:numCache>
            </c:numRef>
          </c:xVal>
          <c:yVal>
            <c:numRef>
              <c:f>Assets!$A$532:$A$533</c:f>
              <c:numCache>
                <c:formatCode>0</c:formatCode>
                <c:ptCount val="2"/>
                <c:pt idx="0">
                  <c:v>30000</c:v>
                </c:pt>
                <c:pt idx="1">
                  <c:v>119000</c:v>
                </c:pt>
              </c:numCache>
            </c:numRef>
          </c:yVal>
          <c:smooth val="1"/>
          <c:extLst>
            <c:ext xmlns:c16="http://schemas.microsoft.com/office/drawing/2014/chart" uri="{C3380CC4-5D6E-409C-BE32-E72D297353CC}">
              <c16:uniqueId val="{00000000-4833-3644-A334-C0F3AD5C1C40}"/>
            </c:ext>
          </c:extLst>
        </c:ser>
        <c:dLbls>
          <c:showLegendKey val="0"/>
          <c:showVal val="0"/>
          <c:showCatName val="0"/>
          <c:showSerName val="0"/>
          <c:showPercent val="0"/>
          <c:showBubbleSize val="0"/>
        </c:dLbls>
        <c:axId val="236991232"/>
        <c:axId val="236993152"/>
      </c:scatterChart>
      <c:valAx>
        <c:axId val="236991232"/>
        <c:scaling>
          <c:orientation val="minMax"/>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125" b="1" i="0" u="none" strike="noStrike" baseline="0">
                    <a:solidFill>
                      <a:srgbClr val="000000"/>
                    </a:solidFill>
                    <a:latin typeface="Univers 45 Light"/>
                    <a:ea typeface="Univers 45 Light"/>
                    <a:cs typeface="Univers 45 Light"/>
                  </a:defRPr>
                </a:pPr>
                <a:r>
                  <a:rPr lang="en-GB"/>
                  <a:t>Power [MW]</a:t>
                </a:r>
              </a:p>
            </c:rich>
          </c:tx>
          <c:layout>
            <c:manualLayout>
              <c:xMode val="edge"/>
              <c:yMode val="edge"/>
              <c:x val="0.44779606725493432"/>
              <c:y val="0.92335284292671949"/>
            </c:manualLayout>
          </c:layout>
          <c:overlay val="0"/>
          <c:spPr>
            <a:noFill/>
            <a:ln w="25400">
              <a:noFill/>
            </a:ln>
          </c:spPr>
        </c:title>
        <c:numFmt formatCode="_([$€-2]* #,##0.00_);_([$€-2]* \(#,##0.00\);_([$€-2]* &quot;-&quot;??_)"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Univers 45 Light"/>
                <a:ea typeface="Univers 45 Light"/>
                <a:cs typeface="Univers 45 Light"/>
              </a:defRPr>
            </a:pPr>
            <a:endParaRPr lang="en-US"/>
          </a:p>
        </c:txPr>
        <c:crossAx val="236993152"/>
        <c:crosses val="autoZero"/>
        <c:crossBetween val="midCat"/>
      </c:valAx>
      <c:valAx>
        <c:axId val="236993152"/>
        <c:scaling>
          <c:orientation val="minMax"/>
        </c:scaling>
        <c:delete val="0"/>
        <c:axPos val="l"/>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125" b="1" i="0" u="none" strike="noStrike" baseline="0">
                    <a:solidFill>
                      <a:srgbClr val="000000"/>
                    </a:solidFill>
                    <a:latin typeface="Univers 45 Light"/>
                    <a:ea typeface="Univers 45 Light"/>
                    <a:cs typeface="Univers 45 Light"/>
                  </a:defRPr>
                </a:pPr>
                <a:r>
                  <a:rPr lang="en-GB"/>
                  <a:t>Inlet Steam Flow [lb/hr]</a:t>
                </a:r>
              </a:p>
            </c:rich>
          </c:tx>
          <c:layout>
            <c:manualLayout>
              <c:xMode val="edge"/>
              <c:yMode val="edge"/>
              <c:x val="1.8561484918793541E-2"/>
              <c:y val="0.30481339565177662"/>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Univers 45 Light"/>
                <a:ea typeface="Univers 45 Light"/>
                <a:cs typeface="Univers 45 Light"/>
              </a:defRPr>
            </a:pPr>
            <a:endParaRPr lang="en-US"/>
          </a:p>
        </c:txPr>
        <c:crossAx val="236991232"/>
        <c:crosses val="autoZero"/>
        <c:crossBetween val="midCat"/>
      </c:valAx>
      <c:spPr>
        <a:noFill/>
        <a:ln w="12700">
          <a:solidFill>
            <a:srgbClr val="808080"/>
          </a:solidFill>
          <a:prstDash val="solid"/>
        </a:ln>
      </c:spPr>
    </c:plotArea>
    <c:plotVisOnly val="1"/>
    <c:dispBlanksAs val="gap"/>
    <c:showDLblsOverMax val="0"/>
  </c:chart>
  <c:spPr>
    <a:noFill/>
    <a:ln w="9525">
      <a:noFill/>
    </a:ln>
  </c:spPr>
  <c:txPr>
    <a:bodyPr/>
    <a:lstStyle/>
    <a:p>
      <a:pPr>
        <a:defRPr sz="1775" b="0" i="0" u="none" strike="noStrike" baseline="0">
          <a:solidFill>
            <a:srgbClr val="000000"/>
          </a:solidFill>
          <a:latin typeface="Univers 45 Light"/>
          <a:ea typeface="Univers 45 Light"/>
          <a:cs typeface="Univers 45 Light"/>
        </a:defRPr>
      </a:pPr>
      <a:endParaRPr lang="en-US"/>
    </a:p>
  </c:txPr>
  <c:printSettings>
    <c:headerFooter alignWithMargins="0"/>
    <c:pageMargins b="1" l="0.75000000000001465" r="0.7500000000000146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45018763718771"/>
          <c:y val="4.9910960322950004E-2"/>
          <c:w val="0.83294710755505263"/>
          <c:h val="0.8092705709506095"/>
        </c:manualLayout>
      </c:layout>
      <c:scatterChart>
        <c:scatterStyle val="smoothMarker"/>
        <c:varyColors val="0"/>
        <c:ser>
          <c:idx val="0"/>
          <c:order val="0"/>
          <c:tx>
            <c:v>0</c:v>
          </c:tx>
          <c:spPr>
            <a:ln>
              <a:solidFill>
                <a:srgbClr val="000000"/>
              </a:solidFill>
            </a:ln>
          </c:spPr>
          <c:marker>
            <c:symbol val="none"/>
          </c:marker>
          <c:xVal>
            <c:numRef>
              <c:f>Assets!$C$463:$C$464</c:f>
              <c:numCache>
                <c:formatCode>#,##0.00</c:formatCode>
                <c:ptCount val="2"/>
                <c:pt idx="0">
                  <c:v>1</c:v>
                </c:pt>
                <c:pt idx="1">
                  <c:v>8.1999999999999993</c:v>
                </c:pt>
              </c:numCache>
            </c:numRef>
          </c:xVal>
          <c:yVal>
            <c:numRef>
              <c:f>Assets!$A$463:$A$464</c:f>
              <c:numCache>
                <c:formatCode>#,##0</c:formatCode>
                <c:ptCount val="2"/>
                <c:pt idx="0">
                  <c:v>12750</c:v>
                </c:pt>
                <c:pt idx="1">
                  <c:v>52000</c:v>
                </c:pt>
              </c:numCache>
            </c:numRef>
          </c:yVal>
          <c:smooth val="1"/>
          <c:extLst>
            <c:ext xmlns:c16="http://schemas.microsoft.com/office/drawing/2014/chart" uri="{C3380CC4-5D6E-409C-BE32-E72D297353CC}">
              <c16:uniqueId val="{00000000-12C3-AF47-B0F9-FB632D3E878A}"/>
            </c:ext>
          </c:extLst>
        </c:ser>
        <c:ser>
          <c:idx val="1"/>
          <c:order val="1"/>
          <c:tx>
            <c:v>5</c:v>
          </c:tx>
          <c:spPr>
            <a:ln>
              <a:solidFill>
                <a:srgbClr val="000000"/>
              </a:solidFill>
            </a:ln>
          </c:spPr>
          <c:marker>
            <c:symbol val="none"/>
          </c:marker>
          <c:xVal>
            <c:numRef>
              <c:f>Assets!$D$465:$D$466</c:f>
              <c:numCache>
                <c:formatCode>#,##0.00</c:formatCode>
                <c:ptCount val="2"/>
                <c:pt idx="0">
                  <c:v>1</c:v>
                </c:pt>
                <c:pt idx="1">
                  <c:v>7.75</c:v>
                </c:pt>
              </c:numCache>
            </c:numRef>
          </c:xVal>
          <c:yVal>
            <c:numRef>
              <c:f>Assets!$A$465:$A$466</c:f>
              <c:numCache>
                <c:formatCode>#,##0</c:formatCode>
                <c:ptCount val="2"/>
                <c:pt idx="0">
                  <c:v>10250</c:v>
                </c:pt>
                <c:pt idx="1">
                  <c:v>47000</c:v>
                </c:pt>
              </c:numCache>
            </c:numRef>
          </c:yVal>
          <c:smooth val="1"/>
          <c:extLst>
            <c:ext xmlns:c16="http://schemas.microsoft.com/office/drawing/2014/chart" uri="{C3380CC4-5D6E-409C-BE32-E72D297353CC}">
              <c16:uniqueId val="{00000001-12C3-AF47-B0F9-FB632D3E878A}"/>
            </c:ext>
          </c:extLst>
        </c:ser>
        <c:ser>
          <c:idx val="2"/>
          <c:order val="2"/>
          <c:tx>
            <c:strRef>
              <c:f>Assets!$E$461</c:f>
              <c:strCache>
                <c:ptCount val="1"/>
                <c:pt idx="0">
                  <c:v>10.00</c:v>
                </c:pt>
              </c:strCache>
            </c:strRef>
          </c:tx>
          <c:spPr>
            <a:ln>
              <a:solidFill>
                <a:srgbClr val="000000"/>
              </a:solidFill>
            </a:ln>
          </c:spPr>
          <c:marker>
            <c:symbol val="none"/>
          </c:marker>
          <c:xVal>
            <c:numRef>
              <c:f>Assets!$E$467:$E$468</c:f>
              <c:numCache>
                <c:formatCode>#,##0.00</c:formatCode>
                <c:ptCount val="2"/>
                <c:pt idx="0">
                  <c:v>1</c:v>
                </c:pt>
                <c:pt idx="1">
                  <c:v>7.2</c:v>
                </c:pt>
              </c:numCache>
            </c:numRef>
          </c:xVal>
          <c:yVal>
            <c:numRef>
              <c:f>Assets!$A$467:$A$468</c:f>
              <c:numCache>
                <c:formatCode>#,##0</c:formatCode>
                <c:ptCount val="2"/>
                <c:pt idx="0">
                  <c:v>8000</c:v>
                </c:pt>
                <c:pt idx="1">
                  <c:v>41750</c:v>
                </c:pt>
              </c:numCache>
            </c:numRef>
          </c:yVal>
          <c:smooth val="1"/>
          <c:extLst>
            <c:ext xmlns:c16="http://schemas.microsoft.com/office/drawing/2014/chart" uri="{C3380CC4-5D6E-409C-BE32-E72D297353CC}">
              <c16:uniqueId val="{00000002-12C3-AF47-B0F9-FB632D3E878A}"/>
            </c:ext>
          </c:extLst>
        </c:ser>
        <c:ser>
          <c:idx val="3"/>
          <c:order val="3"/>
          <c:tx>
            <c:strRef>
              <c:f>Assets!$F$461</c:f>
              <c:strCache>
                <c:ptCount val="1"/>
                <c:pt idx="0">
                  <c:v>15.00</c:v>
                </c:pt>
              </c:strCache>
            </c:strRef>
          </c:tx>
          <c:spPr>
            <a:ln>
              <a:solidFill>
                <a:srgbClr val="000000"/>
              </a:solidFill>
            </a:ln>
          </c:spPr>
          <c:marker>
            <c:symbol val="none"/>
          </c:marker>
          <c:xVal>
            <c:numRef>
              <c:f>Assets!$F$469:$F$470</c:f>
              <c:numCache>
                <c:formatCode>#,##0.00</c:formatCode>
                <c:ptCount val="2"/>
                <c:pt idx="0">
                  <c:v>1</c:v>
                </c:pt>
                <c:pt idx="1">
                  <c:v>6.9</c:v>
                </c:pt>
              </c:numCache>
            </c:numRef>
          </c:xVal>
          <c:yVal>
            <c:numRef>
              <c:f>Assets!$A$469:$A$470</c:f>
              <c:numCache>
                <c:formatCode>#,##0</c:formatCode>
                <c:ptCount val="2"/>
                <c:pt idx="0">
                  <c:v>5000</c:v>
                </c:pt>
                <c:pt idx="1">
                  <c:v>37000</c:v>
                </c:pt>
              </c:numCache>
            </c:numRef>
          </c:yVal>
          <c:smooth val="1"/>
          <c:extLst>
            <c:ext xmlns:c16="http://schemas.microsoft.com/office/drawing/2014/chart" uri="{C3380CC4-5D6E-409C-BE32-E72D297353CC}">
              <c16:uniqueId val="{00000003-12C3-AF47-B0F9-FB632D3E878A}"/>
            </c:ext>
          </c:extLst>
        </c:ser>
        <c:ser>
          <c:idx val="4"/>
          <c:order val="4"/>
          <c:tx>
            <c:strRef>
              <c:f>Assets!$G$461</c:f>
              <c:strCache>
                <c:ptCount val="1"/>
                <c:pt idx="0">
                  <c:v>20.00</c:v>
                </c:pt>
              </c:strCache>
            </c:strRef>
          </c:tx>
          <c:spPr>
            <a:ln>
              <a:solidFill>
                <a:srgbClr val="000000"/>
              </a:solidFill>
            </a:ln>
          </c:spPr>
          <c:marker>
            <c:symbol val="none"/>
          </c:marker>
          <c:xVal>
            <c:numRef>
              <c:f>Assets!$G$471:$G$472</c:f>
              <c:numCache>
                <c:formatCode>#,##0.00</c:formatCode>
                <c:ptCount val="2"/>
                <c:pt idx="0">
                  <c:v>1</c:v>
                </c:pt>
                <c:pt idx="1">
                  <c:v>6.4</c:v>
                </c:pt>
              </c:numCache>
            </c:numRef>
          </c:xVal>
          <c:yVal>
            <c:numRef>
              <c:f>Assets!$A$471:$A$472</c:f>
              <c:numCache>
                <c:formatCode>#,##0</c:formatCode>
                <c:ptCount val="2"/>
                <c:pt idx="0">
                  <c:v>3000</c:v>
                </c:pt>
                <c:pt idx="1">
                  <c:v>32000</c:v>
                </c:pt>
              </c:numCache>
            </c:numRef>
          </c:yVal>
          <c:smooth val="1"/>
          <c:extLst>
            <c:ext xmlns:c16="http://schemas.microsoft.com/office/drawing/2014/chart" uri="{C3380CC4-5D6E-409C-BE32-E72D297353CC}">
              <c16:uniqueId val="{00000004-12C3-AF47-B0F9-FB632D3E878A}"/>
            </c:ext>
          </c:extLst>
        </c:ser>
        <c:ser>
          <c:idx val="5"/>
          <c:order val="5"/>
          <c:tx>
            <c:strRef>
              <c:f>Assets!$H$461</c:f>
              <c:strCache>
                <c:ptCount val="1"/>
                <c:pt idx="0">
                  <c:v>22.68</c:v>
                </c:pt>
              </c:strCache>
            </c:strRef>
          </c:tx>
          <c:spPr>
            <a:ln>
              <a:solidFill>
                <a:srgbClr val="000000"/>
              </a:solidFill>
            </a:ln>
          </c:spPr>
          <c:marker>
            <c:symbol val="none"/>
          </c:marker>
          <c:xVal>
            <c:numRef>
              <c:f>Assets!$H$473:$H$474</c:f>
              <c:numCache>
                <c:formatCode>#,##0.00</c:formatCode>
                <c:ptCount val="2"/>
                <c:pt idx="0">
                  <c:v>1.2</c:v>
                </c:pt>
                <c:pt idx="1">
                  <c:v>6.2</c:v>
                </c:pt>
              </c:numCache>
            </c:numRef>
          </c:xVal>
          <c:yVal>
            <c:numRef>
              <c:f>Assets!$A$473:$A$474</c:f>
              <c:numCache>
                <c:formatCode>#,##0</c:formatCode>
                <c:ptCount val="2"/>
                <c:pt idx="0">
                  <c:v>2500</c:v>
                </c:pt>
                <c:pt idx="1">
                  <c:v>29500</c:v>
                </c:pt>
              </c:numCache>
            </c:numRef>
          </c:yVal>
          <c:smooth val="1"/>
          <c:extLst>
            <c:ext xmlns:c16="http://schemas.microsoft.com/office/drawing/2014/chart" uri="{C3380CC4-5D6E-409C-BE32-E72D297353CC}">
              <c16:uniqueId val="{00000005-12C3-AF47-B0F9-FB632D3E878A}"/>
            </c:ext>
          </c:extLst>
        </c:ser>
        <c:dLbls>
          <c:showLegendKey val="0"/>
          <c:showVal val="0"/>
          <c:showCatName val="0"/>
          <c:showSerName val="0"/>
          <c:showPercent val="0"/>
          <c:showBubbleSize val="0"/>
        </c:dLbls>
        <c:axId val="242006272"/>
        <c:axId val="242012544"/>
      </c:scatterChart>
      <c:valAx>
        <c:axId val="242006272"/>
        <c:scaling>
          <c:orientation val="minMax"/>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125" b="1" i="0" u="none" strike="noStrike" baseline="0">
                    <a:solidFill>
                      <a:srgbClr val="000000"/>
                    </a:solidFill>
                    <a:latin typeface="Univers 45 Light"/>
                    <a:ea typeface="Univers 45 Light"/>
                    <a:cs typeface="Univers 45 Light"/>
                  </a:defRPr>
                </a:pPr>
                <a:r>
                  <a:rPr lang="en-GB"/>
                  <a:t>Electrical Output [MWe]</a:t>
                </a:r>
              </a:p>
            </c:rich>
          </c:tx>
          <c:layout>
            <c:manualLayout>
              <c:xMode val="edge"/>
              <c:yMode val="edge"/>
              <c:x val="0.44779606725493432"/>
              <c:y val="0.92335284292671949"/>
            </c:manualLayout>
          </c:layout>
          <c:overlay val="0"/>
          <c:spPr>
            <a:noFill/>
            <a:ln w="25400">
              <a:noFill/>
            </a:ln>
          </c:spPr>
        </c:title>
        <c:numFmt formatCode="#,##0.00"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Univers 45 Light"/>
                <a:ea typeface="Univers 45 Light"/>
                <a:cs typeface="Univers 45 Light"/>
              </a:defRPr>
            </a:pPr>
            <a:endParaRPr lang="en-US"/>
          </a:p>
        </c:txPr>
        <c:crossAx val="242012544"/>
        <c:crosses val="autoZero"/>
        <c:crossBetween val="midCat"/>
      </c:valAx>
      <c:valAx>
        <c:axId val="242012544"/>
        <c:scaling>
          <c:orientation val="minMax"/>
        </c:scaling>
        <c:delete val="0"/>
        <c:axPos val="l"/>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125" b="1" i="0" u="none" strike="noStrike" baseline="0">
                    <a:solidFill>
                      <a:srgbClr val="000000"/>
                    </a:solidFill>
                    <a:latin typeface="Univers 45 Light"/>
                    <a:ea typeface="Univers 45 Light"/>
                    <a:cs typeface="Univers 45 Light"/>
                  </a:defRPr>
                </a:pPr>
                <a:r>
                  <a:rPr lang="en-GB"/>
                  <a:t>Steam Turbine exhaust Flow [kg/hr]</a:t>
                </a:r>
              </a:p>
            </c:rich>
          </c:tx>
          <c:layout>
            <c:manualLayout>
              <c:xMode val="edge"/>
              <c:yMode val="edge"/>
              <c:x val="9.7131020922801448E-3"/>
              <c:y val="0.16499971452048992"/>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Univers 45 Light"/>
                <a:ea typeface="Univers 45 Light"/>
                <a:cs typeface="Univers 45 Light"/>
              </a:defRPr>
            </a:pPr>
            <a:endParaRPr lang="en-US"/>
          </a:p>
        </c:txPr>
        <c:crossAx val="242006272"/>
        <c:crosses val="autoZero"/>
        <c:crossBetween val="midCat"/>
      </c:valAx>
      <c:spPr>
        <a:noFill/>
        <a:ln w="12700">
          <a:solidFill>
            <a:srgbClr val="808080"/>
          </a:solidFill>
          <a:prstDash val="solid"/>
        </a:ln>
      </c:spPr>
    </c:plotArea>
    <c:plotVisOnly val="1"/>
    <c:dispBlanksAs val="gap"/>
    <c:showDLblsOverMax val="0"/>
  </c:chart>
  <c:spPr>
    <a:noFill/>
    <a:ln w="9525">
      <a:noFill/>
    </a:ln>
  </c:spPr>
  <c:txPr>
    <a:bodyPr/>
    <a:lstStyle/>
    <a:p>
      <a:pPr>
        <a:defRPr sz="1775" b="0" i="0" u="none" strike="noStrike" baseline="0">
          <a:solidFill>
            <a:srgbClr val="000000"/>
          </a:solidFill>
          <a:latin typeface="Univers 45 Light"/>
          <a:ea typeface="Univers 45 Light"/>
          <a:cs typeface="Univers 45 Light"/>
        </a:defRPr>
      </a:pPr>
      <a:endParaRPr lang="en-US"/>
    </a:p>
  </c:txPr>
  <c:printSettings>
    <c:headerFooter alignWithMargins="0"/>
    <c:pageMargins b="1" l="0.75000000000001465" r="0.75000000000001465" t="1" header="0.5" footer="0.5"/>
    <c:pageSetup paperSize="9"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45018763718771"/>
          <c:y val="4.9910960322950004E-2"/>
          <c:w val="0.83294710755505263"/>
          <c:h val="0.8092705709506095"/>
        </c:manualLayout>
      </c:layout>
      <c:scatterChart>
        <c:scatterStyle val="lineMarker"/>
        <c:varyColors val="0"/>
        <c:ser>
          <c:idx val="0"/>
          <c:order val="0"/>
          <c:spPr>
            <a:ln>
              <a:solidFill>
                <a:schemeClr val="tx1"/>
              </a:solidFill>
            </a:ln>
          </c:spPr>
          <c:marker>
            <c:symbol val="none"/>
          </c:marker>
          <c:xVal>
            <c:numRef>
              <c:f>Assets!$C$563:$C$567</c:f>
              <c:numCache>
                <c:formatCode>#,##0.00</c:formatCode>
                <c:ptCount val="5"/>
                <c:pt idx="0">
                  <c:v>2894</c:v>
                </c:pt>
                <c:pt idx="1">
                  <c:v>2000</c:v>
                </c:pt>
                <c:pt idx="2">
                  <c:v>1550</c:v>
                </c:pt>
                <c:pt idx="3">
                  <c:v>1550</c:v>
                </c:pt>
                <c:pt idx="4">
                  <c:v>0</c:v>
                </c:pt>
              </c:numCache>
            </c:numRef>
          </c:xVal>
          <c:yVal>
            <c:numRef>
              <c:f>Assets!$A$563:$A$567</c:f>
              <c:numCache>
                <c:formatCode>#,##0.00</c:formatCode>
                <c:ptCount val="5"/>
                <c:pt idx="0">
                  <c:v>30000</c:v>
                </c:pt>
                <c:pt idx="1">
                  <c:v>22500</c:v>
                </c:pt>
                <c:pt idx="2">
                  <c:v>18750</c:v>
                </c:pt>
                <c:pt idx="3">
                  <c:v>17500</c:v>
                </c:pt>
                <c:pt idx="4">
                  <c:v>4750</c:v>
                </c:pt>
              </c:numCache>
            </c:numRef>
          </c:yVal>
          <c:smooth val="0"/>
          <c:extLst>
            <c:ext xmlns:c16="http://schemas.microsoft.com/office/drawing/2014/chart" uri="{C3380CC4-5D6E-409C-BE32-E72D297353CC}">
              <c16:uniqueId val="{00000000-550A-8541-9ACC-F0FE67E3776F}"/>
            </c:ext>
          </c:extLst>
        </c:ser>
        <c:dLbls>
          <c:showLegendKey val="0"/>
          <c:showVal val="0"/>
          <c:showCatName val="0"/>
          <c:showSerName val="0"/>
          <c:showPercent val="0"/>
          <c:showBubbleSize val="0"/>
        </c:dLbls>
        <c:axId val="242434816"/>
        <c:axId val="242436736"/>
      </c:scatterChart>
      <c:valAx>
        <c:axId val="242434816"/>
        <c:scaling>
          <c:orientation val="minMax"/>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125" b="1" i="0" u="none" strike="noStrike" baseline="0">
                    <a:solidFill>
                      <a:srgbClr val="000000"/>
                    </a:solidFill>
                    <a:latin typeface="Univers 45 Light"/>
                    <a:ea typeface="Univers 45 Light"/>
                    <a:cs typeface="Univers 45 Light"/>
                  </a:defRPr>
                </a:pPr>
                <a:r>
                  <a:rPr lang="en-GB"/>
                  <a:t>Power [kW]</a:t>
                </a:r>
              </a:p>
            </c:rich>
          </c:tx>
          <c:layout>
            <c:manualLayout>
              <c:xMode val="edge"/>
              <c:yMode val="edge"/>
              <c:x val="0.44779606725493432"/>
              <c:y val="0.92335284292671949"/>
            </c:manualLayout>
          </c:layout>
          <c:overlay val="0"/>
          <c:spPr>
            <a:noFill/>
            <a:ln w="25400">
              <a:noFill/>
            </a:ln>
          </c:spPr>
        </c:title>
        <c:numFmt formatCode="#,##0.00"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Univers 45 Light"/>
                <a:ea typeface="Univers 45 Light"/>
                <a:cs typeface="Univers 45 Light"/>
              </a:defRPr>
            </a:pPr>
            <a:endParaRPr lang="en-US"/>
          </a:p>
        </c:txPr>
        <c:crossAx val="242436736"/>
        <c:crosses val="autoZero"/>
        <c:crossBetween val="midCat"/>
      </c:valAx>
      <c:valAx>
        <c:axId val="242436736"/>
        <c:scaling>
          <c:orientation val="minMax"/>
        </c:scaling>
        <c:delete val="0"/>
        <c:axPos val="l"/>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125" b="1" i="0" u="none" strike="noStrike" baseline="0">
                    <a:solidFill>
                      <a:srgbClr val="000000"/>
                    </a:solidFill>
                    <a:latin typeface="Univers 45 Light"/>
                    <a:ea typeface="Univers 45 Light"/>
                    <a:cs typeface="Univers 45 Light"/>
                  </a:defRPr>
                </a:pPr>
                <a:r>
                  <a:rPr lang="en-GB"/>
                  <a:t>Flow [kg/hr]</a:t>
                </a:r>
              </a:p>
            </c:rich>
          </c:tx>
          <c:layout>
            <c:manualLayout>
              <c:xMode val="edge"/>
              <c:yMode val="edge"/>
              <c:x val="1.8561484918793541E-2"/>
              <c:y val="0.30481339565177673"/>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Univers 45 Light"/>
                <a:ea typeface="Univers 45 Light"/>
                <a:cs typeface="Univers 45 Light"/>
              </a:defRPr>
            </a:pPr>
            <a:endParaRPr lang="en-US"/>
          </a:p>
        </c:txPr>
        <c:crossAx val="242434816"/>
        <c:crosses val="autoZero"/>
        <c:crossBetween val="midCat"/>
      </c:valAx>
      <c:spPr>
        <a:noFill/>
        <a:ln w="12700">
          <a:solidFill>
            <a:srgbClr val="808080"/>
          </a:solidFill>
          <a:prstDash val="solid"/>
        </a:ln>
      </c:spPr>
    </c:plotArea>
    <c:plotVisOnly val="1"/>
    <c:dispBlanksAs val="gap"/>
    <c:showDLblsOverMax val="0"/>
  </c:chart>
  <c:spPr>
    <a:noFill/>
    <a:ln w="9525">
      <a:noFill/>
    </a:ln>
  </c:spPr>
  <c:txPr>
    <a:bodyPr/>
    <a:lstStyle/>
    <a:p>
      <a:pPr>
        <a:defRPr sz="1775" b="0" i="0" u="none" strike="noStrike" baseline="0">
          <a:solidFill>
            <a:srgbClr val="000000"/>
          </a:solidFill>
          <a:latin typeface="Univers 45 Light"/>
          <a:ea typeface="Univers 45 Light"/>
          <a:cs typeface="Univers 45 Light"/>
        </a:defRPr>
      </a:pPr>
      <a:endParaRPr lang="en-US"/>
    </a:p>
  </c:txPr>
  <c:printSettings>
    <c:headerFooter alignWithMargins="0"/>
    <c:pageMargins b="1" l="0.75000000000001465" r="0.7500000000000146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45018763718771"/>
          <c:y val="4.9910960322950004E-2"/>
          <c:w val="0.83294710755505263"/>
          <c:h val="0.8092705709506095"/>
        </c:manualLayout>
      </c:layout>
      <c:scatterChart>
        <c:scatterStyle val="smoothMarker"/>
        <c:varyColors val="0"/>
        <c:ser>
          <c:idx val="0"/>
          <c:order val="0"/>
          <c:spPr>
            <a:ln>
              <a:solidFill>
                <a:srgbClr val="000000"/>
              </a:solidFill>
            </a:ln>
          </c:spPr>
          <c:marker>
            <c:symbol val="none"/>
          </c:marker>
          <c:xVal>
            <c:numRef>
              <c:f>Assets!$C$394:$C$395</c:f>
              <c:numCache>
                <c:formatCode>0</c:formatCode>
                <c:ptCount val="2"/>
                <c:pt idx="0">
                  <c:v>416.66666666666703</c:v>
                </c:pt>
                <c:pt idx="1">
                  <c:v>2500</c:v>
                </c:pt>
              </c:numCache>
            </c:numRef>
          </c:xVal>
          <c:yVal>
            <c:numRef>
              <c:f>Assets!$A$394:$A$395</c:f>
              <c:numCache>
                <c:formatCode>#,##0</c:formatCode>
                <c:ptCount val="2"/>
                <c:pt idx="0">
                  <c:v>9500</c:v>
                </c:pt>
                <c:pt idx="1">
                  <c:v>27500</c:v>
                </c:pt>
              </c:numCache>
            </c:numRef>
          </c:yVal>
          <c:smooth val="1"/>
          <c:extLst>
            <c:ext xmlns:c16="http://schemas.microsoft.com/office/drawing/2014/chart" uri="{C3380CC4-5D6E-409C-BE32-E72D297353CC}">
              <c16:uniqueId val="{00000000-DE89-5443-8C74-CDF0AF3887DB}"/>
            </c:ext>
          </c:extLst>
        </c:ser>
        <c:ser>
          <c:idx val="1"/>
          <c:order val="1"/>
          <c:spPr>
            <a:ln>
              <a:solidFill>
                <a:srgbClr val="000000"/>
              </a:solidFill>
            </a:ln>
          </c:spPr>
          <c:marker>
            <c:symbol val="none"/>
          </c:marker>
          <c:xVal>
            <c:numRef>
              <c:f>Assets!$D$396:$D$397</c:f>
              <c:numCache>
                <c:formatCode>0</c:formatCode>
                <c:ptCount val="2"/>
                <c:pt idx="0">
                  <c:v>416.66666666666663</c:v>
                </c:pt>
                <c:pt idx="1">
                  <c:v>3000</c:v>
                </c:pt>
              </c:numCache>
            </c:numRef>
          </c:xVal>
          <c:yVal>
            <c:numRef>
              <c:f>Assets!$A$396:$A$397</c:f>
              <c:numCache>
                <c:formatCode>#,##0</c:formatCode>
                <c:ptCount val="2"/>
                <c:pt idx="0">
                  <c:v>15000</c:v>
                </c:pt>
                <c:pt idx="1">
                  <c:v>37500</c:v>
                </c:pt>
              </c:numCache>
            </c:numRef>
          </c:yVal>
          <c:smooth val="1"/>
          <c:extLst>
            <c:ext xmlns:c16="http://schemas.microsoft.com/office/drawing/2014/chart" uri="{C3380CC4-5D6E-409C-BE32-E72D297353CC}">
              <c16:uniqueId val="{00000001-DE89-5443-8C74-CDF0AF3887DB}"/>
            </c:ext>
          </c:extLst>
        </c:ser>
        <c:ser>
          <c:idx val="2"/>
          <c:order val="2"/>
          <c:spPr>
            <a:ln>
              <a:solidFill>
                <a:srgbClr val="000000"/>
              </a:solidFill>
            </a:ln>
          </c:spPr>
          <c:marker>
            <c:symbol val="none"/>
          </c:marker>
          <c:xVal>
            <c:numRef>
              <c:f>Assets!$E$398:$E$399</c:f>
              <c:numCache>
                <c:formatCode>0</c:formatCode>
                <c:ptCount val="2"/>
                <c:pt idx="0">
                  <c:v>750</c:v>
                </c:pt>
                <c:pt idx="1">
                  <c:v>3500</c:v>
                </c:pt>
              </c:numCache>
            </c:numRef>
          </c:xVal>
          <c:yVal>
            <c:numRef>
              <c:f>Assets!$A$398:$A$399</c:f>
              <c:numCache>
                <c:formatCode>#,##0</c:formatCode>
                <c:ptCount val="2"/>
                <c:pt idx="0">
                  <c:v>23500</c:v>
                </c:pt>
                <c:pt idx="1">
                  <c:v>47500</c:v>
                </c:pt>
              </c:numCache>
            </c:numRef>
          </c:yVal>
          <c:smooth val="1"/>
          <c:extLst>
            <c:ext xmlns:c16="http://schemas.microsoft.com/office/drawing/2014/chart" uri="{C3380CC4-5D6E-409C-BE32-E72D297353CC}">
              <c16:uniqueId val="{00000002-DE89-5443-8C74-CDF0AF3887DB}"/>
            </c:ext>
          </c:extLst>
        </c:ser>
        <c:ser>
          <c:idx val="3"/>
          <c:order val="3"/>
          <c:spPr>
            <a:ln>
              <a:solidFill>
                <a:srgbClr val="000000"/>
              </a:solidFill>
            </a:ln>
          </c:spPr>
          <c:marker>
            <c:symbol val="none"/>
          </c:marker>
          <c:xVal>
            <c:numRef>
              <c:f>Assets!$F$400:$F$401</c:f>
              <c:numCache>
                <c:formatCode>0</c:formatCode>
                <c:ptCount val="2"/>
                <c:pt idx="0">
                  <c:v>1250</c:v>
                </c:pt>
                <c:pt idx="1">
                  <c:v>4000</c:v>
                </c:pt>
              </c:numCache>
            </c:numRef>
          </c:xVal>
          <c:yVal>
            <c:numRef>
              <c:f>Assets!$A$400:$A$401</c:f>
              <c:numCache>
                <c:formatCode>#,##0</c:formatCode>
                <c:ptCount val="2"/>
                <c:pt idx="0">
                  <c:v>33500</c:v>
                </c:pt>
                <c:pt idx="1">
                  <c:v>57500</c:v>
                </c:pt>
              </c:numCache>
            </c:numRef>
          </c:yVal>
          <c:smooth val="1"/>
          <c:extLst>
            <c:ext xmlns:c16="http://schemas.microsoft.com/office/drawing/2014/chart" uri="{C3380CC4-5D6E-409C-BE32-E72D297353CC}">
              <c16:uniqueId val="{00000003-DE89-5443-8C74-CDF0AF3887DB}"/>
            </c:ext>
          </c:extLst>
        </c:ser>
        <c:ser>
          <c:idx val="4"/>
          <c:order val="4"/>
          <c:spPr>
            <a:ln>
              <a:solidFill>
                <a:srgbClr val="000000"/>
              </a:solidFill>
            </a:ln>
          </c:spPr>
          <c:marker>
            <c:symbol val="none"/>
          </c:marker>
          <c:xVal>
            <c:numRef>
              <c:f>Assets!$G$402:$G$403</c:f>
              <c:numCache>
                <c:formatCode>0</c:formatCode>
                <c:ptCount val="2"/>
                <c:pt idx="0">
                  <c:v>1750</c:v>
                </c:pt>
                <c:pt idx="1">
                  <c:v>4000</c:v>
                </c:pt>
              </c:numCache>
            </c:numRef>
          </c:xVal>
          <c:yVal>
            <c:numRef>
              <c:f>Assets!$A$402:$A$403</c:f>
              <c:numCache>
                <c:formatCode>#,##0</c:formatCode>
                <c:ptCount val="2"/>
                <c:pt idx="0">
                  <c:v>44000</c:v>
                </c:pt>
                <c:pt idx="1">
                  <c:v>63500</c:v>
                </c:pt>
              </c:numCache>
            </c:numRef>
          </c:yVal>
          <c:smooth val="1"/>
          <c:extLst>
            <c:ext xmlns:c16="http://schemas.microsoft.com/office/drawing/2014/chart" uri="{C3380CC4-5D6E-409C-BE32-E72D297353CC}">
              <c16:uniqueId val="{00000004-DE89-5443-8C74-CDF0AF3887DB}"/>
            </c:ext>
          </c:extLst>
        </c:ser>
        <c:ser>
          <c:idx val="5"/>
          <c:order val="5"/>
          <c:spPr>
            <a:ln>
              <a:solidFill>
                <a:srgbClr val="000000"/>
              </a:solidFill>
            </a:ln>
          </c:spPr>
          <c:marker>
            <c:symbol val="none"/>
          </c:marker>
          <c:xVal>
            <c:numRef>
              <c:f>Assets!$H$404:$H$405</c:f>
              <c:numCache>
                <c:formatCode>0</c:formatCode>
                <c:ptCount val="2"/>
                <c:pt idx="0">
                  <c:v>2325</c:v>
                </c:pt>
                <c:pt idx="1">
                  <c:v>4000</c:v>
                </c:pt>
              </c:numCache>
            </c:numRef>
          </c:xVal>
          <c:yVal>
            <c:numRef>
              <c:f>Assets!$A$404:$A$405</c:f>
              <c:numCache>
                <c:formatCode>#,##0</c:formatCode>
                <c:ptCount val="2"/>
                <c:pt idx="0">
                  <c:v>54500</c:v>
                </c:pt>
                <c:pt idx="1">
                  <c:v>69000</c:v>
                </c:pt>
              </c:numCache>
            </c:numRef>
          </c:yVal>
          <c:smooth val="1"/>
          <c:extLst>
            <c:ext xmlns:c16="http://schemas.microsoft.com/office/drawing/2014/chart" uri="{C3380CC4-5D6E-409C-BE32-E72D297353CC}">
              <c16:uniqueId val="{00000005-DE89-5443-8C74-CDF0AF3887DB}"/>
            </c:ext>
          </c:extLst>
        </c:ser>
        <c:ser>
          <c:idx val="6"/>
          <c:order val="6"/>
          <c:marker>
            <c:symbol val="none"/>
          </c:marker>
          <c:yVal>
            <c:numLit>
              <c:formatCode>General</c:formatCode>
              <c:ptCount val="1"/>
              <c:pt idx="0">
                <c:v>1</c:v>
              </c:pt>
            </c:numLit>
          </c:yVal>
          <c:smooth val="1"/>
          <c:extLst>
            <c:ext xmlns:c16="http://schemas.microsoft.com/office/drawing/2014/chart" uri="{C3380CC4-5D6E-409C-BE32-E72D297353CC}">
              <c16:uniqueId val="{00000006-DE89-5443-8C74-CDF0AF3887DB}"/>
            </c:ext>
          </c:extLst>
        </c:ser>
        <c:ser>
          <c:idx val="7"/>
          <c:order val="7"/>
          <c:spPr>
            <a:ln>
              <a:solidFill>
                <a:srgbClr val="000000"/>
              </a:solidFill>
            </a:ln>
          </c:spPr>
          <c:marker>
            <c:symbol val="none"/>
          </c:marker>
          <c:xVal>
            <c:numRef>
              <c:f>Assets!$I$406:$I$407</c:f>
              <c:numCache>
                <c:formatCode>0</c:formatCode>
                <c:ptCount val="2"/>
                <c:pt idx="0">
                  <c:v>2833.333333333333</c:v>
                </c:pt>
                <c:pt idx="1">
                  <c:v>4000</c:v>
                </c:pt>
              </c:numCache>
            </c:numRef>
          </c:xVal>
          <c:yVal>
            <c:numRef>
              <c:f>Assets!$A$406:$A$407</c:f>
              <c:numCache>
                <c:formatCode>#,##0</c:formatCode>
                <c:ptCount val="2"/>
                <c:pt idx="0">
                  <c:v>64000</c:v>
                </c:pt>
                <c:pt idx="1">
                  <c:v>74000</c:v>
                </c:pt>
              </c:numCache>
            </c:numRef>
          </c:yVal>
          <c:smooth val="1"/>
          <c:extLst>
            <c:ext xmlns:c16="http://schemas.microsoft.com/office/drawing/2014/chart" uri="{C3380CC4-5D6E-409C-BE32-E72D297353CC}">
              <c16:uniqueId val="{00000007-DE89-5443-8C74-CDF0AF3887DB}"/>
            </c:ext>
          </c:extLst>
        </c:ser>
        <c:ser>
          <c:idx val="8"/>
          <c:order val="8"/>
          <c:spPr>
            <a:ln>
              <a:solidFill>
                <a:srgbClr val="000000"/>
              </a:solidFill>
            </a:ln>
          </c:spPr>
          <c:marker>
            <c:symbol val="none"/>
          </c:marker>
          <c:xVal>
            <c:numRef>
              <c:f>Assets!$J$408:$J$409</c:f>
              <c:numCache>
                <c:formatCode>0</c:formatCode>
                <c:ptCount val="2"/>
                <c:pt idx="0">
                  <c:v>3300</c:v>
                </c:pt>
                <c:pt idx="1">
                  <c:v>4000</c:v>
                </c:pt>
              </c:numCache>
            </c:numRef>
          </c:xVal>
          <c:yVal>
            <c:numRef>
              <c:f>Assets!$A$408:$A$409</c:f>
              <c:numCache>
                <c:formatCode>#,##0</c:formatCode>
                <c:ptCount val="2"/>
                <c:pt idx="0">
                  <c:v>74000</c:v>
                </c:pt>
                <c:pt idx="1">
                  <c:v>80000</c:v>
                </c:pt>
              </c:numCache>
            </c:numRef>
          </c:yVal>
          <c:smooth val="1"/>
          <c:extLst>
            <c:ext xmlns:c16="http://schemas.microsoft.com/office/drawing/2014/chart" uri="{C3380CC4-5D6E-409C-BE32-E72D297353CC}">
              <c16:uniqueId val="{00000008-DE89-5443-8C74-CDF0AF3887DB}"/>
            </c:ext>
          </c:extLst>
        </c:ser>
        <c:ser>
          <c:idx val="9"/>
          <c:order val="9"/>
          <c:spPr>
            <a:ln>
              <a:solidFill>
                <a:srgbClr val="000000"/>
              </a:solidFill>
            </a:ln>
          </c:spPr>
          <c:marker>
            <c:symbol val="none"/>
          </c:marker>
          <c:xVal>
            <c:numRef>
              <c:f>Assets!$K$410:$K$411</c:f>
              <c:numCache>
                <c:formatCode>0</c:formatCode>
                <c:ptCount val="2"/>
                <c:pt idx="0">
                  <c:v>3750</c:v>
                </c:pt>
                <c:pt idx="1">
                  <c:v>4000</c:v>
                </c:pt>
              </c:numCache>
            </c:numRef>
          </c:xVal>
          <c:yVal>
            <c:numRef>
              <c:f>Assets!$A$410:$A$411</c:f>
              <c:numCache>
                <c:formatCode>#,##0</c:formatCode>
                <c:ptCount val="2"/>
                <c:pt idx="0">
                  <c:v>84000</c:v>
                </c:pt>
                <c:pt idx="1">
                  <c:v>86000</c:v>
                </c:pt>
              </c:numCache>
            </c:numRef>
          </c:yVal>
          <c:smooth val="1"/>
          <c:extLst>
            <c:ext xmlns:c16="http://schemas.microsoft.com/office/drawing/2014/chart" uri="{C3380CC4-5D6E-409C-BE32-E72D297353CC}">
              <c16:uniqueId val="{00000009-DE89-5443-8C74-CDF0AF3887DB}"/>
            </c:ext>
          </c:extLst>
        </c:ser>
        <c:ser>
          <c:idx val="10"/>
          <c:order val="10"/>
          <c:tx>
            <c:v>min consumption constraint</c:v>
          </c:tx>
          <c:spPr>
            <a:ln>
              <a:solidFill>
                <a:srgbClr val="000000"/>
              </a:solidFill>
            </a:ln>
          </c:spPr>
          <c:marker>
            <c:symbol val="none"/>
          </c:marker>
          <c:xVal>
            <c:numRef>
              <c:f>Assets!$F$425:$F$426</c:f>
              <c:numCache>
                <c:formatCode>_([$€-2]* #,##0.00_);_([$€-2]* \(#,##0.00\);_([$€-2]* "-"??_)</c:formatCode>
                <c:ptCount val="2"/>
              </c:numCache>
            </c:numRef>
          </c:xVal>
          <c:yVal>
            <c:numRef>
              <c:f>Assets!$G$425:$G$426</c:f>
              <c:numCache>
                <c:formatCode>_([$€-2]* #,##0.00_);_([$€-2]* \(#,##0.00\);_([$€-2]* "-"??_)</c:formatCode>
                <c:ptCount val="2"/>
              </c:numCache>
            </c:numRef>
          </c:yVal>
          <c:smooth val="1"/>
          <c:extLst>
            <c:ext xmlns:c16="http://schemas.microsoft.com/office/drawing/2014/chart" uri="{C3380CC4-5D6E-409C-BE32-E72D297353CC}">
              <c16:uniqueId val="{0000000A-DE89-5443-8C74-CDF0AF3887DB}"/>
            </c:ext>
          </c:extLst>
        </c:ser>
        <c:dLbls>
          <c:showLegendKey val="0"/>
          <c:showVal val="0"/>
          <c:showCatName val="0"/>
          <c:showSerName val="0"/>
          <c:showPercent val="0"/>
          <c:showBubbleSize val="0"/>
        </c:dLbls>
        <c:axId val="242182400"/>
        <c:axId val="242196864"/>
      </c:scatterChart>
      <c:valAx>
        <c:axId val="242182400"/>
        <c:scaling>
          <c:orientation val="minMax"/>
        </c:scaling>
        <c:delete val="0"/>
        <c:axPos val="b"/>
        <c:title>
          <c:tx>
            <c:rich>
              <a:bodyPr/>
              <a:lstStyle/>
              <a:p>
                <a:pPr>
                  <a:defRPr sz="1125" b="1" i="0" u="none" strike="noStrike" baseline="0">
                    <a:solidFill>
                      <a:srgbClr val="000000"/>
                    </a:solidFill>
                    <a:latin typeface="Univers 45 Light"/>
                    <a:ea typeface="Univers 45 Light"/>
                    <a:cs typeface="Univers 45 Light"/>
                  </a:defRPr>
                </a:pPr>
                <a:r>
                  <a:rPr lang="en-GB"/>
                  <a:t>Output</a:t>
                </a:r>
                <a:r>
                  <a:rPr lang="en-GB" baseline="0"/>
                  <a:t> at Terminals [</a:t>
                </a:r>
                <a:r>
                  <a:rPr lang="en-GB"/>
                  <a:t>kW]</a:t>
                </a:r>
              </a:p>
            </c:rich>
          </c:tx>
          <c:layout>
            <c:manualLayout>
              <c:xMode val="edge"/>
              <c:yMode val="edge"/>
              <c:x val="0.44779606725493432"/>
              <c:y val="0.92335284292671949"/>
            </c:manualLayout>
          </c:layout>
          <c:overlay val="0"/>
          <c:spPr>
            <a:noFill/>
            <a:ln w="25400">
              <a:noFill/>
            </a:ln>
          </c:spPr>
        </c:title>
        <c:numFmt formatCode="0"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Univers 45 Light"/>
                <a:ea typeface="Univers 45 Light"/>
                <a:cs typeface="Univers 45 Light"/>
              </a:defRPr>
            </a:pPr>
            <a:endParaRPr lang="en-US"/>
          </a:p>
        </c:txPr>
        <c:crossAx val="242196864"/>
        <c:crosses val="autoZero"/>
        <c:crossBetween val="midCat"/>
      </c:valAx>
      <c:valAx>
        <c:axId val="242196864"/>
        <c:scaling>
          <c:orientation val="minMax"/>
        </c:scaling>
        <c:delete val="0"/>
        <c:axPos val="l"/>
        <c:title>
          <c:tx>
            <c:rich>
              <a:bodyPr/>
              <a:lstStyle/>
              <a:p>
                <a:pPr>
                  <a:defRPr sz="1125" b="1" i="0" u="none" strike="noStrike" baseline="0">
                    <a:solidFill>
                      <a:srgbClr val="000000"/>
                    </a:solidFill>
                    <a:latin typeface="Univers 45 Light"/>
                    <a:ea typeface="Univers 45 Light"/>
                    <a:cs typeface="Univers 45 Light"/>
                  </a:defRPr>
                </a:pPr>
                <a:r>
                  <a:rPr lang="en-GB"/>
                  <a:t> Steam Consumptin</a:t>
                </a:r>
                <a:r>
                  <a:rPr lang="en-GB" baseline="0"/>
                  <a:t> [lb/hr]</a:t>
                </a:r>
                <a:endParaRPr lang="en-GB"/>
              </a:p>
            </c:rich>
          </c:tx>
          <c:layout>
            <c:manualLayout>
              <c:xMode val="edge"/>
              <c:yMode val="edge"/>
              <c:x val="1.0000066064883E-2"/>
              <c:y val="0.2986426020939508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Univers 45 Light"/>
                <a:ea typeface="Univers 45 Light"/>
                <a:cs typeface="Univers 45 Light"/>
              </a:defRPr>
            </a:pPr>
            <a:endParaRPr lang="en-US"/>
          </a:p>
        </c:txPr>
        <c:crossAx val="242182400"/>
        <c:crosses val="autoZero"/>
        <c:crossBetween val="midCat"/>
      </c:valAx>
      <c:spPr>
        <a:noFill/>
        <a:ln w="12700">
          <a:solidFill>
            <a:srgbClr val="808080"/>
          </a:solidFill>
          <a:prstDash val="solid"/>
        </a:ln>
      </c:spPr>
    </c:plotArea>
    <c:plotVisOnly val="1"/>
    <c:dispBlanksAs val="gap"/>
    <c:showDLblsOverMax val="0"/>
  </c:chart>
  <c:spPr>
    <a:solidFill>
      <a:schemeClr val="bg1"/>
    </a:solidFill>
    <a:ln w="9525">
      <a:noFill/>
    </a:ln>
  </c:spPr>
  <c:txPr>
    <a:bodyPr/>
    <a:lstStyle/>
    <a:p>
      <a:pPr>
        <a:defRPr sz="1775" b="0" i="0" u="none" strike="noStrike" baseline="0">
          <a:solidFill>
            <a:srgbClr val="000000"/>
          </a:solidFill>
          <a:latin typeface="Univers 45 Light"/>
          <a:ea typeface="Univers 45 Light"/>
          <a:cs typeface="Univers 45 Light"/>
        </a:defRPr>
      </a:pPr>
      <a:endParaRPr lang="en-US"/>
    </a:p>
  </c:txPr>
  <c:printSettings>
    <c:headerFooter alignWithMargins="0"/>
    <c:pageMargins b="1" l="0.75000000000001465" r="0.7500000000000146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45018763718771"/>
          <c:y val="4.9910960322950004E-2"/>
          <c:w val="0.83294710755505263"/>
          <c:h val="0.8092705709506095"/>
        </c:manualLayout>
      </c:layout>
      <c:scatterChart>
        <c:scatterStyle val="smoothMarker"/>
        <c:varyColors val="0"/>
        <c:ser>
          <c:idx val="0"/>
          <c:order val="0"/>
          <c:spPr>
            <a:ln>
              <a:solidFill>
                <a:srgbClr val="000000"/>
              </a:solidFill>
            </a:ln>
          </c:spPr>
          <c:marker>
            <c:symbol val="none"/>
          </c:marker>
          <c:xVal>
            <c:numRef>
              <c:f>Assets!$C$463:$C$464</c:f>
              <c:numCache>
                <c:formatCode>#,##0.00</c:formatCode>
                <c:ptCount val="2"/>
                <c:pt idx="0">
                  <c:v>1</c:v>
                </c:pt>
                <c:pt idx="1">
                  <c:v>8.1999999999999993</c:v>
                </c:pt>
              </c:numCache>
            </c:numRef>
          </c:xVal>
          <c:yVal>
            <c:numRef>
              <c:f>Assets!$B$463:$B$464</c:f>
              <c:numCache>
                <c:formatCode>#,##0.00</c:formatCode>
                <c:ptCount val="2"/>
                <c:pt idx="0">
                  <c:v>12.75</c:v>
                </c:pt>
                <c:pt idx="1">
                  <c:v>52</c:v>
                </c:pt>
              </c:numCache>
            </c:numRef>
          </c:yVal>
          <c:smooth val="1"/>
          <c:extLst>
            <c:ext xmlns:c16="http://schemas.microsoft.com/office/drawing/2014/chart" uri="{C3380CC4-5D6E-409C-BE32-E72D297353CC}">
              <c16:uniqueId val="{00000000-3E02-C440-B137-EDDCD244198F}"/>
            </c:ext>
          </c:extLst>
        </c:ser>
        <c:ser>
          <c:idx val="1"/>
          <c:order val="1"/>
          <c:spPr>
            <a:ln>
              <a:solidFill>
                <a:srgbClr val="000000"/>
              </a:solidFill>
            </a:ln>
          </c:spPr>
          <c:marker>
            <c:symbol val="none"/>
          </c:marker>
          <c:xVal>
            <c:numRef>
              <c:f>Assets!$D$465:$D$466</c:f>
              <c:numCache>
                <c:formatCode>#,##0.00</c:formatCode>
                <c:ptCount val="2"/>
                <c:pt idx="0">
                  <c:v>1</c:v>
                </c:pt>
                <c:pt idx="1">
                  <c:v>7.75</c:v>
                </c:pt>
              </c:numCache>
            </c:numRef>
          </c:xVal>
          <c:yVal>
            <c:numRef>
              <c:f>Assets!$B$465:$B$466</c:f>
              <c:numCache>
                <c:formatCode>#,##0.00</c:formatCode>
                <c:ptCount val="2"/>
                <c:pt idx="0">
                  <c:v>15.25</c:v>
                </c:pt>
                <c:pt idx="1">
                  <c:v>52</c:v>
                </c:pt>
              </c:numCache>
            </c:numRef>
          </c:yVal>
          <c:smooth val="1"/>
          <c:extLst>
            <c:ext xmlns:c16="http://schemas.microsoft.com/office/drawing/2014/chart" uri="{C3380CC4-5D6E-409C-BE32-E72D297353CC}">
              <c16:uniqueId val="{00000001-3E02-C440-B137-EDDCD244198F}"/>
            </c:ext>
          </c:extLst>
        </c:ser>
        <c:ser>
          <c:idx val="2"/>
          <c:order val="2"/>
          <c:tx>
            <c:strRef>
              <c:f>Assets!$E$461</c:f>
              <c:strCache>
                <c:ptCount val="1"/>
                <c:pt idx="0">
                  <c:v>10.00</c:v>
                </c:pt>
              </c:strCache>
            </c:strRef>
          </c:tx>
          <c:spPr>
            <a:ln>
              <a:solidFill>
                <a:srgbClr val="000000"/>
              </a:solidFill>
            </a:ln>
          </c:spPr>
          <c:marker>
            <c:symbol val="none"/>
          </c:marker>
          <c:xVal>
            <c:numRef>
              <c:f>Assets!$E$467:$E$468</c:f>
              <c:numCache>
                <c:formatCode>#,##0.00</c:formatCode>
                <c:ptCount val="2"/>
                <c:pt idx="0">
                  <c:v>1</c:v>
                </c:pt>
                <c:pt idx="1">
                  <c:v>7.2</c:v>
                </c:pt>
              </c:numCache>
            </c:numRef>
          </c:xVal>
          <c:yVal>
            <c:numRef>
              <c:f>Assets!$B$467:$B$468</c:f>
              <c:numCache>
                <c:formatCode>#,##0.00</c:formatCode>
                <c:ptCount val="2"/>
                <c:pt idx="0">
                  <c:v>18</c:v>
                </c:pt>
                <c:pt idx="1">
                  <c:v>51.75</c:v>
                </c:pt>
              </c:numCache>
            </c:numRef>
          </c:yVal>
          <c:smooth val="1"/>
          <c:extLst>
            <c:ext xmlns:c16="http://schemas.microsoft.com/office/drawing/2014/chart" uri="{C3380CC4-5D6E-409C-BE32-E72D297353CC}">
              <c16:uniqueId val="{00000002-3E02-C440-B137-EDDCD244198F}"/>
            </c:ext>
          </c:extLst>
        </c:ser>
        <c:ser>
          <c:idx val="3"/>
          <c:order val="3"/>
          <c:tx>
            <c:strRef>
              <c:f>Assets!$F$461</c:f>
              <c:strCache>
                <c:ptCount val="1"/>
                <c:pt idx="0">
                  <c:v>15.00</c:v>
                </c:pt>
              </c:strCache>
            </c:strRef>
          </c:tx>
          <c:spPr>
            <a:ln>
              <a:solidFill>
                <a:srgbClr val="000000"/>
              </a:solidFill>
            </a:ln>
          </c:spPr>
          <c:marker>
            <c:symbol val="none"/>
          </c:marker>
          <c:xVal>
            <c:numRef>
              <c:f>Assets!$F$469:$F$470</c:f>
              <c:numCache>
                <c:formatCode>#,##0.00</c:formatCode>
                <c:ptCount val="2"/>
                <c:pt idx="0">
                  <c:v>1</c:v>
                </c:pt>
                <c:pt idx="1">
                  <c:v>6.9</c:v>
                </c:pt>
              </c:numCache>
            </c:numRef>
          </c:xVal>
          <c:yVal>
            <c:numRef>
              <c:f>Assets!$B$469:$B$470</c:f>
              <c:numCache>
                <c:formatCode>#,##0.00</c:formatCode>
                <c:ptCount val="2"/>
                <c:pt idx="0">
                  <c:v>20</c:v>
                </c:pt>
                <c:pt idx="1">
                  <c:v>52</c:v>
                </c:pt>
              </c:numCache>
            </c:numRef>
          </c:yVal>
          <c:smooth val="1"/>
          <c:extLst>
            <c:ext xmlns:c16="http://schemas.microsoft.com/office/drawing/2014/chart" uri="{C3380CC4-5D6E-409C-BE32-E72D297353CC}">
              <c16:uniqueId val="{00000003-3E02-C440-B137-EDDCD244198F}"/>
            </c:ext>
          </c:extLst>
        </c:ser>
        <c:ser>
          <c:idx val="4"/>
          <c:order val="4"/>
          <c:tx>
            <c:strRef>
              <c:f>Assets!$G$461</c:f>
              <c:strCache>
                <c:ptCount val="1"/>
                <c:pt idx="0">
                  <c:v>20.00</c:v>
                </c:pt>
              </c:strCache>
            </c:strRef>
          </c:tx>
          <c:spPr>
            <a:ln>
              <a:solidFill>
                <a:srgbClr val="000000"/>
              </a:solidFill>
            </a:ln>
          </c:spPr>
          <c:marker>
            <c:symbol val="none"/>
          </c:marker>
          <c:xVal>
            <c:numRef>
              <c:f>Assets!$G$471:$G$472</c:f>
              <c:numCache>
                <c:formatCode>#,##0.00</c:formatCode>
                <c:ptCount val="2"/>
                <c:pt idx="0">
                  <c:v>1</c:v>
                </c:pt>
                <c:pt idx="1">
                  <c:v>6.4</c:v>
                </c:pt>
              </c:numCache>
            </c:numRef>
          </c:xVal>
          <c:yVal>
            <c:numRef>
              <c:f>Assets!$B$471:$B$472</c:f>
              <c:numCache>
                <c:formatCode>#,##0.00</c:formatCode>
                <c:ptCount val="2"/>
                <c:pt idx="0">
                  <c:v>23</c:v>
                </c:pt>
                <c:pt idx="1">
                  <c:v>52</c:v>
                </c:pt>
              </c:numCache>
            </c:numRef>
          </c:yVal>
          <c:smooth val="1"/>
          <c:extLst>
            <c:ext xmlns:c16="http://schemas.microsoft.com/office/drawing/2014/chart" uri="{C3380CC4-5D6E-409C-BE32-E72D297353CC}">
              <c16:uniqueId val="{00000004-3E02-C440-B137-EDDCD244198F}"/>
            </c:ext>
          </c:extLst>
        </c:ser>
        <c:ser>
          <c:idx val="5"/>
          <c:order val="5"/>
          <c:tx>
            <c:strRef>
              <c:f>Assets!$H$461</c:f>
              <c:strCache>
                <c:ptCount val="1"/>
                <c:pt idx="0">
                  <c:v>22.68</c:v>
                </c:pt>
              </c:strCache>
            </c:strRef>
          </c:tx>
          <c:spPr>
            <a:ln>
              <a:solidFill>
                <a:srgbClr val="000000"/>
              </a:solidFill>
            </a:ln>
          </c:spPr>
          <c:marker>
            <c:symbol val="none"/>
          </c:marker>
          <c:xVal>
            <c:numRef>
              <c:f>Assets!$H$473:$H$474</c:f>
              <c:numCache>
                <c:formatCode>#,##0.00</c:formatCode>
                <c:ptCount val="2"/>
                <c:pt idx="0">
                  <c:v>1.2</c:v>
                </c:pt>
                <c:pt idx="1">
                  <c:v>6.2</c:v>
                </c:pt>
              </c:numCache>
            </c:numRef>
          </c:xVal>
          <c:yVal>
            <c:numRef>
              <c:f>Assets!$B$473:$B$474</c:f>
              <c:numCache>
                <c:formatCode>#,##0.00</c:formatCode>
                <c:ptCount val="2"/>
                <c:pt idx="0">
                  <c:v>25.18</c:v>
                </c:pt>
                <c:pt idx="1">
                  <c:v>52.18</c:v>
                </c:pt>
              </c:numCache>
            </c:numRef>
          </c:yVal>
          <c:smooth val="1"/>
          <c:extLst>
            <c:ext xmlns:c16="http://schemas.microsoft.com/office/drawing/2014/chart" uri="{C3380CC4-5D6E-409C-BE32-E72D297353CC}">
              <c16:uniqueId val="{00000005-3E02-C440-B137-EDDCD244198F}"/>
            </c:ext>
          </c:extLst>
        </c:ser>
        <c:dLbls>
          <c:showLegendKey val="0"/>
          <c:showVal val="0"/>
          <c:showCatName val="0"/>
          <c:showSerName val="0"/>
          <c:showPercent val="0"/>
          <c:showBubbleSize val="0"/>
        </c:dLbls>
        <c:axId val="242303360"/>
        <c:axId val="242305280"/>
      </c:scatterChart>
      <c:valAx>
        <c:axId val="242303360"/>
        <c:scaling>
          <c:orientation val="minMax"/>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125" b="1" i="0" u="none" strike="noStrike" baseline="0">
                    <a:solidFill>
                      <a:srgbClr val="000000"/>
                    </a:solidFill>
                    <a:latin typeface="Univers 45 Light"/>
                    <a:ea typeface="Univers 45 Light"/>
                    <a:cs typeface="Univers 45 Light"/>
                  </a:defRPr>
                </a:pPr>
                <a:r>
                  <a:rPr lang="en-GB"/>
                  <a:t>Electrical Output [MWe]</a:t>
                </a:r>
              </a:p>
            </c:rich>
          </c:tx>
          <c:layout>
            <c:manualLayout>
              <c:xMode val="edge"/>
              <c:yMode val="edge"/>
              <c:x val="0.44779606725493432"/>
              <c:y val="0.92335284292671949"/>
            </c:manualLayout>
          </c:layout>
          <c:overlay val="0"/>
          <c:spPr>
            <a:noFill/>
            <a:ln w="25400">
              <a:noFill/>
            </a:ln>
          </c:spPr>
        </c:title>
        <c:numFmt formatCode="#,##0.00"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Univers 45 Light"/>
                <a:ea typeface="Univers 45 Light"/>
                <a:cs typeface="Univers 45 Light"/>
              </a:defRPr>
            </a:pPr>
            <a:endParaRPr lang="en-US"/>
          </a:p>
        </c:txPr>
        <c:crossAx val="242305280"/>
        <c:crosses val="autoZero"/>
        <c:crossBetween val="midCat"/>
      </c:valAx>
      <c:valAx>
        <c:axId val="242305280"/>
        <c:scaling>
          <c:orientation val="minMax"/>
        </c:scaling>
        <c:delete val="0"/>
        <c:axPos val="l"/>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125" b="1" i="0" u="none" strike="noStrike" baseline="0">
                    <a:solidFill>
                      <a:srgbClr val="000000"/>
                    </a:solidFill>
                    <a:latin typeface="Univers 45 Light"/>
                    <a:ea typeface="Univers 45 Light"/>
                    <a:cs typeface="Univers 45 Light"/>
                  </a:defRPr>
                </a:pPr>
                <a:r>
                  <a:rPr lang="en-GB"/>
                  <a:t>Steam Turbine Inet</a:t>
                </a:r>
                <a:r>
                  <a:rPr lang="en-GB" baseline="0"/>
                  <a:t> </a:t>
                </a:r>
                <a:r>
                  <a:rPr lang="en-GB"/>
                  <a:t>Flow [ton/hr]</a:t>
                </a:r>
              </a:p>
            </c:rich>
          </c:tx>
          <c:layout>
            <c:manualLayout>
              <c:xMode val="edge"/>
              <c:yMode val="edge"/>
              <c:x val="9.7131020922801448E-3"/>
              <c:y val="0.164999714520489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Univers 45 Light"/>
                <a:ea typeface="Univers 45 Light"/>
                <a:cs typeface="Univers 45 Light"/>
              </a:defRPr>
            </a:pPr>
            <a:endParaRPr lang="en-US"/>
          </a:p>
        </c:txPr>
        <c:crossAx val="242303360"/>
        <c:crosses val="autoZero"/>
        <c:crossBetween val="midCat"/>
      </c:valAx>
      <c:spPr>
        <a:noFill/>
        <a:ln w="12700">
          <a:solidFill>
            <a:srgbClr val="808080"/>
          </a:solidFill>
          <a:prstDash val="solid"/>
        </a:ln>
      </c:spPr>
    </c:plotArea>
    <c:plotVisOnly val="1"/>
    <c:dispBlanksAs val="gap"/>
    <c:showDLblsOverMax val="0"/>
  </c:chart>
  <c:spPr>
    <a:noFill/>
    <a:ln w="9525">
      <a:noFill/>
    </a:ln>
  </c:spPr>
  <c:txPr>
    <a:bodyPr/>
    <a:lstStyle/>
    <a:p>
      <a:pPr>
        <a:defRPr sz="1775" b="0" i="0" u="none" strike="noStrike" baseline="0">
          <a:solidFill>
            <a:srgbClr val="000000"/>
          </a:solidFill>
          <a:latin typeface="Univers 45 Light"/>
          <a:ea typeface="Univers 45 Light"/>
          <a:cs typeface="Univers 45 Light"/>
        </a:defRPr>
      </a:pPr>
      <a:endParaRPr lang="en-US"/>
    </a:p>
  </c:txPr>
  <c:printSettings>
    <c:headerFooter alignWithMargins="0"/>
    <c:pageMargins b="1" l="0.75000000000001465" r="0.75000000000001465" t="1" header="0.5" footer="0.5"/>
    <c:pageSetup paperSize="9" orientation="landscape"/>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45018763718771"/>
          <c:y val="4.9910960322950004E-2"/>
          <c:w val="0.83294710755505263"/>
          <c:h val="0.70978235417953928"/>
        </c:manualLayout>
      </c:layout>
      <c:scatterChart>
        <c:scatterStyle val="smoothMarker"/>
        <c:varyColors val="0"/>
        <c:ser>
          <c:idx val="0"/>
          <c:order val="0"/>
          <c:tx>
            <c:v>ST Curve</c:v>
          </c:tx>
          <c:spPr>
            <a:ln>
              <a:solidFill>
                <a:schemeClr val="tx1"/>
              </a:solidFill>
            </a:ln>
          </c:spPr>
          <c:marker>
            <c:symbol val="none"/>
          </c:marker>
          <c:xVal>
            <c:numRef>
              <c:f>Assets!$C$532:$C$533</c:f>
              <c:numCache>
                <c:formatCode>_([$€-2]* #,##0.00_);_([$€-2]* \(#,##0.00\);_([$€-2]* "-"??_)</c:formatCode>
                <c:ptCount val="2"/>
                <c:pt idx="0">
                  <c:v>0</c:v>
                </c:pt>
                <c:pt idx="1">
                  <c:v>6</c:v>
                </c:pt>
              </c:numCache>
            </c:numRef>
          </c:xVal>
          <c:yVal>
            <c:numRef>
              <c:f>Assets!$B$532:$B$533</c:f>
              <c:numCache>
                <c:formatCode>#,##0.00</c:formatCode>
                <c:ptCount val="2"/>
                <c:pt idx="0">
                  <c:v>13.607771099999999</c:v>
                </c:pt>
                <c:pt idx="1">
                  <c:v>53.977492030000001</c:v>
                </c:pt>
              </c:numCache>
            </c:numRef>
          </c:yVal>
          <c:smooth val="1"/>
          <c:extLst>
            <c:ext xmlns:c16="http://schemas.microsoft.com/office/drawing/2014/chart" uri="{C3380CC4-5D6E-409C-BE32-E72D297353CC}">
              <c16:uniqueId val="{00000000-ACCE-8E46-B05D-F446FD61BE35}"/>
            </c:ext>
          </c:extLst>
        </c:ser>
        <c:ser>
          <c:idx val="1"/>
          <c:order val="1"/>
          <c:tx>
            <c:v>Trial data</c:v>
          </c:tx>
          <c:marker>
            <c:symbol val="none"/>
          </c:marker>
          <c:xVal>
            <c:numRef>
              <c:f>Assets!$N$533:$R$533</c:f>
              <c:numCache>
                <c:formatCode>_([$€-2]* #,##0.00_);_([$€-2]* \(#,##0.00\);_([$€-2]* "-"??_)</c:formatCode>
                <c:ptCount val="5"/>
                <c:pt idx="0">
                  <c:v>1.5</c:v>
                </c:pt>
                <c:pt idx="1">
                  <c:v>1.8</c:v>
                </c:pt>
                <c:pt idx="2">
                  <c:v>2</c:v>
                </c:pt>
                <c:pt idx="3">
                  <c:v>2.5</c:v>
                </c:pt>
                <c:pt idx="4">
                  <c:v>2.75</c:v>
                </c:pt>
              </c:numCache>
            </c:numRef>
          </c:xVal>
          <c:yVal>
            <c:numRef>
              <c:f>Assets!$N$532:$R$532</c:f>
              <c:numCache>
                <c:formatCode>_([$€-2]* #,##0.00_);_([$€-2]* \(#,##0.00\);_([$€-2]* "-"??_)</c:formatCode>
                <c:ptCount val="5"/>
                <c:pt idx="0">
                  <c:v>20</c:v>
                </c:pt>
                <c:pt idx="1">
                  <c:v>24</c:v>
                </c:pt>
                <c:pt idx="2">
                  <c:v>26</c:v>
                </c:pt>
                <c:pt idx="3">
                  <c:v>33</c:v>
                </c:pt>
                <c:pt idx="4">
                  <c:v>33</c:v>
                </c:pt>
              </c:numCache>
            </c:numRef>
          </c:yVal>
          <c:smooth val="1"/>
          <c:extLst>
            <c:ext xmlns:c16="http://schemas.microsoft.com/office/drawing/2014/chart" uri="{C3380CC4-5D6E-409C-BE32-E72D297353CC}">
              <c16:uniqueId val="{00000001-ACCE-8E46-B05D-F446FD61BE35}"/>
            </c:ext>
          </c:extLst>
        </c:ser>
        <c:dLbls>
          <c:showLegendKey val="0"/>
          <c:showVal val="0"/>
          <c:showCatName val="0"/>
          <c:showSerName val="0"/>
          <c:showPercent val="0"/>
          <c:showBubbleSize val="0"/>
        </c:dLbls>
        <c:axId val="242343296"/>
        <c:axId val="242349568"/>
      </c:scatterChart>
      <c:valAx>
        <c:axId val="242343296"/>
        <c:scaling>
          <c:orientation val="minMax"/>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a:pPr>
                <a:r>
                  <a:rPr lang="en-GB"/>
                  <a:t>Power [MW]</a:t>
                </a:r>
              </a:p>
            </c:rich>
          </c:tx>
          <c:layout>
            <c:manualLayout>
              <c:xMode val="edge"/>
              <c:yMode val="edge"/>
              <c:x val="0.44941912485537783"/>
              <c:y val="0.83821891827934458"/>
            </c:manualLayout>
          </c:layout>
          <c:overlay val="0"/>
          <c:spPr>
            <a:noFill/>
            <a:ln w="25400">
              <a:noFill/>
            </a:ln>
          </c:spPr>
        </c:title>
        <c:numFmt formatCode="_([$€-2]* #,##0.00_);_([$€-2]* \(#,##0.00\);_([$€-2]* &quot;-&quot;??_)" sourceLinked="1"/>
        <c:majorTickMark val="out"/>
        <c:minorTickMark val="out"/>
        <c:tickLblPos val="nextTo"/>
        <c:spPr>
          <a:ln w="3175">
            <a:solidFill>
              <a:srgbClr val="000000"/>
            </a:solidFill>
            <a:prstDash val="solid"/>
          </a:ln>
        </c:spPr>
        <c:txPr>
          <a:bodyPr rot="0" vert="horz"/>
          <a:lstStyle/>
          <a:p>
            <a:pPr>
              <a:defRPr/>
            </a:pPr>
            <a:endParaRPr lang="en-US"/>
          </a:p>
        </c:txPr>
        <c:crossAx val="242349568"/>
        <c:crosses val="autoZero"/>
        <c:crossBetween val="midCat"/>
      </c:valAx>
      <c:valAx>
        <c:axId val="242349568"/>
        <c:scaling>
          <c:orientation val="minMax"/>
        </c:scaling>
        <c:delete val="0"/>
        <c:axPos val="l"/>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a:pPr>
                <a:r>
                  <a:rPr lang="en-GB"/>
                  <a:t>Inlet Steam Flow [t/h]</a:t>
                </a:r>
              </a:p>
            </c:rich>
          </c:tx>
          <c:layout>
            <c:manualLayout>
              <c:xMode val="edge"/>
              <c:yMode val="edge"/>
              <c:x val="1.8561562561545005E-2"/>
              <c:y val="0.17843810336458404"/>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a:pPr>
            <a:endParaRPr lang="en-US"/>
          </a:p>
        </c:txPr>
        <c:crossAx val="242343296"/>
        <c:crosses val="autoZero"/>
        <c:crossBetween val="midCat"/>
      </c:valAx>
      <c:spPr>
        <a:noFill/>
        <a:ln w="12700">
          <a:solidFill>
            <a:srgbClr val="808080"/>
          </a:solidFill>
          <a:prstDash val="solid"/>
        </a:ln>
      </c:spPr>
    </c:plotArea>
    <c:legend>
      <c:legendPos val="b"/>
      <c:overlay val="0"/>
    </c:legend>
    <c:plotVisOnly val="1"/>
    <c:dispBlanksAs val="gap"/>
    <c:showDLblsOverMax val="0"/>
  </c:chart>
  <c:spPr>
    <a:noFill/>
    <a:ln w="9525">
      <a:noFill/>
    </a:ln>
  </c:spPr>
  <c:txPr>
    <a:bodyPr/>
    <a:lstStyle/>
    <a:p>
      <a:pPr>
        <a:defRPr sz="1200" b="0" i="0" u="none" strike="noStrike" baseline="0">
          <a:solidFill>
            <a:srgbClr val="000000"/>
          </a:solidFill>
          <a:latin typeface="Univers 45 Light"/>
          <a:ea typeface="Univers 45 Light"/>
          <a:cs typeface="Univers 45 Light"/>
        </a:defRPr>
      </a:pPr>
      <a:endParaRPr lang="en-US"/>
    </a:p>
  </c:txPr>
  <c:printSettings>
    <c:headerFooter alignWithMargins="0"/>
    <c:pageMargins b="1" l="0.75000000000001465" r="0.75000000000001465" t="1" header="0.5" footer="0.5"/>
    <c:pageSetup paperSize="9"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45018763718771"/>
          <c:y val="4.9910960322950004E-2"/>
          <c:w val="0.83294710755505263"/>
          <c:h val="0.8092705709506095"/>
        </c:manualLayout>
      </c:layout>
      <c:scatterChart>
        <c:scatterStyle val="smoothMarker"/>
        <c:varyColors val="0"/>
        <c:ser>
          <c:idx val="0"/>
          <c:order val="0"/>
          <c:spPr>
            <a:ln>
              <a:solidFill>
                <a:srgbClr val="000000"/>
              </a:solidFill>
            </a:ln>
          </c:spPr>
          <c:marker>
            <c:symbol val="none"/>
          </c:marker>
          <c:xVal>
            <c:numRef>
              <c:f>Assets!$C$394:$C$395</c:f>
              <c:numCache>
                <c:formatCode>0</c:formatCode>
                <c:ptCount val="2"/>
                <c:pt idx="0">
                  <c:v>416.66666666666703</c:v>
                </c:pt>
                <c:pt idx="1">
                  <c:v>2500</c:v>
                </c:pt>
              </c:numCache>
            </c:numRef>
          </c:xVal>
          <c:yVal>
            <c:numRef>
              <c:f>Assets!$B$394:$B$395</c:f>
              <c:numCache>
                <c:formatCode>#,##0.0</c:formatCode>
                <c:ptCount val="2"/>
                <c:pt idx="0">
                  <c:v>4.3091277999999997</c:v>
                </c:pt>
                <c:pt idx="1">
                  <c:v>12.473790999999999</c:v>
                </c:pt>
              </c:numCache>
            </c:numRef>
          </c:yVal>
          <c:smooth val="1"/>
          <c:extLst>
            <c:ext xmlns:c16="http://schemas.microsoft.com/office/drawing/2014/chart" uri="{C3380CC4-5D6E-409C-BE32-E72D297353CC}">
              <c16:uniqueId val="{00000000-C458-5B40-8122-79E11F6C2BF1}"/>
            </c:ext>
          </c:extLst>
        </c:ser>
        <c:ser>
          <c:idx val="1"/>
          <c:order val="1"/>
          <c:spPr>
            <a:ln>
              <a:solidFill>
                <a:srgbClr val="000000"/>
              </a:solidFill>
            </a:ln>
          </c:spPr>
          <c:marker>
            <c:symbol val="none"/>
          </c:marker>
          <c:xVal>
            <c:numRef>
              <c:f>Assets!$D$396:$D$397</c:f>
              <c:numCache>
                <c:formatCode>0</c:formatCode>
                <c:ptCount val="2"/>
                <c:pt idx="0">
                  <c:v>416.66666666666663</c:v>
                </c:pt>
                <c:pt idx="1">
                  <c:v>3000</c:v>
                </c:pt>
              </c:numCache>
            </c:numRef>
          </c:xVal>
          <c:yVal>
            <c:numRef>
              <c:f>Assets!$B$396:$B$397</c:f>
              <c:numCache>
                <c:formatCode>#,##0.0</c:formatCode>
                <c:ptCount val="2"/>
                <c:pt idx="0">
                  <c:v>6.8038859999999994</c:v>
                </c:pt>
                <c:pt idx="1">
                  <c:v>17.009715</c:v>
                </c:pt>
              </c:numCache>
            </c:numRef>
          </c:yVal>
          <c:smooth val="1"/>
          <c:extLst>
            <c:ext xmlns:c16="http://schemas.microsoft.com/office/drawing/2014/chart" uri="{C3380CC4-5D6E-409C-BE32-E72D297353CC}">
              <c16:uniqueId val="{00000001-C458-5B40-8122-79E11F6C2BF1}"/>
            </c:ext>
          </c:extLst>
        </c:ser>
        <c:ser>
          <c:idx val="2"/>
          <c:order val="2"/>
          <c:spPr>
            <a:ln>
              <a:solidFill>
                <a:srgbClr val="000000"/>
              </a:solidFill>
            </a:ln>
          </c:spPr>
          <c:marker>
            <c:symbol val="none"/>
          </c:marker>
          <c:xVal>
            <c:numRef>
              <c:f>Assets!$E$398:$E$399</c:f>
              <c:numCache>
                <c:formatCode>0</c:formatCode>
                <c:ptCount val="2"/>
                <c:pt idx="0">
                  <c:v>750</c:v>
                </c:pt>
                <c:pt idx="1">
                  <c:v>3500</c:v>
                </c:pt>
              </c:numCache>
            </c:numRef>
          </c:xVal>
          <c:yVal>
            <c:numRef>
              <c:f>Assets!$B$398:$B$399</c:f>
              <c:numCache>
                <c:formatCode>#,##0.0</c:formatCode>
                <c:ptCount val="2"/>
                <c:pt idx="0">
                  <c:v>10.659421399999999</c:v>
                </c:pt>
                <c:pt idx="1">
                  <c:v>21.545638999999998</c:v>
                </c:pt>
              </c:numCache>
            </c:numRef>
          </c:yVal>
          <c:smooth val="1"/>
          <c:extLst>
            <c:ext xmlns:c16="http://schemas.microsoft.com/office/drawing/2014/chart" uri="{C3380CC4-5D6E-409C-BE32-E72D297353CC}">
              <c16:uniqueId val="{00000002-C458-5B40-8122-79E11F6C2BF1}"/>
            </c:ext>
          </c:extLst>
        </c:ser>
        <c:ser>
          <c:idx val="3"/>
          <c:order val="3"/>
          <c:spPr>
            <a:ln>
              <a:solidFill>
                <a:srgbClr val="000000"/>
              </a:solidFill>
            </a:ln>
          </c:spPr>
          <c:marker>
            <c:symbol val="none"/>
          </c:marker>
          <c:xVal>
            <c:numRef>
              <c:f>Assets!$F$400:$F$401</c:f>
              <c:numCache>
                <c:formatCode>0</c:formatCode>
                <c:ptCount val="2"/>
                <c:pt idx="0">
                  <c:v>1250</c:v>
                </c:pt>
                <c:pt idx="1">
                  <c:v>4000</c:v>
                </c:pt>
              </c:numCache>
            </c:numRef>
          </c:xVal>
          <c:yVal>
            <c:numRef>
              <c:f>Assets!$B$400:$B$401</c:f>
              <c:numCache>
                <c:formatCode>#,##0.0</c:formatCode>
                <c:ptCount val="2"/>
                <c:pt idx="0">
                  <c:v>15.195345399999999</c:v>
                </c:pt>
                <c:pt idx="1">
                  <c:v>26.081562999999999</c:v>
                </c:pt>
              </c:numCache>
            </c:numRef>
          </c:yVal>
          <c:smooth val="1"/>
          <c:extLst>
            <c:ext xmlns:c16="http://schemas.microsoft.com/office/drawing/2014/chart" uri="{C3380CC4-5D6E-409C-BE32-E72D297353CC}">
              <c16:uniqueId val="{00000003-C458-5B40-8122-79E11F6C2BF1}"/>
            </c:ext>
          </c:extLst>
        </c:ser>
        <c:ser>
          <c:idx val="4"/>
          <c:order val="4"/>
          <c:spPr>
            <a:ln>
              <a:solidFill>
                <a:srgbClr val="000000"/>
              </a:solidFill>
            </a:ln>
          </c:spPr>
          <c:marker>
            <c:symbol val="none"/>
          </c:marker>
          <c:xVal>
            <c:numRef>
              <c:f>Assets!$G$402:$G$403</c:f>
              <c:numCache>
                <c:formatCode>0</c:formatCode>
                <c:ptCount val="2"/>
                <c:pt idx="0">
                  <c:v>1750</c:v>
                </c:pt>
                <c:pt idx="1">
                  <c:v>4000</c:v>
                </c:pt>
              </c:numCache>
            </c:numRef>
          </c:xVal>
          <c:yVal>
            <c:numRef>
              <c:f>Assets!$B$402:$B$403</c:f>
              <c:numCache>
                <c:formatCode>#,##0.0</c:formatCode>
                <c:ptCount val="2"/>
                <c:pt idx="0">
                  <c:v>19.958065599999998</c:v>
                </c:pt>
                <c:pt idx="1">
                  <c:v>28.803117399999998</c:v>
                </c:pt>
              </c:numCache>
            </c:numRef>
          </c:yVal>
          <c:smooth val="1"/>
          <c:extLst>
            <c:ext xmlns:c16="http://schemas.microsoft.com/office/drawing/2014/chart" uri="{C3380CC4-5D6E-409C-BE32-E72D297353CC}">
              <c16:uniqueId val="{00000004-C458-5B40-8122-79E11F6C2BF1}"/>
            </c:ext>
          </c:extLst>
        </c:ser>
        <c:ser>
          <c:idx val="5"/>
          <c:order val="5"/>
          <c:spPr>
            <a:ln>
              <a:solidFill>
                <a:srgbClr val="000000"/>
              </a:solidFill>
            </a:ln>
          </c:spPr>
          <c:marker>
            <c:symbol val="none"/>
          </c:marker>
          <c:xVal>
            <c:numRef>
              <c:f>Assets!$H$404:$H$405</c:f>
              <c:numCache>
                <c:formatCode>0</c:formatCode>
                <c:ptCount val="2"/>
                <c:pt idx="0">
                  <c:v>2325</c:v>
                </c:pt>
                <c:pt idx="1">
                  <c:v>4000</c:v>
                </c:pt>
              </c:numCache>
            </c:numRef>
          </c:xVal>
          <c:yVal>
            <c:numRef>
              <c:f>Assets!$B$404:$B$405</c:f>
              <c:numCache>
                <c:formatCode>#,##0.0</c:formatCode>
                <c:ptCount val="2"/>
                <c:pt idx="0">
                  <c:v>24.720785799999998</c:v>
                </c:pt>
                <c:pt idx="1">
                  <c:v>31.297875599999998</c:v>
                </c:pt>
              </c:numCache>
            </c:numRef>
          </c:yVal>
          <c:smooth val="1"/>
          <c:extLst>
            <c:ext xmlns:c16="http://schemas.microsoft.com/office/drawing/2014/chart" uri="{C3380CC4-5D6E-409C-BE32-E72D297353CC}">
              <c16:uniqueId val="{00000005-C458-5B40-8122-79E11F6C2BF1}"/>
            </c:ext>
          </c:extLst>
        </c:ser>
        <c:ser>
          <c:idx val="6"/>
          <c:order val="6"/>
          <c:marker>
            <c:symbol val="none"/>
          </c:marker>
          <c:yVal>
            <c:numLit>
              <c:formatCode>General</c:formatCode>
              <c:ptCount val="1"/>
              <c:pt idx="0">
                <c:v>1</c:v>
              </c:pt>
            </c:numLit>
          </c:yVal>
          <c:smooth val="1"/>
          <c:extLst>
            <c:ext xmlns:c16="http://schemas.microsoft.com/office/drawing/2014/chart" uri="{C3380CC4-5D6E-409C-BE32-E72D297353CC}">
              <c16:uniqueId val="{00000006-C458-5B40-8122-79E11F6C2BF1}"/>
            </c:ext>
          </c:extLst>
        </c:ser>
        <c:ser>
          <c:idx val="7"/>
          <c:order val="7"/>
          <c:spPr>
            <a:ln>
              <a:solidFill>
                <a:srgbClr val="000000"/>
              </a:solidFill>
            </a:ln>
          </c:spPr>
          <c:marker>
            <c:symbol val="none"/>
          </c:marker>
          <c:xVal>
            <c:numRef>
              <c:f>Assets!$I$406:$I$407</c:f>
              <c:numCache>
                <c:formatCode>0</c:formatCode>
                <c:ptCount val="2"/>
                <c:pt idx="0">
                  <c:v>2833.333333333333</c:v>
                </c:pt>
                <c:pt idx="1">
                  <c:v>4000</c:v>
                </c:pt>
              </c:numCache>
            </c:numRef>
          </c:xVal>
          <c:yVal>
            <c:numRef>
              <c:f>Assets!$B$406:$B$407</c:f>
              <c:numCache>
                <c:formatCode>#,##0.0</c:formatCode>
                <c:ptCount val="2"/>
                <c:pt idx="0">
                  <c:v>29.029913599999997</c:v>
                </c:pt>
                <c:pt idx="1">
                  <c:v>33.565837600000002</c:v>
                </c:pt>
              </c:numCache>
            </c:numRef>
          </c:yVal>
          <c:smooth val="1"/>
          <c:extLst>
            <c:ext xmlns:c16="http://schemas.microsoft.com/office/drawing/2014/chart" uri="{C3380CC4-5D6E-409C-BE32-E72D297353CC}">
              <c16:uniqueId val="{00000007-C458-5B40-8122-79E11F6C2BF1}"/>
            </c:ext>
          </c:extLst>
        </c:ser>
        <c:ser>
          <c:idx val="8"/>
          <c:order val="8"/>
          <c:spPr>
            <a:ln>
              <a:solidFill>
                <a:srgbClr val="000000"/>
              </a:solidFill>
            </a:ln>
          </c:spPr>
          <c:marker>
            <c:symbol val="none"/>
          </c:marker>
          <c:xVal>
            <c:numRef>
              <c:f>Assets!$J$408:$J$409</c:f>
              <c:numCache>
                <c:formatCode>0</c:formatCode>
                <c:ptCount val="2"/>
                <c:pt idx="0">
                  <c:v>3300</c:v>
                </c:pt>
                <c:pt idx="1">
                  <c:v>4000</c:v>
                </c:pt>
              </c:numCache>
            </c:numRef>
          </c:xVal>
          <c:yVal>
            <c:numRef>
              <c:f>Assets!$B$408:$B$409</c:f>
              <c:numCache>
                <c:formatCode>#,##0.0</c:formatCode>
                <c:ptCount val="2"/>
                <c:pt idx="0">
                  <c:v>33.565837600000002</c:v>
                </c:pt>
                <c:pt idx="1">
                  <c:v>36.287391999999997</c:v>
                </c:pt>
              </c:numCache>
            </c:numRef>
          </c:yVal>
          <c:smooth val="1"/>
          <c:extLst>
            <c:ext xmlns:c16="http://schemas.microsoft.com/office/drawing/2014/chart" uri="{C3380CC4-5D6E-409C-BE32-E72D297353CC}">
              <c16:uniqueId val="{00000008-C458-5B40-8122-79E11F6C2BF1}"/>
            </c:ext>
          </c:extLst>
        </c:ser>
        <c:ser>
          <c:idx val="9"/>
          <c:order val="9"/>
          <c:spPr>
            <a:ln>
              <a:solidFill>
                <a:srgbClr val="000000"/>
              </a:solidFill>
            </a:ln>
          </c:spPr>
          <c:marker>
            <c:symbol val="none"/>
          </c:marker>
          <c:xVal>
            <c:numRef>
              <c:f>Assets!$K$410:$K$411</c:f>
              <c:numCache>
                <c:formatCode>0</c:formatCode>
                <c:ptCount val="2"/>
                <c:pt idx="0">
                  <c:v>3750</c:v>
                </c:pt>
                <c:pt idx="1">
                  <c:v>4000</c:v>
                </c:pt>
              </c:numCache>
            </c:numRef>
          </c:xVal>
          <c:yVal>
            <c:numRef>
              <c:f>Assets!$B$410:$B$411</c:f>
              <c:numCache>
                <c:formatCode>#,##0.0</c:formatCode>
                <c:ptCount val="2"/>
                <c:pt idx="0">
                  <c:v>38</c:v>
                </c:pt>
                <c:pt idx="1">
                  <c:v>39.008946399999999</c:v>
                </c:pt>
              </c:numCache>
            </c:numRef>
          </c:yVal>
          <c:smooth val="1"/>
          <c:extLst>
            <c:ext xmlns:c16="http://schemas.microsoft.com/office/drawing/2014/chart" uri="{C3380CC4-5D6E-409C-BE32-E72D297353CC}">
              <c16:uniqueId val="{00000009-C458-5B40-8122-79E11F6C2BF1}"/>
            </c:ext>
          </c:extLst>
        </c:ser>
        <c:ser>
          <c:idx val="10"/>
          <c:order val="10"/>
          <c:tx>
            <c:v>min consumption constraint</c:v>
          </c:tx>
          <c:spPr>
            <a:ln>
              <a:solidFill>
                <a:srgbClr val="000000"/>
              </a:solidFill>
            </a:ln>
          </c:spPr>
          <c:marker>
            <c:symbol val="none"/>
          </c:marker>
          <c:xVal>
            <c:numRef>
              <c:f>Assets!$F$425:$F$426</c:f>
              <c:numCache>
                <c:formatCode>_([$€-2]* #,##0.00_);_([$€-2]* \(#,##0.00\);_([$€-2]* "-"??_)</c:formatCode>
                <c:ptCount val="2"/>
              </c:numCache>
            </c:numRef>
          </c:xVal>
          <c:yVal>
            <c:numRef>
              <c:f>Assets!$G$425:$G$426</c:f>
              <c:numCache>
                <c:formatCode>_([$€-2]* #,##0.00_);_([$€-2]* \(#,##0.00\);_([$€-2]* "-"??_)</c:formatCode>
                <c:ptCount val="2"/>
              </c:numCache>
            </c:numRef>
          </c:yVal>
          <c:smooth val="1"/>
          <c:extLst>
            <c:ext xmlns:c16="http://schemas.microsoft.com/office/drawing/2014/chart" uri="{C3380CC4-5D6E-409C-BE32-E72D297353CC}">
              <c16:uniqueId val="{0000000A-C458-5B40-8122-79E11F6C2BF1}"/>
            </c:ext>
          </c:extLst>
        </c:ser>
        <c:dLbls>
          <c:showLegendKey val="0"/>
          <c:showVal val="0"/>
          <c:showCatName val="0"/>
          <c:showSerName val="0"/>
          <c:showPercent val="0"/>
          <c:showBubbleSize val="0"/>
        </c:dLbls>
        <c:axId val="242484352"/>
        <c:axId val="242486272"/>
      </c:scatterChart>
      <c:valAx>
        <c:axId val="242484352"/>
        <c:scaling>
          <c:orientation val="minMax"/>
        </c:scaling>
        <c:delete val="0"/>
        <c:axPos val="b"/>
        <c:title>
          <c:tx>
            <c:rich>
              <a:bodyPr/>
              <a:lstStyle/>
              <a:p>
                <a:pPr>
                  <a:defRPr sz="1125" b="1" i="0" u="none" strike="noStrike" baseline="0">
                    <a:solidFill>
                      <a:srgbClr val="000000"/>
                    </a:solidFill>
                    <a:latin typeface="Univers 45 Light"/>
                    <a:ea typeface="Univers 45 Light"/>
                    <a:cs typeface="Univers 45 Light"/>
                  </a:defRPr>
                </a:pPr>
                <a:r>
                  <a:rPr lang="en-GB"/>
                  <a:t>Output</a:t>
                </a:r>
                <a:r>
                  <a:rPr lang="en-GB" baseline="0"/>
                  <a:t> at Terminals [</a:t>
                </a:r>
                <a:r>
                  <a:rPr lang="en-GB"/>
                  <a:t>kW]</a:t>
                </a:r>
              </a:p>
            </c:rich>
          </c:tx>
          <c:layout>
            <c:manualLayout>
              <c:xMode val="edge"/>
              <c:yMode val="edge"/>
              <c:x val="0.44779606725493432"/>
              <c:y val="0.92335284292671949"/>
            </c:manualLayout>
          </c:layout>
          <c:overlay val="0"/>
          <c:spPr>
            <a:noFill/>
            <a:ln w="25400">
              <a:noFill/>
            </a:ln>
          </c:spPr>
        </c:title>
        <c:numFmt formatCode="0"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Univers 45 Light"/>
                <a:ea typeface="Univers 45 Light"/>
                <a:cs typeface="Univers 45 Light"/>
              </a:defRPr>
            </a:pPr>
            <a:endParaRPr lang="en-US"/>
          </a:p>
        </c:txPr>
        <c:crossAx val="242486272"/>
        <c:crosses val="autoZero"/>
        <c:crossBetween val="midCat"/>
      </c:valAx>
      <c:valAx>
        <c:axId val="242486272"/>
        <c:scaling>
          <c:orientation val="minMax"/>
        </c:scaling>
        <c:delete val="0"/>
        <c:axPos val="l"/>
        <c:title>
          <c:tx>
            <c:rich>
              <a:bodyPr/>
              <a:lstStyle/>
              <a:p>
                <a:pPr>
                  <a:defRPr sz="1125" b="1" i="0" u="none" strike="noStrike" baseline="0">
                    <a:solidFill>
                      <a:srgbClr val="000000"/>
                    </a:solidFill>
                    <a:latin typeface="Univers 45 Light"/>
                    <a:ea typeface="Univers 45 Light"/>
                    <a:cs typeface="Univers 45 Light"/>
                  </a:defRPr>
                </a:pPr>
                <a:r>
                  <a:rPr lang="en-GB"/>
                  <a:t> Steam Consumptin</a:t>
                </a:r>
                <a:r>
                  <a:rPr lang="en-GB" baseline="0"/>
                  <a:t> [ton/hr]</a:t>
                </a:r>
                <a:endParaRPr lang="en-GB"/>
              </a:p>
            </c:rich>
          </c:tx>
          <c:layout>
            <c:manualLayout>
              <c:xMode val="edge"/>
              <c:yMode val="edge"/>
              <c:x val="1.0000066064883E-2"/>
              <c:y val="0.2986426020939508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Univers 45 Light"/>
                <a:ea typeface="Univers 45 Light"/>
                <a:cs typeface="Univers 45 Light"/>
              </a:defRPr>
            </a:pPr>
            <a:endParaRPr lang="en-US"/>
          </a:p>
        </c:txPr>
        <c:crossAx val="242484352"/>
        <c:crosses val="autoZero"/>
        <c:crossBetween val="midCat"/>
      </c:valAx>
      <c:spPr>
        <a:noFill/>
        <a:ln w="12700">
          <a:solidFill>
            <a:srgbClr val="808080"/>
          </a:solidFill>
          <a:prstDash val="solid"/>
        </a:ln>
      </c:spPr>
    </c:plotArea>
    <c:plotVisOnly val="1"/>
    <c:dispBlanksAs val="gap"/>
    <c:showDLblsOverMax val="0"/>
  </c:chart>
  <c:spPr>
    <a:solidFill>
      <a:schemeClr val="bg1"/>
    </a:solidFill>
    <a:ln w="9525">
      <a:noFill/>
    </a:ln>
  </c:spPr>
  <c:txPr>
    <a:bodyPr/>
    <a:lstStyle/>
    <a:p>
      <a:pPr>
        <a:defRPr sz="1775" b="0" i="0" u="none" strike="noStrike" baseline="0">
          <a:solidFill>
            <a:srgbClr val="000000"/>
          </a:solidFill>
          <a:latin typeface="Univers 45 Light"/>
          <a:ea typeface="Univers 45 Light"/>
          <a:cs typeface="Univers 45 Light"/>
        </a:defRPr>
      </a:pPr>
      <a:endParaRPr lang="en-US"/>
    </a:p>
  </c:txPr>
  <c:printSettings>
    <c:headerFooter alignWithMargins="0"/>
    <c:pageMargins b="1" l="0.75000000000001465" r="0.75000000000001465" t="1" header="0.5" footer="0.5"/>
    <c:pageSetup paperSize="9"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v>1</c:v>
          </c:tx>
          <c:marker>
            <c:symbol val="none"/>
          </c:marker>
          <c:xVal>
            <c:numRef>
              <c:f>Assets!$Q$397:$R$397</c:f>
              <c:numCache>
                <c:formatCode>#,##0.0</c:formatCode>
                <c:ptCount val="2"/>
                <c:pt idx="0">
                  <c:v>4.3091277999999997</c:v>
                </c:pt>
                <c:pt idx="1">
                  <c:v>39.008946399999999</c:v>
                </c:pt>
              </c:numCache>
            </c:numRef>
          </c:xVal>
          <c:yVal>
            <c:numRef>
              <c:f>Assets!$Q$398:$R$398</c:f>
              <c:numCache>
                <c:formatCode>0.0</c:formatCode>
                <c:ptCount val="2"/>
                <c:pt idx="0" formatCode="_([$€-2]* #,##0.00_);_([$€-2]* \(#,##0.00\);_([$€-2]* &quot;-&quot;??_)">
                  <c:v>0</c:v>
                </c:pt>
                <c:pt idx="1">
                  <c:v>36.287391999999997</c:v>
                </c:pt>
              </c:numCache>
            </c:numRef>
          </c:yVal>
          <c:smooth val="1"/>
          <c:extLst>
            <c:ext xmlns:c16="http://schemas.microsoft.com/office/drawing/2014/chart" uri="{C3380CC4-5D6E-409C-BE32-E72D297353CC}">
              <c16:uniqueId val="{00000000-7FDB-DB48-BA92-6F42E84A0230}"/>
            </c:ext>
          </c:extLst>
        </c:ser>
        <c:ser>
          <c:idx val="1"/>
          <c:order val="1"/>
          <c:tx>
            <c:v>2</c:v>
          </c:tx>
          <c:marker>
            <c:symbol val="none"/>
          </c:marker>
          <c:xVal>
            <c:numRef>
              <c:f>Assets!$Q$400:$R$400</c:f>
              <c:numCache>
                <c:formatCode>0.0</c:formatCode>
                <c:ptCount val="2"/>
                <c:pt idx="0" formatCode="#,##0.0">
                  <c:v>39.008946399999999</c:v>
                </c:pt>
                <c:pt idx="1">
                  <c:v>26.081562999999999</c:v>
                </c:pt>
              </c:numCache>
            </c:numRef>
          </c:xVal>
          <c:yVal>
            <c:numRef>
              <c:f>Assets!$Q$401:$R$401</c:f>
              <c:numCache>
                <c:formatCode>0.0</c:formatCode>
                <c:ptCount val="2"/>
                <c:pt idx="0" formatCode="#,##0">
                  <c:v>36.287391999999997</c:v>
                </c:pt>
                <c:pt idx="1">
                  <c:v>13.607771999999999</c:v>
                </c:pt>
              </c:numCache>
            </c:numRef>
          </c:yVal>
          <c:smooth val="1"/>
          <c:extLst>
            <c:ext xmlns:c16="http://schemas.microsoft.com/office/drawing/2014/chart" uri="{C3380CC4-5D6E-409C-BE32-E72D297353CC}">
              <c16:uniqueId val="{00000001-7FDB-DB48-BA92-6F42E84A0230}"/>
            </c:ext>
          </c:extLst>
        </c:ser>
        <c:ser>
          <c:idx val="2"/>
          <c:order val="2"/>
          <c:tx>
            <c:v>3</c:v>
          </c:tx>
          <c:marker>
            <c:symbol val="none"/>
          </c:marker>
          <c:xVal>
            <c:numRef>
              <c:f>Assets!$Q$403:$R$403</c:f>
              <c:numCache>
                <c:formatCode>#,##0.0</c:formatCode>
                <c:ptCount val="2"/>
                <c:pt idx="0">
                  <c:v>26.081562999999999</c:v>
                </c:pt>
                <c:pt idx="1">
                  <c:v>12.473790999999999</c:v>
                </c:pt>
              </c:numCache>
            </c:numRef>
          </c:xVal>
          <c:yVal>
            <c:numRef>
              <c:f>Assets!$Q$404:$R$404</c:f>
              <c:numCache>
                <c:formatCode>_([$€-2]* #,##0.00_);_([$€-2]* \(#,##0.00\);_([$€-2]* "-"??_)</c:formatCode>
                <c:ptCount val="2"/>
                <c:pt idx="0" formatCode="0.0">
                  <c:v>13.607771999999999</c:v>
                </c:pt>
                <c:pt idx="1">
                  <c:v>0</c:v>
                </c:pt>
              </c:numCache>
            </c:numRef>
          </c:yVal>
          <c:smooth val="1"/>
          <c:extLst>
            <c:ext xmlns:c16="http://schemas.microsoft.com/office/drawing/2014/chart" uri="{C3380CC4-5D6E-409C-BE32-E72D297353CC}">
              <c16:uniqueId val="{00000002-7FDB-DB48-BA92-6F42E84A0230}"/>
            </c:ext>
          </c:extLst>
        </c:ser>
        <c:ser>
          <c:idx val="3"/>
          <c:order val="3"/>
          <c:tx>
            <c:v>4</c:v>
          </c:tx>
          <c:marker>
            <c:symbol val="none"/>
          </c:marker>
          <c:xVal>
            <c:numRef>
              <c:f>Assets!$Q$406:$R$406</c:f>
              <c:numCache>
                <c:formatCode>#,##0.0</c:formatCode>
                <c:ptCount val="2"/>
                <c:pt idx="0">
                  <c:v>4.3091277999999997</c:v>
                </c:pt>
                <c:pt idx="1">
                  <c:v>12.473790999999999</c:v>
                </c:pt>
              </c:numCache>
            </c:numRef>
          </c:xVal>
          <c:yVal>
            <c:numRef>
              <c:f>Assets!$Q$407:$R$407</c:f>
              <c:numCache>
                <c:formatCode>_([$€-2]* #,##0.00_);_([$€-2]* \(#,##0.00\);_([$€-2]* "-"??_)</c:formatCode>
                <c:ptCount val="2"/>
                <c:pt idx="0">
                  <c:v>0</c:v>
                </c:pt>
                <c:pt idx="1">
                  <c:v>0</c:v>
                </c:pt>
              </c:numCache>
            </c:numRef>
          </c:yVal>
          <c:smooth val="1"/>
          <c:extLst>
            <c:ext xmlns:c16="http://schemas.microsoft.com/office/drawing/2014/chart" uri="{C3380CC4-5D6E-409C-BE32-E72D297353CC}">
              <c16:uniqueId val="{00000003-7FDB-DB48-BA92-6F42E84A0230}"/>
            </c:ext>
          </c:extLst>
        </c:ser>
        <c:dLbls>
          <c:showLegendKey val="0"/>
          <c:showVal val="0"/>
          <c:showCatName val="0"/>
          <c:showSerName val="0"/>
          <c:showPercent val="0"/>
          <c:showBubbleSize val="0"/>
        </c:dLbls>
        <c:axId val="242529408"/>
        <c:axId val="242531328"/>
      </c:scatterChart>
      <c:valAx>
        <c:axId val="242529408"/>
        <c:scaling>
          <c:orientation val="minMax"/>
        </c:scaling>
        <c:delete val="0"/>
        <c:axPos val="b"/>
        <c:title>
          <c:tx>
            <c:rich>
              <a:bodyPr/>
              <a:lstStyle/>
              <a:p>
                <a:pPr>
                  <a:defRPr/>
                </a:pPr>
                <a:r>
                  <a:rPr lang="en-GB"/>
                  <a:t>ST</a:t>
                </a:r>
                <a:r>
                  <a:rPr lang="en-GB" baseline="0"/>
                  <a:t> 2 Inlet Flow [ton/hr]</a:t>
                </a:r>
                <a:endParaRPr lang="en-GB"/>
              </a:p>
            </c:rich>
          </c:tx>
          <c:overlay val="0"/>
        </c:title>
        <c:numFmt formatCode="#,##0" sourceLinked="0"/>
        <c:majorTickMark val="out"/>
        <c:minorTickMark val="none"/>
        <c:tickLblPos val="nextTo"/>
        <c:crossAx val="242531328"/>
        <c:crosses val="autoZero"/>
        <c:crossBetween val="midCat"/>
      </c:valAx>
      <c:valAx>
        <c:axId val="242531328"/>
        <c:scaling>
          <c:orientation val="minMax"/>
        </c:scaling>
        <c:delete val="0"/>
        <c:axPos val="l"/>
        <c:majorGridlines>
          <c:spPr>
            <a:ln>
              <a:prstDash val="sysDash"/>
            </a:ln>
          </c:spPr>
        </c:majorGridlines>
        <c:title>
          <c:tx>
            <c:rich>
              <a:bodyPr rot="-5400000" vert="horz"/>
              <a:lstStyle/>
              <a:p>
                <a:pPr>
                  <a:defRPr/>
                </a:pPr>
                <a:r>
                  <a:rPr lang="en-GB"/>
                  <a:t>ST 2 Extraction Flow [ton/hr]</a:t>
                </a:r>
              </a:p>
            </c:rich>
          </c:tx>
          <c:overlay val="0"/>
        </c:title>
        <c:numFmt formatCode="_([$€-2]* #,##0.00_);_([$€-2]* \(#,##0.00\);_([$€-2]* &quot;-&quot;??_)" sourceLinked="1"/>
        <c:majorTickMark val="out"/>
        <c:minorTickMark val="none"/>
        <c:tickLblPos val="nextTo"/>
        <c:crossAx val="242529408"/>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v>1</c:v>
          </c:tx>
          <c:marker>
            <c:symbol val="none"/>
          </c:marker>
          <c:xVal>
            <c:numRef>
              <c:f>Assets!$U$466:$V$466</c:f>
              <c:numCache>
                <c:formatCode>#,##0</c:formatCode>
                <c:ptCount val="2"/>
                <c:pt idx="0">
                  <c:v>25.18</c:v>
                </c:pt>
                <c:pt idx="1">
                  <c:v>52.18</c:v>
                </c:pt>
              </c:numCache>
            </c:numRef>
          </c:xVal>
          <c:yVal>
            <c:numRef>
              <c:f>Assets!$U$467:$V$467</c:f>
              <c:numCache>
                <c:formatCode>#,##0</c:formatCode>
                <c:ptCount val="2"/>
                <c:pt idx="0">
                  <c:v>22.68</c:v>
                </c:pt>
                <c:pt idx="1">
                  <c:v>22.68</c:v>
                </c:pt>
              </c:numCache>
            </c:numRef>
          </c:yVal>
          <c:smooth val="1"/>
          <c:extLst>
            <c:ext xmlns:c16="http://schemas.microsoft.com/office/drawing/2014/chart" uri="{C3380CC4-5D6E-409C-BE32-E72D297353CC}">
              <c16:uniqueId val="{00000000-11DB-5F47-AD71-739511CD8612}"/>
            </c:ext>
          </c:extLst>
        </c:ser>
        <c:ser>
          <c:idx val="1"/>
          <c:order val="1"/>
          <c:tx>
            <c:v>2</c:v>
          </c:tx>
          <c:marker>
            <c:symbol val="none"/>
          </c:marker>
          <c:xVal>
            <c:numRef>
              <c:f>Assets!$U$469:$V$469</c:f>
              <c:numCache>
                <c:formatCode>#,##0</c:formatCode>
                <c:ptCount val="2"/>
                <c:pt idx="0">
                  <c:v>52.18</c:v>
                </c:pt>
                <c:pt idx="1">
                  <c:v>52</c:v>
                </c:pt>
              </c:numCache>
            </c:numRef>
          </c:xVal>
          <c:yVal>
            <c:numRef>
              <c:f>Assets!$U$470:$V$470</c:f>
              <c:numCache>
                <c:formatCode>#,##0</c:formatCode>
                <c:ptCount val="2"/>
                <c:pt idx="0">
                  <c:v>22.68</c:v>
                </c:pt>
                <c:pt idx="1">
                  <c:v>0</c:v>
                </c:pt>
              </c:numCache>
            </c:numRef>
          </c:yVal>
          <c:smooth val="1"/>
          <c:extLst>
            <c:ext xmlns:c16="http://schemas.microsoft.com/office/drawing/2014/chart" uri="{C3380CC4-5D6E-409C-BE32-E72D297353CC}">
              <c16:uniqueId val="{00000001-11DB-5F47-AD71-739511CD8612}"/>
            </c:ext>
          </c:extLst>
        </c:ser>
        <c:ser>
          <c:idx val="2"/>
          <c:order val="2"/>
          <c:tx>
            <c:v>3</c:v>
          </c:tx>
          <c:marker>
            <c:symbol val="none"/>
          </c:marker>
          <c:xVal>
            <c:numRef>
              <c:f>Assets!$U$472:$V$472</c:f>
              <c:numCache>
                <c:formatCode>#,##0</c:formatCode>
                <c:ptCount val="2"/>
                <c:pt idx="0">
                  <c:v>52</c:v>
                </c:pt>
                <c:pt idx="1">
                  <c:v>12.75</c:v>
                </c:pt>
              </c:numCache>
            </c:numRef>
          </c:xVal>
          <c:yVal>
            <c:numRef>
              <c:f>Assets!$U$473:$V$473</c:f>
              <c:numCache>
                <c:formatCode>#,##0</c:formatCode>
                <c:ptCount val="2"/>
                <c:pt idx="0">
                  <c:v>0</c:v>
                </c:pt>
                <c:pt idx="1">
                  <c:v>0</c:v>
                </c:pt>
              </c:numCache>
            </c:numRef>
          </c:yVal>
          <c:smooth val="1"/>
          <c:extLst>
            <c:ext xmlns:c16="http://schemas.microsoft.com/office/drawing/2014/chart" uri="{C3380CC4-5D6E-409C-BE32-E72D297353CC}">
              <c16:uniqueId val="{00000002-11DB-5F47-AD71-739511CD8612}"/>
            </c:ext>
          </c:extLst>
        </c:ser>
        <c:ser>
          <c:idx val="3"/>
          <c:order val="3"/>
          <c:tx>
            <c:v>4</c:v>
          </c:tx>
          <c:marker>
            <c:symbol val="none"/>
          </c:marker>
          <c:xVal>
            <c:numRef>
              <c:f>Assets!$U$475:$V$475</c:f>
              <c:numCache>
                <c:formatCode>#,##0</c:formatCode>
                <c:ptCount val="2"/>
                <c:pt idx="0">
                  <c:v>12.75</c:v>
                </c:pt>
                <c:pt idx="1">
                  <c:v>23</c:v>
                </c:pt>
              </c:numCache>
            </c:numRef>
          </c:xVal>
          <c:yVal>
            <c:numRef>
              <c:f>Assets!$U$476:$V$476</c:f>
              <c:numCache>
                <c:formatCode>#,##0</c:formatCode>
                <c:ptCount val="2"/>
                <c:pt idx="0">
                  <c:v>0</c:v>
                </c:pt>
                <c:pt idx="1">
                  <c:v>20</c:v>
                </c:pt>
              </c:numCache>
            </c:numRef>
          </c:yVal>
          <c:smooth val="1"/>
          <c:extLst>
            <c:ext xmlns:c16="http://schemas.microsoft.com/office/drawing/2014/chart" uri="{C3380CC4-5D6E-409C-BE32-E72D297353CC}">
              <c16:uniqueId val="{00000003-11DB-5F47-AD71-739511CD8612}"/>
            </c:ext>
          </c:extLst>
        </c:ser>
        <c:ser>
          <c:idx val="4"/>
          <c:order val="4"/>
          <c:tx>
            <c:v>5</c:v>
          </c:tx>
          <c:marker>
            <c:symbol val="none"/>
          </c:marker>
          <c:xVal>
            <c:numRef>
              <c:f>Assets!$U$478:$V$478</c:f>
              <c:numCache>
                <c:formatCode>#,##0</c:formatCode>
                <c:ptCount val="2"/>
                <c:pt idx="0">
                  <c:v>23</c:v>
                </c:pt>
                <c:pt idx="1">
                  <c:v>25.18</c:v>
                </c:pt>
              </c:numCache>
            </c:numRef>
          </c:xVal>
          <c:yVal>
            <c:numRef>
              <c:f>Assets!$U$479:$V$479</c:f>
              <c:numCache>
                <c:formatCode>#,##0</c:formatCode>
                <c:ptCount val="2"/>
                <c:pt idx="0">
                  <c:v>20</c:v>
                </c:pt>
                <c:pt idx="1">
                  <c:v>22.68</c:v>
                </c:pt>
              </c:numCache>
            </c:numRef>
          </c:yVal>
          <c:smooth val="1"/>
          <c:extLst>
            <c:ext xmlns:c16="http://schemas.microsoft.com/office/drawing/2014/chart" uri="{C3380CC4-5D6E-409C-BE32-E72D297353CC}">
              <c16:uniqueId val="{00000004-11DB-5F47-AD71-739511CD8612}"/>
            </c:ext>
          </c:extLst>
        </c:ser>
        <c:dLbls>
          <c:showLegendKey val="0"/>
          <c:showVal val="0"/>
          <c:showCatName val="0"/>
          <c:showSerName val="0"/>
          <c:showPercent val="0"/>
          <c:showBubbleSize val="0"/>
        </c:dLbls>
        <c:axId val="242563328"/>
        <c:axId val="242565504"/>
      </c:scatterChart>
      <c:valAx>
        <c:axId val="242563328"/>
        <c:scaling>
          <c:orientation val="minMax"/>
        </c:scaling>
        <c:delete val="0"/>
        <c:axPos val="b"/>
        <c:title>
          <c:tx>
            <c:rich>
              <a:bodyPr/>
              <a:lstStyle/>
              <a:p>
                <a:pPr>
                  <a:defRPr/>
                </a:pPr>
                <a:r>
                  <a:rPr lang="en-GB"/>
                  <a:t>Steam Turbine 5 Inlet Flow [ton/hr]</a:t>
                </a:r>
              </a:p>
            </c:rich>
          </c:tx>
          <c:overlay val="0"/>
        </c:title>
        <c:numFmt formatCode="#,##0" sourceLinked="1"/>
        <c:majorTickMark val="out"/>
        <c:minorTickMark val="none"/>
        <c:tickLblPos val="nextTo"/>
        <c:crossAx val="242565504"/>
        <c:crosses val="autoZero"/>
        <c:crossBetween val="midCat"/>
      </c:valAx>
      <c:valAx>
        <c:axId val="242565504"/>
        <c:scaling>
          <c:orientation val="minMax"/>
        </c:scaling>
        <c:delete val="0"/>
        <c:axPos val="l"/>
        <c:majorGridlines>
          <c:spPr>
            <a:ln>
              <a:prstDash val="sysDash"/>
            </a:ln>
          </c:spPr>
        </c:majorGridlines>
        <c:title>
          <c:tx>
            <c:rich>
              <a:bodyPr rot="-5400000" vert="horz"/>
              <a:lstStyle/>
              <a:p>
                <a:pPr>
                  <a:defRPr/>
                </a:pPr>
                <a:r>
                  <a:rPr lang="en-GB"/>
                  <a:t>Steam Turbine 5 Extraction</a:t>
                </a:r>
                <a:r>
                  <a:rPr lang="en-GB" baseline="0"/>
                  <a:t> Flow [ton/hr]</a:t>
                </a:r>
                <a:endParaRPr lang="en-GB"/>
              </a:p>
            </c:rich>
          </c:tx>
          <c:overlay val="0"/>
        </c:title>
        <c:numFmt formatCode="#,##0" sourceLinked="1"/>
        <c:majorTickMark val="out"/>
        <c:minorTickMark val="none"/>
        <c:tickLblPos val="nextTo"/>
        <c:crossAx val="242563328"/>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xVal>
            <c:numRef>
              <c:f>Assets!$C$779:$L$779</c:f>
              <c:numCache>
                <c:formatCode>#,##0.00</c:formatCode>
                <c:ptCount val="10"/>
                <c:pt idx="0">
                  <c:v>3.0554226702372156</c:v>
                </c:pt>
                <c:pt idx="1">
                  <c:v>5.345737882031206</c:v>
                </c:pt>
                <c:pt idx="2">
                  <c:v>5.5784552600940751</c:v>
                </c:pt>
                <c:pt idx="3">
                  <c:v>5.5372481060271381</c:v>
                </c:pt>
                <c:pt idx="4">
                  <c:v>6.3540589827731209</c:v>
                </c:pt>
                <c:pt idx="5">
                  <c:v>8.354906939299017</c:v>
                </c:pt>
                <c:pt idx="6">
                  <c:v>10.545120633662581</c:v>
                </c:pt>
                <c:pt idx="7">
                  <c:v>15.863239184797846</c:v>
                </c:pt>
                <c:pt idx="8">
                  <c:v>20.507061395666256</c:v>
                </c:pt>
                <c:pt idx="9">
                  <c:v>21.352508274384356</c:v>
                </c:pt>
              </c:numCache>
            </c:numRef>
          </c:xVal>
          <c:yVal>
            <c:numRef>
              <c:f>Assets!$C$782:$L$782</c:f>
              <c:numCache>
                <c:formatCode>#,##0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C2C4-074D-BCA6-BF1012BA9FD9}"/>
            </c:ext>
          </c:extLst>
        </c:ser>
        <c:ser>
          <c:idx val="1"/>
          <c:order val="1"/>
          <c:xVal>
            <c:numRef>
              <c:f>Assets!$C$779:$L$779</c:f>
              <c:numCache>
                <c:formatCode>#,##0.00</c:formatCode>
                <c:ptCount val="10"/>
                <c:pt idx="0">
                  <c:v>3.0554226702372156</c:v>
                </c:pt>
                <c:pt idx="1">
                  <c:v>5.345737882031206</c:v>
                </c:pt>
                <c:pt idx="2">
                  <c:v>5.5784552600940751</c:v>
                </c:pt>
                <c:pt idx="3">
                  <c:v>5.5372481060271381</c:v>
                </c:pt>
                <c:pt idx="4">
                  <c:v>6.3540589827731209</c:v>
                </c:pt>
                <c:pt idx="5">
                  <c:v>8.354906939299017</c:v>
                </c:pt>
                <c:pt idx="6">
                  <c:v>10.545120633662581</c:v>
                </c:pt>
                <c:pt idx="7">
                  <c:v>15.863239184797846</c:v>
                </c:pt>
                <c:pt idx="8">
                  <c:v>20.507061395666256</c:v>
                </c:pt>
                <c:pt idx="9">
                  <c:v>21.352508274384356</c:v>
                </c:pt>
              </c:numCache>
            </c:numRef>
          </c:xVal>
          <c:yVal>
            <c:numRef>
              <c:f>Assets!$C$783:$L$783</c:f>
              <c:numCache>
                <c:formatCode>#,##0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C2C4-074D-BCA6-BF1012BA9FD9}"/>
            </c:ext>
          </c:extLst>
        </c:ser>
        <c:dLbls>
          <c:showLegendKey val="0"/>
          <c:showVal val="0"/>
          <c:showCatName val="0"/>
          <c:showSerName val="0"/>
          <c:showPercent val="0"/>
          <c:showBubbleSize val="0"/>
        </c:dLbls>
        <c:axId val="242680960"/>
        <c:axId val="242682880"/>
      </c:scatterChart>
      <c:valAx>
        <c:axId val="242680960"/>
        <c:scaling>
          <c:orientation val="minMax"/>
        </c:scaling>
        <c:delete val="0"/>
        <c:axPos val="b"/>
        <c:title>
          <c:tx>
            <c:rich>
              <a:bodyPr/>
              <a:lstStyle/>
              <a:p>
                <a:pPr>
                  <a:defRPr/>
                </a:pPr>
                <a:r>
                  <a:rPr lang="en-GB"/>
                  <a:t>Steam</a:t>
                </a:r>
                <a:r>
                  <a:rPr lang="en-GB" baseline="0"/>
                  <a:t> output [t/h]</a:t>
                </a:r>
                <a:endParaRPr lang="en-GB"/>
              </a:p>
            </c:rich>
          </c:tx>
          <c:overlay val="0"/>
        </c:title>
        <c:numFmt formatCode="#,##0.00" sourceLinked="1"/>
        <c:majorTickMark val="out"/>
        <c:minorTickMark val="none"/>
        <c:tickLblPos val="nextTo"/>
        <c:crossAx val="242682880"/>
        <c:crosses val="autoZero"/>
        <c:crossBetween val="midCat"/>
      </c:valAx>
      <c:valAx>
        <c:axId val="242682880"/>
        <c:scaling>
          <c:orientation val="minMax"/>
        </c:scaling>
        <c:delete val="0"/>
        <c:axPos val="l"/>
        <c:majorGridlines/>
        <c:numFmt formatCode="#,##0" sourceLinked="1"/>
        <c:majorTickMark val="out"/>
        <c:minorTickMark val="none"/>
        <c:tickLblPos val="nextTo"/>
        <c:crossAx val="242680960"/>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xVal>
            <c:numRef>
              <c:f>Assets!$C$779:$L$779</c:f>
              <c:numCache>
                <c:formatCode>#,##0.00</c:formatCode>
                <c:ptCount val="10"/>
                <c:pt idx="0">
                  <c:v>3.0554226702372156</c:v>
                </c:pt>
                <c:pt idx="1">
                  <c:v>5.345737882031206</c:v>
                </c:pt>
                <c:pt idx="2">
                  <c:v>5.5784552600940751</c:v>
                </c:pt>
                <c:pt idx="3">
                  <c:v>5.5372481060271381</c:v>
                </c:pt>
                <c:pt idx="4">
                  <c:v>6.3540589827731209</c:v>
                </c:pt>
                <c:pt idx="5">
                  <c:v>8.354906939299017</c:v>
                </c:pt>
                <c:pt idx="6">
                  <c:v>10.545120633662581</c:v>
                </c:pt>
                <c:pt idx="7">
                  <c:v>15.863239184797846</c:v>
                </c:pt>
                <c:pt idx="8">
                  <c:v>20.507061395666256</c:v>
                </c:pt>
                <c:pt idx="9">
                  <c:v>21.352508274384356</c:v>
                </c:pt>
              </c:numCache>
            </c:numRef>
          </c:xVal>
          <c:yVal>
            <c:numRef>
              <c:f>Assets!$C$780:$L$780</c:f>
              <c:numCache>
                <c:formatCode>0.0%</c:formatCode>
                <c:ptCount val="10"/>
                <c:pt idx="0">
                  <c:v>0.83499999999999996</c:v>
                </c:pt>
                <c:pt idx="1">
                  <c:v>0.83699999999999997</c:v>
                </c:pt>
                <c:pt idx="2">
                  <c:v>0.83899999999999997</c:v>
                </c:pt>
                <c:pt idx="3">
                  <c:v>0.84099999999999997</c:v>
                </c:pt>
                <c:pt idx="4">
                  <c:v>0.84299999999999997</c:v>
                </c:pt>
                <c:pt idx="5">
                  <c:v>0.84499999999999997</c:v>
                </c:pt>
                <c:pt idx="6">
                  <c:v>0.84699999999999998</c:v>
                </c:pt>
                <c:pt idx="7">
                  <c:v>0.84899999999999998</c:v>
                </c:pt>
                <c:pt idx="8">
                  <c:v>0.85099999999999998</c:v>
                </c:pt>
                <c:pt idx="9">
                  <c:v>0.85299999999999998</c:v>
                </c:pt>
              </c:numCache>
            </c:numRef>
          </c:yVal>
          <c:smooth val="1"/>
          <c:extLst>
            <c:ext xmlns:c16="http://schemas.microsoft.com/office/drawing/2014/chart" uri="{C3380CC4-5D6E-409C-BE32-E72D297353CC}">
              <c16:uniqueId val="{00000000-772F-2345-BA3F-3CE4F6854239}"/>
            </c:ext>
          </c:extLst>
        </c:ser>
        <c:ser>
          <c:idx val="1"/>
          <c:order val="1"/>
          <c:xVal>
            <c:numRef>
              <c:f>Assets!$C$779:$L$779</c:f>
              <c:numCache>
                <c:formatCode>#,##0.00</c:formatCode>
                <c:ptCount val="10"/>
                <c:pt idx="0">
                  <c:v>3.0554226702372156</c:v>
                </c:pt>
                <c:pt idx="1">
                  <c:v>5.345737882031206</c:v>
                </c:pt>
                <c:pt idx="2">
                  <c:v>5.5784552600940751</c:v>
                </c:pt>
                <c:pt idx="3">
                  <c:v>5.5372481060271381</c:v>
                </c:pt>
                <c:pt idx="4">
                  <c:v>6.3540589827731209</c:v>
                </c:pt>
                <c:pt idx="5">
                  <c:v>8.354906939299017</c:v>
                </c:pt>
                <c:pt idx="6">
                  <c:v>10.545120633662581</c:v>
                </c:pt>
                <c:pt idx="7">
                  <c:v>15.863239184797846</c:v>
                </c:pt>
                <c:pt idx="8">
                  <c:v>20.507061395666256</c:v>
                </c:pt>
                <c:pt idx="9">
                  <c:v>21.352508274384356</c:v>
                </c:pt>
              </c:numCache>
            </c:numRef>
          </c:xVal>
          <c:yVal>
            <c:numRef>
              <c:f>Assets!$C$784:$L$784</c:f>
              <c:numCache>
                <c:formatCode>0.00%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772F-2345-BA3F-3CE4F6854239}"/>
            </c:ext>
          </c:extLst>
        </c:ser>
        <c:dLbls>
          <c:showLegendKey val="0"/>
          <c:showVal val="0"/>
          <c:showCatName val="0"/>
          <c:showSerName val="0"/>
          <c:showPercent val="0"/>
          <c:showBubbleSize val="0"/>
        </c:dLbls>
        <c:axId val="242711936"/>
        <c:axId val="242722304"/>
      </c:scatterChart>
      <c:valAx>
        <c:axId val="242711936"/>
        <c:scaling>
          <c:orientation val="minMax"/>
        </c:scaling>
        <c:delete val="0"/>
        <c:axPos val="b"/>
        <c:title>
          <c:tx>
            <c:rich>
              <a:bodyPr/>
              <a:lstStyle/>
              <a:p>
                <a:pPr>
                  <a:defRPr/>
                </a:pPr>
                <a:r>
                  <a:rPr lang="en-GB"/>
                  <a:t>Steam output [t/h]</a:t>
                </a:r>
              </a:p>
            </c:rich>
          </c:tx>
          <c:overlay val="0"/>
        </c:title>
        <c:numFmt formatCode="#,##0.00" sourceLinked="1"/>
        <c:majorTickMark val="out"/>
        <c:minorTickMark val="none"/>
        <c:tickLblPos val="nextTo"/>
        <c:crossAx val="242722304"/>
        <c:crosses val="autoZero"/>
        <c:crossBetween val="midCat"/>
      </c:valAx>
      <c:valAx>
        <c:axId val="242722304"/>
        <c:scaling>
          <c:orientation val="minMax"/>
        </c:scaling>
        <c:delete val="0"/>
        <c:axPos val="l"/>
        <c:majorGridlines/>
        <c:numFmt formatCode="0.0%" sourceLinked="1"/>
        <c:majorTickMark val="out"/>
        <c:minorTickMark val="none"/>
        <c:tickLblPos val="nextTo"/>
        <c:crossAx val="24271193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v>Desired</c:v>
          </c:tx>
          <c:xVal>
            <c:numRef>
              <c:f>Assets!$C$812:$K$812</c:f>
              <c:numCache>
                <c:formatCode>#,##0.00</c:formatCode>
                <c:ptCount val="9"/>
                <c:pt idx="0">
                  <c:v>2</c:v>
                </c:pt>
                <c:pt idx="1">
                  <c:v>4.2703134344548594</c:v>
                </c:pt>
                <c:pt idx="2">
                  <c:v>6.5406268689097189</c:v>
                </c:pt>
                <c:pt idx="3">
                  <c:v>8.8109403033645783</c:v>
                </c:pt>
                <c:pt idx="4">
                  <c:v>11.081253737819438</c:v>
                </c:pt>
                <c:pt idx="5">
                  <c:v>13.351567172274297</c:v>
                </c:pt>
                <c:pt idx="6">
                  <c:v>15.621880606729157</c:v>
                </c:pt>
                <c:pt idx="7">
                  <c:v>17.892194041184016</c:v>
                </c:pt>
                <c:pt idx="8">
                  <c:v>20.162507475638879</c:v>
                </c:pt>
              </c:numCache>
            </c:numRef>
          </c:xVal>
          <c:yVal>
            <c:numRef>
              <c:f>Assets!$C$815:$K$815</c:f>
              <c:numCache>
                <c:formatCode>#,##0</c:formatCode>
                <c:ptCount val="9"/>
                <c:pt idx="0">
                  <c:v>0</c:v>
                </c:pt>
                <c:pt idx="1">
                  <c:v>0</c:v>
                </c:pt>
                <c:pt idx="2">
                  <c:v>0</c:v>
                </c:pt>
                <c:pt idx="3">
                  <c:v>0</c:v>
                </c:pt>
                <c:pt idx="4">
                  <c:v>0</c:v>
                </c:pt>
                <c:pt idx="5">
                  <c:v>0</c:v>
                </c:pt>
                <c:pt idx="6">
                  <c:v>0</c:v>
                </c:pt>
                <c:pt idx="7">
                  <c:v>0</c:v>
                </c:pt>
                <c:pt idx="8">
                  <c:v>0</c:v>
                </c:pt>
              </c:numCache>
            </c:numRef>
          </c:yVal>
          <c:smooth val="1"/>
          <c:extLst>
            <c:ext xmlns:c16="http://schemas.microsoft.com/office/drawing/2014/chart" uri="{C3380CC4-5D6E-409C-BE32-E72D297353CC}">
              <c16:uniqueId val="{00000000-9992-2744-ABE3-95D9FD7E3146}"/>
            </c:ext>
          </c:extLst>
        </c:ser>
        <c:ser>
          <c:idx val="1"/>
          <c:order val="1"/>
          <c:tx>
            <c:v>Modelled</c:v>
          </c:tx>
          <c:xVal>
            <c:numRef>
              <c:f>Assets!$C$812:$K$812</c:f>
              <c:numCache>
                <c:formatCode>#,##0.00</c:formatCode>
                <c:ptCount val="9"/>
                <c:pt idx="0">
                  <c:v>2</c:v>
                </c:pt>
                <c:pt idx="1">
                  <c:v>4.2703134344548594</c:v>
                </c:pt>
                <c:pt idx="2">
                  <c:v>6.5406268689097189</c:v>
                </c:pt>
                <c:pt idx="3">
                  <c:v>8.8109403033645783</c:v>
                </c:pt>
                <c:pt idx="4">
                  <c:v>11.081253737819438</c:v>
                </c:pt>
                <c:pt idx="5">
                  <c:v>13.351567172274297</c:v>
                </c:pt>
                <c:pt idx="6">
                  <c:v>15.621880606729157</c:v>
                </c:pt>
                <c:pt idx="7">
                  <c:v>17.892194041184016</c:v>
                </c:pt>
                <c:pt idx="8">
                  <c:v>20.162507475638879</c:v>
                </c:pt>
              </c:numCache>
            </c:numRef>
          </c:xVal>
          <c:yVal>
            <c:numRef>
              <c:f>Assets!$C$816:$K$816</c:f>
              <c:numCache>
                <c:formatCode>#,##0</c:formatCode>
                <c:ptCount val="9"/>
                <c:pt idx="0">
                  <c:v>0</c:v>
                </c:pt>
                <c:pt idx="1">
                  <c:v>0</c:v>
                </c:pt>
                <c:pt idx="2">
                  <c:v>0</c:v>
                </c:pt>
                <c:pt idx="3">
                  <c:v>0</c:v>
                </c:pt>
                <c:pt idx="4">
                  <c:v>0</c:v>
                </c:pt>
                <c:pt idx="5">
                  <c:v>0</c:v>
                </c:pt>
                <c:pt idx="6">
                  <c:v>0</c:v>
                </c:pt>
                <c:pt idx="7">
                  <c:v>0</c:v>
                </c:pt>
                <c:pt idx="8">
                  <c:v>0</c:v>
                </c:pt>
              </c:numCache>
            </c:numRef>
          </c:yVal>
          <c:smooth val="1"/>
          <c:extLst>
            <c:ext xmlns:c16="http://schemas.microsoft.com/office/drawing/2014/chart" uri="{C3380CC4-5D6E-409C-BE32-E72D297353CC}">
              <c16:uniqueId val="{00000001-9992-2744-ABE3-95D9FD7E3146}"/>
            </c:ext>
          </c:extLst>
        </c:ser>
        <c:dLbls>
          <c:showLegendKey val="0"/>
          <c:showVal val="0"/>
          <c:showCatName val="0"/>
          <c:showSerName val="0"/>
          <c:showPercent val="0"/>
          <c:showBubbleSize val="0"/>
        </c:dLbls>
        <c:axId val="243074944"/>
        <c:axId val="243081216"/>
      </c:scatterChart>
      <c:valAx>
        <c:axId val="243074944"/>
        <c:scaling>
          <c:orientation val="minMax"/>
        </c:scaling>
        <c:delete val="0"/>
        <c:axPos val="b"/>
        <c:title>
          <c:tx>
            <c:rich>
              <a:bodyPr/>
              <a:lstStyle/>
              <a:p>
                <a:pPr>
                  <a:defRPr/>
                </a:pPr>
                <a:r>
                  <a:rPr lang="en-GB"/>
                  <a:t>Steam</a:t>
                </a:r>
                <a:r>
                  <a:rPr lang="en-GB" baseline="0"/>
                  <a:t> output [t/h]</a:t>
                </a:r>
                <a:endParaRPr lang="en-GB"/>
              </a:p>
            </c:rich>
          </c:tx>
          <c:overlay val="0"/>
        </c:title>
        <c:numFmt formatCode="#,##0.00" sourceLinked="1"/>
        <c:majorTickMark val="out"/>
        <c:minorTickMark val="none"/>
        <c:tickLblPos val="nextTo"/>
        <c:crossAx val="243081216"/>
        <c:crosses val="autoZero"/>
        <c:crossBetween val="midCat"/>
      </c:valAx>
      <c:valAx>
        <c:axId val="243081216"/>
        <c:scaling>
          <c:orientation val="minMax"/>
        </c:scaling>
        <c:delete val="0"/>
        <c:axPos val="l"/>
        <c:majorGridlines/>
        <c:numFmt formatCode="#,##0" sourceLinked="1"/>
        <c:majorTickMark val="out"/>
        <c:minorTickMark val="none"/>
        <c:tickLblPos val="nextTo"/>
        <c:crossAx val="24307494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v>Desired</c:v>
          </c:tx>
          <c:xVal>
            <c:numRef>
              <c:f>Assets!$C$812:$K$812</c:f>
              <c:numCache>
                <c:formatCode>#,##0.00</c:formatCode>
                <c:ptCount val="9"/>
                <c:pt idx="0">
                  <c:v>2</c:v>
                </c:pt>
                <c:pt idx="1">
                  <c:v>4.2703134344548594</c:v>
                </c:pt>
                <c:pt idx="2">
                  <c:v>6.5406268689097189</c:v>
                </c:pt>
                <c:pt idx="3">
                  <c:v>8.8109403033645783</c:v>
                </c:pt>
                <c:pt idx="4">
                  <c:v>11.081253737819438</c:v>
                </c:pt>
                <c:pt idx="5">
                  <c:v>13.351567172274297</c:v>
                </c:pt>
                <c:pt idx="6">
                  <c:v>15.621880606729157</c:v>
                </c:pt>
                <c:pt idx="7">
                  <c:v>17.892194041184016</c:v>
                </c:pt>
                <c:pt idx="8">
                  <c:v>20.162507475638879</c:v>
                </c:pt>
              </c:numCache>
            </c:numRef>
          </c:xVal>
          <c:yVal>
            <c:numRef>
              <c:f>Assets!$C$813:$K$813</c:f>
              <c:numCache>
                <c:formatCode>0.0%</c:formatCode>
                <c:ptCount val="9"/>
                <c:pt idx="0">
                  <c:v>0.86299999999999999</c:v>
                </c:pt>
                <c:pt idx="1">
                  <c:v>0.88012500000000005</c:v>
                </c:pt>
                <c:pt idx="2">
                  <c:v>0.8972500000000001</c:v>
                </c:pt>
                <c:pt idx="3">
                  <c:v>0.91437500000000016</c:v>
                </c:pt>
                <c:pt idx="4">
                  <c:v>0.93150000000000022</c:v>
                </c:pt>
                <c:pt idx="5">
                  <c:v>0.94862500000000027</c:v>
                </c:pt>
                <c:pt idx="6">
                  <c:v>0.96575000000000033</c:v>
                </c:pt>
                <c:pt idx="7">
                  <c:v>0.98287500000000039</c:v>
                </c:pt>
                <c:pt idx="8">
                  <c:v>1</c:v>
                </c:pt>
              </c:numCache>
            </c:numRef>
          </c:yVal>
          <c:smooth val="1"/>
          <c:extLst>
            <c:ext xmlns:c16="http://schemas.microsoft.com/office/drawing/2014/chart" uri="{C3380CC4-5D6E-409C-BE32-E72D297353CC}">
              <c16:uniqueId val="{00000000-55A1-8E4A-B5C6-E25237B28365}"/>
            </c:ext>
          </c:extLst>
        </c:ser>
        <c:ser>
          <c:idx val="1"/>
          <c:order val="1"/>
          <c:tx>
            <c:v>Modelled</c:v>
          </c:tx>
          <c:xVal>
            <c:numRef>
              <c:f>Assets!$C$812:$K$812</c:f>
              <c:numCache>
                <c:formatCode>#,##0.00</c:formatCode>
                <c:ptCount val="9"/>
                <c:pt idx="0">
                  <c:v>2</c:v>
                </c:pt>
                <c:pt idx="1">
                  <c:v>4.2703134344548594</c:v>
                </c:pt>
                <c:pt idx="2">
                  <c:v>6.5406268689097189</c:v>
                </c:pt>
                <c:pt idx="3">
                  <c:v>8.8109403033645783</c:v>
                </c:pt>
                <c:pt idx="4">
                  <c:v>11.081253737819438</c:v>
                </c:pt>
                <c:pt idx="5">
                  <c:v>13.351567172274297</c:v>
                </c:pt>
                <c:pt idx="6">
                  <c:v>15.621880606729157</c:v>
                </c:pt>
                <c:pt idx="7">
                  <c:v>17.892194041184016</c:v>
                </c:pt>
                <c:pt idx="8">
                  <c:v>20.162507475638879</c:v>
                </c:pt>
              </c:numCache>
            </c:numRef>
          </c:xVal>
          <c:yVal>
            <c:numRef>
              <c:f>Assets!$C$817:$K$817</c:f>
              <c:numCache>
                <c:formatCode>0.00%</c:formatCode>
                <c:ptCount val="9"/>
                <c:pt idx="0">
                  <c:v>0</c:v>
                </c:pt>
                <c:pt idx="1">
                  <c:v>0</c:v>
                </c:pt>
                <c:pt idx="2">
                  <c:v>0</c:v>
                </c:pt>
                <c:pt idx="3">
                  <c:v>0</c:v>
                </c:pt>
                <c:pt idx="4">
                  <c:v>0</c:v>
                </c:pt>
                <c:pt idx="5">
                  <c:v>0</c:v>
                </c:pt>
                <c:pt idx="6">
                  <c:v>0</c:v>
                </c:pt>
                <c:pt idx="7">
                  <c:v>0</c:v>
                </c:pt>
                <c:pt idx="8">
                  <c:v>0</c:v>
                </c:pt>
              </c:numCache>
            </c:numRef>
          </c:yVal>
          <c:smooth val="1"/>
          <c:extLst>
            <c:ext xmlns:c16="http://schemas.microsoft.com/office/drawing/2014/chart" uri="{C3380CC4-5D6E-409C-BE32-E72D297353CC}">
              <c16:uniqueId val="{00000001-55A1-8E4A-B5C6-E25237B28365}"/>
            </c:ext>
          </c:extLst>
        </c:ser>
        <c:dLbls>
          <c:showLegendKey val="0"/>
          <c:showVal val="0"/>
          <c:showCatName val="0"/>
          <c:showSerName val="0"/>
          <c:showPercent val="0"/>
          <c:showBubbleSize val="0"/>
        </c:dLbls>
        <c:axId val="243106176"/>
        <c:axId val="243108096"/>
      </c:scatterChart>
      <c:valAx>
        <c:axId val="243106176"/>
        <c:scaling>
          <c:orientation val="minMax"/>
        </c:scaling>
        <c:delete val="0"/>
        <c:axPos val="b"/>
        <c:title>
          <c:tx>
            <c:rich>
              <a:bodyPr/>
              <a:lstStyle/>
              <a:p>
                <a:pPr>
                  <a:defRPr/>
                </a:pPr>
                <a:r>
                  <a:rPr lang="en-GB"/>
                  <a:t>Steam output [t/h]</a:t>
                </a:r>
              </a:p>
            </c:rich>
          </c:tx>
          <c:overlay val="0"/>
        </c:title>
        <c:numFmt formatCode="#,##0.00" sourceLinked="1"/>
        <c:majorTickMark val="out"/>
        <c:minorTickMark val="none"/>
        <c:tickLblPos val="nextTo"/>
        <c:crossAx val="243108096"/>
        <c:crosses val="autoZero"/>
        <c:crossBetween val="midCat"/>
      </c:valAx>
      <c:valAx>
        <c:axId val="243108096"/>
        <c:scaling>
          <c:orientation val="minMax"/>
        </c:scaling>
        <c:delete val="0"/>
        <c:axPos val="l"/>
        <c:majorGridlines/>
        <c:numFmt formatCode="0.0%" sourceLinked="1"/>
        <c:majorTickMark val="out"/>
        <c:minorTickMark val="none"/>
        <c:tickLblPos val="nextTo"/>
        <c:crossAx val="24310617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1.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0.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3.png"/><Relationship Id="rId5" Type="http://schemas.openxmlformats.org/officeDocument/2006/relationships/chart" Target="../charts/chart5.xml"/><Relationship Id="rId15" Type="http://schemas.openxmlformats.org/officeDocument/2006/relationships/chart" Target="../charts/chart13.xml"/><Relationship Id="rId10" Type="http://schemas.openxmlformats.org/officeDocument/2006/relationships/image" Target="../media/image2.png"/><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png"/><Relationship Id="rId4" Type="http://schemas.openxmlformats.org/officeDocument/2006/relationships/image" Target="../media/image7.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43</xdr:row>
          <xdr:rowOff>25400</xdr:rowOff>
        </xdr:from>
        <xdr:to>
          <xdr:col>8</xdr:col>
          <xdr:colOff>0</xdr:colOff>
          <xdr:row>45</xdr:row>
          <xdr:rowOff>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304800</xdr:colOff>
          <xdr:row>58</xdr:row>
          <xdr:rowOff>165100</xdr:rowOff>
        </xdr:from>
        <xdr:to>
          <xdr:col>3</xdr:col>
          <xdr:colOff>25400</xdr:colOff>
          <xdr:row>61</xdr:row>
          <xdr:rowOff>76200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Display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53687</xdr:colOff>
      <xdr:row>498</xdr:row>
      <xdr:rowOff>86178</xdr:rowOff>
    </xdr:from>
    <xdr:to>
      <xdr:col>10</xdr:col>
      <xdr:colOff>381001</xdr:colOff>
      <xdr:row>527</xdr:row>
      <xdr:rowOff>0</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116829</xdr:colOff>
      <xdr:row>435</xdr:row>
      <xdr:rowOff>49756</xdr:rowOff>
    </xdr:from>
    <xdr:to>
      <xdr:col>11</xdr:col>
      <xdr:colOff>0</xdr:colOff>
      <xdr:row>460</xdr:row>
      <xdr:rowOff>121228</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16829" y="94755470"/>
          <a:ext cx="15794457" cy="5514329"/>
          <a:chOff x="10698238" y="8930519"/>
          <a:chExt cx="7852834" cy="4655457"/>
        </a:xfrm>
      </xdr:grpSpPr>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10698238" y="8930519"/>
          <a:ext cx="7852834" cy="4655457"/>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12958233" y="9226853"/>
            <a:ext cx="2377925" cy="365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a:t>58.6 barg, 460 C - 1.86 barg</a:t>
            </a:r>
          </a:p>
        </xdr:txBody>
      </xdr:sp>
    </xdr:grpSp>
    <xdr:clientData/>
  </xdr:twoCellAnchor>
  <xdr:twoCellAnchor>
    <xdr:from>
      <xdr:col>0</xdr:col>
      <xdr:colOff>120815</xdr:colOff>
      <xdr:row>538</xdr:row>
      <xdr:rowOff>104898</xdr:rowOff>
    </xdr:from>
    <xdr:to>
      <xdr:col>12</xdr:col>
      <xdr:colOff>155177</xdr:colOff>
      <xdr:row>557</xdr:row>
      <xdr:rowOff>178569</xdr:rowOff>
    </xdr:to>
    <xdr:graphicFrame macro="">
      <xdr:nvGraphicFramePr>
        <xdr:cNvPr id="7" name="Chart 6">
          <a:extLst>
            <a:ext uri="{FF2B5EF4-FFF2-40B4-BE49-F238E27FC236}">
              <a16:creationId xmlns:a16="http://schemas.microsoft.com/office/drawing/2014/main" id="{00000000-0008-0000-0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37149</xdr:colOff>
      <xdr:row>367</xdr:row>
      <xdr:rowOff>150600</xdr:rowOff>
    </xdr:from>
    <xdr:to>
      <xdr:col>10</xdr:col>
      <xdr:colOff>571500</xdr:colOff>
      <xdr:row>390</xdr:row>
      <xdr:rowOff>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645294</xdr:colOff>
      <xdr:row>373</xdr:row>
      <xdr:rowOff>27287</xdr:rowOff>
    </xdr:from>
    <xdr:to>
      <xdr:col>5</xdr:col>
      <xdr:colOff>498338</xdr:colOff>
      <xdr:row>375</xdr:row>
      <xdr:rowOff>67600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245494" y="1551287"/>
          <a:ext cx="2767694" cy="4213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a:t>extraction pressure</a:t>
          </a:r>
          <a:r>
            <a:rPr lang="en-GB" sz="1100" baseline="0"/>
            <a:t> = 25 psig (1.72 bar)</a:t>
          </a:r>
          <a:endParaRPr lang="en-GB" sz="1100"/>
        </a:p>
      </xdr:txBody>
    </xdr:sp>
    <xdr:clientData/>
  </xdr:twoCellAnchor>
  <xdr:twoCellAnchor>
    <xdr:from>
      <xdr:col>7</xdr:col>
      <xdr:colOff>185583</xdr:colOff>
      <xdr:row>369</xdr:row>
      <xdr:rowOff>145859</xdr:rowOff>
    </xdr:from>
    <xdr:to>
      <xdr:col>10</xdr:col>
      <xdr:colOff>163215</xdr:colOff>
      <xdr:row>371</xdr:row>
      <xdr:rowOff>26083</xdr:rowOff>
    </xdr:to>
    <xdr:sp macro="" textlink="">
      <xdr:nvSpPr>
        <xdr:cNvPr id="10" name="TextBox 1">
          <a:extLst>
            <a:ext uri="{FF2B5EF4-FFF2-40B4-BE49-F238E27FC236}">
              <a16:creationId xmlns:a16="http://schemas.microsoft.com/office/drawing/2014/main" id="{00000000-0008-0000-0200-00000A000000}"/>
            </a:ext>
          </a:extLst>
        </xdr:cNvPr>
        <xdr:cNvSpPr txBox="1"/>
      </xdr:nvSpPr>
      <xdr:spPr>
        <a:xfrm>
          <a:off x="5938683" y="907859"/>
          <a:ext cx="1835007" cy="261224"/>
        </a:xfrm>
        <a:prstGeom prst="rect">
          <a:avLst/>
        </a:prstGeom>
        <a:solidFill>
          <a:schemeClr val="bg1"/>
        </a:solidFill>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GB" sz="1100"/>
            <a:t>80,000 </a:t>
          </a:r>
          <a:r>
            <a:rPr lang="en-GB" sz="1100" baseline="0"/>
            <a:t>lb/hr extraction</a:t>
          </a:r>
          <a:endParaRPr lang="en-GB" sz="1100"/>
        </a:p>
      </xdr:txBody>
    </xdr:sp>
    <xdr:clientData/>
  </xdr:twoCellAnchor>
  <xdr:twoCellAnchor>
    <xdr:from>
      <xdr:col>4</xdr:col>
      <xdr:colOff>462822</xdr:colOff>
      <xdr:row>384</xdr:row>
      <xdr:rowOff>59632</xdr:rowOff>
    </xdr:from>
    <xdr:to>
      <xdr:col>6</xdr:col>
      <xdr:colOff>476270</xdr:colOff>
      <xdr:row>385</xdr:row>
      <xdr:rowOff>132031</xdr:rowOff>
    </xdr:to>
    <xdr:sp macro="" textlink="">
      <xdr:nvSpPr>
        <xdr:cNvPr id="11" name="TextBox 1">
          <a:extLst>
            <a:ext uri="{FF2B5EF4-FFF2-40B4-BE49-F238E27FC236}">
              <a16:creationId xmlns:a16="http://schemas.microsoft.com/office/drawing/2014/main" id="{00000000-0008-0000-0200-00000B000000}"/>
            </a:ext>
          </a:extLst>
        </xdr:cNvPr>
        <xdr:cNvSpPr txBox="1"/>
      </xdr:nvSpPr>
      <xdr:spPr>
        <a:xfrm>
          <a:off x="4358547" y="3679132"/>
          <a:ext cx="1251698" cy="262899"/>
        </a:xfrm>
        <a:prstGeom prst="rect">
          <a:avLst/>
        </a:prstGeom>
        <a:solidFill>
          <a:schemeClr val="bg1"/>
        </a:solidFill>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GB" sz="1100"/>
            <a:t>0 </a:t>
          </a:r>
          <a:r>
            <a:rPr lang="en-GB" sz="1100" baseline="0"/>
            <a:t>lb/hr extraction</a:t>
          </a:r>
          <a:endParaRPr lang="en-GB" sz="1100"/>
        </a:p>
      </xdr:txBody>
    </xdr:sp>
    <xdr:clientData/>
  </xdr:twoCellAnchor>
  <xdr:twoCellAnchor>
    <xdr:from>
      <xdr:col>11</xdr:col>
      <xdr:colOff>539750</xdr:colOff>
      <xdr:row>434</xdr:row>
      <xdr:rowOff>74083</xdr:rowOff>
    </xdr:from>
    <xdr:to>
      <xdr:col>24</xdr:col>
      <xdr:colOff>546746</xdr:colOff>
      <xdr:row>459</xdr:row>
      <xdr:rowOff>145555</xdr:rowOff>
    </xdr:to>
    <xdr:grpSp>
      <xdr:nvGrpSpPr>
        <xdr:cNvPr id="12" name="Group 11">
          <a:extLst>
            <a:ext uri="{FF2B5EF4-FFF2-40B4-BE49-F238E27FC236}">
              <a16:creationId xmlns:a16="http://schemas.microsoft.com/office/drawing/2014/main" id="{00000000-0008-0000-0200-00000C000000}"/>
            </a:ext>
          </a:extLst>
        </xdr:cNvPr>
        <xdr:cNvGrpSpPr/>
      </xdr:nvGrpSpPr>
      <xdr:grpSpPr>
        <a:xfrm>
          <a:off x="16451036" y="94562083"/>
          <a:ext cx="14630139" cy="5514329"/>
          <a:chOff x="10698238" y="8930519"/>
          <a:chExt cx="7852834" cy="4655457"/>
        </a:xfrm>
      </xdr:grpSpPr>
      <xdr:graphicFrame macro="">
        <xdr:nvGraphicFramePr>
          <xdr:cNvPr id="13" name="Chart 12">
            <a:extLst>
              <a:ext uri="{FF2B5EF4-FFF2-40B4-BE49-F238E27FC236}">
                <a16:creationId xmlns:a16="http://schemas.microsoft.com/office/drawing/2014/main" id="{00000000-0008-0000-0200-00000D000000}"/>
              </a:ext>
            </a:extLst>
          </xdr:cNvPr>
          <xdr:cNvGraphicFramePr>
            <a:graphicFrameLocks/>
          </xdr:cNvGraphicFramePr>
        </xdr:nvGraphicFramePr>
        <xdr:xfrm>
          <a:off x="10698238" y="8930519"/>
          <a:ext cx="7852834" cy="4655457"/>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12958233" y="9226853"/>
            <a:ext cx="2377925" cy="365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a:t>58.6 barg, 460 C - 1.86 barg</a:t>
            </a:r>
          </a:p>
        </xdr:txBody>
      </xdr:sp>
    </xdr:grpSp>
    <xdr:clientData/>
  </xdr:twoCellAnchor>
  <xdr:twoCellAnchor>
    <xdr:from>
      <xdr:col>11</xdr:col>
      <xdr:colOff>13606</xdr:colOff>
      <xdr:row>498</xdr:row>
      <xdr:rowOff>54428</xdr:rowOff>
    </xdr:from>
    <xdr:to>
      <xdr:col>20</xdr:col>
      <xdr:colOff>326570</xdr:colOff>
      <xdr:row>523</xdr:row>
      <xdr:rowOff>108857</xdr:rowOff>
    </xdr:to>
    <xdr:graphicFrame macro="">
      <xdr:nvGraphicFramePr>
        <xdr:cNvPr id="15" name="Chart 14">
          <a:extLst>
            <a:ext uri="{FF2B5EF4-FFF2-40B4-BE49-F238E27FC236}">
              <a16:creationId xmlns:a16="http://schemas.microsoft.com/office/drawing/2014/main" id="{00000000-0008-0000-0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612322</xdr:colOff>
      <xdr:row>367</xdr:row>
      <xdr:rowOff>149678</xdr:rowOff>
    </xdr:from>
    <xdr:to>
      <xdr:col>24</xdr:col>
      <xdr:colOff>275816</xdr:colOff>
      <xdr:row>390</xdr:row>
      <xdr:rowOff>0</xdr:rowOff>
    </xdr:to>
    <xdr:graphicFrame macro="">
      <xdr:nvGraphicFramePr>
        <xdr:cNvPr id="16" name="Chart 15">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246440</xdr:colOff>
      <xdr:row>390</xdr:row>
      <xdr:rowOff>10583</xdr:rowOff>
    </xdr:from>
    <xdr:to>
      <xdr:col>33</xdr:col>
      <xdr:colOff>35681</xdr:colOff>
      <xdr:row>409</xdr:row>
      <xdr:rowOff>173869</xdr:rowOff>
    </xdr:to>
    <xdr:graphicFrame macro="">
      <xdr:nvGraphicFramePr>
        <xdr:cNvPr id="17" name="Chart 16">
          <a:extLst>
            <a:ext uri="{FF2B5EF4-FFF2-40B4-BE49-F238E27FC236}">
              <a16:creationId xmlns:a16="http://schemas.microsoft.com/office/drawing/2014/main" id="{00000000-0008-0000-02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287898</xdr:colOff>
      <xdr:row>434</xdr:row>
      <xdr:rowOff>232237</xdr:rowOff>
    </xdr:from>
    <xdr:to>
      <xdr:col>19</xdr:col>
      <xdr:colOff>227743</xdr:colOff>
      <xdr:row>436</xdr:row>
      <xdr:rowOff>228708</xdr:rowOff>
    </xdr:to>
    <xdr:sp macro="" textlink="">
      <xdr:nvSpPr>
        <xdr:cNvPr id="46" name="TextBox 45">
          <a:extLst>
            <a:ext uri="{FF2B5EF4-FFF2-40B4-BE49-F238E27FC236}">
              <a16:creationId xmlns:a16="http://schemas.microsoft.com/office/drawing/2014/main" id="{00000000-0008-0000-0200-00002E000000}"/>
            </a:ext>
          </a:extLst>
        </xdr:cNvPr>
        <xdr:cNvSpPr txBox="1"/>
      </xdr:nvSpPr>
      <xdr:spPr>
        <a:xfrm>
          <a:off x="69849262" y="16222692"/>
          <a:ext cx="3865299" cy="5160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a:t>58.6 barg, 460 C - 1.86 barg</a:t>
          </a:r>
        </a:p>
      </xdr:txBody>
    </xdr:sp>
    <xdr:clientData/>
  </xdr:twoCellAnchor>
  <xdr:twoCellAnchor>
    <xdr:from>
      <xdr:col>24</xdr:col>
      <xdr:colOff>589641</xdr:colOff>
      <xdr:row>458</xdr:row>
      <xdr:rowOff>175380</xdr:rowOff>
    </xdr:from>
    <xdr:to>
      <xdr:col>35</xdr:col>
      <xdr:colOff>272142</xdr:colOff>
      <xdr:row>479</xdr:row>
      <xdr:rowOff>7560</xdr:rowOff>
    </xdr:to>
    <xdr:graphicFrame macro="">
      <xdr:nvGraphicFramePr>
        <xdr:cNvPr id="50" name="Chart 49">
          <a:extLst>
            <a:ext uri="{FF2B5EF4-FFF2-40B4-BE49-F238E27FC236}">
              <a16:creationId xmlns:a16="http://schemas.microsoft.com/office/drawing/2014/main" id="{00000000-0008-0000-02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889000</xdr:colOff>
          <xdr:row>601</xdr:row>
          <xdr:rowOff>50800</xdr:rowOff>
        </xdr:from>
        <xdr:to>
          <xdr:col>10</xdr:col>
          <xdr:colOff>254000</xdr:colOff>
          <xdr:row>635</xdr:row>
          <xdr:rowOff>101600</xdr:rowOff>
        </xdr:to>
        <xdr:sp macro="" textlink="">
          <xdr:nvSpPr>
            <xdr:cNvPr id="7171" name="Object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twoCellAnchor editAs="oneCell">
    <xdr:from>
      <xdr:col>11</xdr:col>
      <xdr:colOff>478519</xdr:colOff>
      <xdr:row>773</xdr:row>
      <xdr:rowOff>0</xdr:rowOff>
    </xdr:from>
    <xdr:to>
      <xdr:col>14</xdr:col>
      <xdr:colOff>425757</xdr:colOff>
      <xdr:row>777</xdr:row>
      <xdr:rowOff>42636</xdr:rowOff>
    </xdr:to>
    <xdr:pic>
      <xdr:nvPicPr>
        <xdr:cNvPr id="24" name="Picture 23">
          <a:extLst>
            <a:ext uri="{FF2B5EF4-FFF2-40B4-BE49-F238E27FC236}">
              <a16:creationId xmlns:a16="http://schemas.microsoft.com/office/drawing/2014/main" id="{00000000-0008-0000-0200-000018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4400894" y="141573250"/>
          <a:ext cx="2899988" cy="931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478519</xdr:colOff>
      <xdr:row>764</xdr:row>
      <xdr:rowOff>168312</xdr:rowOff>
    </xdr:from>
    <xdr:to>
      <xdr:col>16</xdr:col>
      <xdr:colOff>38977</xdr:colOff>
      <xdr:row>772</xdr:row>
      <xdr:rowOff>7936</xdr:rowOff>
    </xdr:to>
    <xdr:pic>
      <xdr:nvPicPr>
        <xdr:cNvPr id="26" name="Picture 25">
          <a:extLst>
            <a:ext uri="{FF2B5EF4-FFF2-40B4-BE49-F238E27FC236}">
              <a16:creationId xmlns:a16="http://schemas.microsoft.com/office/drawing/2014/main" id="{00000000-0008-0000-0200-00001A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4400894" y="139741312"/>
          <a:ext cx="4481708" cy="1609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116829</xdr:colOff>
      <xdr:row>788</xdr:row>
      <xdr:rowOff>101600</xdr:rowOff>
    </xdr:from>
    <xdr:to>
      <xdr:col>4</xdr:col>
      <xdr:colOff>447029</xdr:colOff>
      <xdr:row>803</xdr:row>
      <xdr:rowOff>206375</xdr:rowOff>
    </xdr:to>
    <xdr:graphicFrame macro="">
      <xdr:nvGraphicFramePr>
        <xdr:cNvPr id="31" name="Chart 30">
          <a:extLst>
            <a:ext uri="{FF2B5EF4-FFF2-40B4-BE49-F238E27FC236}">
              <a16:creationId xmlns:a16="http://schemas.microsoft.com/office/drawing/2014/main" id="{00000000-0008-0000-0200-00001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447029</xdr:colOff>
      <xdr:row>788</xdr:row>
      <xdr:rowOff>95250</xdr:rowOff>
    </xdr:from>
    <xdr:to>
      <xdr:col>11</xdr:col>
      <xdr:colOff>920104</xdr:colOff>
      <xdr:row>803</xdr:row>
      <xdr:rowOff>200025</xdr:rowOff>
    </xdr:to>
    <xdr:graphicFrame macro="">
      <xdr:nvGraphicFramePr>
        <xdr:cNvPr id="28" name="Chart 27">
          <a:extLst>
            <a:ext uri="{FF2B5EF4-FFF2-40B4-BE49-F238E27FC236}">
              <a16:creationId xmlns:a16="http://schemas.microsoft.com/office/drawing/2014/main" id="{00000000-0008-0000-02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116829</xdr:colOff>
      <xdr:row>821</xdr:row>
      <xdr:rowOff>123825</xdr:rowOff>
    </xdr:from>
    <xdr:to>
      <xdr:col>4</xdr:col>
      <xdr:colOff>447029</xdr:colOff>
      <xdr:row>837</xdr:row>
      <xdr:rowOff>6350</xdr:rowOff>
    </xdr:to>
    <xdr:graphicFrame macro="">
      <xdr:nvGraphicFramePr>
        <xdr:cNvPr id="29" name="Chart 28">
          <a:extLst>
            <a:ext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xdr:col>
      <xdr:colOff>447029</xdr:colOff>
      <xdr:row>821</xdr:row>
      <xdr:rowOff>117475</xdr:rowOff>
    </xdr:from>
    <xdr:to>
      <xdr:col>11</xdr:col>
      <xdr:colOff>920104</xdr:colOff>
      <xdr:row>837</xdr:row>
      <xdr:rowOff>0</xdr:rowOff>
    </xdr:to>
    <xdr:graphicFrame macro="">
      <xdr:nvGraphicFramePr>
        <xdr:cNvPr id="30" name="Chart 29">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0.52096</cdr:x>
      <cdr:y>0.61301</cdr:y>
    </cdr:from>
    <cdr:to>
      <cdr:x>0.74604</cdr:x>
      <cdr:y>0.66594</cdr:y>
    </cdr:to>
    <cdr:sp macro="" textlink="">
      <cdr:nvSpPr>
        <cdr:cNvPr id="2" name="TextBox 1"/>
        <cdr:cNvSpPr txBox="1"/>
      </cdr:nvSpPr>
      <cdr:spPr>
        <a:xfrm xmlns:a="http://schemas.openxmlformats.org/drawingml/2006/main">
          <a:off x="4091012" y="2853842"/>
          <a:ext cx="1767516" cy="246413"/>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r>
            <a:rPr lang="en-GB" sz="1100"/>
            <a:t>22.68</a:t>
          </a:r>
          <a:r>
            <a:rPr lang="en-GB" sz="1100" baseline="0"/>
            <a:t> ton/hr extraction</a:t>
          </a:r>
          <a:endParaRPr lang="en-GB" sz="1100"/>
        </a:p>
      </cdr:txBody>
    </cdr:sp>
  </cdr:relSizeAnchor>
  <cdr:relSizeAnchor xmlns:cdr="http://schemas.openxmlformats.org/drawingml/2006/chartDrawing">
    <cdr:from>
      <cdr:x>0.31692</cdr:x>
      <cdr:y>0.4046</cdr:y>
    </cdr:from>
    <cdr:to>
      <cdr:x>0.49169</cdr:x>
      <cdr:y>0.45752</cdr:y>
    </cdr:to>
    <cdr:sp macro="" textlink="">
      <cdr:nvSpPr>
        <cdr:cNvPr id="3" name="TextBox 1"/>
        <cdr:cNvSpPr txBox="1"/>
      </cdr:nvSpPr>
      <cdr:spPr>
        <a:xfrm xmlns:a="http://schemas.openxmlformats.org/drawingml/2006/main">
          <a:off x="2488720" y="1883598"/>
          <a:ext cx="1372440" cy="246367"/>
        </a:xfrm>
        <a:prstGeom xmlns:a="http://schemas.openxmlformats.org/drawingml/2006/main" prst="rect">
          <a:avLst/>
        </a:prstGeom>
        <a:solidFill xmlns:a="http://schemas.openxmlformats.org/drawingml/2006/main">
          <a:sysClr val="window" lastClr="FFFFFF"/>
        </a:solidFill>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GB" sz="1100"/>
            <a:t>0</a:t>
          </a:r>
          <a:r>
            <a:rPr lang="en-GB" sz="1100" baseline="0"/>
            <a:t> ton/hr extraction</a:t>
          </a:r>
          <a:endParaRPr lang="en-GB" sz="1100"/>
        </a:p>
      </cdr:txBody>
    </cdr:sp>
  </cdr:relSizeAnchor>
</c:userShapes>
</file>

<file path=xl/drawings/drawing4.xml><?xml version="1.0" encoding="utf-8"?>
<c:userShapes xmlns:c="http://schemas.openxmlformats.org/drawingml/2006/chart">
  <cdr:relSizeAnchor xmlns:cdr="http://schemas.openxmlformats.org/drawingml/2006/chartDrawing">
    <cdr:from>
      <cdr:x>0.26316</cdr:x>
      <cdr:y>0.25045</cdr:y>
    </cdr:from>
    <cdr:to>
      <cdr:x>0.48824</cdr:x>
      <cdr:y>0.30338</cdr:y>
    </cdr:to>
    <cdr:sp macro="" textlink="">
      <cdr:nvSpPr>
        <cdr:cNvPr id="2" name="TextBox 1"/>
        <cdr:cNvSpPr txBox="1"/>
      </cdr:nvSpPr>
      <cdr:spPr>
        <a:xfrm xmlns:a="http://schemas.openxmlformats.org/drawingml/2006/main">
          <a:off x="2109883" y="1210673"/>
          <a:ext cx="1804583" cy="255862"/>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r>
            <a:rPr lang="en-GB" sz="1100"/>
            <a:t>22.68</a:t>
          </a:r>
          <a:r>
            <a:rPr lang="en-GB" sz="1100" baseline="0"/>
            <a:t> ton/hr extraction</a:t>
          </a:r>
          <a:endParaRPr lang="en-GB" sz="1100"/>
        </a:p>
      </cdr:txBody>
    </cdr:sp>
  </cdr:relSizeAnchor>
  <cdr:relSizeAnchor xmlns:cdr="http://schemas.openxmlformats.org/drawingml/2006/chartDrawing">
    <cdr:from>
      <cdr:x>0.52482</cdr:x>
      <cdr:y>0.47159</cdr:y>
    </cdr:from>
    <cdr:to>
      <cdr:x>0.69959</cdr:x>
      <cdr:y>0.52451</cdr:y>
    </cdr:to>
    <cdr:sp macro="" textlink="">
      <cdr:nvSpPr>
        <cdr:cNvPr id="3" name="TextBox 1"/>
        <cdr:cNvSpPr txBox="1"/>
      </cdr:nvSpPr>
      <cdr:spPr>
        <a:xfrm xmlns:a="http://schemas.openxmlformats.org/drawingml/2006/main">
          <a:off x="4207788" y="2279675"/>
          <a:ext cx="1401222" cy="255814"/>
        </a:xfrm>
        <a:prstGeom xmlns:a="http://schemas.openxmlformats.org/drawingml/2006/main" prst="rect">
          <a:avLst/>
        </a:prstGeom>
        <a:solidFill xmlns:a="http://schemas.openxmlformats.org/drawingml/2006/main">
          <a:sysClr val="window" lastClr="FFFFFF"/>
        </a:solidFill>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GB" sz="1100"/>
            <a:t>0</a:t>
          </a:r>
          <a:r>
            <a:rPr lang="en-GB" sz="1100" baseline="0"/>
            <a:t> ton/hr extraction</a:t>
          </a:r>
          <a:endParaRPr lang="en-GB" sz="1100"/>
        </a:p>
      </cdr:txBody>
    </cdr:sp>
  </cdr:relSizeAnchor>
</c:userShapes>
</file>

<file path=xl/drawings/drawing5.xml><?xml version="1.0" encoding="utf-8"?>
<xdr:wsDr xmlns:xdr="http://schemas.openxmlformats.org/drawingml/2006/spreadsheetDrawing" xmlns:a="http://schemas.openxmlformats.org/drawingml/2006/main">
  <xdr:twoCellAnchor>
    <xdr:from>
      <xdr:col>17</xdr:col>
      <xdr:colOff>466725</xdr:colOff>
      <xdr:row>9</xdr:row>
      <xdr:rowOff>0</xdr:rowOff>
    </xdr:from>
    <xdr:to>
      <xdr:col>17</xdr:col>
      <xdr:colOff>467454</xdr:colOff>
      <xdr:row>13</xdr:row>
      <xdr:rowOff>19050</xdr:rowOff>
    </xdr:to>
    <xdr:cxnSp macro="">
      <xdr:nvCxnSpPr>
        <xdr:cNvPr id="302" name="Straight Arrow Connector 301">
          <a:extLst>
            <a:ext uri="{FF2B5EF4-FFF2-40B4-BE49-F238E27FC236}">
              <a16:creationId xmlns:a16="http://schemas.microsoft.com/office/drawing/2014/main" id="{00000000-0008-0000-0300-00002E010000}"/>
            </a:ext>
          </a:extLst>
        </xdr:cNvPr>
        <xdr:cNvCxnSpPr/>
      </xdr:nvCxnSpPr>
      <xdr:spPr>
        <a:xfrm flipH="1">
          <a:off x="9858375" y="2085975"/>
          <a:ext cx="729" cy="93345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243417</xdr:colOff>
      <xdr:row>5</xdr:row>
      <xdr:rowOff>0</xdr:rowOff>
    </xdr:from>
    <xdr:to>
      <xdr:col>0</xdr:col>
      <xdr:colOff>243417</xdr:colOff>
      <xdr:row>7</xdr:row>
      <xdr:rowOff>190500</xdr:rowOff>
    </xdr:to>
    <xdr:cxnSp macro="">
      <xdr:nvCxnSpPr>
        <xdr:cNvPr id="276" name="Straight Arrow Connector 275">
          <a:extLst>
            <a:ext uri="{FF2B5EF4-FFF2-40B4-BE49-F238E27FC236}">
              <a16:creationId xmlns:a16="http://schemas.microsoft.com/office/drawing/2014/main" id="{00000000-0008-0000-0300-000014010000}"/>
            </a:ext>
          </a:extLst>
        </xdr:cNvPr>
        <xdr:cNvCxnSpPr/>
      </xdr:nvCxnSpPr>
      <xdr:spPr>
        <a:xfrm>
          <a:off x="243417" y="1185333"/>
          <a:ext cx="0" cy="656167"/>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149968</xdr:colOff>
      <xdr:row>9</xdr:row>
      <xdr:rowOff>211365</xdr:rowOff>
    </xdr:from>
    <xdr:to>
      <xdr:col>1</xdr:col>
      <xdr:colOff>150501</xdr:colOff>
      <xdr:row>20</xdr:row>
      <xdr:rowOff>230605</xdr:rowOff>
    </xdr:to>
    <xdr:cxnSp macro="">
      <xdr:nvCxnSpPr>
        <xdr:cNvPr id="280" name="Straight Arrow Connector 279">
          <a:extLst>
            <a:ext uri="{FF2B5EF4-FFF2-40B4-BE49-F238E27FC236}">
              <a16:creationId xmlns:a16="http://schemas.microsoft.com/office/drawing/2014/main" id="{00000000-0008-0000-0300-000018010000}"/>
            </a:ext>
          </a:extLst>
        </xdr:cNvPr>
        <xdr:cNvCxnSpPr>
          <a:stCxn id="273" idx="1"/>
        </xdr:cNvCxnSpPr>
      </xdr:nvCxnSpPr>
      <xdr:spPr>
        <a:xfrm flipH="1">
          <a:off x="701415" y="2311878"/>
          <a:ext cx="533" cy="2555898"/>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95251</xdr:colOff>
      <xdr:row>10</xdr:row>
      <xdr:rowOff>52917</xdr:rowOff>
    </xdr:from>
    <xdr:to>
      <xdr:col>2</xdr:col>
      <xdr:colOff>95252</xdr:colOff>
      <xdr:row>26</xdr:row>
      <xdr:rowOff>222250</xdr:rowOff>
    </xdr:to>
    <xdr:cxnSp macro="">
      <xdr:nvCxnSpPr>
        <xdr:cNvPr id="283" name="Straight Arrow Connector 282">
          <a:extLst>
            <a:ext uri="{FF2B5EF4-FFF2-40B4-BE49-F238E27FC236}">
              <a16:creationId xmlns:a16="http://schemas.microsoft.com/office/drawing/2014/main" id="{00000000-0008-0000-0300-00001B010000}"/>
            </a:ext>
          </a:extLst>
        </xdr:cNvPr>
        <xdr:cNvCxnSpPr/>
      </xdr:nvCxnSpPr>
      <xdr:spPr>
        <a:xfrm flipH="1">
          <a:off x="1198146" y="2384035"/>
          <a:ext cx="1" cy="3859018"/>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458478</xdr:colOff>
      <xdr:row>9</xdr:row>
      <xdr:rowOff>0</xdr:rowOff>
    </xdr:from>
    <xdr:to>
      <xdr:col>11</xdr:col>
      <xdr:colOff>459921</xdr:colOff>
      <xdr:row>12</xdr:row>
      <xdr:rowOff>227920</xdr:rowOff>
    </xdr:to>
    <xdr:cxnSp macro="">
      <xdr:nvCxnSpPr>
        <xdr:cNvPr id="299" name="Straight Arrow Connector 298">
          <a:extLst>
            <a:ext uri="{FF2B5EF4-FFF2-40B4-BE49-F238E27FC236}">
              <a16:creationId xmlns:a16="http://schemas.microsoft.com/office/drawing/2014/main" id="{00000000-0008-0000-0300-00002B010000}"/>
            </a:ext>
          </a:extLst>
        </xdr:cNvPr>
        <xdr:cNvCxnSpPr/>
      </xdr:nvCxnSpPr>
      <xdr:spPr>
        <a:xfrm>
          <a:off x="7302871" y="3371670"/>
          <a:ext cx="1443" cy="102003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29</xdr:row>
      <xdr:rowOff>12430</xdr:rowOff>
    </xdr:from>
    <xdr:to>
      <xdr:col>21</xdr:col>
      <xdr:colOff>0</xdr:colOff>
      <xdr:row>31</xdr:row>
      <xdr:rowOff>0</xdr:rowOff>
    </xdr:to>
    <xdr:sp macro="" textlink="">
      <xdr:nvSpPr>
        <xdr:cNvPr id="450" name="TextBox 449">
          <a:extLst>
            <a:ext uri="{FF2B5EF4-FFF2-40B4-BE49-F238E27FC236}">
              <a16:creationId xmlns:a16="http://schemas.microsoft.com/office/drawing/2014/main" id="{00000000-0008-0000-0300-0000C2010000}"/>
            </a:ext>
          </a:extLst>
        </xdr:cNvPr>
        <xdr:cNvSpPr txBox="1"/>
      </xdr:nvSpPr>
      <xdr:spPr>
        <a:xfrm>
          <a:off x="10599964" y="6747966"/>
          <a:ext cx="1115786" cy="450213"/>
        </a:xfrm>
        <a:prstGeom prst="rect">
          <a:avLst/>
        </a:prstGeom>
        <a:solidFill>
          <a:sysClr val="window" lastClr="FFFFFF"/>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GB" sz="1100">
              <a:solidFill>
                <a:sysClr val="windowText" lastClr="000000"/>
              </a:solidFill>
            </a:rPr>
            <a:t>DEAERATOR</a:t>
          </a:r>
        </a:p>
      </xdr:txBody>
    </xdr:sp>
    <xdr:clientData/>
  </xdr:twoCellAnchor>
  <xdr:twoCellAnchor>
    <xdr:from>
      <xdr:col>8</xdr:col>
      <xdr:colOff>546736</xdr:colOff>
      <xdr:row>32</xdr:row>
      <xdr:rowOff>38100</xdr:rowOff>
    </xdr:from>
    <xdr:to>
      <xdr:col>10</xdr:col>
      <xdr:colOff>523204</xdr:colOff>
      <xdr:row>32</xdr:row>
      <xdr:rowOff>38100</xdr:rowOff>
    </xdr:to>
    <xdr:cxnSp macro="">
      <xdr:nvCxnSpPr>
        <xdr:cNvPr id="453" name="Straight Arrow Connector 264">
          <a:extLst>
            <a:ext uri="{FF2B5EF4-FFF2-40B4-BE49-F238E27FC236}">
              <a16:creationId xmlns:a16="http://schemas.microsoft.com/office/drawing/2014/main" id="{00000000-0008-0000-0300-0000C5010000}"/>
            </a:ext>
          </a:extLst>
        </xdr:cNvPr>
        <xdr:cNvCxnSpPr>
          <a:endCxn id="229" idx="3"/>
        </xdr:cNvCxnSpPr>
      </xdr:nvCxnSpPr>
      <xdr:spPr>
        <a:xfrm flipH="1">
          <a:off x="6591448" y="7335715"/>
          <a:ext cx="1075506" cy="0"/>
        </a:xfrm>
        <a:prstGeom prst="straightConnector1">
          <a:avLst/>
        </a:prstGeom>
        <a:ln w="19050">
          <a:solidFill>
            <a:schemeClr val="accent1"/>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467454</xdr:colOff>
      <xdr:row>27</xdr:row>
      <xdr:rowOff>12430</xdr:rowOff>
    </xdr:from>
    <xdr:to>
      <xdr:col>19</xdr:col>
      <xdr:colOff>0</xdr:colOff>
      <xdr:row>30</xdr:row>
      <xdr:rowOff>3664</xdr:rowOff>
    </xdr:to>
    <xdr:cxnSp macro="">
      <xdr:nvCxnSpPr>
        <xdr:cNvPr id="455" name="Straight Arrow Connector 454">
          <a:extLst>
            <a:ext uri="{FF2B5EF4-FFF2-40B4-BE49-F238E27FC236}">
              <a16:creationId xmlns:a16="http://schemas.microsoft.com/office/drawing/2014/main" id="{00000000-0008-0000-0300-0000C7010000}"/>
            </a:ext>
          </a:extLst>
        </xdr:cNvPr>
        <xdr:cNvCxnSpPr>
          <a:endCxn id="450" idx="1"/>
        </xdr:cNvCxnSpPr>
      </xdr:nvCxnSpPr>
      <xdr:spPr>
        <a:xfrm>
          <a:off x="9951633" y="6285323"/>
          <a:ext cx="648331" cy="685198"/>
        </a:xfrm>
        <a:prstGeom prst="bentConnector3">
          <a:avLst>
            <a:gd name="adj1" fmla="val 21686"/>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27</xdr:row>
      <xdr:rowOff>91807</xdr:rowOff>
    </xdr:from>
    <xdr:to>
      <xdr:col>22</xdr:col>
      <xdr:colOff>0</xdr:colOff>
      <xdr:row>30</xdr:row>
      <xdr:rowOff>3664</xdr:rowOff>
    </xdr:to>
    <xdr:cxnSp macro="">
      <xdr:nvCxnSpPr>
        <xdr:cNvPr id="459" name="Straight Arrow Connector 264">
          <a:extLst>
            <a:ext uri="{FF2B5EF4-FFF2-40B4-BE49-F238E27FC236}">
              <a16:creationId xmlns:a16="http://schemas.microsoft.com/office/drawing/2014/main" id="{00000000-0008-0000-0300-0000CB010000}"/>
            </a:ext>
          </a:extLst>
        </xdr:cNvPr>
        <xdr:cNvCxnSpPr>
          <a:stCxn id="450" idx="3"/>
        </xdr:cNvCxnSpPr>
      </xdr:nvCxnSpPr>
      <xdr:spPr>
        <a:xfrm flipV="1">
          <a:off x="11715750" y="6364700"/>
          <a:ext cx="557893" cy="605821"/>
        </a:xfrm>
        <a:prstGeom prst="bentConnector2">
          <a:avLst/>
        </a:prstGeom>
        <a:ln w="1905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287900</xdr:colOff>
      <xdr:row>4</xdr:row>
      <xdr:rowOff>226218</xdr:rowOff>
    </xdr:from>
    <xdr:to>
      <xdr:col>3</xdr:col>
      <xdr:colOff>287900</xdr:colOff>
      <xdr:row>8</xdr:row>
      <xdr:rowOff>66535</xdr:rowOff>
    </xdr:to>
    <xdr:cxnSp macro="">
      <xdr:nvCxnSpPr>
        <xdr:cNvPr id="533" name="Straight Arrow Connector 532">
          <a:extLst>
            <a:ext uri="{FF2B5EF4-FFF2-40B4-BE49-F238E27FC236}">
              <a16:creationId xmlns:a16="http://schemas.microsoft.com/office/drawing/2014/main" id="{00000000-0008-0000-0300-000015020000}"/>
            </a:ext>
          </a:extLst>
        </xdr:cNvPr>
        <xdr:cNvCxnSpPr>
          <a:endCxn id="183" idx="3"/>
        </xdr:cNvCxnSpPr>
      </xdr:nvCxnSpPr>
      <xdr:spPr>
        <a:xfrm>
          <a:off x="1961579" y="1178718"/>
          <a:ext cx="0" cy="765603"/>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951</xdr:colOff>
      <xdr:row>29</xdr:row>
      <xdr:rowOff>0</xdr:rowOff>
    </xdr:from>
    <xdr:to>
      <xdr:col>2</xdr:col>
      <xdr:colOff>0</xdr:colOff>
      <xdr:row>31</xdr:row>
      <xdr:rowOff>25400</xdr:rowOff>
    </xdr:to>
    <xdr:sp macro="" textlink="">
      <xdr:nvSpPr>
        <xdr:cNvPr id="124" name="TextBox 123">
          <a:extLst>
            <a:ext uri="{FF2B5EF4-FFF2-40B4-BE49-F238E27FC236}">
              <a16:creationId xmlns:a16="http://schemas.microsoft.com/office/drawing/2014/main" id="{00000000-0008-0000-0300-00007C000000}"/>
            </a:ext>
          </a:extLst>
        </xdr:cNvPr>
        <xdr:cNvSpPr txBox="1"/>
      </xdr:nvSpPr>
      <xdr:spPr>
        <a:xfrm>
          <a:off x="951" y="6596063"/>
          <a:ext cx="1094424" cy="477837"/>
        </a:xfrm>
        <a:prstGeom prst="rect">
          <a:avLst/>
        </a:prstGeom>
        <a:solidFill>
          <a:sysClr val="window" lastClr="FFFFFF"/>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GB" sz="1100">
              <a:solidFill>
                <a:sysClr val="windowText" lastClr="000000"/>
              </a:solidFill>
            </a:rPr>
            <a:t>VENT</a:t>
          </a:r>
        </a:p>
      </xdr:txBody>
    </xdr:sp>
    <xdr:clientData/>
  </xdr:twoCellAnchor>
  <xdr:twoCellAnchor>
    <xdr:from>
      <xdr:col>13</xdr:col>
      <xdr:colOff>7938</xdr:colOff>
      <xdr:row>16</xdr:row>
      <xdr:rowOff>186</xdr:rowOff>
    </xdr:from>
    <xdr:to>
      <xdr:col>14</xdr:col>
      <xdr:colOff>0</xdr:colOff>
      <xdr:row>20</xdr:row>
      <xdr:rowOff>230604</xdr:rowOff>
    </xdr:to>
    <xdr:grpSp>
      <xdr:nvGrpSpPr>
        <xdr:cNvPr id="11" name="Group 10">
          <a:extLst>
            <a:ext uri="{FF2B5EF4-FFF2-40B4-BE49-F238E27FC236}">
              <a16:creationId xmlns:a16="http://schemas.microsoft.com/office/drawing/2014/main" id="{00000000-0008-0000-0300-00000B000000}"/>
            </a:ext>
          </a:extLst>
        </xdr:cNvPr>
        <xdr:cNvGrpSpPr/>
      </xdr:nvGrpSpPr>
      <xdr:grpSpPr>
        <a:xfrm>
          <a:off x="8262938" y="3717822"/>
          <a:ext cx="627062" cy="1154055"/>
          <a:chOff x="7162271" y="3746687"/>
          <a:chExt cx="542396" cy="1161879"/>
        </a:xfrm>
      </xdr:grpSpPr>
      <xdr:sp macro="" textlink="">
        <xdr:nvSpPr>
          <xdr:cNvPr id="125" name="TextBox 124">
            <a:extLst>
              <a:ext uri="{FF2B5EF4-FFF2-40B4-BE49-F238E27FC236}">
                <a16:creationId xmlns:a16="http://schemas.microsoft.com/office/drawing/2014/main" id="{00000000-0008-0000-0300-00007D000000}"/>
              </a:ext>
            </a:extLst>
          </xdr:cNvPr>
          <xdr:cNvSpPr txBox="1"/>
        </xdr:nvSpPr>
        <xdr:spPr>
          <a:xfrm>
            <a:off x="7162271" y="3746687"/>
            <a:ext cx="542396" cy="380776"/>
          </a:xfrm>
          <a:prstGeom prst="rect">
            <a:avLst/>
          </a:prstGeom>
          <a:solidFill>
            <a:sysClr val="window" lastClr="FFFFFF"/>
          </a:solidFill>
          <a:ln w="25400" cmpd="sng">
            <a:solidFill>
              <a:schemeClr val="tx1"/>
            </a:solidFill>
            <a:prstDash val="solid"/>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GB" sz="1100">
                <a:solidFill>
                  <a:sysClr val="windowText" lastClr="000000"/>
                </a:solidFill>
              </a:rPr>
              <a:t>MP1</a:t>
            </a:r>
          </a:p>
        </xdr:txBody>
      </xdr:sp>
      <xdr:cxnSp macro="">
        <xdr:nvCxnSpPr>
          <xdr:cNvPr id="109" name="Straight Arrow Connector 108">
            <a:extLst>
              <a:ext uri="{FF2B5EF4-FFF2-40B4-BE49-F238E27FC236}">
                <a16:creationId xmlns:a16="http://schemas.microsoft.com/office/drawing/2014/main" id="{00000000-0008-0000-0300-00006D000000}"/>
              </a:ext>
            </a:extLst>
          </xdr:cNvPr>
          <xdr:cNvCxnSpPr/>
        </xdr:nvCxnSpPr>
        <xdr:spPr>
          <a:xfrm>
            <a:off x="7577667" y="4138083"/>
            <a:ext cx="0" cy="77048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523204</xdr:colOff>
      <xdr:row>31</xdr:row>
      <xdr:rowOff>0</xdr:rowOff>
    </xdr:from>
    <xdr:to>
      <xdr:col>15</xdr:col>
      <xdr:colOff>441649</xdr:colOff>
      <xdr:row>36</xdr:row>
      <xdr:rowOff>0</xdr:rowOff>
    </xdr:to>
    <xdr:sp macro="" textlink="">
      <xdr:nvSpPr>
        <xdr:cNvPr id="128" name="TextBox 127">
          <a:extLst>
            <a:ext uri="{FF2B5EF4-FFF2-40B4-BE49-F238E27FC236}">
              <a16:creationId xmlns:a16="http://schemas.microsoft.com/office/drawing/2014/main" id="{00000000-0008-0000-0300-000080000000}"/>
            </a:ext>
          </a:extLst>
        </xdr:cNvPr>
        <xdr:cNvSpPr txBox="1"/>
      </xdr:nvSpPr>
      <xdr:spPr>
        <a:xfrm>
          <a:off x="7643142" y="7048500"/>
          <a:ext cx="1013820" cy="1131094"/>
        </a:xfrm>
        <a:prstGeom prst="rect">
          <a:avLst/>
        </a:prstGeom>
        <a:solidFill>
          <a:sysClr val="window" lastClr="FFFFFF"/>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GB" sz="1100">
              <a:solidFill>
                <a:sysClr val="windowText" lastClr="000000"/>
              </a:solidFill>
            </a:rPr>
            <a:t>BFW preheating</a:t>
          </a:r>
        </a:p>
      </xdr:txBody>
    </xdr:sp>
    <xdr:clientData/>
  </xdr:twoCellAnchor>
  <xdr:twoCellAnchor>
    <xdr:from>
      <xdr:col>15</xdr:col>
      <xdr:colOff>441650</xdr:colOff>
      <xdr:row>31</xdr:row>
      <xdr:rowOff>1</xdr:rowOff>
    </xdr:from>
    <xdr:to>
      <xdr:col>20</xdr:col>
      <xdr:colOff>0</xdr:colOff>
      <xdr:row>33</xdr:row>
      <xdr:rowOff>31751</xdr:rowOff>
    </xdr:to>
    <xdr:cxnSp macro="">
      <xdr:nvCxnSpPr>
        <xdr:cNvPr id="140" name="Straight Arrow Connector 264">
          <a:extLst>
            <a:ext uri="{FF2B5EF4-FFF2-40B4-BE49-F238E27FC236}">
              <a16:creationId xmlns:a16="http://schemas.microsoft.com/office/drawing/2014/main" id="{00000000-0008-0000-0300-00008C000000}"/>
            </a:ext>
          </a:extLst>
        </xdr:cNvPr>
        <xdr:cNvCxnSpPr>
          <a:stCxn id="450" idx="2"/>
        </xdr:cNvCxnSpPr>
      </xdr:nvCxnSpPr>
      <xdr:spPr>
        <a:xfrm rot="5400000">
          <a:off x="9706138" y="5991388"/>
          <a:ext cx="476250" cy="2336475"/>
        </a:xfrm>
        <a:prstGeom prst="bentConnector2">
          <a:avLst/>
        </a:prstGeom>
        <a:ln w="19050">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18854</xdr:colOff>
      <xdr:row>13</xdr:row>
      <xdr:rowOff>11906</xdr:rowOff>
    </xdr:from>
    <xdr:to>
      <xdr:col>3</xdr:col>
      <xdr:colOff>18854</xdr:colOff>
      <xdr:row>15</xdr:row>
      <xdr:rowOff>219428</xdr:rowOff>
    </xdr:to>
    <xdr:cxnSp macro="">
      <xdr:nvCxnSpPr>
        <xdr:cNvPr id="132" name="Straight Arrow Connector 131">
          <a:extLst>
            <a:ext uri="{FF2B5EF4-FFF2-40B4-BE49-F238E27FC236}">
              <a16:creationId xmlns:a16="http://schemas.microsoft.com/office/drawing/2014/main" id="{00000000-0008-0000-0300-000084000000}"/>
            </a:ext>
          </a:extLst>
        </xdr:cNvPr>
        <xdr:cNvCxnSpPr/>
      </xdr:nvCxnSpPr>
      <xdr:spPr>
        <a:xfrm>
          <a:off x="1673196" y="3034840"/>
          <a:ext cx="0" cy="668733"/>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527507</xdr:colOff>
      <xdr:row>3</xdr:row>
      <xdr:rowOff>40821</xdr:rowOff>
    </xdr:from>
    <xdr:to>
      <xdr:col>11</xdr:col>
      <xdr:colOff>486686</xdr:colOff>
      <xdr:row>9</xdr:row>
      <xdr:rowOff>0</xdr:rowOff>
    </xdr:to>
    <xdr:grpSp>
      <xdr:nvGrpSpPr>
        <xdr:cNvPr id="167" name="Group 166">
          <a:extLst>
            <a:ext uri="{FF2B5EF4-FFF2-40B4-BE49-F238E27FC236}">
              <a16:creationId xmlns:a16="http://schemas.microsoft.com/office/drawing/2014/main" id="{00000000-0008-0000-0300-0000A7000000}"/>
            </a:ext>
          </a:extLst>
        </xdr:cNvPr>
        <xdr:cNvGrpSpPr/>
      </xdr:nvGrpSpPr>
      <xdr:grpSpPr>
        <a:xfrm>
          <a:off x="4337507" y="756639"/>
          <a:ext cx="3134179" cy="1344634"/>
          <a:chOff x="3411806" y="991125"/>
          <a:chExt cx="3464125" cy="1954713"/>
        </a:xfrm>
      </xdr:grpSpPr>
      <xdr:sp macro="" textlink="">
        <xdr:nvSpPr>
          <xdr:cNvPr id="168" name="Trapezoid 167">
            <a:extLst>
              <a:ext uri="{FF2B5EF4-FFF2-40B4-BE49-F238E27FC236}">
                <a16:creationId xmlns:a16="http://schemas.microsoft.com/office/drawing/2014/main" id="{00000000-0008-0000-0300-0000A8000000}"/>
              </a:ext>
            </a:extLst>
          </xdr:cNvPr>
          <xdr:cNvSpPr/>
        </xdr:nvSpPr>
        <xdr:spPr>
          <a:xfrm rot="16200000">
            <a:off x="4835322" y="1388938"/>
            <a:ext cx="684522" cy="789399"/>
          </a:xfrm>
          <a:prstGeom prst="trapezoid">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grpSp>
        <xdr:nvGrpSpPr>
          <xdr:cNvPr id="169" name="Group 108">
            <a:extLst>
              <a:ext uri="{FF2B5EF4-FFF2-40B4-BE49-F238E27FC236}">
                <a16:creationId xmlns:a16="http://schemas.microsoft.com/office/drawing/2014/main" id="{00000000-0008-0000-0300-0000A9000000}"/>
              </a:ext>
            </a:extLst>
          </xdr:cNvPr>
          <xdr:cNvGrpSpPr/>
        </xdr:nvGrpSpPr>
        <xdr:grpSpPr>
          <a:xfrm>
            <a:off x="3411806" y="991125"/>
            <a:ext cx="3464125" cy="1954713"/>
            <a:chOff x="3411806" y="991125"/>
            <a:chExt cx="3464125" cy="1954713"/>
          </a:xfrm>
        </xdr:grpSpPr>
        <xdr:sp macro="" textlink="">
          <xdr:nvSpPr>
            <xdr:cNvPr id="171" name="TextBox 170">
              <a:extLst>
                <a:ext uri="{FF2B5EF4-FFF2-40B4-BE49-F238E27FC236}">
                  <a16:creationId xmlns:a16="http://schemas.microsoft.com/office/drawing/2014/main" id="{00000000-0008-0000-0300-0000AB000000}"/>
                </a:ext>
              </a:extLst>
            </xdr:cNvPr>
            <xdr:cNvSpPr txBox="1"/>
          </xdr:nvSpPr>
          <xdr:spPr>
            <a:xfrm>
              <a:off x="5808456" y="2133263"/>
              <a:ext cx="1067475" cy="812575"/>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GB" sz="1100"/>
                <a:t>WHB-1</a:t>
              </a:r>
            </a:p>
          </xdr:txBody>
        </xdr:sp>
        <xdr:cxnSp macro="">
          <xdr:nvCxnSpPr>
            <xdr:cNvPr id="174" name="Straight Connector 173">
              <a:extLst>
                <a:ext uri="{FF2B5EF4-FFF2-40B4-BE49-F238E27FC236}">
                  <a16:creationId xmlns:a16="http://schemas.microsoft.com/office/drawing/2014/main" id="{00000000-0008-0000-0300-0000AE000000}"/>
                </a:ext>
              </a:extLst>
            </xdr:cNvPr>
            <xdr:cNvCxnSpPr>
              <a:stCxn id="175" idx="0"/>
              <a:endCxn id="168" idx="0"/>
            </xdr:cNvCxnSpPr>
          </xdr:nvCxnSpPr>
          <xdr:spPr>
            <a:xfrm>
              <a:off x="4198507" y="1782983"/>
              <a:ext cx="584376" cy="655"/>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175" name="Trapezoid 174">
              <a:extLst>
                <a:ext uri="{FF2B5EF4-FFF2-40B4-BE49-F238E27FC236}">
                  <a16:creationId xmlns:a16="http://schemas.microsoft.com/office/drawing/2014/main" id="{00000000-0008-0000-0300-0000AF000000}"/>
                </a:ext>
              </a:extLst>
            </xdr:cNvPr>
            <xdr:cNvSpPr/>
          </xdr:nvSpPr>
          <xdr:spPr>
            <a:xfrm rot="5400000">
              <a:off x="3462896" y="1389631"/>
              <a:ext cx="684522" cy="786701"/>
            </a:xfrm>
            <a:prstGeom prst="trapezoid">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cxnSp macro="">
          <xdr:nvCxnSpPr>
            <xdr:cNvPr id="176" name="Straight Arrow Connector 175">
              <a:extLst>
                <a:ext uri="{FF2B5EF4-FFF2-40B4-BE49-F238E27FC236}">
                  <a16:creationId xmlns:a16="http://schemas.microsoft.com/office/drawing/2014/main" id="{00000000-0008-0000-0300-0000B0000000}"/>
                </a:ext>
              </a:extLst>
            </xdr:cNvPr>
            <xdr:cNvCxnSpPr>
              <a:endCxn id="175" idx="3"/>
            </xdr:cNvCxnSpPr>
          </xdr:nvCxnSpPr>
          <xdr:spPr>
            <a:xfrm flipV="1">
              <a:off x="3806504" y="2041365"/>
              <a:ext cx="1" cy="46491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7" name="Straight Arrow Connector 15">
              <a:extLst>
                <a:ext uri="{FF2B5EF4-FFF2-40B4-BE49-F238E27FC236}">
                  <a16:creationId xmlns:a16="http://schemas.microsoft.com/office/drawing/2014/main" id="{00000000-0008-0000-0300-0000B1000000}"/>
                </a:ext>
              </a:extLst>
            </xdr:cNvPr>
            <xdr:cNvCxnSpPr>
              <a:stCxn id="175" idx="1"/>
              <a:endCxn id="178" idx="1"/>
            </xdr:cNvCxnSpPr>
          </xdr:nvCxnSpPr>
          <xdr:spPr>
            <a:xfrm rot="5400000" flipH="1" flipV="1">
              <a:off x="3830865" y="1157286"/>
              <a:ext cx="342956" cy="391675"/>
            </a:xfrm>
            <a:prstGeom prst="bentConnector2">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78" name="TextBox 177">
              <a:extLst>
                <a:ext uri="{FF2B5EF4-FFF2-40B4-BE49-F238E27FC236}">
                  <a16:creationId xmlns:a16="http://schemas.microsoft.com/office/drawing/2014/main" id="{00000000-0008-0000-0300-0000B2000000}"/>
                </a:ext>
              </a:extLst>
            </xdr:cNvPr>
            <xdr:cNvSpPr txBox="1"/>
          </xdr:nvSpPr>
          <xdr:spPr>
            <a:xfrm>
              <a:off x="4198180" y="991125"/>
              <a:ext cx="591660" cy="38104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GB" sz="1100"/>
            </a:p>
          </xdr:txBody>
        </xdr:sp>
        <xdr:cxnSp macro="">
          <xdr:nvCxnSpPr>
            <xdr:cNvPr id="179" name="Straight Arrow Connector 15">
              <a:extLst>
                <a:ext uri="{FF2B5EF4-FFF2-40B4-BE49-F238E27FC236}">
                  <a16:creationId xmlns:a16="http://schemas.microsoft.com/office/drawing/2014/main" id="{00000000-0008-0000-0300-0000B3000000}"/>
                </a:ext>
              </a:extLst>
            </xdr:cNvPr>
            <xdr:cNvCxnSpPr>
              <a:stCxn id="178" idx="3"/>
              <a:endCxn id="168" idx="3"/>
            </xdr:cNvCxnSpPr>
          </xdr:nvCxnSpPr>
          <xdr:spPr>
            <a:xfrm>
              <a:off x="4789840" y="1181645"/>
              <a:ext cx="387743" cy="343612"/>
            </a:xfrm>
            <a:prstGeom prst="bentConnector2">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0" name="Straight Arrow Connector 15">
              <a:extLst>
                <a:ext uri="{FF2B5EF4-FFF2-40B4-BE49-F238E27FC236}">
                  <a16:creationId xmlns:a16="http://schemas.microsoft.com/office/drawing/2014/main" id="{00000000-0008-0000-0300-0000B4000000}"/>
                </a:ext>
              </a:extLst>
            </xdr:cNvPr>
            <xdr:cNvCxnSpPr>
              <a:stCxn id="168" idx="1"/>
              <a:endCxn id="171" idx="1"/>
            </xdr:cNvCxnSpPr>
          </xdr:nvCxnSpPr>
          <xdr:spPr>
            <a:xfrm rot="16200000" flipH="1">
              <a:off x="5243410" y="1974505"/>
              <a:ext cx="499218" cy="630873"/>
            </a:xfrm>
            <a:prstGeom prst="bentConnector2">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Straight Connector 180">
              <a:extLst>
                <a:ext uri="{FF2B5EF4-FFF2-40B4-BE49-F238E27FC236}">
                  <a16:creationId xmlns:a16="http://schemas.microsoft.com/office/drawing/2014/main" id="{00000000-0008-0000-0300-0000B5000000}"/>
                </a:ext>
              </a:extLst>
            </xdr:cNvPr>
            <xdr:cNvCxnSpPr>
              <a:stCxn id="168" idx="2"/>
              <a:endCxn id="182" idx="2"/>
            </xdr:cNvCxnSpPr>
          </xdr:nvCxnSpPr>
          <xdr:spPr>
            <a:xfrm>
              <a:off x="5572282" y="1783638"/>
              <a:ext cx="183076" cy="893"/>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182" name="Oval 181">
              <a:extLst>
                <a:ext uri="{FF2B5EF4-FFF2-40B4-BE49-F238E27FC236}">
                  <a16:creationId xmlns:a16="http://schemas.microsoft.com/office/drawing/2014/main" id="{00000000-0008-0000-0300-0000B6000000}"/>
                </a:ext>
              </a:extLst>
            </xdr:cNvPr>
            <xdr:cNvSpPr/>
          </xdr:nvSpPr>
          <xdr:spPr>
            <a:xfrm>
              <a:off x="5755358" y="1658464"/>
              <a:ext cx="238127" cy="252133"/>
            </a:xfrm>
            <a:prstGeom prst="ellipse">
              <a:avLst/>
            </a:prstGeom>
            <a:solidFill>
              <a:schemeClr val="bg1"/>
            </a:solidFill>
            <a:ln>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100" baseline="0">
                  <a:solidFill>
                    <a:schemeClr val="tx1"/>
                  </a:solidFill>
                </a:rPr>
                <a:t>G</a:t>
              </a:r>
            </a:p>
          </xdr:txBody>
        </xdr:sp>
      </xdr:grpSp>
    </xdr:grpSp>
    <xdr:clientData/>
  </xdr:twoCellAnchor>
  <xdr:twoCellAnchor>
    <xdr:from>
      <xdr:col>0</xdr:col>
      <xdr:colOff>138544</xdr:colOff>
      <xdr:row>7</xdr:row>
      <xdr:rowOff>16651</xdr:rowOff>
    </xdr:from>
    <xdr:to>
      <xdr:col>2</xdr:col>
      <xdr:colOff>162457</xdr:colOff>
      <xdr:row>10</xdr:row>
      <xdr:rowOff>74464</xdr:rowOff>
    </xdr:to>
    <xdr:sp macro="" textlink="">
      <xdr:nvSpPr>
        <xdr:cNvPr id="273" name="Trapezoid 272">
          <a:extLst>
            <a:ext uri="{FF2B5EF4-FFF2-40B4-BE49-F238E27FC236}">
              <a16:creationId xmlns:a16="http://schemas.microsoft.com/office/drawing/2014/main" id="{00000000-0008-0000-0300-000011010000}"/>
            </a:ext>
          </a:extLst>
        </xdr:cNvPr>
        <xdr:cNvSpPr/>
      </xdr:nvSpPr>
      <xdr:spPr>
        <a:xfrm rot="16200000">
          <a:off x="329953" y="1444492"/>
          <a:ext cx="736469" cy="1119288"/>
        </a:xfrm>
        <a:prstGeom prst="trapezoid">
          <a:avLst/>
        </a:prstGeom>
        <a:solidFill>
          <a:sysClr val="window" lastClr="FFFFFF"/>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vert="vert" rtlCol="0" anchor="ctr"/>
        <a:lstStyle/>
        <a:p>
          <a:pPr algn="ctr"/>
          <a:r>
            <a:rPr lang="en-GB" sz="1100">
              <a:solidFill>
                <a:sysClr val="windowText" lastClr="000000"/>
              </a:solidFill>
            </a:rPr>
            <a:t>ST 5 </a:t>
          </a:r>
        </a:p>
      </xdr:txBody>
    </xdr:sp>
    <xdr:clientData/>
  </xdr:twoCellAnchor>
  <xdr:twoCellAnchor>
    <xdr:from>
      <xdr:col>8</xdr:col>
      <xdr:colOff>546736</xdr:colOff>
      <xdr:row>35</xdr:row>
      <xdr:rowOff>3</xdr:rowOff>
    </xdr:from>
    <xdr:to>
      <xdr:col>10</xdr:col>
      <xdr:colOff>523204</xdr:colOff>
      <xdr:row>35</xdr:row>
      <xdr:rowOff>3</xdr:rowOff>
    </xdr:to>
    <xdr:cxnSp macro="">
      <xdr:nvCxnSpPr>
        <xdr:cNvPr id="104" name="Straight Arrow Connector 264">
          <a:extLst>
            <a:ext uri="{FF2B5EF4-FFF2-40B4-BE49-F238E27FC236}">
              <a16:creationId xmlns:a16="http://schemas.microsoft.com/office/drawing/2014/main" id="{00000000-0008-0000-0300-000068000000}"/>
            </a:ext>
          </a:extLst>
        </xdr:cNvPr>
        <xdr:cNvCxnSpPr/>
      </xdr:nvCxnSpPr>
      <xdr:spPr>
        <a:xfrm flipH="1">
          <a:off x="6571299" y="7953378"/>
          <a:ext cx="1071843" cy="0"/>
        </a:xfrm>
        <a:prstGeom prst="straightConnector1">
          <a:avLst/>
        </a:prstGeom>
        <a:ln w="19050">
          <a:solidFill>
            <a:schemeClr val="accent1"/>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52161</xdr:colOff>
      <xdr:row>29</xdr:row>
      <xdr:rowOff>68815</xdr:rowOff>
    </xdr:from>
    <xdr:to>
      <xdr:col>14</xdr:col>
      <xdr:colOff>466552</xdr:colOff>
      <xdr:row>31</xdr:row>
      <xdr:rowOff>0</xdr:rowOff>
    </xdr:to>
    <xdr:cxnSp macro="">
      <xdr:nvCxnSpPr>
        <xdr:cNvPr id="192" name="Straight Arrow Connector 191">
          <a:extLst>
            <a:ext uri="{FF2B5EF4-FFF2-40B4-BE49-F238E27FC236}">
              <a16:creationId xmlns:a16="http://schemas.microsoft.com/office/drawing/2014/main" id="{00000000-0008-0000-0300-0000C0000000}"/>
            </a:ext>
          </a:extLst>
        </xdr:cNvPr>
        <xdr:cNvCxnSpPr/>
      </xdr:nvCxnSpPr>
      <xdr:spPr>
        <a:xfrm>
          <a:off x="6719661" y="6545815"/>
          <a:ext cx="1525641" cy="375685"/>
        </a:xfrm>
        <a:prstGeom prst="bentConnector2">
          <a:avLst/>
        </a:prstGeom>
        <a:ln>
          <a:solidFill>
            <a:srgbClr val="FF0000"/>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204808</xdr:colOff>
      <xdr:row>8</xdr:row>
      <xdr:rowOff>63505</xdr:rowOff>
    </xdr:from>
    <xdr:to>
      <xdr:col>3</xdr:col>
      <xdr:colOff>366244</xdr:colOff>
      <xdr:row>9</xdr:row>
      <xdr:rowOff>188739</xdr:rowOff>
    </xdr:to>
    <xdr:grpSp>
      <xdr:nvGrpSpPr>
        <xdr:cNvPr id="166" name="Group 152">
          <a:extLst>
            <a:ext uri="{FF2B5EF4-FFF2-40B4-BE49-F238E27FC236}">
              <a16:creationId xmlns:a16="http://schemas.microsoft.com/office/drawing/2014/main" id="{00000000-0008-0000-0300-0000A6000000}"/>
            </a:ext>
          </a:extLst>
        </xdr:cNvPr>
        <xdr:cNvGrpSpPr>
          <a:grpSpLocks/>
        </xdr:cNvGrpSpPr>
      </xdr:nvGrpSpPr>
      <xdr:grpSpPr bwMode="auto">
        <a:xfrm rot="5400000">
          <a:off x="2012454" y="2031223"/>
          <a:ext cx="356143" cy="161436"/>
          <a:chOff x="441" y="577"/>
          <a:chExt cx="58" cy="34"/>
        </a:xfrm>
      </xdr:grpSpPr>
      <xdr:sp macro="" textlink="">
        <xdr:nvSpPr>
          <xdr:cNvPr id="183" name="AutoShape 153">
            <a:extLst>
              <a:ext uri="{FF2B5EF4-FFF2-40B4-BE49-F238E27FC236}">
                <a16:creationId xmlns:a16="http://schemas.microsoft.com/office/drawing/2014/main" id="{00000000-0008-0000-0300-0000B7000000}"/>
              </a:ext>
            </a:extLst>
          </xdr:cNvPr>
          <xdr:cNvSpPr>
            <a:spLocks noChangeArrowheads="1"/>
          </xdr:cNvSpPr>
        </xdr:nvSpPr>
        <xdr:spPr bwMode="auto">
          <a:xfrm rot="5400000">
            <a:off x="439" y="579"/>
            <a:ext cx="34" cy="29"/>
          </a:xfrm>
          <a:prstGeom prst="triangle">
            <a:avLst>
              <a:gd name="adj" fmla="val 50000"/>
            </a:avLst>
          </a:prstGeom>
          <a:solidFill>
            <a:srgbClr val="FFFFFF"/>
          </a:solidFill>
          <a:ln w="19050">
            <a:solidFill>
              <a:srgbClr val="000000"/>
            </a:solidFill>
            <a:miter lim="800000"/>
            <a:headEnd/>
            <a:tailEnd/>
          </a:ln>
        </xdr:spPr>
      </xdr:sp>
      <xdr:sp macro="" textlink="">
        <xdr:nvSpPr>
          <xdr:cNvPr id="184" name="AutoShape 154">
            <a:extLst>
              <a:ext uri="{FF2B5EF4-FFF2-40B4-BE49-F238E27FC236}">
                <a16:creationId xmlns:a16="http://schemas.microsoft.com/office/drawing/2014/main" id="{00000000-0008-0000-0300-0000B8000000}"/>
              </a:ext>
            </a:extLst>
          </xdr:cNvPr>
          <xdr:cNvSpPr>
            <a:spLocks noChangeArrowheads="1"/>
          </xdr:cNvSpPr>
        </xdr:nvSpPr>
        <xdr:spPr bwMode="auto">
          <a:xfrm rot="16200000" flipH="1">
            <a:off x="468" y="579"/>
            <a:ext cx="34" cy="29"/>
          </a:xfrm>
          <a:prstGeom prst="triangle">
            <a:avLst>
              <a:gd name="adj" fmla="val 50000"/>
            </a:avLst>
          </a:prstGeom>
          <a:solidFill>
            <a:srgbClr val="FFFFFF"/>
          </a:solidFill>
          <a:ln w="19050">
            <a:solidFill>
              <a:srgbClr val="000000"/>
            </a:solidFill>
            <a:miter lim="800000"/>
            <a:headEnd/>
            <a:tailEnd/>
          </a:ln>
        </xdr:spPr>
      </xdr:sp>
    </xdr:grpSp>
    <xdr:clientData/>
  </xdr:twoCellAnchor>
  <xdr:twoCellAnchor>
    <xdr:from>
      <xdr:col>6</xdr:col>
      <xdr:colOff>236660</xdr:colOff>
      <xdr:row>13</xdr:row>
      <xdr:rowOff>0</xdr:rowOff>
    </xdr:from>
    <xdr:to>
      <xdr:col>7</xdr:col>
      <xdr:colOff>455197</xdr:colOff>
      <xdr:row>26</xdr:row>
      <xdr:rowOff>222250</xdr:rowOff>
    </xdr:to>
    <xdr:grpSp>
      <xdr:nvGrpSpPr>
        <xdr:cNvPr id="10" name="Group 9">
          <a:extLst>
            <a:ext uri="{FF2B5EF4-FFF2-40B4-BE49-F238E27FC236}">
              <a16:creationId xmlns:a16="http://schemas.microsoft.com/office/drawing/2014/main" id="{00000000-0008-0000-0300-00000A000000}"/>
            </a:ext>
          </a:extLst>
        </xdr:cNvPr>
        <xdr:cNvGrpSpPr/>
      </xdr:nvGrpSpPr>
      <xdr:grpSpPr>
        <a:xfrm>
          <a:off x="4046660" y="3024909"/>
          <a:ext cx="853537" cy="3224068"/>
          <a:chOff x="3541836" y="3000375"/>
          <a:chExt cx="773833" cy="3193790"/>
        </a:xfrm>
      </xdr:grpSpPr>
      <xdr:cxnSp macro="">
        <xdr:nvCxnSpPr>
          <xdr:cNvPr id="354" name="Straight Arrow Connector 353">
            <a:extLst>
              <a:ext uri="{FF2B5EF4-FFF2-40B4-BE49-F238E27FC236}">
                <a16:creationId xmlns:a16="http://schemas.microsoft.com/office/drawing/2014/main" id="{00000000-0008-0000-0300-000062010000}"/>
              </a:ext>
            </a:extLst>
          </xdr:cNvPr>
          <xdr:cNvCxnSpPr/>
        </xdr:nvCxnSpPr>
        <xdr:spPr>
          <a:xfrm flipH="1">
            <a:off x="4284785" y="4266746"/>
            <a:ext cx="13610" cy="1927419"/>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42" name="Straight Arrow Connector 341">
            <a:extLst>
              <a:ext uri="{FF2B5EF4-FFF2-40B4-BE49-F238E27FC236}">
                <a16:creationId xmlns:a16="http://schemas.microsoft.com/office/drawing/2014/main" id="{00000000-0008-0000-0300-000056010000}"/>
              </a:ext>
            </a:extLst>
          </xdr:cNvPr>
          <xdr:cNvCxnSpPr/>
        </xdr:nvCxnSpPr>
        <xdr:spPr>
          <a:xfrm>
            <a:off x="3589369" y="3000375"/>
            <a:ext cx="2049" cy="675074"/>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116" name="Trapezoid 115">
            <a:extLst>
              <a:ext uri="{FF2B5EF4-FFF2-40B4-BE49-F238E27FC236}">
                <a16:creationId xmlns:a16="http://schemas.microsoft.com/office/drawing/2014/main" id="{00000000-0008-0000-0300-000074000000}"/>
              </a:ext>
            </a:extLst>
          </xdr:cNvPr>
          <xdr:cNvSpPr/>
        </xdr:nvSpPr>
        <xdr:spPr>
          <a:xfrm rot="16200000">
            <a:off x="3538228" y="3490493"/>
            <a:ext cx="781050" cy="773833"/>
          </a:xfrm>
          <a:prstGeom prst="trapezoid">
            <a:avLst/>
          </a:prstGeom>
          <a:solidFill>
            <a:sysClr val="window" lastClr="FFFFFF"/>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vert="vert" rtlCol="0" anchor="ctr"/>
          <a:lstStyle/>
          <a:p>
            <a:pPr algn="ctr"/>
            <a:r>
              <a:rPr lang="en-GB" sz="1100">
                <a:solidFill>
                  <a:sysClr val="windowText" lastClr="000000"/>
                </a:solidFill>
              </a:rPr>
              <a:t>ST 6</a:t>
            </a:r>
          </a:p>
        </xdr:txBody>
      </xdr:sp>
    </xdr:grpSp>
    <xdr:clientData/>
  </xdr:twoCellAnchor>
  <xdr:twoCellAnchor>
    <xdr:from>
      <xdr:col>3</xdr:col>
      <xdr:colOff>287900</xdr:colOff>
      <xdr:row>9</xdr:row>
      <xdr:rowOff>191769</xdr:rowOff>
    </xdr:from>
    <xdr:to>
      <xdr:col>3</xdr:col>
      <xdr:colOff>287900</xdr:colOff>
      <xdr:row>12</xdr:row>
      <xdr:rowOff>219982</xdr:rowOff>
    </xdr:to>
    <xdr:cxnSp macro="">
      <xdr:nvCxnSpPr>
        <xdr:cNvPr id="203" name="Straight Arrow Connector 202">
          <a:extLst>
            <a:ext uri="{FF2B5EF4-FFF2-40B4-BE49-F238E27FC236}">
              <a16:creationId xmlns:a16="http://schemas.microsoft.com/office/drawing/2014/main" id="{00000000-0008-0000-0300-0000CB000000}"/>
            </a:ext>
          </a:extLst>
        </xdr:cNvPr>
        <xdr:cNvCxnSpPr>
          <a:stCxn id="184" idx="3"/>
        </xdr:cNvCxnSpPr>
      </xdr:nvCxnSpPr>
      <xdr:spPr>
        <a:xfrm>
          <a:off x="1961579" y="2300876"/>
          <a:ext cx="0" cy="72217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526368</xdr:colOff>
      <xdr:row>14</xdr:row>
      <xdr:rowOff>183343</xdr:rowOff>
    </xdr:from>
    <xdr:to>
      <xdr:col>5</xdr:col>
      <xdr:colOff>480</xdr:colOff>
      <xdr:row>18</xdr:row>
      <xdr:rowOff>8322</xdr:rowOff>
    </xdr:to>
    <xdr:sp macro="" textlink="">
      <xdr:nvSpPr>
        <xdr:cNvPr id="205" name="Trapezoid 204">
          <a:extLst>
            <a:ext uri="{FF2B5EF4-FFF2-40B4-BE49-F238E27FC236}">
              <a16:creationId xmlns:a16="http://schemas.microsoft.com/office/drawing/2014/main" id="{00000000-0008-0000-0300-0000CD000000}"/>
            </a:ext>
          </a:extLst>
        </xdr:cNvPr>
        <xdr:cNvSpPr/>
      </xdr:nvSpPr>
      <xdr:spPr>
        <a:xfrm rot="16200000">
          <a:off x="1815404" y="3192463"/>
          <a:ext cx="729854" cy="1117175"/>
        </a:xfrm>
        <a:prstGeom prst="trapezoid">
          <a:avLst/>
        </a:prstGeom>
        <a:solidFill>
          <a:sysClr val="window" lastClr="FFFFFF"/>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vert="vert" rtlCol="0" anchor="ctr"/>
        <a:lstStyle/>
        <a:p>
          <a:pPr algn="ctr"/>
          <a:r>
            <a:rPr lang="en-GB" sz="1100">
              <a:solidFill>
                <a:sysClr val="windowText" lastClr="000000"/>
              </a:solidFill>
            </a:rPr>
            <a:t>ST 2 </a:t>
          </a:r>
        </a:p>
      </xdr:txBody>
    </xdr:sp>
    <xdr:clientData/>
  </xdr:twoCellAnchor>
  <xdr:twoCellAnchor>
    <xdr:from>
      <xdr:col>8</xdr:col>
      <xdr:colOff>339356</xdr:colOff>
      <xdr:row>13</xdr:row>
      <xdr:rowOff>0</xdr:rowOff>
    </xdr:from>
    <xdr:to>
      <xdr:col>10</xdr:col>
      <xdr:colOff>0</xdr:colOff>
      <xdr:row>27</xdr:row>
      <xdr:rowOff>0</xdr:rowOff>
    </xdr:to>
    <xdr:grpSp>
      <xdr:nvGrpSpPr>
        <xdr:cNvPr id="208" name="Group 207">
          <a:extLst>
            <a:ext uri="{FF2B5EF4-FFF2-40B4-BE49-F238E27FC236}">
              <a16:creationId xmlns:a16="http://schemas.microsoft.com/office/drawing/2014/main" id="{00000000-0008-0000-0300-0000D0000000}"/>
            </a:ext>
          </a:extLst>
        </xdr:cNvPr>
        <xdr:cNvGrpSpPr/>
      </xdr:nvGrpSpPr>
      <xdr:grpSpPr>
        <a:xfrm>
          <a:off x="5419356" y="3024909"/>
          <a:ext cx="930644" cy="3232727"/>
          <a:chOff x="3541836" y="3000375"/>
          <a:chExt cx="773833" cy="3202077"/>
        </a:xfrm>
      </xdr:grpSpPr>
      <xdr:cxnSp macro="">
        <xdr:nvCxnSpPr>
          <xdr:cNvPr id="209" name="Straight Arrow Connector 208">
            <a:extLst>
              <a:ext uri="{FF2B5EF4-FFF2-40B4-BE49-F238E27FC236}">
                <a16:creationId xmlns:a16="http://schemas.microsoft.com/office/drawing/2014/main" id="{00000000-0008-0000-0300-0000D1000000}"/>
              </a:ext>
            </a:extLst>
          </xdr:cNvPr>
          <xdr:cNvCxnSpPr/>
        </xdr:nvCxnSpPr>
        <xdr:spPr>
          <a:xfrm flipH="1">
            <a:off x="4284785" y="4266746"/>
            <a:ext cx="13610" cy="193570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0" name="Straight Arrow Connector 209">
            <a:extLst>
              <a:ext uri="{FF2B5EF4-FFF2-40B4-BE49-F238E27FC236}">
                <a16:creationId xmlns:a16="http://schemas.microsoft.com/office/drawing/2014/main" id="{00000000-0008-0000-0300-0000D2000000}"/>
              </a:ext>
            </a:extLst>
          </xdr:cNvPr>
          <xdr:cNvCxnSpPr/>
        </xdr:nvCxnSpPr>
        <xdr:spPr>
          <a:xfrm>
            <a:off x="3589369" y="3000375"/>
            <a:ext cx="2049" cy="675074"/>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12" name="Trapezoid 211">
            <a:extLst>
              <a:ext uri="{FF2B5EF4-FFF2-40B4-BE49-F238E27FC236}">
                <a16:creationId xmlns:a16="http://schemas.microsoft.com/office/drawing/2014/main" id="{00000000-0008-0000-0300-0000D4000000}"/>
              </a:ext>
            </a:extLst>
          </xdr:cNvPr>
          <xdr:cNvSpPr/>
        </xdr:nvSpPr>
        <xdr:spPr>
          <a:xfrm rot="16200000">
            <a:off x="3538228" y="3490493"/>
            <a:ext cx="781050" cy="773833"/>
          </a:xfrm>
          <a:prstGeom prst="trapezoid">
            <a:avLst/>
          </a:prstGeom>
          <a:solidFill>
            <a:sysClr val="window" lastClr="FFFFFF"/>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vert="vert" rtlCol="0" anchor="ctr"/>
          <a:lstStyle/>
          <a:p>
            <a:pPr algn="ctr"/>
            <a:r>
              <a:rPr lang="en-GB" sz="1100">
                <a:solidFill>
                  <a:sysClr val="windowText" lastClr="000000"/>
                </a:solidFill>
              </a:rPr>
              <a:t>ST 7</a:t>
            </a:r>
          </a:p>
        </xdr:txBody>
      </xdr:sp>
    </xdr:grpSp>
    <xdr:clientData/>
  </xdr:twoCellAnchor>
  <xdr:twoCellAnchor>
    <xdr:from>
      <xdr:col>10</xdr:col>
      <xdr:colOff>285750</xdr:colOff>
      <xdr:row>13</xdr:row>
      <xdr:rowOff>11906</xdr:rowOff>
    </xdr:from>
    <xdr:to>
      <xdr:col>11</xdr:col>
      <xdr:colOff>504287</xdr:colOff>
      <xdr:row>27</xdr:row>
      <xdr:rowOff>0</xdr:rowOff>
    </xdr:to>
    <xdr:grpSp>
      <xdr:nvGrpSpPr>
        <xdr:cNvPr id="215" name="Group 214">
          <a:extLst>
            <a:ext uri="{FF2B5EF4-FFF2-40B4-BE49-F238E27FC236}">
              <a16:creationId xmlns:a16="http://schemas.microsoft.com/office/drawing/2014/main" id="{00000000-0008-0000-0300-0000D7000000}"/>
            </a:ext>
          </a:extLst>
        </xdr:cNvPr>
        <xdr:cNvGrpSpPr/>
      </xdr:nvGrpSpPr>
      <xdr:grpSpPr>
        <a:xfrm>
          <a:off x="6635750" y="3036815"/>
          <a:ext cx="853537" cy="3220821"/>
          <a:chOff x="3541836" y="3000375"/>
          <a:chExt cx="773833" cy="3190268"/>
        </a:xfrm>
      </xdr:grpSpPr>
      <xdr:cxnSp macro="">
        <xdr:nvCxnSpPr>
          <xdr:cNvPr id="216" name="Straight Arrow Connector 215">
            <a:extLst>
              <a:ext uri="{FF2B5EF4-FFF2-40B4-BE49-F238E27FC236}">
                <a16:creationId xmlns:a16="http://schemas.microsoft.com/office/drawing/2014/main" id="{00000000-0008-0000-0300-0000D8000000}"/>
              </a:ext>
            </a:extLst>
          </xdr:cNvPr>
          <xdr:cNvCxnSpPr/>
        </xdr:nvCxnSpPr>
        <xdr:spPr>
          <a:xfrm flipH="1">
            <a:off x="4284785" y="4266746"/>
            <a:ext cx="13610" cy="192389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7" name="Straight Arrow Connector 216">
            <a:extLst>
              <a:ext uri="{FF2B5EF4-FFF2-40B4-BE49-F238E27FC236}">
                <a16:creationId xmlns:a16="http://schemas.microsoft.com/office/drawing/2014/main" id="{00000000-0008-0000-0300-0000D9000000}"/>
              </a:ext>
            </a:extLst>
          </xdr:cNvPr>
          <xdr:cNvCxnSpPr/>
        </xdr:nvCxnSpPr>
        <xdr:spPr>
          <a:xfrm>
            <a:off x="3589369" y="3000375"/>
            <a:ext cx="2049" cy="675074"/>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18" name="Trapezoid 217">
            <a:extLst>
              <a:ext uri="{FF2B5EF4-FFF2-40B4-BE49-F238E27FC236}">
                <a16:creationId xmlns:a16="http://schemas.microsoft.com/office/drawing/2014/main" id="{00000000-0008-0000-0300-0000DA000000}"/>
              </a:ext>
            </a:extLst>
          </xdr:cNvPr>
          <xdr:cNvSpPr/>
        </xdr:nvSpPr>
        <xdr:spPr>
          <a:xfrm rot="16200000">
            <a:off x="3538228" y="3490493"/>
            <a:ext cx="781050" cy="773833"/>
          </a:xfrm>
          <a:prstGeom prst="trapezoid">
            <a:avLst/>
          </a:prstGeom>
          <a:solidFill>
            <a:sysClr val="window" lastClr="FFFFFF"/>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vert="vert" rtlCol="0" anchor="ctr"/>
          <a:lstStyle/>
          <a:p>
            <a:pPr algn="ctr"/>
            <a:r>
              <a:rPr lang="en-GB" sz="1100">
                <a:solidFill>
                  <a:sysClr val="windowText" lastClr="000000"/>
                </a:solidFill>
              </a:rPr>
              <a:t>ST5</a:t>
            </a:r>
            <a:r>
              <a:rPr lang="en-GB" sz="1100" baseline="0">
                <a:solidFill>
                  <a:sysClr val="windowText" lastClr="000000"/>
                </a:solidFill>
              </a:rPr>
              <a:t> HP</a:t>
            </a:r>
            <a:endParaRPr lang="en-GB" sz="1100">
              <a:solidFill>
                <a:sysClr val="windowText" lastClr="000000"/>
              </a:solidFill>
            </a:endParaRPr>
          </a:p>
        </xdr:txBody>
      </xdr:sp>
    </xdr:grpSp>
    <xdr:clientData/>
  </xdr:twoCellAnchor>
  <xdr:twoCellAnchor>
    <xdr:from>
      <xdr:col>4</xdr:col>
      <xdr:colOff>0</xdr:colOff>
      <xdr:row>29</xdr:row>
      <xdr:rowOff>0</xdr:rowOff>
    </xdr:from>
    <xdr:to>
      <xdr:col>5</xdr:col>
      <xdr:colOff>546736</xdr:colOff>
      <xdr:row>31</xdr:row>
      <xdr:rowOff>25400</xdr:rowOff>
    </xdr:to>
    <xdr:sp macro="" textlink="">
      <xdr:nvSpPr>
        <xdr:cNvPr id="219" name="TextBox 218">
          <a:extLst>
            <a:ext uri="{FF2B5EF4-FFF2-40B4-BE49-F238E27FC236}">
              <a16:creationId xmlns:a16="http://schemas.microsoft.com/office/drawing/2014/main" id="{00000000-0008-0000-0300-0000DB000000}"/>
            </a:ext>
          </a:extLst>
        </xdr:cNvPr>
        <xdr:cNvSpPr txBox="1"/>
      </xdr:nvSpPr>
      <xdr:spPr>
        <a:xfrm>
          <a:off x="2190750" y="6596063"/>
          <a:ext cx="1094424" cy="477837"/>
        </a:xfrm>
        <a:prstGeom prst="rect">
          <a:avLst/>
        </a:prstGeom>
        <a:solidFill>
          <a:sysClr val="window" lastClr="FFFFFF"/>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GB" sz="1100">
              <a:solidFill>
                <a:sysClr val="windowText" lastClr="000000"/>
              </a:solidFill>
            </a:rPr>
            <a:t>CONDENSER</a:t>
          </a:r>
        </a:p>
      </xdr:txBody>
    </xdr:sp>
    <xdr:clientData/>
  </xdr:twoCellAnchor>
  <xdr:twoCellAnchor>
    <xdr:from>
      <xdr:col>4</xdr:col>
      <xdr:colOff>55200</xdr:colOff>
      <xdr:row>17</xdr:row>
      <xdr:rowOff>148130</xdr:rowOff>
    </xdr:from>
    <xdr:to>
      <xdr:col>4</xdr:col>
      <xdr:colOff>55200</xdr:colOff>
      <xdr:row>26</xdr:row>
      <xdr:rowOff>222250</xdr:rowOff>
    </xdr:to>
    <xdr:cxnSp macro="">
      <xdr:nvCxnSpPr>
        <xdr:cNvPr id="220" name="Straight Arrow Connector 219">
          <a:extLst>
            <a:ext uri="{FF2B5EF4-FFF2-40B4-BE49-F238E27FC236}">
              <a16:creationId xmlns:a16="http://schemas.microsoft.com/office/drawing/2014/main" id="{00000000-0008-0000-0300-0000DC000000}"/>
            </a:ext>
          </a:extLst>
        </xdr:cNvPr>
        <xdr:cNvCxnSpPr/>
      </xdr:nvCxnSpPr>
      <xdr:spPr>
        <a:xfrm>
          <a:off x="2260989" y="4093485"/>
          <a:ext cx="0" cy="2149568"/>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482</xdr:colOff>
      <xdr:row>17</xdr:row>
      <xdr:rowOff>214507</xdr:rowOff>
    </xdr:from>
    <xdr:to>
      <xdr:col>5</xdr:col>
      <xdr:colOff>483</xdr:colOff>
      <xdr:row>29</xdr:row>
      <xdr:rowOff>0</xdr:rowOff>
    </xdr:to>
    <xdr:cxnSp macro="">
      <xdr:nvCxnSpPr>
        <xdr:cNvPr id="221" name="Straight Arrow Connector 220">
          <a:extLst>
            <a:ext uri="{FF2B5EF4-FFF2-40B4-BE49-F238E27FC236}">
              <a16:creationId xmlns:a16="http://schemas.microsoft.com/office/drawing/2014/main" id="{00000000-0008-0000-0300-0000DD000000}"/>
            </a:ext>
          </a:extLst>
        </xdr:cNvPr>
        <xdr:cNvCxnSpPr/>
      </xdr:nvCxnSpPr>
      <xdr:spPr>
        <a:xfrm flipH="1">
          <a:off x="2738920" y="4095945"/>
          <a:ext cx="1" cy="2500118"/>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27</xdr:row>
      <xdr:rowOff>0</xdr:rowOff>
    </xdr:from>
    <xdr:to>
      <xdr:col>1</xdr:col>
      <xdr:colOff>475</xdr:colOff>
      <xdr:row>29</xdr:row>
      <xdr:rowOff>0</xdr:rowOff>
    </xdr:to>
    <xdr:cxnSp macro="">
      <xdr:nvCxnSpPr>
        <xdr:cNvPr id="222" name="Straight Arrow Connector 221">
          <a:extLst>
            <a:ext uri="{FF2B5EF4-FFF2-40B4-BE49-F238E27FC236}">
              <a16:creationId xmlns:a16="http://schemas.microsoft.com/office/drawing/2014/main" id="{00000000-0008-0000-0300-0000DE000000}"/>
            </a:ext>
          </a:extLst>
        </xdr:cNvPr>
        <xdr:cNvCxnSpPr>
          <a:endCxn id="124" idx="0"/>
        </xdr:cNvCxnSpPr>
      </xdr:nvCxnSpPr>
      <xdr:spPr>
        <a:xfrm>
          <a:off x="547688" y="6143625"/>
          <a:ext cx="475" cy="452438"/>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31</xdr:row>
      <xdr:rowOff>25400</xdr:rowOff>
    </xdr:from>
    <xdr:to>
      <xdr:col>8</xdr:col>
      <xdr:colOff>546736</xdr:colOff>
      <xdr:row>33</xdr:row>
      <xdr:rowOff>50799</xdr:rowOff>
    </xdr:to>
    <xdr:sp macro="" textlink="">
      <xdr:nvSpPr>
        <xdr:cNvPr id="229" name="TextBox 228">
          <a:extLst>
            <a:ext uri="{FF2B5EF4-FFF2-40B4-BE49-F238E27FC236}">
              <a16:creationId xmlns:a16="http://schemas.microsoft.com/office/drawing/2014/main" id="{00000000-0008-0000-0300-0000E5000000}"/>
            </a:ext>
          </a:extLst>
        </xdr:cNvPr>
        <xdr:cNvSpPr txBox="1"/>
      </xdr:nvSpPr>
      <xdr:spPr>
        <a:xfrm>
          <a:off x="5476875" y="7073900"/>
          <a:ext cx="1094424" cy="477837"/>
        </a:xfrm>
        <a:prstGeom prst="rect">
          <a:avLst/>
        </a:prstGeom>
        <a:solidFill>
          <a:sysClr val="window" lastClr="FFFFFF"/>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GB" sz="1100">
              <a:solidFill>
                <a:sysClr val="windowText" lastClr="000000"/>
              </a:solidFill>
            </a:rPr>
            <a:t>DEMIN</a:t>
          </a:r>
        </a:p>
      </xdr:txBody>
    </xdr:sp>
    <xdr:clientData/>
  </xdr:twoCellAnchor>
  <xdr:twoCellAnchor>
    <xdr:from>
      <xdr:col>7</xdr:col>
      <xdr:colOff>0</xdr:colOff>
      <xdr:row>33</xdr:row>
      <xdr:rowOff>203199</xdr:rowOff>
    </xdr:from>
    <xdr:to>
      <xdr:col>8</xdr:col>
      <xdr:colOff>546736</xdr:colOff>
      <xdr:row>36</xdr:row>
      <xdr:rowOff>2380</xdr:rowOff>
    </xdr:to>
    <xdr:sp macro="" textlink="">
      <xdr:nvSpPr>
        <xdr:cNvPr id="230" name="TextBox 229">
          <a:extLst>
            <a:ext uri="{FF2B5EF4-FFF2-40B4-BE49-F238E27FC236}">
              <a16:creationId xmlns:a16="http://schemas.microsoft.com/office/drawing/2014/main" id="{00000000-0008-0000-0300-0000E6000000}"/>
            </a:ext>
          </a:extLst>
        </xdr:cNvPr>
        <xdr:cNvSpPr txBox="1"/>
      </xdr:nvSpPr>
      <xdr:spPr>
        <a:xfrm>
          <a:off x="5476875" y="7704137"/>
          <a:ext cx="1094424" cy="477837"/>
        </a:xfrm>
        <a:prstGeom prst="rect">
          <a:avLst/>
        </a:prstGeom>
        <a:solidFill>
          <a:sysClr val="window" lastClr="FFFFFF"/>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GB" sz="1100">
              <a:solidFill>
                <a:sysClr val="windowText" lastClr="000000"/>
              </a:solidFill>
            </a:rPr>
            <a:t>CONDENSATE</a:t>
          </a:r>
        </a:p>
      </xdr:txBody>
    </xdr:sp>
    <xdr:clientData/>
  </xdr:twoCellAnchor>
  <xdr:twoCellAnchor>
    <xdr:from>
      <xdr:col>13</xdr:col>
      <xdr:colOff>0</xdr:colOff>
      <xdr:row>3</xdr:row>
      <xdr:rowOff>56588</xdr:rowOff>
    </xdr:from>
    <xdr:to>
      <xdr:col>17</xdr:col>
      <xdr:colOff>509512</xdr:colOff>
      <xdr:row>9</xdr:row>
      <xdr:rowOff>15767</xdr:rowOff>
    </xdr:to>
    <xdr:grpSp>
      <xdr:nvGrpSpPr>
        <xdr:cNvPr id="237" name="Group 236">
          <a:extLst>
            <a:ext uri="{FF2B5EF4-FFF2-40B4-BE49-F238E27FC236}">
              <a16:creationId xmlns:a16="http://schemas.microsoft.com/office/drawing/2014/main" id="{00000000-0008-0000-0300-0000ED000000}"/>
            </a:ext>
          </a:extLst>
        </xdr:cNvPr>
        <xdr:cNvGrpSpPr/>
      </xdr:nvGrpSpPr>
      <xdr:grpSpPr>
        <a:xfrm>
          <a:off x="8255000" y="772406"/>
          <a:ext cx="3049512" cy="1344634"/>
          <a:chOff x="3411806" y="991125"/>
          <a:chExt cx="3464125" cy="1954713"/>
        </a:xfrm>
      </xdr:grpSpPr>
      <xdr:sp macro="" textlink="">
        <xdr:nvSpPr>
          <xdr:cNvPr id="238" name="Trapezoid 237">
            <a:extLst>
              <a:ext uri="{FF2B5EF4-FFF2-40B4-BE49-F238E27FC236}">
                <a16:creationId xmlns:a16="http://schemas.microsoft.com/office/drawing/2014/main" id="{00000000-0008-0000-0300-0000EE000000}"/>
              </a:ext>
            </a:extLst>
          </xdr:cNvPr>
          <xdr:cNvSpPr/>
        </xdr:nvSpPr>
        <xdr:spPr>
          <a:xfrm rot="16200000">
            <a:off x="4835322" y="1388938"/>
            <a:ext cx="684522" cy="789399"/>
          </a:xfrm>
          <a:prstGeom prst="trapezoid">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grpSp>
        <xdr:nvGrpSpPr>
          <xdr:cNvPr id="239" name="Group 108">
            <a:extLst>
              <a:ext uri="{FF2B5EF4-FFF2-40B4-BE49-F238E27FC236}">
                <a16:creationId xmlns:a16="http://schemas.microsoft.com/office/drawing/2014/main" id="{00000000-0008-0000-0300-0000EF000000}"/>
              </a:ext>
            </a:extLst>
          </xdr:cNvPr>
          <xdr:cNvGrpSpPr/>
        </xdr:nvGrpSpPr>
        <xdr:grpSpPr>
          <a:xfrm>
            <a:off x="3411806" y="991125"/>
            <a:ext cx="3464125" cy="1954713"/>
            <a:chOff x="3411806" y="991125"/>
            <a:chExt cx="3464125" cy="1954713"/>
          </a:xfrm>
        </xdr:grpSpPr>
        <xdr:sp macro="" textlink="">
          <xdr:nvSpPr>
            <xdr:cNvPr id="240" name="TextBox 239">
              <a:extLst>
                <a:ext uri="{FF2B5EF4-FFF2-40B4-BE49-F238E27FC236}">
                  <a16:creationId xmlns:a16="http://schemas.microsoft.com/office/drawing/2014/main" id="{00000000-0008-0000-0300-0000F0000000}"/>
                </a:ext>
              </a:extLst>
            </xdr:cNvPr>
            <xdr:cNvSpPr txBox="1"/>
          </xdr:nvSpPr>
          <xdr:spPr>
            <a:xfrm>
              <a:off x="5808456" y="2133263"/>
              <a:ext cx="1067475" cy="812575"/>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GB" sz="1100"/>
                <a:t>WHB-1</a:t>
              </a:r>
            </a:p>
          </xdr:txBody>
        </xdr:sp>
        <xdr:cxnSp macro="">
          <xdr:nvCxnSpPr>
            <xdr:cNvPr id="241" name="Straight Connector 240">
              <a:extLst>
                <a:ext uri="{FF2B5EF4-FFF2-40B4-BE49-F238E27FC236}">
                  <a16:creationId xmlns:a16="http://schemas.microsoft.com/office/drawing/2014/main" id="{00000000-0008-0000-0300-0000F1000000}"/>
                </a:ext>
              </a:extLst>
            </xdr:cNvPr>
            <xdr:cNvCxnSpPr>
              <a:stCxn id="242" idx="0"/>
              <a:endCxn id="238" idx="0"/>
            </xdr:cNvCxnSpPr>
          </xdr:nvCxnSpPr>
          <xdr:spPr>
            <a:xfrm>
              <a:off x="4198507" y="1782983"/>
              <a:ext cx="584376" cy="655"/>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242" name="Trapezoid 241">
              <a:extLst>
                <a:ext uri="{FF2B5EF4-FFF2-40B4-BE49-F238E27FC236}">
                  <a16:creationId xmlns:a16="http://schemas.microsoft.com/office/drawing/2014/main" id="{00000000-0008-0000-0300-0000F2000000}"/>
                </a:ext>
              </a:extLst>
            </xdr:cNvPr>
            <xdr:cNvSpPr/>
          </xdr:nvSpPr>
          <xdr:spPr>
            <a:xfrm rot="5400000">
              <a:off x="3462896" y="1389631"/>
              <a:ext cx="684522" cy="786701"/>
            </a:xfrm>
            <a:prstGeom prst="trapezoid">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cxnSp macro="">
          <xdr:nvCxnSpPr>
            <xdr:cNvPr id="243" name="Straight Arrow Connector 242">
              <a:extLst>
                <a:ext uri="{FF2B5EF4-FFF2-40B4-BE49-F238E27FC236}">
                  <a16:creationId xmlns:a16="http://schemas.microsoft.com/office/drawing/2014/main" id="{00000000-0008-0000-0300-0000F3000000}"/>
                </a:ext>
              </a:extLst>
            </xdr:cNvPr>
            <xdr:cNvCxnSpPr>
              <a:endCxn id="242" idx="3"/>
            </xdr:cNvCxnSpPr>
          </xdr:nvCxnSpPr>
          <xdr:spPr>
            <a:xfrm flipV="1">
              <a:off x="3806504" y="2041365"/>
              <a:ext cx="1" cy="46491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44" name="Straight Arrow Connector 15">
              <a:extLst>
                <a:ext uri="{FF2B5EF4-FFF2-40B4-BE49-F238E27FC236}">
                  <a16:creationId xmlns:a16="http://schemas.microsoft.com/office/drawing/2014/main" id="{00000000-0008-0000-0300-0000F4000000}"/>
                </a:ext>
              </a:extLst>
            </xdr:cNvPr>
            <xdr:cNvCxnSpPr>
              <a:stCxn id="242" idx="1"/>
              <a:endCxn id="245" idx="1"/>
            </xdr:cNvCxnSpPr>
          </xdr:nvCxnSpPr>
          <xdr:spPr>
            <a:xfrm rot="5400000" flipH="1" flipV="1">
              <a:off x="3830865" y="1157286"/>
              <a:ext cx="342956" cy="391675"/>
            </a:xfrm>
            <a:prstGeom prst="bentConnector2">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45" name="TextBox 244">
              <a:extLst>
                <a:ext uri="{FF2B5EF4-FFF2-40B4-BE49-F238E27FC236}">
                  <a16:creationId xmlns:a16="http://schemas.microsoft.com/office/drawing/2014/main" id="{00000000-0008-0000-0300-0000F5000000}"/>
                </a:ext>
              </a:extLst>
            </xdr:cNvPr>
            <xdr:cNvSpPr txBox="1"/>
          </xdr:nvSpPr>
          <xdr:spPr>
            <a:xfrm>
              <a:off x="4198180" y="991125"/>
              <a:ext cx="591660" cy="38104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GB" sz="1100"/>
            </a:p>
          </xdr:txBody>
        </xdr:sp>
        <xdr:cxnSp macro="">
          <xdr:nvCxnSpPr>
            <xdr:cNvPr id="246" name="Straight Arrow Connector 15">
              <a:extLst>
                <a:ext uri="{FF2B5EF4-FFF2-40B4-BE49-F238E27FC236}">
                  <a16:creationId xmlns:a16="http://schemas.microsoft.com/office/drawing/2014/main" id="{00000000-0008-0000-0300-0000F6000000}"/>
                </a:ext>
              </a:extLst>
            </xdr:cNvPr>
            <xdr:cNvCxnSpPr>
              <a:stCxn id="245" idx="3"/>
              <a:endCxn id="238" idx="3"/>
            </xdr:cNvCxnSpPr>
          </xdr:nvCxnSpPr>
          <xdr:spPr>
            <a:xfrm>
              <a:off x="4789840" y="1181645"/>
              <a:ext cx="387743" cy="343612"/>
            </a:xfrm>
            <a:prstGeom prst="bentConnector2">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47" name="Straight Arrow Connector 15">
              <a:extLst>
                <a:ext uri="{FF2B5EF4-FFF2-40B4-BE49-F238E27FC236}">
                  <a16:creationId xmlns:a16="http://schemas.microsoft.com/office/drawing/2014/main" id="{00000000-0008-0000-0300-0000F7000000}"/>
                </a:ext>
              </a:extLst>
            </xdr:cNvPr>
            <xdr:cNvCxnSpPr>
              <a:stCxn id="238" idx="1"/>
              <a:endCxn id="240" idx="1"/>
            </xdr:cNvCxnSpPr>
          </xdr:nvCxnSpPr>
          <xdr:spPr>
            <a:xfrm rot="16200000" flipH="1">
              <a:off x="5243410" y="1974505"/>
              <a:ext cx="499218" cy="630873"/>
            </a:xfrm>
            <a:prstGeom prst="bentConnector2">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48" name="Straight Connector 247">
              <a:extLst>
                <a:ext uri="{FF2B5EF4-FFF2-40B4-BE49-F238E27FC236}">
                  <a16:creationId xmlns:a16="http://schemas.microsoft.com/office/drawing/2014/main" id="{00000000-0008-0000-0300-0000F8000000}"/>
                </a:ext>
              </a:extLst>
            </xdr:cNvPr>
            <xdr:cNvCxnSpPr>
              <a:stCxn id="238" idx="2"/>
              <a:endCxn id="249" idx="2"/>
            </xdr:cNvCxnSpPr>
          </xdr:nvCxnSpPr>
          <xdr:spPr>
            <a:xfrm>
              <a:off x="5572282" y="1783638"/>
              <a:ext cx="183076" cy="893"/>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249" name="Oval 248">
              <a:extLst>
                <a:ext uri="{FF2B5EF4-FFF2-40B4-BE49-F238E27FC236}">
                  <a16:creationId xmlns:a16="http://schemas.microsoft.com/office/drawing/2014/main" id="{00000000-0008-0000-0300-0000F9000000}"/>
                </a:ext>
              </a:extLst>
            </xdr:cNvPr>
            <xdr:cNvSpPr/>
          </xdr:nvSpPr>
          <xdr:spPr>
            <a:xfrm>
              <a:off x="5755358" y="1658464"/>
              <a:ext cx="238127" cy="252133"/>
            </a:xfrm>
            <a:prstGeom prst="ellipse">
              <a:avLst/>
            </a:prstGeom>
            <a:solidFill>
              <a:schemeClr val="bg1"/>
            </a:solidFill>
            <a:ln>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100" baseline="0">
                  <a:solidFill>
                    <a:schemeClr val="tx1"/>
                  </a:solidFill>
                </a:rPr>
                <a:t>G</a:t>
              </a:r>
            </a:p>
          </xdr:txBody>
        </xdr:sp>
      </xdr:grpSp>
    </xdr:grpSp>
    <xdr:clientData/>
  </xdr:twoCellAnchor>
  <xdr:twoCellAnchor>
    <xdr:from>
      <xdr:col>14</xdr:col>
      <xdr:colOff>0</xdr:colOff>
      <xdr:row>16</xdr:row>
      <xdr:rowOff>4615</xdr:rowOff>
    </xdr:from>
    <xdr:to>
      <xdr:col>14</xdr:col>
      <xdr:colOff>542396</xdr:colOff>
      <xdr:row>20</xdr:row>
      <xdr:rowOff>230605</xdr:rowOff>
    </xdr:to>
    <xdr:grpSp>
      <xdr:nvGrpSpPr>
        <xdr:cNvPr id="100" name="Group 99">
          <a:extLst>
            <a:ext uri="{FF2B5EF4-FFF2-40B4-BE49-F238E27FC236}">
              <a16:creationId xmlns:a16="http://schemas.microsoft.com/office/drawing/2014/main" id="{00000000-0008-0000-0300-000064000000}"/>
            </a:ext>
          </a:extLst>
        </xdr:cNvPr>
        <xdr:cNvGrpSpPr/>
      </xdr:nvGrpSpPr>
      <xdr:grpSpPr>
        <a:xfrm>
          <a:off x="8890000" y="3722251"/>
          <a:ext cx="542396" cy="1149627"/>
          <a:chOff x="7162271" y="3746687"/>
          <a:chExt cx="542396" cy="1157416"/>
        </a:xfrm>
      </xdr:grpSpPr>
      <xdr:sp macro="" textlink="">
        <xdr:nvSpPr>
          <xdr:cNvPr id="101" name="TextBox 100">
            <a:extLst>
              <a:ext uri="{FF2B5EF4-FFF2-40B4-BE49-F238E27FC236}">
                <a16:creationId xmlns:a16="http://schemas.microsoft.com/office/drawing/2014/main" id="{00000000-0008-0000-0300-000065000000}"/>
              </a:ext>
            </a:extLst>
          </xdr:cNvPr>
          <xdr:cNvSpPr txBox="1"/>
        </xdr:nvSpPr>
        <xdr:spPr>
          <a:xfrm>
            <a:off x="7162271" y="3746687"/>
            <a:ext cx="542396" cy="380776"/>
          </a:xfrm>
          <a:prstGeom prst="rect">
            <a:avLst/>
          </a:prstGeom>
          <a:solidFill>
            <a:sysClr val="window" lastClr="FFFFFF"/>
          </a:solidFill>
          <a:ln w="25400" cmpd="sng">
            <a:solidFill>
              <a:schemeClr val="tx1"/>
            </a:solidFill>
            <a:prstDash val="solid"/>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GB" sz="1100">
                <a:solidFill>
                  <a:sysClr val="windowText" lastClr="000000"/>
                </a:solidFill>
              </a:rPr>
              <a:t>MP1</a:t>
            </a:r>
          </a:p>
        </xdr:txBody>
      </xdr:sp>
      <xdr:cxnSp macro="">
        <xdr:nvCxnSpPr>
          <xdr:cNvPr id="102" name="Straight Arrow Connector 101">
            <a:extLst>
              <a:ext uri="{FF2B5EF4-FFF2-40B4-BE49-F238E27FC236}">
                <a16:creationId xmlns:a16="http://schemas.microsoft.com/office/drawing/2014/main" id="{00000000-0008-0000-0300-000066000000}"/>
              </a:ext>
            </a:extLst>
          </xdr:cNvPr>
          <xdr:cNvCxnSpPr/>
        </xdr:nvCxnSpPr>
        <xdr:spPr>
          <a:xfrm>
            <a:off x="7577667" y="4138083"/>
            <a:ext cx="0" cy="76602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21372</xdr:colOff>
      <xdr:row>2</xdr:row>
      <xdr:rowOff>17198</xdr:rowOff>
    </xdr:from>
    <xdr:to>
      <xdr:col>1</xdr:col>
      <xdr:colOff>13434</xdr:colOff>
      <xdr:row>4</xdr:row>
      <xdr:rowOff>193370</xdr:rowOff>
    </xdr:to>
    <xdr:grpSp>
      <xdr:nvGrpSpPr>
        <xdr:cNvPr id="107" name="Group 106">
          <a:extLst>
            <a:ext uri="{FF2B5EF4-FFF2-40B4-BE49-F238E27FC236}">
              <a16:creationId xmlns:a16="http://schemas.microsoft.com/office/drawing/2014/main" id="{00000000-0008-0000-0300-00006B000000}"/>
            </a:ext>
          </a:extLst>
        </xdr:cNvPr>
        <xdr:cNvGrpSpPr/>
      </xdr:nvGrpSpPr>
      <xdr:grpSpPr>
        <a:xfrm>
          <a:off x="21372" y="502107"/>
          <a:ext cx="627062" cy="637990"/>
          <a:chOff x="7162271" y="3746687"/>
          <a:chExt cx="542396" cy="642205"/>
        </a:xfrm>
      </xdr:grpSpPr>
      <xdr:sp macro="" textlink="">
        <xdr:nvSpPr>
          <xdr:cNvPr id="111" name="TextBox 110">
            <a:extLst>
              <a:ext uri="{FF2B5EF4-FFF2-40B4-BE49-F238E27FC236}">
                <a16:creationId xmlns:a16="http://schemas.microsoft.com/office/drawing/2014/main" id="{00000000-0008-0000-0300-00006F000000}"/>
              </a:ext>
            </a:extLst>
          </xdr:cNvPr>
          <xdr:cNvSpPr txBox="1"/>
        </xdr:nvSpPr>
        <xdr:spPr>
          <a:xfrm>
            <a:off x="7162271" y="3746687"/>
            <a:ext cx="542396" cy="380776"/>
          </a:xfrm>
          <a:prstGeom prst="rect">
            <a:avLst/>
          </a:prstGeom>
          <a:solidFill>
            <a:sysClr val="window" lastClr="FFFFFF"/>
          </a:solidFill>
          <a:ln w="25400" cmpd="sng">
            <a:solidFill>
              <a:schemeClr val="tx1"/>
            </a:solidFill>
            <a:prstDash val="solid"/>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GB" sz="1100">
                <a:solidFill>
                  <a:sysClr val="windowText" lastClr="000000"/>
                </a:solidFill>
              </a:rPr>
              <a:t>EHP1</a:t>
            </a:r>
          </a:p>
        </xdr:txBody>
      </xdr:sp>
      <xdr:cxnSp macro="">
        <xdr:nvCxnSpPr>
          <xdr:cNvPr id="112" name="Straight Arrow Connector 111">
            <a:extLst>
              <a:ext uri="{FF2B5EF4-FFF2-40B4-BE49-F238E27FC236}">
                <a16:creationId xmlns:a16="http://schemas.microsoft.com/office/drawing/2014/main" id="{00000000-0008-0000-0300-000070000000}"/>
              </a:ext>
            </a:extLst>
          </xdr:cNvPr>
          <xdr:cNvCxnSpPr/>
        </xdr:nvCxnSpPr>
        <xdr:spPr>
          <a:xfrm>
            <a:off x="7577667" y="4138083"/>
            <a:ext cx="0" cy="250809"/>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13434</xdr:colOff>
      <xdr:row>2</xdr:row>
      <xdr:rowOff>17198</xdr:rowOff>
    </xdr:from>
    <xdr:to>
      <xdr:col>2</xdr:col>
      <xdr:colOff>5496</xdr:colOff>
      <xdr:row>4</xdr:row>
      <xdr:rowOff>193370</xdr:rowOff>
    </xdr:to>
    <xdr:grpSp>
      <xdr:nvGrpSpPr>
        <xdr:cNvPr id="115" name="Group 114">
          <a:extLst>
            <a:ext uri="{FF2B5EF4-FFF2-40B4-BE49-F238E27FC236}">
              <a16:creationId xmlns:a16="http://schemas.microsoft.com/office/drawing/2014/main" id="{00000000-0008-0000-0300-000073000000}"/>
            </a:ext>
          </a:extLst>
        </xdr:cNvPr>
        <xdr:cNvGrpSpPr/>
      </xdr:nvGrpSpPr>
      <xdr:grpSpPr>
        <a:xfrm>
          <a:off x="648434" y="502107"/>
          <a:ext cx="627062" cy="637990"/>
          <a:chOff x="7162271" y="3746687"/>
          <a:chExt cx="542396" cy="642205"/>
        </a:xfrm>
      </xdr:grpSpPr>
      <xdr:sp macro="" textlink="">
        <xdr:nvSpPr>
          <xdr:cNvPr id="119" name="TextBox 118">
            <a:extLst>
              <a:ext uri="{FF2B5EF4-FFF2-40B4-BE49-F238E27FC236}">
                <a16:creationId xmlns:a16="http://schemas.microsoft.com/office/drawing/2014/main" id="{00000000-0008-0000-0300-000077000000}"/>
              </a:ext>
            </a:extLst>
          </xdr:cNvPr>
          <xdr:cNvSpPr txBox="1"/>
        </xdr:nvSpPr>
        <xdr:spPr>
          <a:xfrm>
            <a:off x="7162271" y="3746687"/>
            <a:ext cx="542396" cy="380776"/>
          </a:xfrm>
          <a:prstGeom prst="rect">
            <a:avLst/>
          </a:prstGeom>
          <a:solidFill>
            <a:sysClr val="window" lastClr="FFFFFF"/>
          </a:solidFill>
          <a:ln w="25400" cmpd="sng">
            <a:solidFill>
              <a:schemeClr val="tx1"/>
            </a:solidFill>
            <a:prstDash val="solid"/>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GB" sz="1100">
                <a:solidFill>
                  <a:sysClr val="windowText" lastClr="000000"/>
                </a:solidFill>
              </a:rPr>
              <a:t>EHP2</a:t>
            </a:r>
          </a:p>
        </xdr:txBody>
      </xdr:sp>
      <xdr:cxnSp macro="">
        <xdr:nvCxnSpPr>
          <xdr:cNvPr id="120" name="Straight Arrow Connector 119">
            <a:extLst>
              <a:ext uri="{FF2B5EF4-FFF2-40B4-BE49-F238E27FC236}">
                <a16:creationId xmlns:a16="http://schemas.microsoft.com/office/drawing/2014/main" id="{00000000-0008-0000-0300-000078000000}"/>
              </a:ext>
            </a:extLst>
          </xdr:cNvPr>
          <xdr:cNvCxnSpPr/>
        </xdr:nvCxnSpPr>
        <xdr:spPr>
          <a:xfrm>
            <a:off x="7577667" y="4138083"/>
            <a:ext cx="0" cy="250809"/>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2</xdr:row>
      <xdr:rowOff>17198</xdr:rowOff>
    </xdr:from>
    <xdr:to>
      <xdr:col>2</xdr:col>
      <xdr:colOff>549955</xdr:colOff>
      <xdr:row>4</xdr:row>
      <xdr:rowOff>193370</xdr:rowOff>
    </xdr:to>
    <xdr:grpSp>
      <xdr:nvGrpSpPr>
        <xdr:cNvPr id="122" name="Group 121">
          <a:extLst>
            <a:ext uri="{FF2B5EF4-FFF2-40B4-BE49-F238E27FC236}">
              <a16:creationId xmlns:a16="http://schemas.microsoft.com/office/drawing/2014/main" id="{00000000-0008-0000-0300-00007A000000}"/>
            </a:ext>
          </a:extLst>
        </xdr:cNvPr>
        <xdr:cNvGrpSpPr/>
      </xdr:nvGrpSpPr>
      <xdr:grpSpPr>
        <a:xfrm>
          <a:off x="1270000" y="502107"/>
          <a:ext cx="549955" cy="637990"/>
          <a:chOff x="7162271" y="3746687"/>
          <a:chExt cx="542396" cy="642205"/>
        </a:xfrm>
      </xdr:grpSpPr>
      <xdr:sp macro="" textlink="">
        <xdr:nvSpPr>
          <xdr:cNvPr id="123" name="TextBox 122">
            <a:extLst>
              <a:ext uri="{FF2B5EF4-FFF2-40B4-BE49-F238E27FC236}">
                <a16:creationId xmlns:a16="http://schemas.microsoft.com/office/drawing/2014/main" id="{00000000-0008-0000-0300-00007B000000}"/>
              </a:ext>
            </a:extLst>
          </xdr:cNvPr>
          <xdr:cNvSpPr txBox="1"/>
        </xdr:nvSpPr>
        <xdr:spPr>
          <a:xfrm>
            <a:off x="7162271" y="3746687"/>
            <a:ext cx="542396" cy="380776"/>
          </a:xfrm>
          <a:prstGeom prst="rect">
            <a:avLst/>
          </a:prstGeom>
          <a:solidFill>
            <a:sysClr val="window" lastClr="FFFFFF"/>
          </a:solidFill>
          <a:ln w="25400" cmpd="sng">
            <a:solidFill>
              <a:schemeClr val="tx1"/>
            </a:solidFill>
            <a:prstDash val="solid"/>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GB" sz="1100">
                <a:solidFill>
                  <a:sysClr val="windowText" lastClr="000000"/>
                </a:solidFill>
              </a:rPr>
              <a:t>EHP3</a:t>
            </a:r>
          </a:p>
        </xdr:txBody>
      </xdr:sp>
      <xdr:cxnSp macro="">
        <xdr:nvCxnSpPr>
          <xdr:cNvPr id="126" name="Straight Arrow Connector 125">
            <a:extLst>
              <a:ext uri="{FF2B5EF4-FFF2-40B4-BE49-F238E27FC236}">
                <a16:creationId xmlns:a16="http://schemas.microsoft.com/office/drawing/2014/main" id="{00000000-0008-0000-0300-00007E000000}"/>
              </a:ext>
            </a:extLst>
          </xdr:cNvPr>
          <xdr:cNvCxnSpPr/>
        </xdr:nvCxnSpPr>
        <xdr:spPr>
          <a:xfrm>
            <a:off x="7577667" y="4138083"/>
            <a:ext cx="0" cy="250809"/>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16</xdr:col>
      <xdr:colOff>15497</xdr:colOff>
      <xdr:row>16</xdr:row>
      <xdr:rowOff>32537</xdr:rowOff>
    </xdr:from>
    <xdr:to>
      <xdr:col>17</xdr:col>
      <xdr:colOff>0</xdr:colOff>
      <xdr:row>20</xdr:row>
      <xdr:rowOff>230605</xdr:rowOff>
    </xdr:to>
    <xdr:grpSp>
      <xdr:nvGrpSpPr>
        <xdr:cNvPr id="127" name="Group 126">
          <a:extLst>
            <a:ext uri="{FF2B5EF4-FFF2-40B4-BE49-F238E27FC236}">
              <a16:creationId xmlns:a16="http://schemas.microsoft.com/office/drawing/2014/main" id="{00000000-0008-0000-0300-00007F000000}"/>
            </a:ext>
          </a:extLst>
        </xdr:cNvPr>
        <xdr:cNvGrpSpPr/>
      </xdr:nvGrpSpPr>
      <xdr:grpSpPr>
        <a:xfrm>
          <a:off x="10175497" y="3750173"/>
          <a:ext cx="619503" cy="1121705"/>
          <a:chOff x="7162271" y="3746687"/>
          <a:chExt cx="542396" cy="1129987"/>
        </a:xfrm>
      </xdr:grpSpPr>
      <xdr:sp macro="" textlink="">
        <xdr:nvSpPr>
          <xdr:cNvPr id="129" name="TextBox 128">
            <a:extLst>
              <a:ext uri="{FF2B5EF4-FFF2-40B4-BE49-F238E27FC236}">
                <a16:creationId xmlns:a16="http://schemas.microsoft.com/office/drawing/2014/main" id="{00000000-0008-0000-0300-000081000000}"/>
              </a:ext>
            </a:extLst>
          </xdr:cNvPr>
          <xdr:cNvSpPr txBox="1"/>
        </xdr:nvSpPr>
        <xdr:spPr>
          <a:xfrm>
            <a:off x="7162271" y="3746687"/>
            <a:ext cx="542396" cy="380776"/>
          </a:xfrm>
          <a:prstGeom prst="rect">
            <a:avLst/>
          </a:prstGeom>
          <a:solidFill>
            <a:sysClr val="window" lastClr="FFFFFF"/>
          </a:solidFill>
          <a:ln w="25400" cmpd="sng">
            <a:solidFill>
              <a:schemeClr val="tx1"/>
            </a:solidFill>
            <a:prstDash val="solid"/>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GB" sz="1100">
                <a:solidFill>
                  <a:sysClr val="windowText" lastClr="000000"/>
                </a:solidFill>
              </a:rPr>
              <a:t>ENG</a:t>
            </a:r>
          </a:p>
        </xdr:txBody>
      </xdr:sp>
      <xdr:cxnSp macro="">
        <xdr:nvCxnSpPr>
          <xdr:cNvPr id="130" name="Straight Arrow Connector 129">
            <a:extLst>
              <a:ext uri="{FF2B5EF4-FFF2-40B4-BE49-F238E27FC236}">
                <a16:creationId xmlns:a16="http://schemas.microsoft.com/office/drawing/2014/main" id="{00000000-0008-0000-0300-000082000000}"/>
              </a:ext>
            </a:extLst>
          </xdr:cNvPr>
          <xdr:cNvCxnSpPr/>
        </xdr:nvCxnSpPr>
        <xdr:spPr>
          <a:xfrm>
            <a:off x="7577667" y="4138083"/>
            <a:ext cx="0" cy="73859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321163</xdr:colOff>
      <xdr:row>13</xdr:row>
      <xdr:rowOff>10584</xdr:rowOff>
    </xdr:from>
    <xdr:to>
      <xdr:col>18</xdr:col>
      <xdr:colOff>321163</xdr:colOff>
      <xdr:row>16</xdr:row>
      <xdr:rowOff>77157</xdr:rowOff>
    </xdr:to>
    <xdr:cxnSp macro="">
      <xdr:nvCxnSpPr>
        <xdr:cNvPr id="97" name="Straight Arrow Connector 96">
          <a:extLst>
            <a:ext uri="{FF2B5EF4-FFF2-40B4-BE49-F238E27FC236}">
              <a16:creationId xmlns:a16="http://schemas.microsoft.com/office/drawing/2014/main" id="{00000000-0008-0000-0300-000061000000}"/>
            </a:ext>
          </a:extLst>
        </xdr:cNvPr>
        <xdr:cNvCxnSpPr>
          <a:endCxn id="99" idx="3"/>
        </xdr:cNvCxnSpPr>
      </xdr:nvCxnSpPr>
      <xdr:spPr>
        <a:xfrm>
          <a:off x="10227163" y="3058584"/>
          <a:ext cx="0" cy="765073"/>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238071</xdr:colOff>
      <xdr:row>16</xdr:row>
      <xdr:rowOff>74089</xdr:rowOff>
    </xdr:from>
    <xdr:to>
      <xdr:col>18</xdr:col>
      <xdr:colOff>399507</xdr:colOff>
      <xdr:row>17</xdr:row>
      <xdr:rowOff>199324</xdr:rowOff>
    </xdr:to>
    <xdr:grpSp>
      <xdr:nvGrpSpPr>
        <xdr:cNvPr id="98" name="Group 152">
          <a:extLst>
            <a:ext uri="{FF2B5EF4-FFF2-40B4-BE49-F238E27FC236}">
              <a16:creationId xmlns:a16="http://schemas.microsoft.com/office/drawing/2014/main" id="{00000000-0008-0000-0300-000062000000}"/>
            </a:ext>
          </a:extLst>
        </xdr:cNvPr>
        <xdr:cNvGrpSpPr>
          <a:grpSpLocks/>
        </xdr:cNvGrpSpPr>
      </xdr:nvGrpSpPr>
      <xdr:grpSpPr bwMode="auto">
        <a:xfrm rot="5400000">
          <a:off x="11570717" y="3889079"/>
          <a:ext cx="356144" cy="161436"/>
          <a:chOff x="441" y="577"/>
          <a:chExt cx="58" cy="34"/>
        </a:xfrm>
      </xdr:grpSpPr>
      <xdr:sp macro="" textlink="">
        <xdr:nvSpPr>
          <xdr:cNvPr id="99" name="AutoShape 153">
            <a:extLst>
              <a:ext uri="{FF2B5EF4-FFF2-40B4-BE49-F238E27FC236}">
                <a16:creationId xmlns:a16="http://schemas.microsoft.com/office/drawing/2014/main" id="{00000000-0008-0000-0300-000063000000}"/>
              </a:ext>
            </a:extLst>
          </xdr:cNvPr>
          <xdr:cNvSpPr>
            <a:spLocks noChangeArrowheads="1"/>
          </xdr:cNvSpPr>
        </xdr:nvSpPr>
        <xdr:spPr bwMode="auto">
          <a:xfrm rot="5400000">
            <a:off x="439" y="579"/>
            <a:ext cx="34" cy="29"/>
          </a:xfrm>
          <a:prstGeom prst="triangle">
            <a:avLst>
              <a:gd name="adj" fmla="val 50000"/>
            </a:avLst>
          </a:prstGeom>
          <a:solidFill>
            <a:srgbClr val="FFFFFF"/>
          </a:solidFill>
          <a:ln w="19050">
            <a:solidFill>
              <a:srgbClr val="000000"/>
            </a:solidFill>
            <a:miter lim="800000"/>
            <a:headEnd/>
            <a:tailEnd/>
          </a:ln>
        </xdr:spPr>
      </xdr:sp>
      <xdr:sp macro="" textlink="">
        <xdr:nvSpPr>
          <xdr:cNvPr id="113" name="AutoShape 154">
            <a:extLst>
              <a:ext uri="{FF2B5EF4-FFF2-40B4-BE49-F238E27FC236}">
                <a16:creationId xmlns:a16="http://schemas.microsoft.com/office/drawing/2014/main" id="{00000000-0008-0000-0300-000071000000}"/>
              </a:ext>
            </a:extLst>
          </xdr:cNvPr>
          <xdr:cNvSpPr>
            <a:spLocks noChangeArrowheads="1"/>
          </xdr:cNvSpPr>
        </xdr:nvSpPr>
        <xdr:spPr bwMode="auto">
          <a:xfrm rot="16200000" flipH="1">
            <a:off x="468" y="579"/>
            <a:ext cx="34" cy="29"/>
          </a:xfrm>
          <a:prstGeom prst="triangle">
            <a:avLst>
              <a:gd name="adj" fmla="val 50000"/>
            </a:avLst>
          </a:prstGeom>
          <a:solidFill>
            <a:srgbClr val="FFFFFF"/>
          </a:solidFill>
          <a:ln w="19050">
            <a:solidFill>
              <a:srgbClr val="000000"/>
            </a:solidFill>
            <a:miter lim="800000"/>
            <a:headEnd/>
            <a:tailEnd/>
          </a:ln>
        </xdr:spPr>
      </xdr:sp>
    </xdr:grpSp>
    <xdr:clientData/>
  </xdr:twoCellAnchor>
  <xdr:twoCellAnchor>
    <xdr:from>
      <xdr:col>18</xdr:col>
      <xdr:colOff>321163</xdr:colOff>
      <xdr:row>17</xdr:row>
      <xdr:rowOff>202411</xdr:rowOff>
    </xdr:from>
    <xdr:to>
      <xdr:col>18</xdr:col>
      <xdr:colOff>325396</xdr:colOff>
      <xdr:row>20</xdr:row>
      <xdr:rowOff>230604</xdr:rowOff>
    </xdr:to>
    <xdr:cxnSp macro="">
      <xdr:nvCxnSpPr>
        <xdr:cNvPr id="131" name="Straight Arrow Connector 130">
          <a:extLst>
            <a:ext uri="{FF2B5EF4-FFF2-40B4-BE49-F238E27FC236}">
              <a16:creationId xmlns:a16="http://schemas.microsoft.com/office/drawing/2014/main" id="{00000000-0008-0000-0300-000083000000}"/>
            </a:ext>
          </a:extLst>
        </xdr:cNvPr>
        <xdr:cNvCxnSpPr>
          <a:stCxn id="113" idx="3"/>
        </xdr:cNvCxnSpPr>
      </xdr:nvCxnSpPr>
      <xdr:spPr>
        <a:xfrm>
          <a:off x="10227163" y="4181744"/>
          <a:ext cx="4233" cy="72669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321163</xdr:colOff>
      <xdr:row>21</xdr:row>
      <xdr:rowOff>0</xdr:rowOff>
    </xdr:from>
    <xdr:to>
      <xdr:col>18</xdr:col>
      <xdr:colOff>325396</xdr:colOff>
      <xdr:row>23</xdr:row>
      <xdr:rowOff>101918</xdr:rowOff>
    </xdr:to>
    <xdr:cxnSp macro="">
      <xdr:nvCxnSpPr>
        <xdr:cNvPr id="133" name="Straight Arrow Connector 132">
          <a:extLst>
            <a:ext uri="{FF2B5EF4-FFF2-40B4-BE49-F238E27FC236}">
              <a16:creationId xmlns:a16="http://schemas.microsoft.com/office/drawing/2014/main" id="{00000000-0008-0000-0300-000085000000}"/>
            </a:ext>
          </a:extLst>
        </xdr:cNvPr>
        <xdr:cNvCxnSpPr>
          <a:endCxn id="137" idx="3"/>
        </xdr:cNvCxnSpPr>
      </xdr:nvCxnSpPr>
      <xdr:spPr>
        <a:xfrm>
          <a:off x="10227163" y="4910667"/>
          <a:ext cx="4233" cy="567584"/>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242304</xdr:colOff>
      <xdr:row>23</xdr:row>
      <xdr:rowOff>98831</xdr:rowOff>
    </xdr:from>
    <xdr:to>
      <xdr:col>18</xdr:col>
      <xdr:colOff>403740</xdr:colOff>
      <xdr:row>24</xdr:row>
      <xdr:rowOff>224065</xdr:rowOff>
    </xdr:to>
    <xdr:grpSp>
      <xdr:nvGrpSpPr>
        <xdr:cNvPr id="136" name="Group 152">
          <a:extLst>
            <a:ext uri="{FF2B5EF4-FFF2-40B4-BE49-F238E27FC236}">
              <a16:creationId xmlns:a16="http://schemas.microsoft.com/office/drawing/2014/main" id="{00000000-0008-0000-0300-000088000000}"/>
            </a:ext>
          </a:extLst>
        </xdr:cNvPr>
        <xdr:cNvGrpSpPr>
          <a:grpSpLocks/>
        </xdr:cNvGrpSpPr>
      </xdr:nvGrpSpPr>
      <xdr:grpSpPr bwMode="auto">
        <a:xfrm rot="5400000">
          <a:off x="11574950" y="5530185"/>
          <a:ext cx="356143" cy="161436"/>
          <a:chOff x="441" y="577"/>
          <a:chExt cx="58" cy="34"/>
        </a:xfrm>
      </xdr:grpSpPr>
      <xdr:sp macro="" textlink="">
        <xdr:nvSpPr>
          <xdr:cNvPr id="137" name="AutoShape 153">
            <a:extLst>
              <a:ext uri="{FF2B5EF4-FFF2-40B4-BE49-F238E27FC236}">
                <a16:creationId xmlns:a16="http://schemas.microsoft.com/office/drawing/2014/main" id="{00000000-0008-0000-0300-000089000000}"/>
              </a:ext>
            </a:extLst>
          </xdr:cNvPr>
          <xdr:cNvSpPr>
            <a:spLocks noChangeArrowheads="1"/>
          </xdr:cNvSpPr>
        </xdr:nvSpPr>
        <xdr:spPr bwMode="auto">
          <a:xfrm rot="5400000">
            <a:off x="439" y="579"/>
            <a:ext cx="34" cy="29"/>
          </a:xfrm>
          <a:prstGeom prst="triangle">
            <a:avLst>
              <a:gd name="adj" fmla="val 50000"/>
            </a:avLst>
          </a:prstGeom>
          <a:solidFill>
            <a:srgbClr val="FFFFFF"/>
          </a:solidFill>
          <a:ln w="19050">
            <a:solidFill>
              <a:srgbClr val="000000"/>
            </a:solidFill>
            <a:miter lim="800000"/>
            <a:headEnd/>
            <a:tailEnd/>
          </a:ln>
        </xdr:spPr>
      </xdr:sp>
      <xdr:sp macro="" textlink="">
        <xdr:nvSpPr>
          <xdr:cNvPr id="138" name="AutoShape 154">
            <a:extLst>
              <a:ext uri="{FF2B5EF4-FFF2-40B4-BE49-F238E27FC236}">
                <a16:creationId xmlns:a16="http://schemas.microsoft.com/office/drawing/2014/main" id="{00000000-0008-0000-0300-00008A000000}"/>
              </a:ext>
            </a:extLst>
          </xdr:cNvPr>
          <xdr:cNvSpPr>
            <a:spLocks noChangeArrowheads="1"/>
          </xdr:cNvSpPr>
        </xdr:nvSpPr>
        <xdr:spPr bwMode="auto">
          <a:xfrm rot="16200000" flipH="1">
            <a:off x="468" y="579"/>
            <a:ext cx="34" cy="29"/>
          </a:xfrm>
          <a:prstGeom prst="triangle">
            <a:avLst>
              <a:gd name="adj" fmla="val 50000"/>
            </a:avLst>
          </a:prstGeom>
          <a:solidFill>
            <a:srgbClr val="FFFFFF"/>
          </a:solidFill>
          <a:ln w="19050">
            <a:solidFill>
              <a:srgbClr val="000000"/>
            </a:solidFill>
            <a:miter lim="800000"/>
            <a:headEnd/>
            <a:tailEnd/>
          </a:ln>
        </xdr:spPr>
      </xdr:sp>
    </xdr:grpSp>
    <xdr:clientData/>
  </xdr:twoCellAnchor>
  <xdr:twoCellAnchor>
    <xdr:from>
      <xdr:col>18</xdr:col>
      <xdr:colOff>325396</xdr:colOff>
      <xdr:row>24</xdr:row>
      <xdr:rowOff>227152</xdr:rowOff>
    </xdr:from>
    <xdr:to>
      <xdr:col>18</xdr:col>
      <xdr:colOff>325396</xdr:colOff>
      <xdr:row>26</xdr:row>
      <xdr:rowOff>222250</xdr:rowOff>
    </xdr:to>
    <xdr:cxnSp macro="">
      <xdr:nvCxnSpPr>
        <xdr:cNvPr id="139" name="Straight Arrow Connector 138">
          <a:extLst>
            <a:ext uri="{FF2B5EF4-FFF2-40B4-BE49-F238E27FC236}">
              <a16:creationId xmlns:a16="http://schemas.microsoft.com/office/drawing/2014/main" id="{00000000-0008-0000-0300-00008B000000}"/>
            </a:ext>
          </a:extLst>
        </xdr:cNvPr>
        <xdr:cNvCxnSpPr>
          <a:stCxn id="138" idx="3"/>
        </xdr:cNvCxnSpPr>
      </xdr:nvCxnSpPr>
      <xdr:spPr>
        <a:xfrm>
          <a:off x="10231396" y="5836319"/>
          <a:ext cx="0" cy="460764"/>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18</xdr:col>
          <xdr:colOff>25400</xdr:colOff>
          <xdr:row>1</xdr:row>
          <xdr:rowOff>12700</xdr:rowOff>
        </xdr:from>
        <xdr:to>
          <xdr:col>21</xdr:col>
          <xdr:colOff>520700</xdr:colOff>
          <xdr:row>2</xdr:row>
          <xdr:rowOff>177800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3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Reload model</a:t>
              </a:r>
            </a:p>
          </xdr:txBody>
        </xdr:sp>
        <xdr:clientData fPrintsWithSheet="0"/>
      </xdr:twoCellAnchor>
    </mc:Choice>
    <mc:Fallback/>
  </mc:AlternateContent>
  <xdr:twoCellAnchor>
    <xdr:from>
      <xdr:col>16</xdr:col>
      <xdr:colOff>425053</xdr:colOff>
      <xdr:row>17</xdr:row>
      <xdr:rowOff>180975</xdr:rowOff>
    </xdr:from>
    <xdr:to>
      <xdr:col>16</xdr:col>
      <xdr:colOff>435308</xdr:colOff>
      <xdr:row>26</xdr:row>
      <xdr:rowOff>209550</xdr:rowOff>
    </xdr:to>
    <xdr:cxnSp macro="">
      <xdr:nvCxnSpPr>
        <xdr:cNvPr id="103" name="Straight Arrow Connector 102">
          <a:extLst>
            <a:ext uri="{FF2B5EF4-FFF2-40B4-BE49-F238E27FC236}">
              <a16:creationId xmlns:a16="http://schemas.microsoft.com/office/drawing/2014/main" id="{00000000-0008-0000-0300-000067000000}"/>
            </a:ext>
          </a:extLst>
        </xdr:cNvPr>
        <xdr:cNvCxnSpPr/>
      </xdr:nvCxnSpPr>
      <xdr:spPr>
        <a:xfrm flipH="1">
          <a:off x="9283303" y="4056459"/>
          <a:ext cx="10255" cy="2064544"/>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18</xdr:col>
          <xdr:colOff>25400</xdr:colOff>
          <xdr:row>2</xdr:row>
          <xdr:rowOff>177800</xdr:rowOff>
        </xdr:from>
        <xdr:to>
          <xdr:col>21</xdr:col>
          <xdr:colOff>520700</xdr:colOff>
          <xdr:row>4</xdr:row>
          <xdr:rowOff>101600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3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Optimize</a:t>
              </a:r>
            </a:p>
          </xdr:txBody>
        </xdr:sp>
        <xdr:clientData fPrintsWithSheet="0"/>
      </xdr:twoCellAnchor>
    </mc:Choice>
    <mc:Fallback/>
  </mc:AlternateContent>
  <xdr:twoCellAnchor>
    <xdr:from>
      <xdr:col>6</xdr:col>
      <xdr:colOff>47625</xdr:colOff>
      <xdr:row>8</xdr:row>
      <xdr:rowOff>206375</xdr:rowOff>
    </xdr:from>
    <xdr:to>
      <xdr:col>6</xdr:col>
      <xdr:colOff>49068</xdr:colOff>
      <xdr:row>12</xdr:row>
      <xdr:rowOff>212045</xdr:rowOff>
    </xdr:to>
    <xdr:cxnSp macro="">
      <xdr:nvCxnSpPr>
        <xdr:cNvPr id="108" name="Straight Arrow Connector 107">
          <a:extLst>
            <a:ext uri="{FF2B5EF4-FFF2-40B4-BE49-F238E27FC236}">
              <a16:creationId xmlns:a16="http://schemas.microsoft.com/office/drawing/2014/main" id="{00000000-0008-0000-0300-00006C000000}"/>
            </a:ext>
          </a:extLst>
        </xdr:cNvPr>
        <xdr:cNvCxnSpPr/>
      </xdr:nvCxnSpPr>
      <xdr:spPr>
        <a:xfrm>
          <a:off x="3381375" y="2016125"/>
          <a:ext cx="1443" cy="89467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460375</xdr:colOff>
      <xdr:row>8</xdr:row>
      <xdr:rowOff>111125</xdr:rowOff>
    </xdr:from>
    <xdr:to>
      <xdr:col>6</xdr:col>
      <xdr:colOff>192629</xdr:colOff>
      <xdr:row>10</xdr:row>
      <xdr:rowOff>203992</xdr:rowOff>
    </xdr:to>
    <xdr:sp macro="" textlink="">
      <xdr:nvSpPr>
        <xdr:cNvPr id="110" name="TextBox 109">
          <a:extLst>
            <a:ext uri="{FF2B5EF4-FFF2-40B4-BE49-F238E27FC236}">
              <a16:creationId xmlns:a16="http://schemas.microsoft.com/office/drawing/2014/main" id="{00000000-0008-0000-0300-00006E000000}"/>
            </a:ext>
          </a:extLst>
        </xdr:cNvPr>
        <xdr:cNvSpPr txBox="1"/>
      </xdr:nvSpPr>
      <xdr:spPr>
        <a:xfrm>
          <a:off x="2682875" y="1920875"/>
          <a:ext cx="843504" cy="537367"/>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GB" sz="1100"/>
            <a:t>AUX.</a:t>
          </a:r>
        </a:p>
      </xdr:txBody>
    </xdr:sp>
    <xdr:clientData/>
  </xdr:twoCellAnchor>
  <xdr:twoCellAnchor>
    <xdr:from>
      <xdr:col>11</xdr:col>
      <xdr:colOff>31750</xdr:colOff>
      <xdr:row>31</xdr:row>
      <xdr:rowOff>0</xdr:rowOff>
    </xdr:from>
    <xdr:to>
      <xdr:col>12</xdr:col>
      <xdr:colOff>505820</xdr:colOff>
      <xdr:row>36</xdr:row>
      <xdr:rowOff>0</xdr:rowOff>
    </xdr:to>
    <xdr:sp macro="" textlink="">
      <xdr:nvSpPr>
        <xdr:cNvPr id="105" name="TextBox 104">
          <a:extLst>
            <a:ext uri="{FF2B5EF4-FFF2-40B4-BE49-F238E27FC236}">
              <a16:creationId xmlns:a16="http://schemas.microsoft.com/office/drawing/2014/main" id="{00000000-0008-0000-0300-000069000000}"/>
            </a:ext>
          </a:extLst>
        </xdr:cNvPr>
        <xdr:cNvSpPr txBox="1"/>
      </xdr:nvSpPr>
      <xdr:spPr>
        <a:xfrm>
          <a:off x="6143625" y="6921500"/>
          <a:ext cx="1029695" cy="1111250"/>
        </a:xfrm>
        <a:prstGeom prst="rect">
          <a:avLst/>
        </a:prstGeom>
        <a:solidFill>
          <a:sysClr val="window" lastClr="FFFFFF"/>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GB" sz="1100">
              <a:solidFill>
                <a:sysClr val="windowText" lastClr="000000"/>
              </a:solidFill>
            </a:rPr>
            <a:t>Hotwell</a:t>
          </a:r>
        </a:p>
      </xdr:txBody>
    </xdr:sp>
    <xdr:clientData/>
  </xdr:twoCellAnchor>
  <xdr:twoCellAnchor>
    <xdr:from>
      <xdr:col>12</xdr:col>
      <xdr:colOff>505820</xdr:colOff>
      <xdr:row>33</xdr:row>
      <xdr:rowOff>111125</xdr:rowOff>
    </xdr:from>
    <xdr:to>
      <xdr:col>13</xdr:col>
      <xdr:colOff>523204</xdr:colOff>
      <xdr:row>33</xdr:row>
      <xdr:rowOff>111125</xdr:rowOff>
    </xdr:to>
    <xdr:cxnSp macro="">
      <xdr:nvCxnSpPr>
        <xdr:cNvPr id="106" name="Straight Arrow Connector 264">
          <a:extLst>
            <a:ext uri="{FF2B5EF4-FFF2-40B4-BE49-F238E27FC236}">
              <a16:creationId xmlns:a16="http://schemas.microsoft.com/office/drawing/2014/main" id="{00000000-0008-0000-0300-00006A000000}"/>
            </a:ext>
          </a:extLst>
        </xdr:cNvPr>
        <xdr:cNvCxnSpPr>
          <a:stCxn id="128" idx="1"/>
          <a:endCxn id="105" idx="3"/>
        </xdr:cNvCxnSpPr>
      </xdr:nvCxnSpPr>
      <xdr:spPr>
        <a:xfrm flipH="1">
          <a:off x="7173320" y="7477125"/>
          <a:ext cx="573009" cy="0"/>
        </a:xfrm>
        <a:prstGeom prst="straightConnector1">
          <a:avLst/>
        </a:prstGeom>
        <a:ln w="19050">
          <a:solidFill>
            <a:schemeClr val="accent1"/>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902073</xdr:colOff>
      <xdr:row>520</xdr:row>
      <xdr:rowOff>40821</xdr:rowOff>
    </xdr:from>
    <xdr:to>
      <xdr:col>7</xdr:col>
      <xdr:colOff>284401</xdr:colOff>
      <xdr:row>523</xdr:row>
      <xdr:rowOff>96683</xdr:rowOff>
    </xdr:to>
    <xdr:pic>
      <xdr:nvPicPr>
        <xdr:cNvPr id="2" name="Picture 6">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453787" y="111796285"/>
          <a:ext cx="3736614" cy="749826"/>
        </a:xfrm>
        <a:prstGeom prst="rect">
          <a:avLst/>
        </a:prstGeom>
        <a:noFill/>
      </xdr:spPr>
    </xdr:pic>
    <xdr:clientData/>
  </xdr:twoCellAnchor>
  <xdr:twoCellAnchor editAs="oneCell">
    <xdr:from>
      <xdr:col>8</xdr:col>
      <xdr:colOff>45477</xdr:colOff>
      <xdr:row>513</xdr:row>
      <xdr:rowOff>205469</xdr:rowOff>
    </xdr:from>
    <xdr:to>
      <xdr:col>10</xdr:col>
      <xdr:colOff>907888</xdr:colOff>
      <xdr:row>522</xdr:row>
      <xdr:rowOff>2474</xdr:rowOff>
    </xdr:to>
    <xdr:pic>
      <xdr:nvPicPr>
        <xdr:cNvPr id="3" name="Picture 8">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999227" y="110341683"/>
          <a:ext cx="2957911" cy="1869826"/>
        </a:xfrm>
        <a:prstGeom prst="rect">
          <a:avLst/>
        </a:prstGeom>
        <a:noFill/>
      </xdr:spPr>
    </xdr:pic>
    <xdr:clientData/>
  </xdr:twoCellAnchor>
  <xdr:twoCellAnchor editAs="oneCell">
    <xdr:from>
      <xdr:col>5</xdr:col>
      <xdr:colOff>734542</xdr:colOff>
      <xdr:row>544</xdr:row>
      <xdr:rowOff>187697</xdr:rowOff>
    </xdr:from>
    <xdr:to>
      <xdr:col>7</xdr:col>
      <xdr:colOff>647167</xdr:colOff>
      <xdr:row>556</xdr:row>
      <xdr:rowOff>10535</xdr:rowOff>
    </xdr:to>
    <xdr:pic>
      <xdr:nvPicPr>
        <xdr:cNvPr id="5" name="Picture 2">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8191256" y="111684626"/>
          <a:ext cx="2171411" cy="2598694"/>
        </a:xfrm>
        <a:prstGeom prst="rect">
          <a:avLst/>
        </a:prstGeom>
        <a:noFill/>
      </xdr:spPr>
    </xdr:pic>
    <xdr:clientData/>
  </xdr:twoCellAnchor>
  <xdr:twoCellAnchor editAs="oneCell">
    <xdr:from>
      <xdr:col>5</xdr:col>
      <xdr:colOff>688731</xdr:colOff>
      <xdr:row>558</xdr:row>
      <xdr:rowOff>83039</xdr:rowOff>
    </xdr:from>
    <xdr:to>
      <xdr:col>7</xdr:col>
      <xdr:colOff>523097</xdr:colOff>
      <xdr:row>563</xdr:row>
      <xdr:rowOff>125509</xdr:rowOff>
    </xdr:to>
    <xdr:pic>
      <xdr:nvPicPr>
        <xdr:cNvPr id="6" name="Picture 4">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78573923" y="7116885"/>
          <a:ext cx="2086951" cy="1214776"/>
        </a:xfrm>
        <a:prstGeom prst="rect">
          <a:avLst/>
        </a:prstGeom>
        <a:noFill/>
      </xdr:spPr>
    </xdr:pic>
    <xdr:clientData/>
  </xdr:twoCellAnchor>
  <xdr:twoCellAnchor editAs="oneCell">
    <xdr:from>
      <xdr:col>5</xdr:col>
      <xdr:colOff>68035</xdr:colOff>
      <xdr:row>417</xdr:row>
      <xdr:rowOff>217713</xdr:rowOff>
    </xdr:from>
    <xdr:to>
      <xdr:col>14</xdr:col>
      <xdr:colOff>491595</xdr:colOff>
      <xdr:row>435</xdr:row>
      <xdr:rowOff>156891</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5"/>
        <a:stretch>
          <a:fillRect/>
        </a:stretch>
      </xdr:blipFill>
      <xdr:spPr>
        <a:xfrm>
          <a:off x="7483928" y="94855392"/>
          <a:ext cx="10016596" cy="410296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98"/>
  <sheetViews>
    <sheetView workbookViewId="0">
      <pane ySplit="1" topLeftCell="A2" activePane="bottomLeft" state="frozen"/>
      <selection pane="bottomLeft" activeCell="B12" sqref="B12"/>
    </sheetView>
  </sheetViews>
  <sheetFormatPr baseColWidth="10" defaultColWidth="8.83203125" defaultRowHeight="15"/>
  <cols>
    <col min="1" max="1" width="31.6640625" customWidth="1"/>
    <col min="18" max="21" width="9.1640625" style="52"/>
    <col min="22" max="22" width="19.5" customWidth="1"/>
  </cols>
  <sheetData>
    <row r="1" spans="1:21" ht="21" thickBot="1">
      <c r="A1" s="376" t="s">
        <v>686</v>
      </c>
      <c r="B1" s="52"/>
    </row>
    <row r="2" spans="1:21" ht="16" thickTop="1">
      <c r="B2" s="52"/>
      <c r="C2" s="37"/>
      <c r="D2" s="37"/>
      <c r="E2" s="37"/>
      <c r="F2" s="37"/>
      <c r="G2" s="37"/>
      <c r="H2" s="37"/>
      <c r="I2" s="37"/>
      <c r="J2" s="37"/>
      <c r="K2" s="37"/>
    </row>
    <row r="3" spans="1:21" ht="18" thickBot="1">
      <c r="A3" s="375" t="s">
        <v>246</v>
      </c>
      <c r="C3" s="37"/>
      <c r="D3" s="37"/>
      <c r="E3" s="37"/>
      <c r="F3" s="37"/>
      <c r="G3" s="37"/>
      <c r="H3" s="37"/>
      <c r="I3" s="37"/>
      <c r="J3" s="37"/>
      <c r="K3" s="37"/>
    </row>
    <row r="4" spans="1:21" s="315" customFormat="1" ht="16" thickTop="1">
      <c r="A4" s="315" t="s">
        <v>183</v>
      </c>
      <c r="B4" s="315" t="s">
        <v>704</v>
      </c>
      <c r="C4" s="68"/>
      <c r="D4" s="68"/>
      <c r="E4" s="68"/>
      <c r="F4" s="68"/>
      <c r="G4" s="68"/>
      <c r="H4" s="68"/>
      <c r="I4" s="68"/>
      <c r="J4" s="68"/>
      <c r="K4" s="68"/>
    </row>
    <row r="5" spans="1:21" s="315" customFormat="1">
      <c r="A5" s="315" t="s">
        <v>611</v>
      </c>
      <c r="B5" s="315" t="s">
        <v>689</v>
      </c>
      <c r="C5" s="68"/>
      <c r="D5" s="68"/>
      <c r="E5" s="68"/>
      <c r="F5" s="68"/>
      <c r="G5" s="68"/>
      <c r="H5" s="68"/>
      <c r="I5" s="68"/>
      <c r="J5" s="68"/>
      <c r="K5" s="68"/>
    </row>
    <row r="6" spans="1:21" s="315" customFormat="1">
      <c r="A6" s="315" t="s">
        <v>184</v>
      </c>
      <c r="B6" s="315" t="s">
        <v>690</v>
      </c>
      <c r="C6" s="68"/>
      <c r="D6" s="68"/>
      <c r="E6" s="68"/>
      <c r="F6" s="68"/>
      <c r="G6" s="68"/>
      <c r="H6" s="68"/>
      <c r="I6" s="68"/>
      <c r="J6" s="68"/>
      <c r="K6" s="68"/>
    </row>
    <row r="7" spans="1:21" s="315" customFormat="1">
      <c r="A7" s="315" t="s">
        <v>624</v>
      </c>
      <c r="B7" s="315" t="s">
        <v>691</v>
      </c>
      <c r="C7" s="68"/>
      <c r="D7" s="68"/>
      <c r="E7" s="68"/>
      <c r="F7" s="68"/>
      <c r="G7" s="68"/>
      <c r="H7" s="68"/>
      <c r="I7" s="68"/>
      <c r="J7" s="68"/>
      <c r="K7" s="68"/>
    </row>
    <row r="8" spans="1:21" s="315" customFormat="1">
      <c r="A8" s="315" t="s">
        <v>185</v>
      </c>
      <c r="B8" s="315" t="s">
        <v>692</v>
      </c>
      <c r="C8" s="68"/>
      <c r="D8" s="68"/>
      <c r="E8" s="68"/>
      <c r="F8" s="68"/>
      <c r="G8" s="68"/>
      <c r="H8" s="68"/>
      <c r="I8" s="68"/>
      <c r="J8" s="68"/>
      <c r="K8" s="68"/>
    </row>
    <row r="9" spans="1:21" s="315" customFormat="1">
      <c r="A9" s="315" t="s">
        <v>186</v>
      </c>
      <c r="B9" s="315" t="s">
        <v>693</v>
      </c>
      <c r="C9" s="68"/>
      <c r="D9" s="68"/>
      <c r="E9" s="68"/>
      <c r="F9" s="68"/>
      <c r="G9" s="68"/>
      <c r="H9" s="68"/>
      <c r="I9" s="68"/>
      <c r="J9" s="68"/>
      <c r="K9" s="68"/>
    </row>
    <row r="10" spans="1:21" s="315" customFormat="1">
      <c r="A10" s="315" t="s">
        <v>603</v>
      </c>
      <c r="B10" s="315" t="s">
        <v>687</v>
      </c>
      <c r="C10" s="68"/>
      <c r="D10" s="68"/>
      <c r="E10" s="68"/>
      <c r="F10" s="68"/>
      <c r="G10" s="68"/>
      <c r="H10" s="68"/>
      <c r="I10" s="68"/>
      <c r="J10" s="68"/>
      <c r="K10" s="68"/>
    </row>
    <row r="11" spans="1:21" s="315" customFormat="1">
      <c r="A11" s="315" t="s">
        <v>604</v>
      </c>
      <c r="B11" s="315" t="s">
        <v>688</v>
      </c>
      <c r="C11" s="68"/>
      <c r="D11" s="68"/>
      <c r="E11" s="68"/>
      <c r="F11" s="68"/>
      <c r="G11" s="68"/>
      <c r="H11" s="68"/>
      <c r="I11" s="68"/>
      <c r="J11" s="68"/>
      <c r="K11" s="68"/>
    </row>
    <row r="12" spans="1:21" s="315" customFormat="1">
      <c r="A12" s="315" t="s">
        <v>694</v>
      </c>
      <c r="B12" s="315" t="s">
        <v>695</v>
      </c>
      <c r="C12" s="68"/>
      <c r="D12" s="68"/>
      <c r="E12" s="68"/>
      <c r="F12" s="68"/>
      <c r="G12" s="68"/>
      <c r="H12" s="68"/>
      <c r="I12" s="68"/>
      <c r="J12" s="68"/>
      <c r="K12" s="68"/>
    </row>
    <row r="13" spans="1:21" s="315" customFormat="1">
      <c r="A13" s="315" t="s">
        <v>696</v>
      </c>
      <c r="B13" s="315" t="s">
        <v>697</v>
      </c>
      <c r="C13" s="68"/>
      <c r="D13" s="68"/>
      <c r="E13" s="68"/>
      <c r="F13" s="68"/>
      <c r="G13" s="68"/>
      <c r="H13" s="68"/>
      <c r="I13" s="68"/>
      <c r="J13" s="68"/>
      <c r="K13" s="68"/>
    </row>
    <row r="14" spans="1:21" s="315" customFormat="1">
      <c r="A14" s="315" t="s">
        <v>818</v>
      </c>
      <c r="B14" s="315" t="s">
        <v>833</v>
      </c>
      <c r="C14" s="68"/>
      <c r="D14" s="68"/>
      <c r="E14" s="68"/>
      <c r="F14" s="68"/>
      <c r="G14" s="68"/>
      <c r="H14" s="68"/>
      <c r="I14" s="68"/>
      <c r="J14" s="68"/>
      <c r="K14" s="68"/>
    </row>
    <row r="15" spans="1:21" s="315" customFormat="1">
      <c r="C15" s="68"/>
      <c r="D15" s="68"/>
      <c r="E15" s="68"/>
      <c r="F15" s="68"/>
      <c r="G15" s="68"/>
      <c r="H15" s="68"/>
      <c r="I15" s="68"/>
      <c r="J15" s="68"/>
      <c r="K15" s="68"/>
    </row>
    <row r="16" spans="1:21" ht="18" thickBot="1">
      <c r="A16" s="375" t="s">
        <v>698</v>
      </c>
      <c r="D16" s="37"/>
      <c r="E16" s="37"/>
      <c r="F16" s="37"/>
      <c r="G16" s="37"/>
      <c r="H16" s="37"/>
      <c r="I16" s="37"/>
      <c r="J16" s="37"/>
      <c r="K16" s="37"/>
      <c r="L16" s="56"/>
      <c r="M16" s="56"/>
      <c r="N16" s="56"/>
      <c r="O16" s="56"/>
      <c r="P16" s="56"/>
      <c r="Q16" s="56"/>
      <c r="R16" s="56"/>
      <c r="S16" s="56"/>
      <c r="T16" s="56"/>
      <c r="U16" s="56"/>
    </row>
    <row r="17" spans="1:11" ht="16" thickTop="1">
      <c r="A17" s="220" t="s">
        <v>187</v>
      </c>
      <c r="B17" s="52"/>
      <c r="C17" s="37"/>
      <c r="D17" s="37"/>
      <c r="E17" s="37"/>
      <c r="F17" s="37"/>
      <c r="G17" s="37"/>
      <c r="H17" s="37"/>
      <c r="I17" s="37"/>
      <c r="J17" s="37"/>
      <c r="K17" s="37"/>
    </row>
    <row r="18" spans="1:11">
      <c r="A18" s="220" t="s">
        <v>436</v>
      </c>
    </row>
    <row r="19" spans="1:11" s="220" customFormat="1"/>
    <row r="20" spans="1:11">
      <c r="A20" s="220" t="s">
        <v>486</v>
      </c>
    </row>
    <row r="21" spans="1:11" s="220" customFormat="1">
      <c r="A21" s="220" t="s">
        <v>487</v>
      </c>
    </row>
    <row r="22" spans="1:11">
      <c r="A22" s="220" t="s">
        <v>484</v>
      </c>
    </row>
    <row r="23" spans="1:11" s="220" customFormat="1">
      <c r="A23" s="220" t="s">
        <v>485</v>
      </c>
    </row>
    <row r="24" spans="1:11" s="315" customFormat="1"/>
    <row r="25" spans="1:11" s="315" customFormat="1">
      <c r="A25" s="315" t="s">
        <v>700</v>
      </c>
    </row>
    <row r="26" spans="1:11" s="315" customFormat="1">
      <c r="A26" s="315" t="s">
        <v>699</v>
      </c>
    </row>
    <row r="27" spans="1:11" s="220" customFormat="1"/>
    <row r="28" spans="1:11" ht="18" thickBot="1">
      <c r="A28" s="375" t="s">
        <v>472</v>
      </c>
    </row>
    <row r="29" spans="1:11" ht="16" thickTop="1">
      <c r="A29" s="223" t="s">
        <v>581</v>
      </c>
      <c r="B29" s="220" t="s">
        <v>474</v>
      </c>
    </row>
    <row r="30" spans="1:11" s="220" customFormat="1">
      <c r="A30" s="355">
        <v>41463</v>
      </c>
      <c r="B30" s="220" t="s">
        <v>475</v>
      </c>
    </row>
    <row r="31" spans="1:11">
      <c r="A31" s="355">
        <v>41464</v>
      </c>
      <c r="B31" s="220" t="s">
        <v>473</v>
      </c>
    </row>
    <row r="32" spans="1:11">
      <c r="A32" s="355">
        <v>41465</v>
      </c>
      <c r="B32" s="220" t="s">
        <v>482</v>
      </c>
    </row>
    <row r="33" spans="1:2">
      <c r="A33" s="223"/>
      <c r="B33" s="220" t="s">
        <v>483</v>
      </c>
    </row>
    <row r="34" spans="1:2">
      <c r="A34" s="355">
        <v>41466</v>
      </c>
      <c r="B34" s="220" t="s">
        <v>490</v>
      </c>
    </row>
    <row r="35" spans="1:2">
      <c r="A35" s="355">
        <v>41471</v>
      </c>
      <c r="B35" s="220" t="s">
        <v>503</v>
      </c>
    </row>
    <row r="36" spans="1:2">
      <c r="A36" s="355"/>
      <c r="B36" s="220" t="s">
        <v>498</v>
      </c>
    </row>
    <row r="37" spans="1:2">
      <c r="A37" s="223"/>
      <c r="B37" s="220" t="s">
        <v>513</v>
      </c>
    </row>
    <row r="38" spans="1:2">
      <c r="A38" s="223"/>
      <c r="B38" s="220" t="s">
        <v>507</v>
      </c>
    </row>
    <row r="39" spans="1:2">
      <c r="A39" s="223"/>
      <c r="B39" s="220" t="s">
        <v>508</v>
      </c>
    </row>
    <row r="40" spans="1:2">
      <c r="A40" s="355">
        <v>41477</v>
      </c>
      <c r="B40" s="220" t="s">
        <v>528</v>
      </c>
    </row>
    <row r="41" spans="1:2">
      <c r="A41" s="223"/>
      <c r="B41" s="220" t="s">
        <v>531</v>
      </c>
    </row>
    <row r="42" spans="1:2">
      <c r="A42" s="355">
        <v>41478</v>
      </c>
      <c r="B42" s="220" t="s">
        <v>532</v>
      </c>
    </row>
    <row r="43" spans="1:2">
      <c r="A43" s="355">
        <v>41479</v>
      </c>
      <c r="B43" s="220" t="s">
        <v>543</v>
      </c>
    </row>
    <row r="44" spans="1:2">
      <c r="A44" s="355">
        <v>41493</v>
      </c>
      <c r="B44" s="220" t="s">
        <v>546</v>
      </c>
    </row>
    <row r="45" spans="1:2">
      <c r="A45" s="223"/>
      <c r="B45" s="220" t="s">
        <v>547</v>
      </c>
    </row>
    <row r="46" spans="1:2">
      <c r="A46" s="223"/>
      <c r="B46" s="220" t="s">
        <v>548</v>
      </c>
    </row>
    <row r="47" spans="1:2">
      <c r="A47" s="223"/>
      <c r="B47" s="220" t="s">
        <v>549</v>
      </c>
    </row>
    <row r="48" spans="1:2">
      <c r="A48" s="223"/>
      <c r="B48" s="220" t="s">
        <v>550</v>
      </c>
    </row>
    <row r="49" spans="1:2">
      <c r="A49" s="223"/>
      <c r="B49" s="220" t="s">
        <v>551</v>
      </c>
    </row>
    <row r="50" spans="1:2">
      <c r="A50" s="223"/>
      <c r="B50" s="220" t="s">
        <v>552</v>
      </c>
    </row>
    <row r="51" spans="1:2">
      <c r="A51" s="355">
        <v>41514</v>
      </c>
      <c r="B51" s="293" t="s">
        <v>555</v>
      </c>
    </row>
    <row r="52" spans="1:2" s="293" customFormat="1">
      <c r="A52" s="355"/>
      <c r="B52" s="293" t="s">
        <v>561</v>
      </c>
    </row>
    <row r="53" spans="1:2" s="293" customFormat="1">
      <c r="A53" s="355"/>
      <c r="B53" s="293" t="s">
        <v>582</v>
      </c>
    </row>
    <row r="54" spans="1:2">
      <c r="A54" s="355">
        <v>41519</v>
      </c>
      <c r="B54" s="293" t="s">
        <v>558</v>
      </c>
    </row>
    <row r="55" spans="1:2">
      <c r="A55" s="223"/>
      <c r="B55" s="293" t="s">
        <v>559</v>
      </c>
    </row>
    <row r="56" spans="1:2">
      <c r="A56" s="223"/>
      <c r="B56" s="293" t="s">
        <v>560</v>
      </c>
    </row>
    <row r="57" spans="1:2">
      <c r="A57" s="355">
        <v>41533</v>
      </c>
      <c r="B57" s="293" t="s">
        <v>579</v>
      </c>
    </row>
    <row r="58" spans="1:2">
      <c r="A58" s="355">
        <v>41556</v>
      </c>
      <c r="B58" t="s">
        <v>592</v>
      </c>
    </row>
    <row r="59" spans="1:2">
      <c r="A59" s="355">
        <v>41572</v>
      </c>
      <c r="B59" t="s">
        <v>601</v>
      </c>
    </row>
    <row r="60" spans="1:2">
      <c r="A60" s="355">
        <v>41573</v>
      </c>
      <c r="B60" t="s">
        <v>602</v>
      </c>
    </row>
    <row r="61" spans="1:2">
      <c r="A61" s="355">
        <v>41579</v>
      </c>
      <c r="B61" t="s">
        <v>605</v>
      </c>
    </row>
    <row r="62" spans="1:2">
      <c r="A62" s="223"/>
      <c r="B62" t="s">
        <v>606</v>
      </c>
    </row>
    <row r="63" spans="1:2">
      <c r="A63" s="355">
        <v>41584</v>
      </c>
      <c r="B63" t="s">
        <v>610</v>
      </c>
    </row>
    <row r="64" spans="1:2">
      <c r="A64" s="355">
        <v>41595</v>
      </c>
      <c r="B64" s="226" t="s">
        <v>613</v>
      </c>
    </row>
    <row r="65" spans="1:2">
      <c r="A65" s="355">
        <v>41597</v>
      </c>
      <c r="B65" s="226" t="s">
        <v>615</v>
      </c>
    </row>
    <row r="66" spans="1:2">
      <c r="A66" s="355">
        <v>41617</v>
      </c>
      <c r="B66" t="s">
        <v>616</v>
      </c>
    </row>
    <row r="67" spans="1:2">
      <c r="A67" s="355">
        <f>A66</f>
        <v>41617</v>
      </c>
      <c r="B67" t="s">
        <v>619</v>
      </c>
    </row>
    <row r="68" spans="1:2">
      <c r="A68" s="355">
        <f>A67</f>
        <v>41617</v>
      </c>
      <c r="B68" t="s">
        <v>629</v>
      </c>
    </row>
    <row r="69" spans="1:2">
      <c r="A69" s="355">
        <v>41629</v>
      </c>
      <c r="B69" t="s">
        <v>630</v>
      </c>
    </row>
    <row r="70" spans="1:2">
      <c r="A70" s="355">
        <v>41630</v>
      </c>
      <c r="B70" t="s">
        <v>649</v>
      </c>
    </row>
    <row r="71" spans="1:2">
      <c r="A71" s="355">
        <f>A70</f>
        <v>41630</v>
      </c>
      <c r="B71" t="s">
        <v>650</v>
      </c>
    </row>
    <row r="72" spans="1:2">
      <c r="A72" s="355">
        <f>A71</f>
        <v>41630</v>
      </c>
      <c r="B72" t="s">
        <v>652</v>
      </c>
    </row>
    <row r="73" spans="1:2">
      <c r="A73" s="355">
        <v>41636</v>
      </c>
      <c r="B73" t="s">
        <v>701</v>
      </c>
    </row>
    <row r="74" spans="1:2">
      <c r="A74" s="355">
        <f>A73</f>
        <v>41636</v>
      </c>
      <c r="B74" s="226" t="s">
        <v>702</v>
      </c>
    </row>
    <row r="75" spans="1:2">
      <c r="A75" s="355">
        <v>41638</v>
      </c>
      <c r="B75" s="226" t="s">
        <v>777</v>
      </c>
    </row>
    <row r="76" spans="1:2">
      <c r="A76" s="223" t="s">
        <v>820</v>
      </c>
      <c r="B76" t="s">
        <v>821</v>
      </c>
    </row>
    <row r="77" spans="1:2">
      <c r="A77" s="223" t="str">
        <f>A76</f>
        <v>30/12/13 - 05/01/14</v>
      </c>
      <c r="B77" t="s">
        <v>822</v>
      </c>
    </row>
    <row r="78" spans="1:2">
      <c r="A78" s="355">
        <v>41645</v>
      </c>
      <c r="B78" t="s">
        <v>832</v>
      </c>
    </row>
    <row r="79" spans="1:2">
      <c r="A79" s="355">
        <v>41646</v>
      </c>
      <c r="B79" t="s">
        <v>841</v>
      </c>
    </row>
    <row r="80" spans="1:2">
      <c r="A80" s="355">
        <f>A79</f>
        <v>41646</v>
      </c>
      <c r="B80" t="s">
        <v>842</v>
      </c>
    </row>
    <row r="81" spans="1:2">
      <c r="A81" s="355">
        <f>A80</f>
        <v>41646</v>
      </c>
      <c r="B81" t="s">
        <v>843</v>
      </c>
    </row>
    <row r="82" spans="1:2">
      <c r="A82" s="355">
        <f>A81</f>
        <v>41646</v>
      </c>
      <c r="B82" t="s">
        <v>847</v>
      </c>
    </row>
    <row r="83" spans="1:2">
      <c r="A83" s="355">
        <v>41648</v>
      </c>
      <c r="B83" t="s">
        <v>851</v>
      </c>
    </row>
    <row r="84" spans="1:2">
      <c r="A84" s="355">
        <v>41652</v>
      </c>
      <c r="B84" t="s">
        <v>858</v>
      </c>
    </row>
    <row r="85" spans="1:2">
      <c r="A85" s="355">
        <v>41655</v>
      </c>
      <c r="B85" t="s">
        <v>865</v>
      </c>
    </row>
    <row r="86" spans="1:2">
      <c r="A86" s="355">
        <f>A85</f>
        <v>41655</v>
      </c>
      <c r="B86" t="s">
        <v>866</v>
      </c>
    </row>
    <row r="87" spans="1:2">
      <c r="A87" s="355">
        <v>41656</v>
      </c>
      <c r="B87" t="s">
        <v>867</v>
      </c>
    </row>
    <row r="88" spans="1:2">
      <c r="A88" s="355" t="s">
        <v>875</v>
      </c>
      <c r="B88" t="s">
        <v>876</v>
      </c>
    </row>
    <row r="89" spans="1:2">
      <c r="A89" s="223"/>
      <c r="B89" t="s">
        <v>877</v>
      </c>
    </row>
    <row r="90" spans="1:2">
      <c r="A90" s="355">
        <v>41677</v>
      </c>
      <c r="B90" t="s">
        <v>913</v>
      </c>
    </row>
    <row r="91" spans="1:2" s="315" customFormat="1">
      <c r="A91" s="355">
        <f>A90</f>
        <v>41677</v>
      </c>
      <c r="B91" s="315" t="s">
        <v>920</v>
      </c>
    </row>
    <row r="92" spans="1:2">
      <c r="A92" s="355">
        <v>41690</v>
      </c>
      <c r="B92" t="s">
        <v>928</v>
      </c>
    </row>
    <row r="93" spans="1:2">
      <c r="A93" s="355">
        <f>A92</f>
        <v>41690</v>
      </c>
      <c r="B93" t="s">
        <v>929</v>
      </c>
    </row>
    <row r="95" spans="1:2">
      <c r="A95" t="s">
        <v>849</v>
      </c>
    </row>
    <row r="96" spans="1:2">
      <c r="A96" t="s">
        <v>850</v>
      </c>
    </row>
    <row r="97" spans="1:1">
      <c r="A97" t="s">
        <v>921</v>
      </c>
    </row>
    <row r="98" spans="1:1">
      <c r="A98" t="s">
        <v>927</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tabColor rgb="FF92D050"/>
    <pageSetUpPr fitToPage="1"/>
  </sheetPr>
  <dimension ref="A1:AD64"/>
  <sheetViews>
    <sheetView showGridLines="0" zoomScaleNormal="100" workbookViewId="0">
      <pane ySplit="1" topLeftCell="A38" activePane="bottomLeft" state="frozen"/>
      <selection pane="bottomLeft" activeCell="B60" sqref="B60"/>
    </sheetView>
  </sheetViews>
  <sheetFormatPr baseColWidth="10" defaultColWidth="25.6640625" defaultRowHeight="15" customHeight="1"/>
  <cols>
    <col min="1" max="1" width="25.6640625" style="435"/>
    <col min="2" max="2" width="10.83203125" style="435" bestFit="1" customWidth="1"/>
    <col min="3" max="3" width="25.6640625" style="552"/>
    <col min="4" max="16384" width="25.6640625" style="435"/>
  </cols>
  <sheetData>
    <row r="1" spans="1:30" s="433" customFormat="1" ht="25" customHeight="1" thickBot="1">
      <c r="A1" s="433" t="s">
        <v>183</v>
      </c>
      <c r="C1" s="541" t="s">
        <v>1032</v>
      </c>
      <c r="D1" s="554" t="s">
        <v>1037</v>
      </c>
      <c r="E1" s="555" t="s">
        <v>1038</v>
      </c>
      <c r="F1" s="555" t="s">
        <v>1040</v>
      </c>
      <c r="G1" s="555" t="s">
        <v>1039</v>
      </c>
      <c r="H1" s="555" t="s">
        <v>1041</v>
      </c>
    </row>
    <row r="2" spans="1:30" s="290" customFormat="1" ht="16" thickTop="1">
      <c r="C2" s="542"/>
    </row>
    <row r="3" spans="1:30" s="290" customFormat="1">
      <c r="A3" s="359" t="s">
        <v>784</v>
      </c>
      <c r="B3" s="431"/>
      <c r="C3" s="543">
        <f ca="1">NOW()</f>
        <v>43288.414831018519</v>
      </c>
      <c r="E3" s="436" t="s">
        <v>953</v>
      </c>
      <c r="G3" s="68"/>
      <c r="H3" s="68"/>
      <c r="I3" s="68"/>
    </row>
    <row r="4" spans="1:30" s="290" customFormat="1">
      <c r="A4" s="432" t="s">
        <v>785</v>
      </c>
      <c r="B4" s="431"/>
      <c r="C4" s="544" t="s">
        <v>594</v>
      </c>
      <c r="E4" s="436" t="s">
        <v>1018</v>
      </c>
      <c r="F4" s="452" t="s">
        <v>818</v>
      </c>
      <c r="G4" s="435"/>
      <c r="H4" s="435"/>
      <c r="I4" s="68"/>
    </row>
    <row r="5" spans="1:30" s="290" customFormat="1">
      <c r="A5" s="432" t="s">
        <v>787</v>
      </c>
      <c r="B5" s="431"/>
      <c r="C5" s="545">
        <v>2</v>
      </c>
      <c r="E5" s="436" t="s">
        <v>1025</v>
      </c>
      <c r="F5" s="452" t="s">
        <v>1026</v>
      </c>
      <c r="G5" s="538" t="s">
        <v>1030</v>
      </c>
      <c r="H5" s="68"/>
      <c r="I5" s="68"/>
    </row>
    <row r="6" spans="1:30" s="290" customFormat="1">
      <c r="A6" s="432" t="s">
        <v>834</v>
      </c>
      <c r="B6" s="431"/>
      <c r="C6" s="544" t="s">
        <v>995</v>
      </c>
      <c r="E6" s="436" t="s">
        <v>1029</v>
      </c>
      <c r="F6" s="452" t="s">
        <v>1026</v>
      </c>
      <c r="G6" s="537" t="s">
        <v>1030</v>
      </c>
      <c r="H6" s="68"/>
      <c r="I6" s="68"/>
    </row>
    <row r="7" spans="1:30" s="290" customFormat="1">
      <c r="C7" s="542"/>
    </row>
    <row r="8" spans="1:30" s="68" customFormat="1">
      <c r="A8" s="40" t="s">
        <v>797</v>
      </c>
      <c r="B8" s="436"/>
      <c r="C8" s="546" t="s">
        <v>88</v>
      </c>
      <c r="D8" s="540" t="s">
        <v>88</v>
      </c>
      <c r="E8" s="540" t="s">
        <v>88</v>
      </c>
      <c r="F8" s="437" t="s">
        <v>88</v>
      </c>
      <c r="G8" s="437" t="s">
        <v>88</v>
      </c>
      <c r="H8" s="437" t="s">
        <v>88</v>
      </c>
      <c r="P8" s="435"/>
      <c r="Q8" s="435"/>
      <c r="R8" s="435"/>
      <c r="S8" s="435"/>
    </row>
    <row r="9" spans="1:30" s="68" customFormat="1" ht="15" customHeight="1">
      <c r="A9" s="40" t="s">
        <v>798</v>
      </c>
      <c r="B9" s="436"/>
      <c r="C9" s="546" t="s">
        <v>88</v>
      </c>
      <c r="D9" s="540" t="s">
        <v>88</v>
      </c>
      <c r="E9" s="540" t="s">
        <v>88</v>
      </c>
      <c r="F9" s="437" t="s">
        <v>88</v>
      </c>
      <c r="G9" s="437" t="s">
        <v>88</v>
      </c>
      <c r="H9" s="437" t="s">
        <v>88</v>
      </c>
      <c r="U9" s="435"/>
      <c r="V9" s="435"/>
      <c r="W9" s="435"/>
      <c r="X9" s="435"/>
      <c r="Y9" s="435"/>
      <c r="Z9" s="435"/>
      <c r="AA9" s="435"/>
      <c r="AB9" s="435"/>
      <c r="AC9" s="435"/>
      <c r="AD9" s="435"/>
    </row>
    <row r="10" spans="1:30" s="68" customFormat="1" ht="15" customHeight="1">
      <c r="A10" s="40" t="s">
        <v>799</v>
      </c>
      <c r="B10" s="436"/>
      <c r="C10" s="546" t="s">
        <v>88</v>
      </c>
      <c r="D10" s="540" t="s">
        <v>88</v>
      </c>
      <c r="E10" s="540" t="s">
        <v>88</v>
      </c>
      <c r="F10" s="437" t="s">
        <v>88</v>
      </c>
      <c r="G10" s="437" t="s">
        <v>88</v>
      </c>
      <c r="H10" s="437" t="s">
        <v>88</v>
      </c>
    </row>
    <row r="11" spans="1:30" s="68" customFormat="1" ht="15" customHeight="1">
      <c r="A11" s="40" t="s">
        <v>566</v>
      </c>
      <c r="B11" s="436"/>
      <c r="C11" s="546" t="s">
        <v>217</v>
      </c>
      <c r="D11" s="540" t="s">
        <v>217</v>
      </c>
      <c r="E11" s="540" t="s">
        <v>217</v>
      </c>
      <c r="F11" s="437" t="s">
        <v>217</v>
      </c>
      <c r="G11" s="437" t="s">
        <v>217</v>
      </c>
      <c r="H11" s="437" t="s">
        <v>217</v>
      </c>
    </row>
    <row r="12" spans="1:30" s="68" customFormat="1" ht="15" customHeight="1">
      <c r="A12" s="40" t="s">
        <v>29</v>
      </c>
      <c r="B12" s="436"/>
      <c r="C12" s="546" t="s">
        <v>217</v>
      </c>
      <c r="D12" s="540" t="s">
        <v>88</v>
      </c>
      <c r="E12" s="540" t="s">
        <v>217</v>
      </c>
      <c r="F12" s="437" t="s">
        <v>217</v>
      </c>
      <c r="G12" s="437" t="s">
        <v>217</v>
      </c>
      <c r="H12" s="437" t="s">
        <v>217</v>
      </c>
    </row>
    <row r="13" spans="1:30" s="68" customFormat="1" ht="15" customHeight="1">
      <c r="A13" s="40" t="s">
        <v>180</v>
      </c>
      <c r="B13" s="436"/>
      <c r="C13" s="546" t="s">
        <v>247</v>
      </c>
      <c r="D13" s="540" t="s">
        <v>247</v>
      </c>
      <c r="E13" s="540" t="s">
        <v>247</v>
      </c>
      <c r="F13" s="437" t="s">
        <v>247</v>
      </c>
      <c r="G13" s="437" t="s">
        <v>247</v>
      </c>
      <c r="H13" s="437" t="s">
        <v>247</v>
      </c>
    </row>
    <row r="14" spans="1:30" s="68" customFormat="1" ht="15" customHeight="1">
      <c r="A14" s="40" t="s">
        <v>181</v>
      </c>
      <c r="B14" s="436"/>
      <c r="C14" s="546" t="s">
        <v>88</v>
      </c>
      <c r="D14" s="540" t="s">
        <v>88</v>
      </c>
      <c r="E14" s="540" t="s">
        <v>88</v>
      </c>
      <c r="F14" s="437" t="s">
        <v>247</v>
      </c>
      <c r="G14" s="437" t="s">
        <v>247</v>
      </c>
      <c r="H14" s="437" t="s">
        <v>247</v>
      </c>
    </row>
    <row r="15" spans="1:30" s="68" customFormat="1" ht="15" customHeight="1">
      <c r="A15" s="40" t="s">
        <v>967</v>
      </c>
      <c r="B15" s="436"/>
      <c r="C15" s="546" t="s">
        <v>88</v>
      </c>
      <c r="D15" s="540" t="s">
        <v>88</v>
      </c>
      <c r="E15" s="540" t="s">
        <v>88</v>
      </c>
      <c r="F15" s="437" t="s">
        <v>88</v>
      </c>
      <c r="G15" s="437" t="s">
        <v>88</v>
      </c>
      <c r="H15" s="437" t="s">
        <v>88</v>
      </c>
    </row>
    <row r="16" spans="1:30" s="68" customFormat="1" ht="15" customHeight="1">
      <c r="A16" s="40" t="s">
        <v>123</v>
      </c>
      <c r="B16" s="436"/>
      <c r="C16" s="546" t="s">
        <v>217</v>
      </c>
      <c r="D16" s="540" t="s">
        <v>217</v>
      </c>
      <c r="E16" s="540" t="s">
        <v>217</v>
      </c>
      <c r="F16" s="437" t="s">
        <v>217</v>
      </c>
      <c r="G16" s="437" t="s">
        <v>217</v>
      </c>
      <c r="H16" s="437" t="s">
        <v>217</v>
      </c>
    </row>
    <row r="17" spans="1:9" s="68" customFormat="1" ht="15" customHeight="1">
      <c r="A17" s="40" t="s">
        <v>122</v>
      </c>
      <c r="B17" s="436"/>
      <c r="C17" s="546" t="s">
        <v>217</v>
      </c>
      <c r="D17" s="540" t="s">
        <v>217</v>
      </c>
      <c r="E17" s="540" t="s">
        <v>217</v>
      </c>
      <c r="F17" s="437" t="s">
        <v>217</v>
      </c>
      <c r="G17" s="437" t="s">
        <v>217</v>
      </c>
      <c r="H17" s="437" t="s">
        <v>217</v>
      </c>
    </row>
    <row r="18" spans="1:9" s="68" customFormat="1" ht="15" customHeight="1">
      <c r="A18" s="40" t="s">
        <v>91</v>
      </c>
      <c r="B18" s="436"/>
      <c r="C18" s="546" t="s">
        <v>88</v>
      </c>
      <c r="D18" s="540" t="s">
        <v>88</v>
      </c>
      <c r="E18" s="540" t="s">
        <v>88</v>
      </c>
      <c r="F18" s="437" t="s">
        <v>88</v>
      </c>
      <c r="G18" s="437" t="s">
        <v>88</v>
      </c>
      <c r="H18" s="437" t="s">
        <v>88</v>
      </c>
    </row>
    <row r="19" spans="1:9" s="68" customFormat="1" ht="15" customHeight="1">
      <c r="A19" s="40" t="s">
        <v>92</v>
      </c>
      <c r="B19" s="436"/>
      <c r="C19" s="546" t="s">
        <v>88</v>
      </c>
      <c r="D19" s="540" t="s">
        <v>88</v>
      </c>
      <c r="E19" s="540" t="s">
        <v>88</v>
      </c>
      <c r="F19" s="437" t="s">
        <v>88</v>
      </c>
      <c r="G19" s="437" t="s">
        <v>88</v>
      </c>
      <c r="H19" s="437" t="s">
        <v>88</v>
      </c>
    </row>
    <row r="20" spans="1:9" s="68" customFormat="1" ht="15" customHeight="1">
      <c r="A20" s="40" t="s">
        <v>93</v>
      </c>
      <c r="B20" s="436"/>
      <c r="C20" s="546" t="s">
        <v>247</v>
      </c>
      <c r="D20" s="540" t="s">
        <v>247</v>
      </c>
      <c r="E20" s="540" t="s">
        <v>247</v>
      </c>
      <c r="F20" s="437" t="s">
        <v>247</v>
      </c>
      <c r="G20" s="437" t="s">
        <v>247</v>
      </c>
      <c r="H20" s="540" t="s">
        <v>217</v>
      </c>
    </row>
    <row r="21" spans="1:9" s="68" customFormat="1" ht="15" customHeight="1">
      <c r="A21" s="40" t="s">
        <v>124</v>
      </c>
      <c r="B21" s="436"/>
      <c r="C21" s="546" t="s">
        <v>88</v>
      </c>
      <c r="D21" s="540" t="s">
        <v>88</v>
      </c>
      <c r="E21" s="540" t="s">
        <v>88</v>
      </c>
      <c r="F21" s="437" t="s">
        <v>88</v>
      </c>
      <c r="G21" s="437" t="s">
        <v>88</v>
      </c>
      <c r="H21" s="437" t="s">
        <v>88</v>
      </c>
    </row>
    <row r="22" spans="1:9" s="68" customFormat="1" ht="15" customHeight="1">
      <c r="A22" s="40" t="s">
        <v>783</v>
      </c>
      <c r="B22" s="436"/>
      <c r="C22" s="546" t="s">
        <v>247</v>
      </c>
      <c r="D22" s="540" t="s">
        <v>247</v>
      </c>
      <c r="E22" s="540" t="s">
        <v>247</v>
      </c>
      <c r="F22" s="437" t="s">
        <v>247</v>
      </c>
      <c r="G22" s="437" t="s">
        <v>247</v>
      </c>
      <c r="H22" s="437" t="s">
        <v>88</v>
      </c>
    </row>
    <row r="23" spans="1:9" s="68" customFormat="1" ht="15" customHeight="1">
      <c r="A23" s="40" t="s">
        <v>233</v>
      </c>
      <c r="B23" s="436"/>
      <c r="C23" s="546" t="s">
        <v>217</v>
      </c>
      <c r="D23" s="540" t="s">
        <v>217</v>
      </c>
      <c r="E23" s="540" t="s">
        <v>217</v>
      </c>
      <c r="F23" s="437" t="s">
        <v>88</v>
      </c>
      <c r="G23" s="540" t="s">
        <v>217</v>
      </c>
      <c r="H23" s="540" t="s">
        <v>217</v>
      </c>
    </row>
    <row r="24" spans="1:9" s="68" customFormat="1" ht="15" customHeight="1">
      <c r="A24" s="436" t="s">
        <v>953</v>
      </c>
      <c r="B24" s="436"/>
      <c r="C24" s="545" t="s">
        <v>595</v>
      </c>
      <c r="D24" s="452" t="s">
        <v>595</v>
      </c>
      <c r="E24" s="452" t="s">
        <v>595</v>
      </c>
      <c r="F24" s="452" t="s">
        <v>595</v>
      </c>
      <c r="G24" s="452" t="s">
        <v>595</v>
      </c>
      <c r="H24" s="452" t="s">
        <v>595</v>
      </c>
      <c r="I24" s="435"/>
    </row>
    <row r="25" spans="1:9" s="68" customFormat="1" ht="15" customHeight="1">
      <c r="A25" s="359" t="s">
        <v>781</v>
      </c>
      <c r="B25" s="431" t="s">
        <v>18</v>
      </c>
      <c r="C25" s="545">
        <v>15</v>
      </c>
      <c r="D25" s="452">
        <v>15</v>
      </c>
      <c r="E25" s="452">
        <v>15</v>
      </c>
      <c r="F25" s="452">
        <v>15</v>
      </c>
      <c r="G25" s="452">
        <v>15</v>
      </c>
      <c r="H25" s="452">
        <v>15</v>
      </c>
      <c r="I25" s="435"/>
    </row>
    <row r="26" spans="1:9" s="68" customFormat="1" ht="15" customHeight="1">
      <c r="A26" s="436"/>
      <c r="B26" s="436"/>
      <c r="C26" s="547"/>
      <c r="D26" s="436"/>
      <c r="E26" s="436"/>
      <c r="F26" s="436"/>
      <c r="G26" s="436"/>
      <c r="H26" s="436"/>
      <c r="I26" s="435"/>
    </row>
    <row r="27" spans="1:9" s="68" customFormat="1" ht="15" customHeight="1">
      <c r="A27" s="290" t="s">
        <v>580</v>
      </c>
      <c r="B27" s="359"/>
      <c r="C27" s="548"/>
    </row>
    <row r="28" spans="1:9" s="68" customFormat="1" ht="15" customHeight="1">
      <c r="A28" s="359" t="s">
        <v>427</v>
      </c>
      <c r="B28" s="359" t="s">
        <v>356</v>
      </c>
      <c r="C28" s="549">
        <v>1.5618108795024641</v>
      </c>
      <c r="D28" s="429">
        <v>1.5618108795024641</v>
      </c>
      <c r="E28" s="429">
        <v>1.5618108795024641</v>
      </c>
      <c r="F28" s="429">
        <v>1.5618108795024641</v>
      </c>
      <c r="G28" s="429">
        <v>1.5618108795024641</v>
      </c>
      <c r="H28" s="429">
        <v>1.5618108795024641</v>
      </c>
    </row>
    <row r="29" spans="1:9" s="68" customFormat="1" ht="15" customHeight="1">
      <c r="A29" s="359" t="s">
        <v>37</v>
      </c>
      <c r="B29" s="359" t="s">
        <v>356</v>
      </c>
      <c r="C29" s="549">
        <v>7.9532803645401815</v>
      </c>
      <c r="D29" s="429">
        <v>7.9532803645401815</v>
      </c>
      <c r="E29" s="429">
        <v>7.9532803645401815</v>
      </c>
      <c r="F29" s="429">
        <v>7.9532803645401815</v>
      </c>
      <c r="G29" s="429">
        <v>7.9532803645401815</v>
      </c>
      <c r="H29" s="429">
        <v>7.9532803645401815</v>
      </c>
    </row>
    <row r="30" spans="1:9" s="68" customFormat="1" ht="15" customHeight="1">
      <c r="A30" s="359" t="s">
        <v>38</v>
      </c>
      <c r="B30" s="359" t="s">
        <v>356</v>
      </c>
      <c r="C30" s="549">
        <v>4.3551477472475444</v>
      </c>
      <c r="D30" s="429">
        <v>4.3551477472475444</v>
      </c>
      <c r="E30" s="429">
        <v>4.3551477472475444</v>
      </c>
      <c r="F30" s="429">
        <v>4.3551477472475444</v>
      </c>
      <c r="G30" s="429">
        <v>4.3551477472475444</v>
      </c>
      <c r="H30" s="429">
        <v>4.3551477472475444</v>
      </c>
    </row>
    <row r="31" spans="1:9" s="68" customFormat="1" ht="15" customHeight="1">
      <c r="A31" s="359" t="s">
        <v>426</v>
      </c>
      <c r="B31" s="359" t="s">
        <v>1042</v>
      </c>
      <c r="C31" s="549">
        <v>0.26</v>
      </c>
      <c r="D31" s="429">
        <v>0.26</v>
      </c>
      <c r="E31" s="429">
        <v>0.26</v>
      </c>
      <c r="F31" s="429">
        <v>0.26</v>
      </c>
      <c r="G31" s="429">
        <v>0.26</v>
      </c>
      <c r="H31" s="429">
        <v>0.26</v>
      </c>
    </row>
    <row r="32" spans="1:9" s="68" customFormat="1" ht="15" customHeight="1">
      <c r="A32" s="290" t="s">
        <v>108</v>
      </c>
      <c r="B32" s="436"/>
      <c r="C32" s="550"/>
      <c r="D32" s="429"/>
      <c r="E32" s="429"/>
      <c r="F32" s="429"/>
      <c r="G32" s="429"/>
      <c r="H32" s="429"/>
    </row>
    <row r="33" spans="1:15" s="68" customFormat="1" ht="15" customHeight="1">
      <c r="A33" s="359" t="s">
        <v>86</v>
      </c>
      <c r="B33" s="436" t="s">
        <v>273</v>
      </c>
      <c r="C33" s="551">
        <v>14.352411416666678</v>
      </c>
      <c r="D33" s="429">
        <v>14.352411416666678</v>
      </c>
      <c r="E33" s="429">
        <v>14.352411416666678</v>
      </c>
      <c r="F33" s="429">
        <v>14.352411416666678</v>
      </c>
      <c r="G33" s="429">
        <v>14.352411416666678</v>
      </c>
      <c r="H33" s="429">
        <v>14.352411416666678</v>
      </c>
      <c r="I33" s="435"/>
    </row>
    <row r="34" spans="1:15" s="68" customFormat="1" ht="15" customHeight="1">
      <c r="A34" s="359" t="s">
        <v>87</v>
      </c>
      <c r="B34" s="436" t="s">
        <v>273</v>
      </c>
      <c r="C34" s="551">
        <v>13.5</v>
      </c>
      <c r="D34" s="429"/>
      <c r="E34" s="429">
        <v>13.5</v>
      </c>
      <c r="F34" s="429">
        <v>13.5</v>
      </c>
      <c r="G34" s="429">
        <v>13.5</v>
      </c>
      <c r="H34" s="429">
        <v>13.5</v>
      </c>
      <c r="I34" s="435"/>
    </row>
    <row r="35" spans="1:15" s="68" customFormat="1" ht="15" customHeight="1">
      <c r="A35" s="359" t="s">
        <v>248</v>
      </c>
      <c r="B35" s="436" t="s">
        <v>273</v>
      </c>
      <c r="C35" s="551">
        <v>0.72160416666666671</v>
      </c>
      <c r="D35" s="429">
        <v>0.72160416666666671</v>
      </c>
      <c r="E35" s="429">
        <v>0.72160416666666671</v>
      </c>
      <c r="F35" s="429">
        <v>0.72160416666666671</v>
      </c>
      <c r="G35" s="429">
        <v>0.72160416666666671</v>
      </c>
      <c r="H35" s="429">
        <v>0.72160416666666671</v>
      </c>
      <c r="I35" s="435"/>
    </row>
    <row r="36" spans="1:15" s="68" customFormat="1" ht="15" customHeight="1">
      <c r="A36" s="290" t="s">
        <v>107</v>
      </c>
      <c r="B36" s="436"/>
      <c r="C36" s="550"/>
      <c r="D36" s="429"/>
      <c r="E36" s="429"/>
      <c r="F36" s="429"/>
      <c r="G36" s="429"/>
      <c r="H36" s="429"/>
      <c r="I36" s="435"/>
    </row>
    <row r="37" spans="1:15" s="68" customFormat="1" ht="15" customHeight="1">
      <c r="A37" s="359" t="str">
        <f>A33</f>
        <v>Lenzing</v>
      </c>
      <c r="B37" s="436" t="str">
        <f>B33</f>
        <v>t/h</v>
      </c>
      <c r="C37" s="551">
        <v>19.881397614583346</v>
      </c>
      <c r="D37" s="429">
        <v>19.881397614583346</v>
      </c>
      <c r="E37" s="429">
        <v>19.881397614583346</v>
      </c>
      <c r="F37" s="429">
        <v>19.881397614583346</v>
      </c>
      <c r="G37" s="429">
        <v>19.881397614583346</v>
      </c>
      <c r="H37" s="429">
        <v>19.881397614583346</v>
      </c>
      <c r="I37" s="435"/>
      <c r="J37" s="435"/>
      <c r="K37" s="435"/>
      <c r="L37" s="435"/>
      <c r="M37" s="435"/>
      <c r="N37" s="435"/>
      <c r="O37" s="435"/>
    </row>
    <row r="38" spans="1:15" s="68" customFormat="1" ht="15" customHeight="1">
      <c r="A38" s="359" t="str">
        <f t="shared" ref="A38:B39" si="0">A34</f>
        <v>Bluestar</v>
      </c>
      <c r="B38" s="436" t="str">
        <f t="shared" si="0"/>
        <v>t/h</v>
      </c>
      <c r="C38" s="551">
        <v>5</v>
      </c>
      <c r="D38" s="429"/>
      <c r="E38" s="429">
        <v>5</v>
      </c>
      <c r="F38" s="429">
        <v>5</v>
      </c>
      <c r="G38" s="429">
        <v>5</v>
      </c>
      <c r="H38" s="429">
        <v>5</v>
      </c>
      <c r="I38" s="435"/>
      <c r="J38" s="435"/>
      <c r="K38" s="435"/>
      <c r="L38" s="435"/>
      <c r="M38" s="435"/>
      <c r="N38" s="435"/>
      <c r="O38" s="435"/>
    </row>
    <row r="39" spans="1:15" s="68" customFormat="1" ht="15" customHeight="1">
      <c r="A39" s="359" t="str">
        <f t="shared" si="0"/>
        <v>TAL</v>
      </c>
      <c r="B39" s="436" t="str">
        <f t="shared" si="0"/>
        <v>t/h</v>
      </c>
      <c r="C39" s="551">
        <v>0</v>
      </c>
      <c r="D39" s="429">
        <v>0</v>
      </c>
      <c r="E39" s="429">
        <v>0</v>
      </c>
      <c r="F39" s="429">
        <v>0</v>
      </c>
      <c r="G39" s="429">
        <v>0</v>
      </c>
      <c r="H39" s="429">
        <v>0</v>
      </c>
      <c r="I39" s="435"/>
      <c r="J39" s="435"/>
      <c r="K39" s="435"/>
      <c r="L39" s="435"/>
      <c r="M39" s="435"/>
      <c r="N39" s="435"/>
      <c r="O39" s="435"/>
    </row>
    <row r="40" spans="1:15" s="68" customFormat="1" ht="15" customHeight="1">
      <c r="A40" s="290" t="s">
        <v>1031</v>
      </c>
      <c r="B40" s="436"/>
      <c r="C40" s="550"/>
      <c r="D40" s="429"/>
      <c r="E40" s="429"/>
      <c r="F40" s="429"/>
      <c r="G40" s="429"/>
      <c r="H40" s="429"/>
      <c r="I40" s="435"/>
      <c r="J40" s="435"/>
      <c r="K40" s="435"/>
      <c r="L40" s="435"/>
      <c r="M40" s="435"/>
      <c r="N40" s="435"/>
      <c r="O40" s="435"/>
    </row>
    <row r="41" spans="1:15" s="68" customFormat="1" ht="15" customHeight="1">
      <c r="A41" s="359" t="s">
        <v>86</v>
      </c>
      <c r="B41" s="359" t="s">
        <v>428</v>
      </c>
      <c r="C41" s="551">
        <v>7.3210433851836889</v>
      </c>
      <c r="D41" s="429">
        <v>7.3210433851836889</v>
      </c>
      <c r="E41" s="429">
        <v>7.3210433851836889</v>
      </c>
      <c r="F41" s="429">
        <v>7.3210433851836889</v>
      </c>
      <c r="G41" s="429">
        <v>7.3210433851836889</v>
      </c>
      <c r="H41" s="429">
        <v>7.3210433851836889</v>
      </c>
      <c r="I41" s="435"/>
      <c r="J41" s="435"/>
      <c r="K41" s="435"/>
      <c r="L41" s="435"/>
      <c r="M41" s="435"/>
      <c r="N41" s="435"/>
      <c r="O41" s="435"/>
    </row>
    <row r="42" spans="1:15" s="68" customFormat="1" ht="15" customHeight="1">
      <c r="A42" s="359" t="s">
        <v>87</v>
      </c>
      <c r="B42" s="359" t="s">
        <v>428</v>
      </c>
      <c r="C42" s="551">
        <v>2.5</v>
      </c>
      <c r="D42" s="539"/>
      <c r="E42" s="539">
        <v>2.5</v>
      </c>
      <c r="F42" s="539">
        <v>2.5</v>
      </c>
      <c r="G42" s="539">
        <v>2.5</v>
      </c>
      <c r="H42" s="539">
        <v>2.5</v>
      </c>
      <c r="I42" s="435"/>
      <c r="J42" s="435"/>
      <c r="K42" s="435"/>
      <c r="L42" s="435"/>
      <c r="M42" s="435"/>
      <c r="N42" s="435"/>
      <c r="O42" s="435"/>
    </row>
    <row r="43" spans="1:15" s="68" customFormat="1" ht="15" customHeight="1">
      <c r="A43" s="359" t="s">
        <v>248</v>
      </c>
      <c r="B43" s="359" t="s">
        <v>428</v>
      </c>
      <c r="C43" s="551">
        <v>1.45684472851427</v>
      </c>
      <c r="D43" s="429">
        <v>1.45684472851427</v>
      </c>
      <c r="E43" s="429">
        <v>1.45684472851427</v>
      </c>
      <c r="F43" s="429">
        <v>1.45684472851427</v>
      </c>
      <c r="G43" s="429">
        <v>1.45684472851427</v>
      </c>
      <c r="H43" s="429">
        <v>1.45684472851427</v>
      </c>
      <c r="I43" s="435"/>
      <c r="J43" s="435"/>
      <c r="K43" s="435"/>
      <c r="L43" s="435"/>
      <c r="M43" s="435"/>
      <c r="N43" s="435"/>
      <c r="O43" s="435"/>
    </row>
    <row r="44" spans="1:15" s="68" customFormat="1" ht="15" customHeight="1">
      <c r="A44" s="238"/>
      <c r="B44" s="290"/>
      <c r="C44" s="542"/>
      <c r="D44" s="290"/>
      <c r="I44" s="435"/>
      <c r="J44" s="435"/>
      <c r="K44" s="435"/>
      <c r="L44" s="435"/>
      <c r="M44" s="435"/>
      <c r="N44" s="435"/>
      <c r="O44" s="435"/>
    </row>
    <row r="45" spans="1:15" s="68" customFormat="1" ht="15" customHeight="1">
      <c r="A45" s="238"/>
      <c r="B45" s="290"/>
      <c r="C45" s="542"/>
      <c r="D45" s="290"/>
      <c r="I45" s="435"/>
      <c r="J45" s="435"/>
      <c r="K45" s="435"/>
      <c r="L45" s="435"/>
      <c r="M45" s="435"/>
      <c r="N45" s="435"/>
      <c r="O45" s="435"/>
    </row>
    <row r="46" spans="1:15" s="68" customFormat="1" ht="15" customHeight="1">
      <c r="C46" s="550"/>
      <c r="D46" s="290"/>
      <c r="I46" s="435"/>
      <c r="J46" s="435"/>
      <c r="K46" s="435"/>
      <c r="L46" s="435"/>
      <c r="M46" s="435"/>
      <c r="N46" s="435"/>
      <c r="O46" s="435"/>
    </row>
    <row r="47" spans="1:15" s="68" customFormat="1" ht="25" customHeight="1" thickBot="1">
      <c r="A47" s="433" t="s">
        <v>782</v>
      </c>
      <c r="B47" s="433"/>
      <c r="C47" s="433"/>
      <c r="D47" s="433"/>
      <c r="E47" s="433"/>
      <c r="F47" s="433"/>
      <c r="G47" s="433"/>
      <c r="H47" s="433"/>
      <c r="I47" s="435"/>
      <c r="J47" s="435"/>
      <c r="K47" s="435"/>
      <c r="L47" s="435"/>
      <c r="M47" s="435"/>
      <c r="N47" s="435"/>
      <c r="O47" s="435"/>
    </row>
    <row r="48" spans="1:15" s="68" customFormat="1" ht="15" customHeight="1" thickTop="1">
      <c r="C48" s="550"/>
      <c r="D48" s="290"/>
      <c r="I48" s="435"/>
      <c r="J48" s="435"/>
      <c r="K48" s="435"/>
      <c r="L48" s="435"/>
      <c r="M48" s="435"/>
      <c r="N48" s="435"/>
      <c r="O48" s="435"/>
    </row>
    <row r="49" spans="1:15" s="68" customFormat="1" ht="15" customHeight="1">
      <c r="A49" s="438" t="s">
        <v>322</v>
      </c>
      <c r="B49" s="438" t="s">
        <v>23</v>
      </c>
      <c r="C49" s="550"/>
      <c r="D49" s="438">
        <f>Results!D13</f>
        <v>0.75099042000000005</v>
      </c>
      <c r="E49" s="438">
        <f>Results!E13</f>
        <v>4.1237348999999996</v>
      </c>
      <c r="F49" s="438">
        <f>Results!F13</f>
        <v>0</v>
      </c>
      <c r="G49" s="438">
        <f>Results!G13</f>
        <v>0</v>
      </c>
      <c r="H49" s="438">
        <f>Results!H13</f>
        <v>0</v>
      </c>
      <c r="I49" s="435"/>
      <c r="J49" s="435"/>
      <c r="K49" s="435"/>
      <c r="L49" s="435"/>
      <c r="M49" s="435"/>
      <c r="N49" s="435"/>
      <c r="O49" s="435"/>
    </row>
    <row r="50" spans="1:15" s="68" customFormat="1" ht="15" customHeight="1">
      <c r="A50" s="438" t="s">
        <v>598</v>
      </c>
      <c r="B50" s="438" t="s">
        <v>593</v>
      </c>
      <c r="C50" s="550"/>
      <c r="D50" s="438">
        <f>Results!D11</f>
        <v>23.299533651698304</v>
      </c>
      <c r="E50" s="438">
        <f>Results!E11</f>
        <v>45.799573501622653</v>
      </c>
      <c r="F50" s="438">
        <f>Results!F11</f>
        <v>0</v>
      </c>
      <c r="G50" s="438">
        <f>Results!G11</f>
        <v>0</v>
      </c>
      <c r="H50" s="438">
        <f>Results!H11</f>
        <v>0</v>
      </c>
      <c r="I50" s="435"/>
      <c r="J50" s="435"/>
      <c r="K50" s="435"/>
      <c r="L50" s="435"/>
      <c r="M50" s="435"/>
      <c r="N50" s="435"/>
      <c r="O50" s="435"/>
    </row>
    <row r="51" spans="1:15" s="68" customFormat="1" ht="15" customHeight="1">
      <c r="A51" s="438" t="s">
        <v>705</v>
      </c>
      <c r="B51" s="438" t="s">
        <v>593</v>
      </c>
      <c r="C51" s="550"/>
      <c r="D51" s="438">
        <f>Results!D12</f>
        <v>26.584123553595582</v>
      </c>
      <c r="E51" s="438">
        <f>Results!E12</f>
        <v>30.939924908757654</v>
      </c>
      <c r="F51" s="438">
        <f>Results!F12</f>
        <v>0</v>
      </c>
      <c r="G51" s="438">
        <f>Results!G12</f>
        <v>0</v>
      </c>
      <c r="H51" s="438">
        <f>Results!H12</f>
        <v>0</v>
      </c>
      <c r="I51" s="435"/>
      <c r="J51" s="435"/>
      <c r="K51" s="435"/>
      <c r="L51" s="435"/>
      <c r="M51" s="435"/>
      <c r="N51" s="435"/>
      <c r="O51" s="435"/>
    </row>
    <row r="52" spans="1:15" s="68" customFormat="1" ht="15" customHeight="1">
      <c r="A52" s="438" t="s">
        <v>212</v>
      </c>
      <c r="B52" s="438" t="s">
        <v>9</v>
      </c>
      <c r="C52" s="550"/>
      <c r="D52" s="478">
        <f>Results!D14</f>
        <v>804.52310980000004</v>
      </c>
      <c r="E52" s="478">
        <f>Results!E14</f>
        <v>943.22048099999995</v>
      </c>
      <c r="F52" s="478">
        <f>Results!F14</f>
        <v>0</v>
      </c>
      <c r="G52" s="478">
        <f>Results!G14</f>
        <v>0</v>
      </c>
      <c r="H52" s="478">
        <f>Results!H14</f>
        <v>0</v>
      </c>
      <c r="I52" s="435"/>
      <c r="J52" s="435"/>
      <c r="K52" s="435"/>
      <c r="L52" s="435"/>
      <c r="M52" s="435"/>
      <c r="N52" s="435"/>
      <c r="O52" s="435"/>
    </row>
    <row r="53" spans="1:15" s="68" customFormat="1" ht="15" customHeight="1">
      <c r="A53" s="438" t="s">
        <v>707</v>
      </c>
      <c r="B53" s="438" t="s">
        <v>3</v>
      </c>
      <c r="C53" s="550"/>
      <c r="D53" s="479">
        <f>Results!D17</f>
        <v>0.67400654877907562</v>
      </c>
      <c r="E53" s="479">
        <f>Results!E17</f>
        <v>0.6817985822175</v>
      </c>
      <c r="F53" s="479">
        <f>Results!F17</f>
        <v>0</v>
      </c>
      <c r="G53" s="479">
        <f>Results!G17</f>
        <v>0</v>
      </c>
      <c r="H53" s="479">
        <f>Results!H17</f>
        <v>0</v>
      </c>
      <c r="I53" s="435"/>
      <c r="J53" s="435"/>
      <c r="K53" s="435"/>
      <c r="L53" s="435"/>
      <c r="M53" s="435"/>
      <c r="N53" s="435"/>
      <c r="O53" s="435"/>
    </row>
    <row r="54" spans="1:15" s="68" customFormat="1" ht="15" customHeight="1">
      <c r="A54" s="438" t="s">
        <v>819</v>
      </c>
      <c r="B54" s="438" t="s">
        <v>23</v>
      </c>
      <c r="C54" s="550"/>
      <c r="D54" s="438">
        <f>Results!D18</f>
        <v>2.0326101203999998</v>
      </c>
      <c r="E54" s="438">
        <f>Results!E18</f>
        <v>2.0583</v>
      </c>
      <c r="F54" s="438">
        <f>Results!F18</f>
        <v>0</v>
      </c>
      <c r="G54" s="438">
        <f>Results!G18</f>
        <v>0</v>
      </c>
      <c r="H54" s="438">
        <f>Results!H18</f>
        <v>0</v>
      </c>
      <c r="I54" s="435"/>
      <c r="J54" s="435"/>
      <c r="K54" s="435"/>
      <c r="L54" s="435"/>
      <c r="M54" s="435"/>
      <c r="N54" s="435"/>
      <c r="O54" s="435"/>
    </row>
    <row r="55" spans="1:15" s="68" customFormat="1" ht="15" customHeight="1">
      <c r="A55" s="429"/>
      <c r="B55" s="438"/>
      <c r="C55" s="550"/>
      <c r="D55" s="480"/>
      <c r="E55" s="480"/>
      <c r="F55" s="480"/>
      <c r="G55" s="480"/>
      <c r="H55" s="480"/>
      <c r="I55" s="435"/>
      <c r="J55" s="435"/>
      <c r="K55" s="435"/>
      <c r="L55" s="435"/>
      <c r="M55" s="435"/>
      <c r="N55" s="435"/>
      <c r="O55" s="435"/>
    </row>
    <row r="56" spans="1:15" s="68" customFormat="1" ht="15" customHeight="1">
      <c r="A56" s="438" t="s">
        <v>1035</v>
      </c>
      <c r="B56" s="429" t="s">
        <v>745</v>
      </c>
      <c r="C56" s="550"/>
      <c r="D56" s="480">
        <f>Results!D775</f>
        <v>924.60317093180049</v>
      </c>
      <c r="E56" s="480">
        <f>Results!E775</f>
        <v>1495.8901009525378</v>
      </c>
      <c r="F56" s="480">
        <f>Results!F775</f>
        <v>0</v>
      </c>
      <c r="G56" s="480">
        <f>Results!G775</f>
        <v>0</v>
      </c>
      <c r="H56" s="480">
        <f>Results!H775</f>
        <v>0</v>
      </c>
      <c r="I56" s="435"/>
      <c r="J56" s="435"/>
      <c r="K56" s="435"/>
      <c r="L56" s="435"/>
      <c r="M56" s="435"/>
      <c r="N56" s="435"/>
      <c r="O56" s="435"/>
    </row>
    <row r="57" spans="1:15" s="68" customFormat="1" ht="15" customHeight="1">
      <c r="A57" s="438" t="s">
        <v>1036</v>
      </c>
      <c r="B57" s="429" t="s">
        <v>745</v>
      </c>
      <c r="C57" s="550"/>
      <c r="D57" s="480">
        <f>Results!D763</f>
        <v>874.35408543725964</v>
      </c>
      <c r="E57" s="480">
        <f>Results!E763</f>
        <v>1340.1706650200231</v>
      </c>
      <c r="F57" s="480">
        <f>Results!F763</f>
        <v>0</v>
      </c>
      <c r="G57" s="480">
        <f>Results!G763</f>
        <v>0</v>
      </c>
      <c r="H57" s="480">
        <f>Results!H763</f>
        <v>0</v>
      </c>
      <c r="I57" s="435"/>
      <c r="J57" s="435"/>
      <c r="K57" s="435"/>
      <c r="L57" s="435"/>
      <c r="M57" s="435"/>
      <c r="N57" s="435"/>
      <c r="O57" s="435"/>
    </row>
    <row r="58" spans="1:15" s="68" customFormat="1" ht="15" customHeight="1">
      <c r="A58" s="438" t="s">
        <v>597</v>
      </c>
      <c r="B58" s="429" t="s">
        <v>745</v>
      </c>
      <c r="C58" s="550"/>
      <c r="D58" s="480">
        <f>Results!D776</f>
        <v>50.24908549454085</v>
      </c>
      <c r="E58" s="480">
        <f>Results!E776</f>
        <v>155.71943593251467</v>
      </c>
      <c r="F58" s="480">
        <f>Results!F776</f>
        <v>0</v>
      </c>
      <c r="G58" s="480">
        <f>Results!G776</f>
        <v>0</v>
      </c>
      <c r="H58" s="480">
        <f>Results!H776</f>
        <v>0</v>
      </c>
      <c r="I58" s="435"/>
      <c r="J58" s="435"/>
      <c r="K58" s="435"/>
      <c r="L58" s="435"/>
      <c r="M58" s="435"/>
      <c r="N58" s="435"/>
      <c r="O58" s="435"/>
    </row>
    <row r="59" spans="1:15" s="68" customFormat="1" ht="15" customHeight="1">
      <c r="C59" s="550"/>
      <c r="I59" s="435"/>
      <c r="J59" s="435"/>
      <c r="K59" s="435"/>
      <c r="L59" s="435"/>
      <c r="M59" s="435"/>
      <c r="N59" s="435"/>
      <c r="O59" s="435"/>
    </row>
    <row r="60" spans="1:15" s="68" customFormat="1">
      <c r="A60" s="438" t="s">
        <v>1033</v>
      </c>
      <c r="B60" s="559">
        <v>2</v>
      </c>
      <c r="C60" s="550"/>
      <c r="I60" s="435"/>
      <c r="J60" s="435"/>
      <c r="K60" s="435"/>
      <c r="L60" s="435"/>
      <c r="M60" s="435"/>
      <c r="N60" s="435"/>
      <c r="O60" s="435"/>
    </row>
    <row r="61" spans="1:15" s="68" customFormat="1" ht="15" customHeight="1">
      <c r="A61" s="435"/>
      <c r="B61" s="435"/>
      <c r="C61" s="552"/>
      <c r="D61" s="435"/>
      <c r="E61" s="435"/>
      <c r="F61" s="435"/>
      <c r="G61" s="435"/>
      <c r="H61" s="435"/>
      <c r="I61" s="435"/>
      <c r="J61" s="435"/>
      <c r="K61" s="435"/>
      <c r="L61" s="435"/>
      <c r="M61" s="435"/>
      <c r="N61" s="435"/>
      <c r="O61" s="435"/>
    </row>
    <row r="62" spans="1:15" s="68" customFormat="1" ht="15" customHeight="1">
      <c r="A62" s="435"/>
      <c r="B62" s="435"/>
      <c r="C62" s="552"/>
      <c r="D62" s="435"/>
      <c r="E62" s="435"/>
      <c r="F62" s="435"/>
      <c r="G62" s="435"/>
      <c r="H62" s="435"/>
      <c r="I62" s="435"/>
      <c r="J62" s="435"/>
      <c r="K62" s="435"/>
      <c r="L62" s="435"/>
      <c r="M62" s="435"/>
      <c r="N62" s="435"/>
      <c r="O62" s="435"/>
    </row>
    <row r="63" spans="1:15" s="68" customFormat="1" ht="15" customHeight="1">
      <c r="A63" s="435"/>
      <c r="B63" s="435"/>
      <c r="C63" s="552"/>
      <c r="D63" s="435"/>
      <c r="E63" s="435"/>
      <c r="F63" s="435"/>
      <c r="G63" s="435"/>
      <c r="H63" s="435"/>
      <c r="I63" s="435"/>
      <c r="J63" s="435"/>
      <c r="K63" s="435"/>
      <c r="L63" s="435"/>
      <c r="M63" s="435"/>
      <c r="N63" s="435"/>
      <c r="O63" s="435"/>
    </row>
    <row r="64" spans="1:15" s="68" customFormat="1" ht="15" customHeight="1">
      <c r="A64" s="435"/>
      <c r="B64" s="435"/>
      <c r="C64" s="552"/>
      <c r="D64" s="435"/>
      <c r="E64" s="435"/>
      <c r="F64" s="435"/>
      <c r="G64" s="435"/>
      <c r="H64" s="435"/>
      <c r="I64" s="435"/>
      <c r="J64" s="435"/>
      <c r="K64" s="435"/>
      <c r="L64" s="435"/>
      <c r="M64" s="435"/>
      <c r="N64" s="435"/>
      <c r="O64" s="435"/>
    </row>
  </sheetData>
  <conditionalFormatting sqref="D44:D46 B44:B45">
    <cfRule type="cellIs" dxfId="62" priority="3928" operator="equal">
      <formula>#REF!</formula>
    </cfRule>
    <cfRule type="cellIs" dxfId="61" priority="3929" operator="equal">
      <formula>#REF!</formula>
    </cfRule>
    <cfRule type="cellIs" dxfId="60" priority="3930" operator="equal">
      <formula>#REF!</formula>
    </cfRule>
  </conditionalFormatting>
  <conditionalFormatting sqref="D44:D46 B44:C45">
    <cfRule type="cellIs" dxfId="59" priority="3904" operator="equal">
      <formula>"OFF"</formula>
    </cfRule>
    <cfRule type="cellIs" dxfId="58" priority="3905" operator="equal">
      <formula>"ON/OFF"</formula>
    </cfRule>
    <cfRule type="cellIs" dxfId="57" priority="3906" operator="equal">
      <formula>"ON"</formula>
    </cfRule>
  </conditionalFormatting>
  <conditionalFormatting sqref="D44:D46 B44:C45">
    <cfRule type="cellIs" dxfId="56" priority="3901" operator="equal">
      <formula>#REF!</formula>
    </cfRule>
    <cfRule type="cellIs" dxfId="55" priority="3902" operator="equal">
      <formula>#REF!</formula>
    </cfRule>
    <cfRule type="cellIs" dxfId="54" priority="3903" operator="equal">
      <formula>#REF!</formula>
    </cfRule>
  </conditionalFormatting>
  <conditionalFormatting sqref="D8:H23">
    <cfRule type="cellIs" dxfId="53" priority="346" operator="equal">
      <formula>"OFF"</formula>
    </cfRule>
    <cfRule type="cellIs" dxfId="52" priority="347" operator="equal">
      <formula>"ON/OFF"</formula>
    </cfRule>
    <cfRule type="cellIs" dxfId="51" priority="348" operator="equal">
      <formula>"ON"</formula>
    </cfRule>
  </conditionalFormatting>
  <conditionalFormatting sqref="D8:H23">
    <cfRule type="cellIs" dxfId="50" priority="349" operator="equal">
      <formula>#REF!</formula>
    </cfRule>
    <cfRule type="cellIs" dxfId="49" priority="350" operator="equal">
      <formula>#REF!</formula>
    </cfRule>
    <cfRule type="cellIs" dxfId="48" priority="351" operator="equal">
      <formula>#REF!</formula>
    </cfRule>
  </conditionalFormatting>
  <conditionalFormatting sqref="D8:H23">
    <cfRule type="cellIs" dxfId="47" priority="343" operator="equal">
      <formula>#REF!</formula>
    </cfRule>
    <cfRule type="cellIs" dxfId="46" priority="344" operator="equal">
      <formula>#REF!</formula>
    </cfRule>
    <cfRule type="cellIs" dxfId="45" priority="345" operator="equal">
      <formula>#REF!</formula>
    </cfRule>
  </conditionalFormatting>
  <conditionalFormatting sqref="C8:C23">
    <cfRule type="cellIs" dxfId="44" priority="31" operator="equal">
      <formula>"OFF"</formula>
    </cfRule>
    <cfRule type="cellIs" dxfId="43" priority="32" operator="equal">
      <formula>"ON/OFF"</formula>
    </cfRule>
    <cfRule type="cellIs" dxfId="42" priority="33" operator="equal">
      <formula>"ON"</formula>
    </cfRule>
  </conditionalFormatting>
  <conditionalFormatting sqref="C8:C23">
    <cfRule type="cellIs" dxfId="41" priority="34" operator="equal">
      <formula>#REF!</formula>
    </cfRule>
    <cfRule type="cellIs" dxfId="40" priority="35" operator="equal">
      <formula>#REF!</formula>
    </cfRule>
    <cfRule type="cellIs" dxfId="39" priority="36" operator="equal">
      <formula>#REF!</formula>
    </cfRule>
  </conditionalFormatting>
  <conditionalFormatting sqref="C8:C23">
    <cfRule type="cellIs" dxfId="38" priority="28" operator="equal">
      <formula>#REF!</formula>
    </cfRule>
    <cfRule type="cellIs" dxfId="37" priority="29" operator="equal">
      <formula>#REF!</formula>
    </cfRule>
    <cfRule type="cellIs" dxfId="36" priority="30" operator="equal">
      <formula>#REF!</formula>
    </cfRule>
  </conditionalFormatting>
  <conditionalFormatting sqref="D48">
    <cfRule type="cellIs" dxfId="35" priority="16" operator="equal">
      <formula>#REF!</formula>
    </cfRule>
    <cfRule type="cellIs" dxfId="34" priority="17" operator="equal">
      <formula>#REF!</formula>
    </cfRule>
    <cfRule type="cellIs" dxfId="33" priority="18" operator="equal">
      <formula>#REF!</formula>
    </cfRule>
  </conditionalFormatting>
  <conditionalFormatting sqref="D48">
    <cfRule type="cellIs" dxfId="32" priority="13" operator="equal">
      <formula>"OFF"</formula>
    </cfRule>
    <cfRule type="cellIs" dxfId="31" priority="14" operator="equal">
      <formula>"ON/OFF"</formula>
    </cfRule>
    <cfRule type="cellIs" dxfId="30" priority="15" operator="equal">
      <formula>"ON"</formula>
    </cfRule>
  </conditionalFormatting>
  <conditionalFormatting sqref="D48">
    <cfRule type="cellIs" dxfId="29" priority="10" operator="equal">
      <formula>#REF!</formula>
    </cfRule>
    <cfRule type="cellIs" dxfId="28" priority="11" operator="equal">
      <formula>#REF!</formula>
    </cfRule>
    <cfRule type="cellIs" dxfId="27" priority="12" operator="equal">
      <formula>#REF!</formula>
    </cfRule>
  </conditionalFormatting>
  <dataValidations count="10">
    <dataValidation type="list" allowBlank="1" showInputMessage="1" showErrorMessage="1" sqref="C4" xr:uid="{00000000-0002-0000-0100-000000000000}">
      <formula1>"Microsoft Excel Solver, Open Solver"</formula1>
    </dataValidation>
    <dataValidation type="list" allowBlank="1" showInputMessage="1" showErrorMessage="1" sqref="H21:H22 H8:H19 D8:G22" xr:uid="{00000000-0002-0000-0100-000001000000}">
      <formula1>"ON, ON/OFF, OFF"</formula1>
    </dataValidation>
    <dataValidation type="list" allowBlank="1" showInputMessage="1" showErrorMessage="1" sqref="C6" xr:uid="{00000000-0002-0000-0100-000002000000}">
      <formula1>"Yes, No"</formula1>
    </dataValidation>
    <dataValidation type="list" allowBlank="1" showInputMessage="1" showErrorMessage="1" sqref="D24:H24 D26:H26" xr:uid="{00000000-0002-0000-0100-000003000000}">
      <formula1>$I$549:$I$554</formula1>
    </dataValidation>
    <dataValidation type="list" allowBlank="1" showInputMessage="1" showErrorMessage="1" sqref="D23:H23 H20" xr:uid="{00000000-0002-0000-0100-000004000000}">
      <formula1>"ON, OFF"</formula1>
    </dataValidation>
    <dataValidation type="list" allowBlank="1" showInputMessage="1" showErrorMessage="1" sqref="F4" xr:uid="{00000000-0002-0000-0100-000005000000}">
      <formula1>"Willans Line, Data, User Defined"</formula1>
    </dataValidation>
    <dataValidation type="list" allowBlank="1" showInputMessage="1" showErrorMessage="1" sqref="F5:F6" xr:uid="{00000000-0002-0000-0100-000006000000}">
      <formula1>"Variable, Constant"</formula1>
    </dataValidation>
    <dataValidation type="list" allowBlank="1" showInputMessage="1" showErrorMessage="1" sqref="B44:C45 D44:D46" xr:uid="{00000000-0002-0000-0100-000007000000}">
      <formula1>"IMP, EXP/IMP, EXP"</formula1>
    </dataValidation>
    <dataValidation type="list" allowBlank="1" showInputMessage="1" showErrorMessage="1" sqref="K2:K6" xr:uid="{00000000-0002-0000-0100-000008000000}">
      <formula1>$D$1:$H$1</formula1>
    </dataValidation>
    <dataValidation type="whole" allowBlank="1" showInputMessage="1" showErrorMessage="1" sqref="B60" xr:uid="{00000000-0002-0000-0100-000009000000}">
      <formula1>0</formula1>
      <formula2>100</formula2>
    </dataValidation>
  </dataValidations>
  <hyperlinks>
    <hyperlink ref="G6" location="BC.cSFEffy" display="Assumption" xr:uid="{00000000-0004-0000-0100-000000000000}"/>
    <hyperlink ref="G5" location="BC.CMPEffy" display="Assumption" xr:uid="{00000000-0004-0000-0100-000001000000}"/>
  </hyperlinks>
  <pageMargins left="0.70866141732283505" right="0.70866141732283505" top="0.74803149606299202" bottom="0.74803149606299202" header="0.31496062992126" footer="0.31496062992126"/>
  <pageSetup paperSize="9" scale="46"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01" r:id="rId4" name="Button 5">
              <controlPr defaultSize="0" print="0" autoFill="0" autoPict="0" macro="[0]!Operator">
                <anchor moveWithCells="1" sizeWithCells="1">
                  <from>
                    <xdr:col>0</xdr:col>
                    <xdr:colOff>0</xdr:colOff>
                    <xdr:row>43</xdr:row>
                    <xdr:rowOff>25400</xdr:rowOff>
                  </from>
                  <to>
                    <xdr:col>8</xdr:col>
                    <xdr:colOff>0</xdr:colOff>
                    <xdr:row>45</xdr:row>
                    <xdr:rowOff>0</xdr:rowOff>
                  </to>
                </anchor>
              </controlPr>
            </control>
          </mc:Choice>
        </mc:AlternateContent>
        <mc:AlternateContent xmlns:mc="http://schemas.openxmlformats.org/markup-compatibility/2006">
          <mc:Choice Requires="x14">
            <control shapeId="4103" r:id="rId5" name="Button 7">
              <controlPr defaultSize="0" print="0" autoFill="0" autoPict="0" macro="[0]!displaycase">
                <anchor moveWithCells="1" sizeWithCells="1">
                  <from>
                    <xdr:col>2</xdr:col>
                    <xdr:colOff>304800</xdr:colOff>
                    <xdr:row>58</xdr:row>
                    <xdr:rowOff>165100</xdr:rowOff>
                  </from>
                  <to>
                    <xdr:col>3</xdr:col>
                    <xdr:colOff>25400</xdr:colOff>
                    <xdr:row>61</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A000000}">
          <x14:formula1>
            <xm:f>Assets!$I$727:$I$732</xm:f>
          </x14:formula1>
          <xm:sqref>C24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pageSetUpPr autoPageBreaks="0"/>
  </sheetPr>
  <dimension ref="A1:AX821"/>
  <sheetViews>
    <sheetView zoomScale="70" zoomScaleNormal="70" workbookViewId="0">
      <pane ySplit="1" topLeftCell="A2" activePane="bottomLeft" state="frozen"/>
      <selection pane="bottomLeft" activeCell="G47" sqref="G47"/>
    </sheetView>
  </sheetViews>
  <sheetFormatPr baseColWidth="10" defaultColWidth="14.6640625" defaultRowHeight="17.25" customHeight="1"/>
  <cols>
    <col min="1" max="1" width="61.1640625" style="128" customWidth="1"/>
    <col min="2" max="2" width="14.6640625" style="128"/>
    <col min="3" max="4" width="14.6640625" style="128" customWidth="1"/>
    <col min="5" max="16384" width="14.6640625" style="128"/>
  </cols>
  <sheetData>
    <row r="1" spans="1:50" ht="17.25" customHeight="1" thickBot="1">
      <c r="A1" s="376" t="s">
        <v>611</v>
      </c>
    </row>
    <row r="2" spans="1:50" ht="17.25" customHeight="1" thickTop="1">
      <c r="A2" s="92"/>
      <c r="B2" s="222"/>
      <c r="C2" s="222"/>
      <c r="D2" s="222"/>
      <c r="E2" s="222"/>
      <c r="F2" s="222"/>
      <c r="G2" s="222"/>
      <c r="H2" s="222"/>
      <c r="I2" s="222"/>
      <c r="J2" s="222"/>
      <c r="K2" s="222"/>
      <c r="L2" s="222"/>
      <c r="M2" s="222"/>
      <c r="N2" s="222"/>
      <c r="O2" s="222"/>
      <c r="P2" s="222"/>
      <c r="Q2" s="222"/>
      <c r="R2" s="222"/>
      <c r="S2" s="222"/>
      <c r="T2" s="222"/>
      <c r="U2" s="222"/>
      <c r="V2" s="222"/>
      <c r="W2" s="222"/>
      <c r="X2" s="222"/>
      <c r="Y2" s="222"/>
      <c r="Z2" s="222"/>
      <c r="AA2" s="222"/>
      <c r="AB2" s="222"/>
      <c r="AC2" s="222"/>
      <c r="AD2" s="222"/>
      <c r="AE2" s="222"/>
      <c r="AF2" s="222"/>
      <c r="AG2" s="222"/>
      <c r="AH2" s="222"/>
      <c r="AI2" s="222"/>
      <c r="AJ2" s="222"/>
      <c r="AK2" s="222"/>
      <c r="AL2" s="222"/>
      <c r="AM2" s="222"/>
      <c r="AN2" s="222"/>
      <c r="AO2" s="222"/>
      <c r="AP2" s="222"/>
      <c r="AQ2" s="222"/>
      <c r="AR2" s="222"/>
      <c r="AS2" s="222"/>
      <c r="AT2" s="222"/>
      <c r="AU2" s="222"/>
      <c r="AV2" s="222"/>
      <c r="AW2" s="222"/>
      <c r="AX2" s="222"/>
    </row>
    <row r="3" spans="1:50" s="533" customFormat="1" ht="17.25" customHeight="1" thickBot="1">
      <c r="A3" s="533" t="s">
        <v>607</v>
      </c>
    </row>
    <row r="4" spans="1:50" s="260" customFormat="1" ht="17.25" customHeight="1" thickTop="1"/>
    <row r="5" spans="1:50" s="260" customFormat="1" ht="17.25" customHeight="1">
      <c r="A5" s="260" t="s">
        <v>990</v>
      </c>
    </row>
    <row r="6" spans="1:50" s="260" customFormat="1" ht="17.25" customHeight="1"/>
    <row r="7" spans="1:50" s="260" customFormat="1" ht="17.25" customHeight="1">
      <c r="A7" s="529" t="s">
        <v>994</v>
      </c>
      <c r="C7" s="39" t="s">
        <v>267</v>
      </c>
      <c r="D7" s="39" t="s">
        <v>267</v>
      </c>
      <c r="E7" s="39" t="s">
        <v>267</v>
      </c>
      <c r="F7" s="39" t="s">
        <v>267</v>
      </c>
      <c r="G7" s="39" t="s">
        <v>267</v>
      </c>
      <c r="H7" s="39" t="s">
        <v>267</v>
      </c>
      <c r="I7" s="39" t="s">
        <v>267</v>
      </c>
      <c r="J7" s="39" t="s">
        <v>267</v>
      </c>
      <c r="K7" s="39" t="s">
        <v>267</v>
      </c>
      <c r="L7" s="39" t="s">
        <v>267</v>
      </c>
      <c r="M7" s="39" t="s">
        <v>267</v>
      </c>
      <c r="N7" s="39" t="s">
        <v>267</v>
      </c>
      <c r="O7" s="39" t="s">
        <v>267</v>
      </c>
      <c r="P7" s="39" t="s">
        <v>267</v>
      </c>
      <c r="Q7" s="39" t="s">
        <v>267</v>
      </c>
      <c r="R7" s="39" t="s">
        <v>267</v>
      </c>
      <c r="S7" s="39" t="s">
        <v>267</v>
      </c>
      <c r="T7" s="39" t="s">
        <v>267</v>
      </c>
      <c r="U7" s="39" t="s">
        <v>267</v>
      </c>
      <c r="V7" s="39" t="s">
        <v>267</v>
      </c>
      <c r="W7" s="39" t="s">
        <v>267</v>
      </c>
      <c r="X7" s="39" t="s">
        <v>267</v>
      </c>
      <c r="Y7" s="39" t="s">
        <v>267</v>
      </c>
      <c r="Z7" s="39" t="s">
        <v>267</v>
      </c>
      <c r="AA7" s="39" t="s">
        <v>267</v>
      </c>
      <c r="AB7" s="39" t="s">
        <v>267</v>
      </c>
      <c r="AC7" s="39" t="s">
        <v>267</v>
      </c>
      <c r="AD7" s="39" t="s">
        <v>267</v>
      </c>
      <c r="AE7" s="39" t="s">
        <v>267</v>
      </c>
      <c r="AF7" s="39" t="s">
        <v>267</v>
      </c>
      <c r="AG7" s="39" t="s">
        <v>267</v>
      </c>
      <c r="AH7" s="39" t="s">
        <v>267</v>
      </c>
      <c r="AI7" s="39" t="s">
        <v>267</v>
      </c>
      <c r="AJ7" s="39" t="s">
        <v>267</v>
      </c>
      <c r="AK7" s="39" t="s">
        <v>267</v>
      </c>
      <c r="AL7" s="39" t="s">
        <v>267</v>
      </c>
      <c r="AM7" s="39" t="s">
        <v>267</v>
      </c>
      <c r="AN7" s="39" t="s">
        <v>267</v>
      </c>
      <c r="AO7" s="39" t="s">
        <v>267</v>
      </c>
      <c r="AP7" s="39" t="s">
        <v>267</v>
      </c>
      <c r="AQ7" s="39" t="s">
        <v>267</v>
      </c>
      <c r="AR7" s="39" t="s">
        <v>267</v>
      </c>
      <c r="AS7" s="39" t="s">
        <v>267</v>
      </c>
      <c r="AT7" s="39" t="s">
        <v>267</v>
      </c>
      <c r="AU7" s="39" t="s">
        <v>267</v>
      </c>
      <c r="AV7" s="39" t="s">
        <v>267</v>
      </c>
      <c r="AW7" s="39" t="s">
        <v>267</v>
      </c>
      <c r="AX7" s="39" t="s">
        <v>267</v>
      </c>
    </row>
    <row r="8" spans="1:50" s="260" customFormat="1" ht="17.25" customHeight="1">
      <c r="A8" s="260" t="s">
        <v>268</v>
      </c>
      <c r="C8" s="219">
        <v>100</v>
      </c>
      <c r="D8" s="219">
        <v>90</v>
      </c>
      <c r="E8" s="219">
        <v>80</v>
      </c>
      <c r="F8" s="219">
        <v>70</v>
      </c>
      <c r="G8" s="219">
        <v>60</v>
      </c>
      <c r="H8" s="219">
        <v>50</v>
      </c>
      <c r="I8" s="219">
        <v>100</v>
      </c>
      <c r="J8" s="219">
        <v>90</v>
      </c>
      <c r="K8" s="219">
        <v>80</v>
      </c>
      <c r="L8" s="219">
        <v>70</v>
      </c>
      <c r="M8" s="219">
        <v>60</v>
      </c>
      <c r="N8" s="219">
        <v>50</v>
      </c>
      <c r="O8" s="219">
        <v>100</v>
      </c>
      <c r="P8" s="219">
        <v>90</v>
      </c>
      <c r="Q8" s="219">
        <v>80</v>
      </c>
      <c r="R8" s="219">
        <v>70</v>
      </c>
      <c r="S8" s="219">
        <v>60</v>
      </c>
      <c r="T8" s="219">
        <v>50</v>
      </c>
      <c r="U8" s="219">
        <v>100</v>
      </c>
      <c r="V8" s="219">
        <v>90</v>
      </c>
      <c r="W8" s="219">
        <v>80</v>
      </c>
      <c r="X8" s="219">
        <v>70</v>
      </c>
      <c r="Y8" s="219">
        <v>60</v>
      </c>
      <c r="Z8" s="219">
        <v>50</v>
      </c>
      <c r="AA8" s="219">
        <v>100</v>
      </c>
      <c r="AB8" s="219">
        <v>90</v>
      </c>
      <c r="AC8" s="219">
        <v>80</v>
      </c>
      <c r="AD8" s="219">
        <v>70</v>
      </c>
      <c r="AE8" s="219">
        <v>60</v>
      </c>
      <c r="AF8" s="219">
        <v>50</v>
      </c>
      <c r="AG8" s="219">
        <v>100</v>
      </c>
      <c r="AH8" s="219">
        <v>90</v>
      </c>
      <c r="AI8" s="219">
        <v>80</v>
      </c>
      <c r="AJ8" s="219">
        <v>70</v>
      </c>
      <c r="AK8" s="219">
        <v>60</v>
      </c>
      <c r="AL8" s="219">
        <v>50</v>
      </c>
      <c r="AM8" s="219">
        <v>100</v>
      </c>
      <c r="AN8" s="219">
        <v>90</v>
      </c>
      <c r="AO8" s="219">
        <v>80</v>
      </c>
      <c r="AP8" s="219">
        <v>70</v>
      </c>
      <c r="AQ8" s="219">
        <v>60</v>
      </c>
      <c r="AR8" s="219">
        <v>50</v>
      </c>
      <c r="AS8" s="219">
        <v>100</v>
      </c>
      <c r="AT8" s="219">
        <v>90</v>
      </c>
      <c r="AU8" s="219">
        <v>80</v>
      </c>
      <c r="AV8" s="219">
        <v>70</v>
      </c>
      <c r="AW8" s="219">
        <v>60</v>
      </c>
      <c r="AX8" s="219">
        <v>50</v>
      </c>
    </row>
    <row r="9" spans="1:50" s="260" customFormat="1" ht="17.25" customHeight="1">
      <c r="A9" s="260" t="s">
        <v>133</v>
      </c>
      <c r="B9" s="260" t="s">
        <v>18</v>
      </c>
      <c r="C9" s="219">
        <v>25</v>
      </c>
      <c r="D9" s="219">
        <v>25</v>
      </c>
      <c r="E9" s="219">
        <v>25</v>
      </c>
      <c r="F9" s="219">
        <v>25</v>
      </c>
      <c r="G9" s="219">
        <v>25</v>
      </c>
      <c r="H9" s="219">
        <v>25</v>
      </c>
      <c r="I9" s="219">
        <v>20</v>
      </c>
      <c r="J9" s="219">
        <v>20</v>
      </c>
      <c r="K9" s="219">
        <v>20</v>
      </c>
      <c r="L9" s="219">
        <v>20</v>
      </c>
      <c r="M9" s="219">
        <v>20</v>
      </c>
      <c r="N9" s="219">
        <v>20</v>
      </c>
      <c r="O9" s="219">
        <v>15</v>
      </c>
      <c r="P9" s="219">
        <v>15</v>
      </c>
      <c r="Q9" s="219">
        <v>15</v>
      </c>
      <c r="R9" s="219">
        <v>15</v>
      </c>
      <c r="S9" s="219">
        <v>15</v>
      </c>
      <c r="T9" s="219">
        <v>15</v>
      </c>
      <c r="U9" s="219">
        <v>10</v>
      </c>
      <c r="V9" s="219">
        <v>10</v>
      </c>
      <c r="W9" s="219">
        <v>10</v>
      </c>
      <c r="X9" s="219">
        <v>10</v>
      </c>
      <c r="Y9" s="219">
        <v>10</v>
      </c>
      <c r="Z9" s="219">
        <v>10</v>
      </c>
      <c r="AA9" s="219">
        <v>5</v>
      </c>
      <c r="AB9" s="219">
        <v>5</v>
      </c>
      <c r="AC9" s="219">
        <v>5</v>
      </c>
      <c r="AD9" s="219">
        <v>5</v>
      </c>
      <c r="AE9" s="219">
        <v>5</v>
      </c>
      <c r="AF9" s="219">
        <v>5</v>
      </c>
      <c r="AG9" s="219">
        <v>0</v>
      </c>
      <c r="AH9" s="219">
        <v>0</v>
      </c>
      <c r="AI9" s="219">
        <v>0</v>
      </c>
      <c r="AJ9" s="219">
        <v>0</v>
      </c>
      <c r="AK9" s="219">
        <v>0</v>
      </c>
      <c r="AL9" s="219">
        <v>0</v>
      </c>
      <c r="AM9" s="219">
        <v>-5</v>
      </c>
      <c r="AN9" s="219">
        <v>-5</v>
      </c>
      <c r="AO9" s="219">
        <v>-5</v>
      </c>
      <c r="AP9" s="219">
        <v>-5</v>
      </c>
      <c r="AQ9" s="219">
        <v>-5</v>
      </c>
      <c r="AR9" s="219">
        <v>-5</v>
      </c>
      <c r="AS9" s="219">
        <v>-10</v>
      </c>
      <c r="AT9" s="219">
        <v>-10</v>
      </c>
      <c r="AU9" s="219">
        <v>-10</v>
      </c>
      <c r="AV9" s="219">
        <v>-10</v>
      </c>
      <c r="AW9" s="219">
        <v>-10</v>
      </c>
      <c r="AX9" s="219">
        <v>-10</v>
      </c>
    </row>
    <row r="10" spans="1:50" s="260" customFormat="1" ht="17.25" customHeight="1">
      <c r="A10" s="260" t="s">
        <v>852</v>
      </c>
      <c r="B10" s="260" t="s">
        <v>8</v>
      </c>
      <c r="C10" s="219">
        <v>0</v>
      </c>
      <c r="D10" s="219">
        <v>0</v>
      </c>
      <c r="E10" s="219">
        <v>0</v>
      </c>
      <c r="F10" s="219">
        <v>0</v>
      </c>
      <c r="G10" s="219">
        <v>0</v>
      </c>
      <c r="H10" s="219">
        <v>0</v>
      </c>
      <c r="I10" s="219">
        <v>0</v>
      </c>
      <c r="J10" s="219">
        <v>0</v>
      </c>
      <c r="K10" s="219">
        <v>0</v>
      </c>
      <c r="L10" s="219">
        <v>0</v>
      </c>
      <c r="M10" s="219">
        <v>0</v>
      </c>
      <c r="N10" s="219">
        <v>0</v>
      </c>
      <c r="O10" s="219">
        <v>0</v>
      </c>
      <c r="P10" s="219">
        <v>0</v>
      </c>
      <c r="Q10" s="219">
        <v>0</v>
      </c>
      <c r="R10" s="219">
        <v>0</v>
      </c>
      <c r="S10" s="219">
        <v>0</v>
      </c>
      <c r="T10" s="219">
        <v>0</v>
      </c>
      <c r="U10" s="219">
        <v>0</v>
      </c>
      <c r="V10" s="219">
        <v>0</v>
      </c>
      <c r="W10" s="219">
        <v>0</v>
      </c>
      <c r="X10" s="219">
        <v>0</v>
      </c>
      <c r="Y10" s="219">
        <v>0</v>
      </c>
      <c r="Z10" s="219">
        <v>0</v>
      </c>
      <c r="AA10" s="219">
        <v>0</v>
      </c>
      <c r="AB10" s="219">
        <v>0</v>
      </c>
      <c r="AC10" s="219">
        <v>0</v>
      </c>
      <c r="AD10" s="219">
        <v>0</v>
      </c>
      <c r="AE10" s="219">
        <v>0</v>
      </c>
      <c r="AF10" s="219">
        <v>0</v>
      </c>
      <c r="AG10" s="219">
        <v>0</v>
      </c>
      <c r="AH10" s="219">
        <v>0</v>
      </c>
      <c r="AI10" s="219">
        <v>0</v>
      </c>
      <c r="AJ10" s="219">
        <v>0</v>
      </c>
      <c r="AK10" s="219">
        <v>0</v>
      </c>
      <c r="AL10" s="219">
        <v>0</v>
      </c>
      <c r="AM10" s="219">
        <v>0</v>
      </c>
      <c r="AN10" s="219">
        <v>0</v>
      </c>
      <c r="AO10" s="219">
        <v>0</v>
      </c>
      <c r="AP10" s="219">
        <v>0</v>
      </c>
      <c r="AQ10" s="219">
        <v>0</v>
      </c>
      <c r="AR10" s="219">
        <v>0</v>
      </c>
      <c r="AS10" s="219">
        <v>0</v>
      </c>
      <c r="AT10" s="219">
        <v>0</v>
      </c>
      <c r="AU10" s="219">
        <v>0</v>
      </c>
      <c r="AV10" s="219">
        <v>0</v>
      </c>
      <c r="AW10" s="219">
        <v>0</v>
      </c>
      <c r="AX10" s="219">
        <v>0</v>
      </c>
    </row>
    <row r="11" spans="1:50" s="260" customFormat="1" ht="17.25" customHeight="1">
      <c r="A11" s="260" t="s">
        <v>853</v>
      </c>
      <c r="B11" s="260" t="s">
        <v>273</v>
      </c>
      <c r="C11" s="219">
        <v>1</v>
      </c>
      <c r="D11" s="219">
        <v>1</v>
      </c>
      <c r="E11" s="219">
        <v>1</v>
      </c>
      <c r="F11" s="219">
        <v>1</v>
      </c>
      <c r="G11" s="219">
        <v>1</v>
      </c>
      <c r="H11" s="219">
        <v>1</v>
      </c>
      <c r="I11" s="219">
        <v>1</v>
      </c>
      <c r="J11" s="219">
        <v>1</v>
      </c>
      <c r="K11" s="219">
        <v>1</v>
      </c>
      <c r="L11" s="219">
        <v>1</v>
      </c>
      <c r="M11" s="219">
        <v>1</v>
      </c>
      <c r="N11" s="219">
        <v>1</v>
      </c>
      <c r="O11" s="219">
        <v>1</v>
      </c>
      <c r="P11" s="219">
        <v>1</v>
      </c>
      <c r="Q11" s="219">
        <v>1</v>
      </c>
      <c r="R11" s="219">
        <v>1</v>
      </c>
      <c r="S11" s="219">
        <v>1</v>
      </c>
      <c r="T11" s="219">
        <v>1</v>
      </c>
      <c r="U11" s="219">
        <v>1</v>
      </c>
      <c r="V11" s="219">
        <v>1</v>
      </c>
      <c r="W11" s="219">
        <v>1</v>
      </c>
      <c r="X11" s="219">
        <v>1</v>
      </c>
      <c r="Y11" s="219">
        <v>1</v>
      </c>
      <c r="Z11" s="219">
        <v>1</v>
      </c>
      <c r="AA11" s="219">
        <v>1</v>
      </c>
      <c r="AB11" s="219">
        <v>1</v>
      </c>
      <c r="AC11" s="219">
        <v>1</v>
      </c>
      <c r="AD11" s="219">
        <v>1</v>
      </c>
      <c r="AE11" s="219">
        <v>1</v>
      </c>
      <c r="AF11" s="219">
        <v>1</v>
      </c>
      <c r="AG11" s="219">
        <v>1</v>
      </c>
      <c r="AH11" s="219">
        <v>1</v>
      </c>
      <c r="AI11" s="219">
        <v>1</v>
      </c>
      <c r="AJ11" s="219">
        <v>1</v>
      </c>
      <c r="AK11" s="219">
        <v>1</v>
      </c>
      <c r="AL11" s="219">
        <v>1</v>
      </c>
      <c r="AM11" s="219">
        <v>1</v>
      </c>
      <c r="AN11" s="219">
        <v>1</v>
      </c>
      <c r="AO11" s="219">
        <v>1</v>
      </c>
      <c r="AP11" s="219">
        <v>1</v>
      </c>
      <c r="AQ11" s="219">
        <v>1</v>
      </c>
      <c r="AR11" s="219">
        <v>1</v>
      </c>
      <c r="AS11" s="219">
        <v>1</v>
      </c>
      <c r="AT11" s="219">
        <v>1</v>
      </c>
      <c r="AU11" s="219">
        <v>1</v>
      </c>
      <c r="AV11" s="219">
        <v>1</v>
      </c>
      <c r="AW11" s="219">
        <v>1</v>
      </c>
      <c r="AX11" s="219">
        <v>1</v>
      </c>
    </row>
    <row r="12" spans="1:50" s="260" customFormat="1" ht="17.25" customHeight="1">
      <c r="C12" s="219"/>
      <c r="D12" s="219"/>
      <c r="E12" s="219"/>
      <c r="F12" s="219"/>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219"/>
      <c r="AM12" s="219"/>
      <c r="AN12" s="219"/>
      <c r="AO12" s="219"/>
      <c r="AP12" s="219"/>
      <c r="AQ12" s="219"/>
      <c r="AR12" s="219"/>
      <c r="AS12" s="219"/>
      <c r="AT12" s="219"/>
      <c r="AU12" s="219"/>
      <c r="AV12" s="219"/>
      <c r="AW12" s="219"/>
      <c r="AX12" s="219"/>
    </row>
    <row r="13" spans="1:50" s="260" customFormat="1" ht="17.25" customHeight="1">
      <c r="A13" s="529" t="s">
        <v>993</v>
      </c>
      <c r="C13" s="219"/>
      <c r="D13" s="219"/>
      <c r="E13" s="219"/>
      <c r="F13" s="219"/>
      <c r="G13" s="219"/>
      <c r="H13" s="219"/>
      <c r="I13" s="219"/>
      <c r="J13" s="219"/>
      <c r="K13" s="219"/>
      <c r="L13" s="219"/>
      <c r="M13" s="219"/>
      <c r="N13" s="219"/>
      <c r="O13" s="219"/>
      <c r="P13" s="219"/>
      <c r="Q13" s="219"/>
      <c r="R13" s="219"/>
      <c r="S13" s="219"/>
      <c r="T13" s="219"/>
      <c r="U13" s="219"/>
      <c r="V13" s="219"/>
      <c r="W13" s="219"/>
      <c r="X13" s="219"/>
      <c r="Y13" s="219"/>
      <c r="Z13" s="219"/>
      <c r="AA13" s="219"/>
      <c r="AB13" s="219"/>
      <c r="AC13" s="219"/>
      <c r="AD13" s="219"/>
      <c r="AE13" s="219"/>
      <c r="AF13" s="219"/>
      <c r="AG13" s="219"/>
      <c r="AH13" s="219"/>
      <c r="AI13" s="219"/>
      <c r="AJ13" s="219"/>
      <c r="AK13" s="219"/>
      <c r="AL13" s="219"/>
      <c r="AM13" s="219"/>
      <c r="AN13" s="219"/>
      <c r="AO13" s="219"/>
      <c r="AP13" s="219"/>
      <c r="AQ13" s="219"/>
      <c r="AR13" s="219"/>
      <c r="AS13" s="219"/>
      <c r="AT13" s="219"/>
      <c r="AU13" s="219"/>
      <c r="AV13" s="219"/>
      <c r="AW13" s="219"/>
      <c r="AX13" s="219"/>
    </row>
    <row r="14" spans="1:50" s="260" customFormat="1" ht="17.25" customHeight="1">
      <c r="A14" s="260" t="s">
        <v>269</v>
      </c>
      <c r="B14" s="260" t="s">
        <v>266</v>
      </c>
      <c r="C14" s="219" t="s">
        <v>55</v>
      </c>
      <c r="D14" s="219" t="s">
        <v>55</v>
      </c>
      <c r="E14" s="219" t="s">
        <v>55</v>
      </c>
      <c r="F14" s="219" t="s">
        <v>55</v>
      </c>
      <c r="G14" s="219" t="s">
        <v>55</v>
      </c>
      <c r="H14" s="219" t="s">
        <v>55</v>
      </c>
      <c r="I14" s="219" t="s">
        <v>55</v>
      </c>
      <c r="J14" s="219" t="s">
        <v>55</v>
      </c>
      <c r="K14" s="219" t="s">
        <v>55</v>
      </c>
      <c r="L14" s="219" t="s">
        <v>55</v>
      </c>
      <c r="M14" s="219" t="s">
        <v>55</v>
      </c>
      <c r="N14" s="219" t="s">
        <v>55</v>
      </c>
      <c r="O14" s="219" t="s">
        <v>55</v>
      </c>
      <c r="P14" s="219" t="s">
        <v>55</v>
      </c>
      <c r="Q14" s="219" t="s">
        <v>55</v>
      </c>
      <c r="R14" s="219" t="s">
        <v>55</v>
      </c>
      <c r="S14" s="219" t="s">
        <v>55</v>
      </c>
      <c r="T14" s="219" t="s">
        <v>55</v>
      </c>
      <c r="U14" s="219" t="s">
        <v>55</v>
      </c>
      <c r="V14" s="219" t="s">
        <v>55</v>
      </c>
      <c r="W14" s="219" t="s">
        <v>55</v>
      </c>
      <c r="X14" s="219" t="s">
        <v>55</v>
      </c>
      <c r="Y14" s="219" t="s">
        <v>55</v>
      </c>
      <c r="Z14" s="219" t="s">
        <v>55</v>
      </c>
      <c r="AA14" s="219" t="s">
        <v>55</v>
      </c>
      <c r="AB14" s="219" t="s">
        <v>55</v>
      </c>
      <c r="AC14" s="219" t="s">
        <v>55</v>
      </c>
      <c r="AD14" s="219" t="s">
        <v>55</v>
      </c>
      <c r="AE14" s="219" t="s">
        <v>55</v>
      </c>
      <c r="AF14" s="219" t="s">
        <v>55</v>
      </c>
      <c r="AG14" s="219" t="s">
        <v>55</v>
      </c>
      <c r="AH14" s="219" t="s">
        <v>55</v>
      </c>
      <c r="AI14" s="219" t="s">
        <v>55</v>
      </c>
      <c r="AJ14" s="219" t="s">
        <v>55</v>
      </c>
      <c r="AK14" s="219" t="s">
        <v>55</v>
      </c>
      <c r="AL14" s="219" t="s">
        <v>55</v>
      </c>
      <c r="AM14" s="219" t="s">
        <v>55</v>
      </c>
      <c r="AN14" s="219" t="s">
        <v>55</v>
      </c>
      <c r="AO14" s="219" t="s">
        <v>55</v>
      </c>
      <c r="AP14" s="219" t="s">
        <v>55</v>
      </c>
      <c r="AQ14" s="219" t="s">
        <v>55</v>
      </c>
      <c r="AR14" s="219" t="s">
        <v>55</v>
      </c>
      <c r="AS14" s="219" t="s">
        <v>55</v>
      </c>
      <c r="AT14" s="219" t="s">
        <v>55</v>
      </c>
      <c r="AU14" s="219" t="s">
        <v>55</v>
      </c>
      <c r="AV14" s="219" t="s">
        <v>55</v>
      </c>
      <c r="AW14" s="219" t="s">
        <v>55</v>
      </c>
      <c r="AX14" s="219" t="s">
        <v>55</v>
      </c>
    </row>
    <row r="15" spans="1:50" s="260" customFormat="1" ht="17.25" customHeight="1">
      <c r="A15" s="260" t="s">
        <v>270</v>
      </c>
      <c r="B15" s="260" t="s">
        <v>8</v>
      </c>
      <c r="C15" s="219">
        <v>5898.2109375</v>
      </c>
      <c r="D15" s="219">
        <v>5309.56494140625</v>
      </c>
      <c r="E15" s="219">
        <v>4720.51513671875</v>
      </c>
      <c r="F15" s="219">
        <v>4131.1826171875</v>
      </c>
      <c r="G15" s="219">
        <v>3541.650390625</v>
      </c>
      <c r="H15" s="219">
        <v>2951.998779296875</v>
      </c>
      <c r="I15" s="219">
        <v>6089.763671875</v>
      </c>
      <c r="J15" s="219">
        <v>5482.1337890625</v>
      </c>
      <c r="K15" s="219">
        <v>4873.7138671875</v>
      </c>
      <c r="L15" s="219">
        <v>4265.29345703125</v>
      </c>
      <c r="M15" s="219">
        <v>3656.665771484375</v>
      </c>
      <c r="N15" s="219">
        <v>3047.870361328125</v>
      </c>
      <c r="O15" s="219">
        <v>6287.05029296875</v>
      </c>
      <c r="P15" s="219">
        <v>5659.875</v>
      </c>
      <c r="Q15" s="219">
        <v>5031.76513671875</v>
      </c>
      <c r="R15" s="219">
        <v>4403.72021484375</v>
      </c>
      <c r="S15" s="219">
        <v>3775.113037109375</v>
      </c>
      <c r="T15" s="219">
        <v>3146.6005859375</v>
      </c>
      <c r="U15" s="219">
        <v>6489.61865234375</v>
      </c>
      <c r="V15" s="219">
        <v>5842.0244140625</v>
      </c>
      <c r="W15" s="219">
        <v>5194.0693359375</v>
      </c>
      <c r="X15" s="219">
        <v>4545.50830078125</v>
      </c>
      <c r="Y15" s="219">
        <v>3897.064697265625</v>
      </c>
      <c r="Z15" s="219">
        <v>3248.324951171875</v>
      </c>
      <c r="AA15" s="219">
        <v>6710.6337890625</v>
      </c>
      <c r="AB15" s="219">
        <v>6041.0771484375</v>
      </c>
      <c r="AC15" s="219">
        <v>5370.7998046875</v>
      </c>
      <c r="AD15" s="219">
        <v>4700.5283203125</v>
      </c>
      <c r="AE15" s="219">
        <v>4029.727783203125</v>
      </c>
      <c r="AF15" s="219">
        <v>3358.940673828125</v>
      </c>
      <c r="AG15" s="219">
        <v>6939.685546875</v>
      </c>
      <c r="AH15" s="219">
        <v>6247.40185546875</v>
      </c>
      <c r="AI15" s="219">
        <v>5554.275390625</v>
      </c>
      <c r="AJ15" s="219">
        <v>4860.892578125</v>
      </c>
      <c r="AK15" s="219">
        <v>4167.50244140625</v>
      </c>
      <c r="AL15" s="219">
        <v>3473.683349609375</v>
      </c>
      <c r="AM15" s="219">
        <v>7175.94921875</v>
      </c>
      <c r="AN15" s="219">
        <v>6460.23681640625</v>
      </c>
      <c r="AO15" s="219">
        <v>5743.5419921875</v>
      </c>
      <c r="AP15" s="219">
        <v>5026.56640625</v>
      </c>
      <c r="AQ15" s="219">
        <v>4309.36865234375</v>
      </c>
      <c r="AR15" s="219">
        <v>3592.14111328125</v>
      </c>
      <c r="AS15" s="219">
        <v>7268.4736328125</v>
      </c>
      <c r="AT15" s="219">
        <v>6543.0556640625</v>
      </c>
      <c r="AU15" s="219">
        <v>5816.80419921875</v>
      </c>
      <c r="AV15" s="219">
        <v>5090.32568359375</v>
      </c>
      <c r="AW15" s="219">
        <v>4363.708984375</v>
      </c>
      <c r="AX15" s="219">
        <v>3637.189697265625</v>
      </c>
    </row>
    <row r="16" spans="1:50" s="260" customFormat="1" ht="17.25" customHeight="1">
      <c r="A16" s="260" t="s">
        <v>283</v>
      </c>
      <c r="B16" s="260" t="s">
        <v>8</v>
      </c>
      <c r="C16" s="219">
        <v>5665.30859375</v>
      </c>
      <c r="D16" s="219">
        <v>5078.34912109375</v>
      </c>
      <c r="E16" s="219">
        <v>4492.15234375</v>
      </c>
      <c r="F16" s="219">
        <v>3908.149169921875</v>
      </c>
      <c r="G16" s="219">
        <v>3323.864013671875</v>
      </c>
      <c r="H16" s="219">
        <v>2739.334228515625</v>
      </c>
      <c r="I16" s="219">
        <v>5856.74267578125</v>
      </c>
      <c r="J16" s="219">
        <v>5250.84814453125</v>
      </c>
      <c r="K16" s="219">
        <v>4645.50634765625</v>
      </c>
      <c r="L16" s="219">
        <v>4042.63037109375</v>
      </c>
      <c r="M16" s="219">
        <v>3439.459716796875</v>
      </c>
      <c r="N16" s="219">
        <v>2835.9599609375</v>
      </c>
      <c r="O16" s="219">
        <v>6053.90673828125</v>
      </c>
      <c r="P16" s="219">
        <v>5428.51416015625</v>
      </c>
      <c r="Q16" s="219">
        <v>4803.685546875</v>
      </c>
      <c r="R16" s="219">
        <v>4181.38232421875</v>
      </c>
      <c r="S16" s="219">
        <v>3558.43896484375</v>
      </c>
      <c r="T16" s="219">
        <v>2935.422119140625</v>
      </c>
      <c r="U16" s="219">
        <v>6256.35009765625</v>
      </c>
      <c r="V16" s="219">
        <v>5610.58740234375</v>
      </c>
      <c r="W16" s="219">
        <v>4966.1123046875</v>
      </c>
      <c r="X16" s="219">
        <v>4323.48095703125</v>
      </c>
      <c r="Y16" s="219">
        <v>3680.8935546875</v>
      </c>
      <c r="Z16" s="219">
        <v>3037.85595703125</v>
      </c>
      <c r="AA16" s="219">
        <v>6477.20556640625</v>
      </c>
      <c r="AB16" s="219">
        <v>5809.5283203125</v>
      </c>
      <c r="AC16" s="219">
        <v>5142.880859375</v>
      </c>
      <c r="AD16" s="219">
        <v>4478.72509765625</v>
      </c>
      <c r="AE16" s="219">
        <v>3813.981689453125</v>
      </c>
      <c r="AF16" s="219">
        <v>3149.115234375</v>
      </c>
      <c r="AG16" s="219">
        <v>6706.09228515625</v>
      </c>
      <c r="AH16" s="219">
        <v>6015.73681640625</v>
      </c>
      <c r="AI16" s="219">
        <v>5326.384765625</v>
      </c>
      <c r="AJ16" s="219">
        <v>4639.30810546875</v>
      </c>
      <c r="AK16" s="219">
        <v>3952.16650390625</v>
      </c>
      <c r="AL16" s="219">
        <v>3264.485595703125</v>
      </c>
      <c r="AM16" s="219">
        <v>6942.189453125</v>
      </c>
      <c r="AN16" s="219">
        <v>6228.455078125</v>
      </c>
      <c r="AO16" s="219">
        <v>5515.68798828125</v>
      </c>
      <c r="AP16" s="219">
        <v>4805.2060546875</v>
      </c>
      <c r="AQ16" s="219">
        <v>4094.44873046875</v>
      </c>
      <c r="AR16" s="219">
        <v>3383.56982421875</v>
      </c>
      <c r="AS16" s="219">
        <v>7034.93505859375</v>
      </c>
      <c r="AT16" s="219">
        <v>6311.56787109375</v>
      </c>
      <c r="AU16" s="219">
        <v>5590.09326171875</v>
      </c>
      <c r="AV16" s="219">
        <v>4870.16796875</v>
      </c>
      <c r="AW16" s="219">
        <v>4150.0302734375</v>
      </c>
      <c r="AX16" s="219">
        <v>3429.93212890625</v>
      </c>
    </row>
    <row r="17" spans="1:50" s="260" customFormat="1" ht="17.25" customHeight="1">
      <c r="A17" s="260" t="s">
        <v>271</v>
      </c>
      <c r="B17" s="260" t="s">
        <v>3</v>
      </c>
      <c r="C17" s="219">
        <v>29.734563827514648</v>
      </c>
      <c r="D17" s="219">
        <v>28.98350715637207</v>
      </c>
      <c r="E17" s="219">
        <v>28.065574645996094</v>
      </c>
      <c r="F17" s="219">
        <v>26.925027847290039</v>
      </c>
      <c r="G17" s="219">
        <v>25.499187469482422</v>
      </c>
      <c r="H17" s="219">
        <v>23.714006423950195</v>
      </c>
      <c r="I17" s="219">
        <v>30.040155410766602</v>
      </c>
      <c r="J17" s="219">
        <v>29.300596237182617</v>
      </c>
      <c r="K17" s="219">
        <v>28.401332855224609</v>
      </c>
      <c r="L17" s="219">
        <v>27.28980827331543</v>
      </c>
      <c r="M17" s="219">
        <v>25.894140243530273</v>
      </c>
      <c r="N17" s="219">
        <v>24.128746032714844</v>
      </c>
      <c r="O17" s="219">
        <v>30.337135314941406</v>
      </c>
      <c r="P17" s="219">
        <v>29.607433319091797</v>
      </c>
      <c r="Q17" s="219">
        <v>28.72235107421875</v>
      </c>
      <c r="R17" s="219">
        <v>27.633306503295898</v>
      </c>
      <c r="S17" s="219">
        <v>26.265810012817383</v>
      </c>
      <c r="T17" s="219">
        <v>24.525192260742188</v>
      </c>
      <c r="U17" s="219">
        <v>30.629751205444336</v>
      </c>
      <c r="V17" s="219">
        <v>29.908510208129883</v>
      </c>
      <c r="W17" s="219">
        <v>29.035640716552734</v>
      </c>
      <c r="X17" s="219">
        <v>27.96345329284668</v>
      </c>
      <c r="Y17" s="219">
        <v>26.621641159057617</v>
      </c>
      <c r="Z17" s="219">
        <v>24.907337188720703</v>
      </c>
      <c r="AA17" s="219">
        <v>30.929061889648438</v>
      </c>
      <c r="AB17" s="219">
        <v>30.217170715332031</v>
      </c>
      <c r="AC17" s="219">
        <v>29.355276107788086</v>
      </c>
      <c r="AD17" s="219">
        <v>28.299064636230469</v>
      </c>
      <c r="AE17" s="219">
        <v>26.978115081787109</v>
      </c>
      <c r="AF17" s="219">
        <v>25.289922714233398</v>
      </c>
      <c r="AG17" s="219">
        <v>31.223934173583984</v>
      </c>
      <c r="AH17" s="219">
        <v>30.521221160888672</v>
      </c>
      <c r="AI17" s="219">
        <v>29.669988632202148</v>
      </c>
      <c r="AJ17" s="219">
        <v>28.626785278320312</v>
      </c>
      <c r="AK17" s="219">
        <v>27.324680328369141</v>
      </c>
      <c r="AL17" s="219">
        <v>25.659721374511719</v>
      </c>
      <c r="AM17" s="219">
        <v>31.514553070068359</v>
      </c>
      <c r="AN17" s="219">
        <v>30.820964813232422</v>
      </c>
      <c r="AO17" s="219">
        <v>29.979801177978516</v>
      </c>
      <c r="AP17" s="219">
        <v>28.948740005493164</v>
      </c>
      <c r="AQ17" s="219">
        <v>27.662052154541016</v>
      </c>
      <c r="AR17" s="219">
        <v>26.018213272094727</v>
      </c>
      <c r="AS17" s="219">
        <v>31.671424865722656</v>
      </c>
      <c r="AT17" s="219">
        <v>30.974565505981445</v>
      </c>
      <c r="AU17" s="219">
        <v>30.131143569946289</v>
      </c>
      <c r="AV17" s="219">
        <v>29.098514556884766</v>
      </c>
      <c r="AW17" s="219">
        <v>27.81195068359375</v>
      </c>
      <c r="AX17" s="219">
        <v>26.1715087890625</v>
      </c>
    </row>
    <row r="18" spans="1:50" s="260" customFormat="1" ht="17.25" customHeight="1">
      <c r="A18" s="260" t="s">
        <v>272</v>
      </c>
      <c r="B18" s="260" t="s">
        <v>3</v>
      </c>
      <c r="C18" s="219">
        <v>28.560436248779297</v>
      </c>
      <c r="D18" s="219">
        <v>27.72136116027832</v>
      </c>
      <c r="E18" s="219">
        <v>26.707855224609375</v>
      </c>
      <c r="F18" s="219">
        <v>25.471405029296875</v>
      </c>
      <c r="G18" s="219">
        <v>23.931169509887695</v>
      </c>
      <c r="H18" s="219">
        <v>22.00562858581543</v>
      </c>
      <c r="I18" s="219">
        <v>28.890689849853516</v>
      </c>
      <c r="J18" s="219">
        <v>28.064435958862305</v>
      </c>
      <c r="K18" s="219">
        <v>27.071464538574219</v>
      </c>
      <c r="L18" s="219">
        <v>25.865184783935547</v>
      </c>
      <c r="M18" s="219">
        <v>24.356025695800781</v>
      </c>
      <c r="N18" s="219">
        <v>22.451137542724609</v>
      </c>
      <c r="O18" s="219">
        <v>29.212139129638672</v>
      </c>
      <c r="P18" s="219">
        <v>28.397159576416016</v>
      </c>
      <c r="Q18" s="219">
        <v>27.42042350769043</v>
      </c>
      <c r="R18" s="219">
        <v>26.238138198852539</v>
      </c>
      <c r="S18" s="219">
        <v>24.758274078369141</v>
      </c>
      <c r="T18" s="219">
        <v>22.879228591918945</v>
      </c>
      <c r="U18" s="219">
        <v>29.528768539428711</v>
      </c>
      <c r="V18" s="219">
        <v>28.723659515380859</v>
      </c>
      <c r="W18" s="219">
        <v>27.761323928833008</v>
      </c>
      <c r="X18" s="219">
        <v>26.597568511962891</v>
      </c>
      <c r="Y18" s="219">
        <v>25.144933700561523</v>
      </c>
      <c r="Z18" s="219">
        <v>23.293514251708984</v>
      </c>
      <c r="AA18" s="219">
        <v>29.85319709777832</v>
      </c>
      <c r="AB18" s="219">
        <v>29.058977127075195</v>
      </c>
      <c r="AC18" s="219">
        <v>28.109533309936523</v>
      </c>
      <c r="AD18" s="219">
        <v>26.963718414306641</v>
      </c>
      <c r="AE18" s="219">
        <v>25.533742904663086</v>
      </c>
      <c r="AF18" s="219">
        <v>23.710117340087891</v>
      </c>
      <c r="AG18" s="219">
        <v>30.172922134399414</v>
      </c>
      <c r="AH18" s="219">
        <v>29.389440536499023</v>
      </c>
      <c r="AI18" s="219">
        <v>28.45263671875</v>
      </c>
      <c r="AJ18" s="219">
        <v>27.321830749511719</v>
      </c>
      <c r="AK18" s="219">
        <v>25.912809371948242</v>
      </c>
      <c r="AL18" s="219">
        <v>24.114400863647461</v>
      </c>
      <c r="AM18" s="219">
        <v>30.487949371337891</v>
      </c>
      <c r="AN18" s="219">
        <v>29.71516227722168</v>
      </c>
      <c r="AO18" s="219">
        <v>28.790460586547852</v>
      </c>
      <c r="AP18" s="219">
        <v>27.673892974853516</v>
      </c>
      <c r="AQ18" s="219">
        <v>26.282470703125</v>
      </c>
      <c r="AR18" s="219">
        <v>24.507511138916016</v>
      </c>
      <c r="AS18" s="219">
        <v>30.653812408447266</v>
      </c>
      <c r="AT18" s="219">
        <v>29.878711700439453</v>
      </c>
      <c r="AU18" s="219">
        <v>28.956777572631836</v>
      </c>
      <c r="AV18" s="219">
        <v>27.839996337890625</v>
      </c>
      <c r="AW18" s="219">
        <v>26.450075149536133</v>
      </c>
      <c r="AX18" s="219">
        <v>24.680179595947266</v>
      </c>
    </row>
    <row r="19" spans="1:50" s="260" customFormat="1" ht="17.25" customHeight="1">
      <c r="A19" s="260" t="s">
        <v>284</v>
      </c>
      <c r="B19" s="260" t="s">
        <v>8</v>
      </c>
      <c r="C19" s="219">
        <v>21960.814453125</v>
      </c>
      <c r="D19" s="219">
        <v>20281.388671875</v>
      </c>
      <c r="E19" s="219">
        <v>18621.091796875</v>
      </c>
      <c r="F19" s="219">
        <v>16986.658203125</v>
      </c>
      <c r="G19" s="219">
        <v>15376.9091796875</v>
      </c>
      <c r="H19" s="219">
        <v>13781.6396484375</v>
      </c>
      <c r="I19" s="219">
        <v>22443.36328125</v>
      </c>
      <c r="J19" s="219">
        <v>20713.9453125</v>
      </c>
      <c r="K19" s="219">
        <v>18998.13671875</v>
      </c>
      <c r="L19" s="219">
        <v>17303.66796875</v>
      </c>
      <c r="M19" s="219">
        <v>15634.12109375</v>
      </c>
      <c r="N19" s="219">
        <v>13984.646484375</v>
      </c>
      <c r="O19" s="219">
        <v>22943.625</v>
      </c>
      <c r="P19" s="219">
        <v>21163.904296875</v>
      </c>
      <c r="Q19" s="219">
        <v>19395.015625</v>
      </c>
      <c r="R19" s="219">
        <v>17643.16796875</v>
      </c>
      <c r="S19" s="219">
        <v>15912.1494140625</v>
      </c>
      <c r="T19" s="219">
        <v>14204.26953125</v>
      </c>
      <c r="U19" s="219">
        <v>23456.619140625</v>
      </c>
      <c r="V19" s="219">
        <v>21625.109375</v>
      </c>
      <c r="W19" s="219">
        <v>19804.599609375</v>
      </c>
      <c r="X19" s="219">
        <v>17996.220703125</v>
      </c>
      <c r="Y19" s="219">
        <v>16206.619140625</v>
      </c>
      <c r="Z19" s="219">
        <v>14438.494140625</v>
      </c>
      <c r="AA19" s="219">
        <v>24020.744140625</v>
      </c>
      <c r="AB19" s="219">
        <v>22133.5078125</v>
      </c>
      <c r="AC19" s="219">
        <v>20255.48046875</v>
      </c>
      <c r="AD19" s="219">
        <v>18389.26171875</v>
      </c>
      <c r="AE19" s="219">
        <v>16536.890625</v>
      </c>
      <c r="AF19" s="219">
        <v>14704.306640625</v>
      </c>
      <c r="AG19" s="219">
        <v>24606.048828125</v>
      </c>
      <c r="AH19" s="219">
        <v>22661.421875</v>
      </c>
      <c r="AI19" s="219">
        <v>20725.248046875</v>
      </c>
      <c r="AJ19" s="219">
        <v>18798.9296875</v>
      </c>
      <c r="AK19" s="219">
        <v>16885.365234375</v>
      </c>
      <c r="AL19" s="219">
        <v>14987.4580078125</v>
      </c>
      <c r="AM19" s="219">
        <v>25209.138671875</v>
      </c>
      <c r="AN19" s="219">
        <v>23205.5546875</v>
      </c>
      <c r="AO19" s="219">
        <v>21210.00390625</v>
      </c>
      <c r="AP19" s="219">
        <v>19223.455078125</v>
      </c>
      <c r="AQ19" s="219">
        <v>17247.21484375</v>
      </c>
      <c r="AR19" s="219">
        <v>15285.0078125</v>
      </c>
      <c r="AS19" s="219">
        <v>25407.69921875</v>
      </c>
      <c r="AT19" s="219">
        <v>23386.494140625</v>
      </c>
      <c r="AU19" s="219">
        <v>21372.658203125</v>
      </c>
      <c r="AV19" s="219">
        <v>19367.095703125</v>
      </c>
      <c r="AW19" s="219">
        <v>17370.5703125</v>
      </c>
      <c r="AX19" s="219">
        <v>15386.0439453125</v>
      </c>
    </row>
    <row r="20" spans="1:50" s="260" customFormat="1" ht="17.25" customHeight="1">
      <c r="A20" s="260" t="s">
        <v>132</v>
      </c>
      <c r="B20" s="260" t="s">
        <v>3</v>
      </c>
      <c r="C20" s="219">
        <v>68.390548706054688</v>
      </c>
      <c r="D20" s="219">
        <v>64.707984924316406</v>
      </c>
      <c r="E20" s="219">
        <v>60.611671447753906</v>
      </c>
      <c r="F20" s="219">
        <v>56.056785583496094</v>
      </c>
      <c r="G20" s="219">
        <v>50.919013977050781</v>
      </c>
      <c r="H20" s="219">
        <v>44.993785858154297</v>
      </c>
      <c r="I20" s="219">
        <v>67.246780395507812</v>
      </c>
      <c r="J20" s="219">
        <v>63.451126098632812</v>
      </c>
      <c r="K20" s="219">
        <v>59.199031829833984</v>
      </c>
      <c r="L20" s="219">
        <v>54.428153991699219</v>
      </c>
      <c r="M20" s="219">
        <v>49.021785736083984</v>
      </c>
      <c r="N20" s="219">
        <v>42.794116973876953</v>
      </c>
      <c r="O20" s="219">
        <v>66.105964660644531</v>
      </c>
      <c r="P20" s="219">
        <v>62.202739715576172</v>
      </c>
      <c r="Q20" s="219">
        <v>57.811714172363281</v>
      </c>
      <c r="R20" s="219">
        <v>52.848442077636719</v>
      </c>
      <c r="S20" s="219">
        <v>47.179347991943359</v>
      </c>
      <c r="T20" s="219">
        <v>40.634796142578125</v>
      </c>
      <c r="U20" s="219">
        <v>64.97357177734375</v>
      </c>
      <c r="V20" s="219">
        <v>60.965145111083984</v>
      </c>
      <c r="W20" s="219">
        <v>56.44317626953125</v>
      </c>
      <c r="X20" s="219">
        <v>51.301601409912109</v>
      </c>
      <c r="Y20" s="219">
        <v>45.392250061035156</v>
      </c>
      <c r="Z20" s="219">
        <v>38.531204223632812</v>
      </c>
      <c r="AA20" s="219">
        <v>63.9102783203125</v>
      </c>
      <c r="AB20" s="219">
        <v>59.798751831054688</v>
      </c>
      <c r="AC20" s="219">
        <v>55.148334503173828</v>
      </c>
      <c r="AD20" s="219">
        <v>49.844615936279297</v>
      </c>
      <c r="AE20" s="219">
        <v>43.706985473632812</v>
      </c>
      <c r="AF20" s="219">
        <v>36.536033630371094</v>
      </c>
      <c r="AG20" s="219">
        <v>62.853534698486328</v>
      </c>
      <c r="AH20" s="219">
        <v>58.637798309326172</v>
      </c>
      <c r="AI20" s="219">
        <v>53.866222381591797</v>
      </c>
      <c r="AJ20" s="219">
        <v>48.403209686279297</v>
      </c>
      <c r="AK20" s="219">
        <v>42.055713653564453</v>
      </c>
      <c r="AL20" s="219">
        <v>34.587207794189453</v>
      </c>
      <c r="AM20" s="219">
        <v>61.794715881347656</v>
      </c>
      <c r="AN20" s="219">
        <v>57.477569580078125</v>
      </c>
      <c r="AO20" s="219">
        <v>52.584449768066406</v>
      </c>
      <c r="AP20" s="219">
        <v>46.968860626220703</v>
      </c>
      <c r="AQ20" s="219">
        <v>40.416904449462891</v>
      </c>
      <c r="AR20" s="219">
        <v>32.668861389160156</v>
      </c>
      <c r="AS20" s="219">
        <v>59.872749328613281</v>
      </c>
      <c r="AT20" s="219">
        <v>55.438709259033203</v>
      </c>
      <c r="AU20" s="219">
        <v>50.409748077392578</v>
      </c>
      <c r="AV20" s="219">
        <v>44.627304077148438</v>
      </c>
      <c r="AW20" s="219">
        <v>37.867610931396484</v>
      </c>
      <c r="AX20" s="219">
        <v>29.849346160888672</v>
      </c>
    </row>
    <row r="21" spans="1:50" s="260" customFormat="1" ht="17.25" customHeight="1">
      <c r="A21" s="260" t="s">
        <v>274</v>
      </c>
      <c r="B21" s="260" t="s">
        <v>8</v>
      </c>
      <c r="C21" s="219">
        <v>0</v>
      </c>
      <c r="D21" s="219">
        <v>0</v>
      </c>
      <c r="E21" s="219">
        <v>0</v>
      </c>
      <c r="F21" s="219">
        <v>0</v>
      </c>
      <c r="G21" s="219">
        <v>0</v>
      </c>
      <c r="H21" s="219">
        <v>0</v>
      </c>
      <c r="I21" s="219">
        <v>0</v>
      </c>
      <c r="J21" s="219">
        <v>0</v>
      </c>
      <c r="K21" s="219">
        <v>0</v>
      </c>
      <c r="L21" s="219">
        <v>0</v>
      </c>
      <c r="M21" s="219">
        <v>0</v>
      </c>
      <c r="N21" s="219">
        <v>0</v>
      </c>
      <c r="O21" s="219">
        <v>0</v>
      </c>
      <c r="P21" s="219">
        <v>0</v>
      </c>
      <c r="Q21" s="219">
        <v>0</v>
      </c>
      <c r="R21" s="219">
        <v>0</v>
      </c>
      <c r="S21" s="219">
        <v>0</v>
      </c>
      <c r="T21" s="219">
        <v>0</v>
      </c>
      <c r="U21" s="219">
        <v>0</v>
      </c>
      <c r="V21" s="219">
        <v>0</v>
      </c>
      <c r="W21" s="219">
        <v>0</v>
      </c>
      <c r="X21" s="219">
        <v>0</v>
      </c>
      <c r="Y21" s="219">
        <v>0</v>
      </c>
      <c r="Z21" s="219">
        <v>0</v>
      </c>
      <c r="AA21" s="219">
        <v>0</v>
      </c>
      <c r="AB21" s="219">
        <v>0</v>
      </c>
      <c r="AC21" s="219">
        <v>0</v>
      </c>
      <c r="AD21" s="219">
        <v>0</v>
      </c>
      <c r="AE21" s="219">
        <v>0</v>
      </c>
      <c r="AF21" s="219">
        <v>0</v>
      </c>
      <c r="AG21" s="219">
        <v>0</v>
      </c>
      <c r="AH21" s="219">
        <v>0</v>
      </c>
      <c r="AI21" s="219">
        <v>0</v>
      </c>
      <c r="AJ21" s="219">
        <v>0</v>
      </c>
      <c r="AK21" s="219">
        <v>0</v>
      </c>
      <c r="AL21" s="219">
        <v>0</v>
      </c>
      <c r="AM21" s="219">
        <v>0</v>
      </c>
      <c r="AN21" s="219">
        <v>0</v>
      </c>
      <c r="AO21" s="219">
        <v>0</v>
      </c>
      <c r="AP21" s="219">
        <v>0</v>
      </c>
      <c r="AQ21" s="219">
        <v>0</v>
      </c>
      <c r="AR21" s="219">
        <v>0</v>
      </c>
      <c r="AS21" s="219">
        <v>0</v>
      </c>
      <c r="AT21" s="219">
        <v>0</v>
      </c>
      <c r="AU21" s="219">
        <v>0</v>
      </c>
      <c r="AV21" s="219">
        <v>0</v>
      </c>
      <c r="AW21" s="219">
        <v>0</v>
      </c>
      <c r="AX21" s="219">
        <v>0</v>
      </c>
    </row>
    <row r="22" spans="1:50" s="260" customFormat="1" ht="17.25" customHeight="1">
      <c r="A22" s="260" t="s">
        <v>520</v>
      </c>
      <c r="B22" s="260" t="s">
        <v>273</v>
      </c>
      <c r="C22" s="79">
        <v>1</v>
      </c>
      <c r="D22" s="79">
        <v>1</v>
      </c>
      <c r="E22" s="79">
        <v>1</v>
      </c>
      <c r="F22" s="79">
        <v>1</v>
      </c>
      <c r="G22" s="79">
        <v>1</v>
      </c>
      <c r="H22" s="79">
        <v>1</v>
      </c>
      <c r="I22" s="79">
        <v>1</v>
      </c>
      <c r="J22" s="79">
        <v>1</v>
      </c>
      <c r="K22" s="79">
        <v>1</v>
      </c>
      <c r="L22" s="79">
        <v>1</v>
      </c>
      <c r="M22" s="79">
        <v>1</v>
      </c>
      <c r="N22" s="79">
        <v>1</v>
      </c>
      <c r="O22" s="79">
        <v>1</v>
      </c>
      <c r="P22" s="79">
        <v>1</v>
      </c>
      <c r="Q22" s="79">
        <v>1</v>
      </c>
      <c r="R22" s="79">
        <v>1</v>
      </c>
      <c r="S22" s="79">
        <v>1</v>
      </c>
      <c r="T22" s="79">
        <v>1</v>
      </c>
      <c r="U22" s="79">
        <v>1</v>
      </c>
      <c r="V22" s="79">
        <v>1</v>
      </c>
      <c r="W22" s="79">
        <v>1</v>
      </c>
      <c r="X22" s="79">
        <v>1</v>
      </c>
      <c r="Y22" s="79">
        <v>1</v>
      </c>
      <c r="Z22" s="79">
        <v>1</v>
      </c>
      <c r="AA22" s="79">
        <v>1</v>
      </c>
      <c r="AB22" s="79">
        <v>1</v>
      </c>
      <c r="AC22" s="79">
        <v>1</v>
      </c>
      <c r="AD22" s="79">
        <v>1</v>
      </c>
      <c r="AE22" s="79">
        <v>1</v>
      </c>
      <c r="AF22" s="79">
        <v>1</v>
      </c>
      <c r="AG22" s="79">
        <v>1</v>
      </c>
      <c r="AH22" s="79">
        <v>1</v>
      </c>
      <c r="AI22" s="79">
        <v>1</v>
      </c>
      <c r="AJ22" s="79">
        <v>1</v>
      </c>
      <c r="AK22" s="79">
        <v>1</v>
      </c>
      <c r="AL22" s="79">
        <v>1</v>
      </c>
      <c r="AM22" s="79">
        <v>1</v>
      </c>
      <c r="AN22" s="79">
        <v>1</v>
      </c>
      <c r="AO22" s="79">
        <v>1</v>
      </c>
      <c r="AP22" s="79">
        <v>1</v>
      </c>
      <c r="AQ22" s="79">
        <v>1</v>
      </c>
      <c r="AR22" s="79">
        <v>1</v>
      </c>
      <c r="AS22" s="79">
        <v>1</v>
      </c>
      <c r="AT22" s="79">
        <v>1</v>
      </c>
      <c r="AU22" s="79">
        <v>1</v>
      </c>
      <c r="AV22" s="79">
        <v>1</v>
      </c>
      <c r="AW22" s="79">
        <v>1</v>
      </c>
      <c r="AX22" s="79">
        <v>1</v>
      </c>
    </row>
    <row r="23" spans="1:50" s="260" customFormat="1" ht="17.25" customHeight="1">
      <c r="A23" s="260" t="s">
        <v>276</v>
      </c>
      <c r="B23" s="260" t="s">
        <v>26</v>
      </c>
      <c r="C23" s="79">
        <v>24.023736953735352</v>
      </c>
      <c r="D23" s="79">
        <v>24.025444030761719</v>
      </c>
      <c r="E23" s="79">
        <v>24.018754959106445</v>
      </c>
      <c r="F23" s="79">
        <v>24.019721984863281</v>
      </c>
      <c r="G23" s="79">
        <v>24.020559310913086</v>
      </c>
      <c r="H23" s="79">
        <v>24.021263122558594</v>
      </c>
      <c r="I23" s="79">
        <v>24.023715972900391</v>
      </c>
      <c r="J23" s="79">
        <v>24.025453567504883</v>
      </c>
      <c r="K23" s="79">
        <v>24.018777847290039</v>
      </c>
      <c r="L23" s="79">
        <v>24.019783020019531</v>
      </c>
      <c r="M23" s="79">
        <v>24.020631790161133</v>
      </c>
      <c r="N23" s="79">
        <v>24.021335601806641</v>
      </c>
      <c r="O23" s="79">
        <v>24.023687362670898</v>
      </c>
      <c r="P23" s="79">
        <v>24.025455474853516</v>
      </c>
      <c r="Q23" s="79">
        <v>24.018795013427734</v>
      </c>
      <c r="R23" s="79">
        <v>24.019821166992188</v>
      </c>
      <c r="S23" s="79">
        <v>24.020689010620117</v>
      </c>
      <c r="T23" s="79">
        <v>24.021402359008789</v>
      </c>
      <c r="U23" s="79">
        <v>24.023654937744141</v>
      </c>
      <c r="V23" s="79">
        <v>24.017627716064453</v>
      </c>
      <c r="W23" s="79">
        <v>24.01881217956543</v>
      </c>
      <c r="X23" s="79">
        <v>24.019855499267578</v>
      </c>
      <c r="Y23" s="79">
        <v>24.020744323730469</v>
      </c>
      <c r="Z23" s="79">
        <v>24.021465301513672</v>
      </c>
      <c r="AA23" s="79">
        <v>24.023603439331055</v>
      </c>
      <c r="AB23" s="79">
        <v>24.017610549926758</v>
      </c>
      <c r="AC23" s="79">
        <v>24.018817901611328</v>
      </c>
      <c r="AD23" s="79">
        <v>24.019880294799805</v>
      </c>
      <c r="AE23" s="79">
        <v>24.020790100097656</v>
      </c>
      <c r="AF23" s="79">
        <v>24.021518707275391</v>
      </c>
      <c r="AG23" s="79">
        <v>24.023536682128906</v>
      </c>
      <c r="AH23" s="79">
        <v>24.025419235229492</v>
      </c>
      <c r="AI23" s="79">
        <v>24.018817901611328</v>
      </c>
      <c r="AJ23" s="79">
        <v>24.019905090332031</v>
      </c>
      <c r="AK23" s="79">
        <v>24.020822525024414</v>
      </c>
      <c r="AL23" s="79">
        <v>24.021568298339844</v>
      </c>
      <c r="AM23" s="79">
        <v>24.023471832275391</v>
      </c>
      <c r="AN23" s="79">
        <v>24.025394439697266</v>
      </c>
      <c r="AO23" s="79">
        <v>24.018821716308594</v>
      </c>
      <c r="AP23" s="79">
        <v>24.019927978515625</v>
      </c>
      <c r="AQ23" s="79">
        <v>24.020864486694336</v>
      </c>
      <c r="AR23" s="79">
        <v>24.021615982055664</v>
      </c>
      <c r="AS23" s="79">
        <v>24.023780822753906</v>
      </c>
      <c r="AT23" s="79">
        <v>24.017772674560547</v>
      </c>
      <c r="AU23" s="79">
        <v>24.019014358520508</v>
      </c>
      <c r="AV23" s="79">
        <v>24.020105361938477</v>
      </c>
      <c r="AW23" s="79">
        <v>24.021017074584961</v>
      </c>
      <c r="AX23" s="79">
        <v>24.021739959716797</v>
      </c>
    </row>
    <row r="24" spans="1:50" s="260" customFormat="1" ht="17.25" customHeight="1">
      <c r="A24" s="260" t="s">
        <v>277</v>
      </c>
      <c r="B24" s="260" t="s">
        <v>18</v>
      </c>
      <c r="C24" s="460">
        <v>318.97445678710938</v>
      </c>
      <c r="D24" s="460">
        <v>314.7396240234375</v>
      </c>
      <c r="E24" s="460">
        <v>309.8978271484375</v>
      </c>
      <c r="F24" s="460">
        <v>304.36843872070312</v>
      </c>
      <c r="G24" s="460">
        <v>297.96359252929688</v>
      </c>
      <c r="H24" s="460">
        <v>290.34335327148438</v>
      </c>
      <c r="I24" s="460">
        <v>317.96905517578125</v>
      </c>
      <c r="J24" s="460">
        <v>313.6619873046875</v>
      </c>
      <c r="K24" s="460">
        <v>308.68408203125</v>
      </c>
      <c r="L24" s="460">
        <v>302.92599487304688</v>
      </c>
      <c r="M24" s="460">
        <v>296.19232177734375</v>
      </c>
      <c r="N24" s="460">
        <v>288.14373779296875</v>
      </c>
      <c r="O24" s="460">
        <v>316.957763671875</v>
      </c>
      <c r="P24" s="460">
        <v>312.58343505859375</v>
      </c>
      <c r="Q24" s="460">
        <v>307.48764038085938</v>
      </c>
      <c r="R24" s="460">
        <v>301.52603149414062</v>
      </c>
      <c r="S24" s="460">
        <v>294.462890625</v>
      </c>
      <c r="T24" s="460">
        <v>285.94900512695312</v>
      </c>
      <c r="U24" s="460">
        <v>315.95748901367188</v>
      </c>
      <c r="V24" s="460">
        <v>311.505615234375</v>
      </c>
      <c r="W24" s="460">
        <v>306.30828857421875</v>
      </c>
      <c r="X24" s="460">
        <v>300.15463256835938</v>
      </c>
      <c r="Y24" s="460">
        <v>292.77987670898438</v>
      </c>
      <c r="Z24" s="460">
        <v>283.77993774414062</v>
      </c>
      <c r="AA24" s="460">
        <v>315.0225830078125</v>
      </c>
      <c r="AB24" s="460">
        <v>310.50711059570312</v>
      </c>
      <c r="AC24" s="460">
        <v>305.20147705078125</v>
      </c>
      <c r="AD24" s="460">
        <v>298.8734130859375</v>
      </c>
      <c r="AE24" s="460">
        <v>291.19601440429688</v>
      </c>
      <c r="AF24" s="460">
        <v>281.70166015625</v>
      </c>
      <c r="AG24" s="460">
        <v>314.0836181640625</v>
      </c>
      <c r="AH24" s="460">
        <v>309.513671875</v>
      </c>
      <c r="AI24" s="460">
        <v>304.09490966796875</v>
      </c>
      <c r="AJ24" s="460">
        <v>297.591064453125</v>
      </c>
      <c r="AK24" s="460">
        <v>289.6239013671875</v>
      </c>
      <c r="AL24" s="460">
        <v>279.6290283203125</v>
      </c>
      <c r="AM24" s="460">
        <v>313.13214111328125</v>
      </c>
      <c r="AN24" s="460">
        <v>308.4984130859375</v>
      </c>
      <c r="AO24" s="460">
        <v>302.97421264648438</v>
      </c>
      <c r="AP24" s="460">
        <v>296.296875</v>
      </c>
      <c r="AQ24" s="460">
        <v>288.03485107421875</v>
      </c>
      <c r="AR24" s="460">
        <v>277.53726196289062</v>
      </c>
      <c r="AS24" s="460">
        <v>311.27017211914062</v>
      </c>
      <c r="AT24" s="460">
        <v>306.4989013671875</v>
      </c>
      <c r="AU24" s="460">
        <v>300.80355834960938</v>
      </c>
      <c r="AV24" s="460">
        <v>293.86520385742188</v>
      </c>
      <c r="AW24" s="460">
        <v>285.20779418945312</v>
      </c>
      <c r="AX24" s="460">
        <v>274.07659912109375</v>
      </c>
    </row>
    <row r="25" spans="1:50" s="260" customFormat="1" ht="17.25" customHeight="1">
      <c r="A25" s="260" t="s">
        <v>275</v>
      </c>
      <c r="B25" s="260" t="s">
        <v>273</v>
      </c>
      <c r="C25" s="460">
        <v>12.772176742553711</v>
      </c>
      <c r="D25" s="460">
        <v>11.325741767883301</v>
      </c>
      <c r="E25" s="460">
        <v>9.9106216430664062</v>
      </c>
      <c r="F25" s="460">
        <v>8.5347499847412109</v>
      </c>
      <c r="G25" s="460">
        <v>7.1948256492614746</v>
      </c>
      <c r="H25" s="460">
        <v>5.8738279342651367</v>
      </c>
      <c r="I25" s="460">
        <v>12.797797203063965</v>
      </c>
      <c r="J25" s="460">
        <v>11.310160636901855</v>
      </c>
      <c r="K25" s="460">
        <v>9.8469734191894531</v>
      </c>
      <c r="L25" s="460">
        <v>8.4162864685058594</v>
      </c>
      <c r="M25" s="460">
        <v>7.0219159126281738</v>
      </c>
      <c r="N25" s="460">
        <v>5.654231071472168</v>
      </c>
      <c r="O25" s="460">
        <v>12.825390815734863</v>
      </c>
      <c r="P25" s="460">
        <v>11.297388076782227</v>
      </c>
      <c r="Q25" s="460">
        <v>9.790252685546875</v>
      </c>
      <c r="R25" s="460">
        <v>8.3095216751098633</v>
      </c>
      <c r="S25" s="460">
        <v>6.8598084449768066</v>
      </c>
      <c r="T25" s="460">
        <v>5.4403457641601562</v>
      </c>
      <c r="U25" s="460">
        <v>12.852175712585449</v>
      </c>
      <c r="V25" s="460">
        <v>11.283312797546387</v>
      </c>
      <c r="W25" s="460">
        <v>9.7342891693115234</v>
      </c>
      <c r="X25" s="460">
        <v>8.2062921524047852</v>
      </c>
      <c r="Y25" s="460">
        <v>6.7051968574523926</v>
      </c>
      <c r="Z25" s="460">
        <v>5.2322044372558594</v>
      </c>
      <c r="AA25" s="460">
        <v>12.907818794250488</v>
      </c>
      <c r="AB25" s="460">
        <v>11.294657707214355</v>
      </c>
      <c r="AC25" s="460">
        <v>9.6997652053833008</v>
      </c>
      <c r="AD25" s="460">
        <v>8.1246881484985352</v>
      </c>
      <c r="AE25" s="460">
        <v>6.5705108642578125</v>
      </c>
      <c r="AF25" s="460">
        <v>5.0409903526306152</v>
      </c>
      <c r="AG25" s="460">
        <v>12.965926170349121</v>
      </c>
      <c r="AH25" s="460">
        <v>11.30696964263916</v>
      </c>
      <c r="AI25" s="460">
        <v>9.6667308807373047</v>
      </c>
      <c r="AJ25" s="460">
        <v>8.0437297821044922</v>
      </c>
      <c r="AK25" s="460">
        <v>6.4392032623291016</v>
      </c>
      <c r="AL25" s="460">
        <v>4.853574275970459</v>
      </c>
      <c r="AM25" s="460">
        <v>13.022479057312012</v>
      </c>
      <c r="AN25" s="460">
        <v>11.317227363586426</v>
      </c>
      <c r="AO25" s="460">
        <v>9.6307573318481445</v>
      </c>
      <c r="AP25" s="460">
        <v>7.9605913162231445</v>
      </c>
      <c r="AQ25" s="460">
        <v>6.305696964263916</v>
      </c>
      <c r="AR25" s="460">
        <v>4.6661224365234375</v>
      </c>
      <c r="AS25" s="460">
        <v>12.717266082763672</v>
      </c>
      <c r="AT25" s="460">
        <v>11.003796577453613</v>
      </c>
      <c r="AU25" s="460">
        <v>9.307551383972168</v>
      </c>
      <c r="AV25" s="460">
        <v>7.6265950202941895</v>
      </c>
      <c r="AW25" s="460">
        <v>5.9582648277282715</v>
      </c>
      <c r="AX25" s="460">
        <v>4.3007616996765137</v>
      </c>
    </row>
    <row r="26" spans="1:50" s="260" customFormat="1" ht="17.25" customHeight="1">
      <c r="A26" s="298" t="s">
        <v>854</v>
      </c>
      <c r="B26" s="298" t="s">
        <v>18</v>
      </c>
      <c r="C26" s="460">
        <v>167.98942565917969</v>
      </c>
      <c r="D26" s="460">
        <v>175.025146484375</v>
      </c>
      <c r="E26" s="460">
        <v>181.6788330078125</v>
      </c>
      <c r="F26" s="460">
        <v>187.89651489257812</v>
      </c>
      <c r="G26" s="460">
        <v>193.78285217285156</v>
      </c>
      <c r="H26" s="460">
        <v>199.42219543457031</v>
      </c>
      <c r="I26" s="460">
        <v>168.92234802246094</v>
      </c>
      <c r="J26" s="460">
        <v>176.0306396484375</v>
      </c>
      <c r="K26" s="460">
        <v>182.77650451660156</v>
      </c>
      <c r="L26" s="460">
        <v>189.11073303222656</v>
      </c>
      <c r="M26" s="460">
        <v>195.10232543945312</v>
      </c>
      <c r="N26" s="460">
        <v>200.80287170410156</v>
      </c>
      <c r="O26" s="460">
        <v>169.87019348144531</v>
      </c>
      <c r="P26" s="460">
        <v>177.03775024414062</v>
      </c>
      <c r="Q26" s="460">
        <v>183.84730529785156</v>
      </c>
      <c r="R26" s="460">
        <v>190.26631164550781</v>
      </c>
      <c r="S26" s="460">
        <v>196.35560607910156</v>
      </c>
      <c r="T26" s="460">
        <v>202.12818908691406</v>
      </c>
      <c r="U26" s="460">
        <v>170.8194580078125</v>
      </c>
      <c r="V26" s="460">
        <v>178.03387451171875</v>
      </c>
      <c r="W26" s="460">
        <v>184.8994140625</v>
      </c>
      <c r="X26" s="460">
        <v>191.38304138183594</v>
      </c>
      <c r="Y26" s="460">
        <v>197.54508972167969</v>
      </c>
      <c r="Z26" s="460">
        <v>203.38790893554688</v>
      </c>
      <c r="AA26" s="460">
        <v>171.65486145019531</v>
      </c>
      <c r="AB26" s="460">
        <v>178.93489074707031</v>
      </c>
      <c r="AC26" s="460">
        <v>185.86143493652344</v>
      </c>
      <c r="AD26" s="460">
        <v>192.40171813964844</v>
      </c>
      <c r="AE26" s="460">
        <v>198.63446044921875</v>
      </c>
      <c r="AF26" s="460">
        <v>204.54978942871094</v>
      </c>
      <c r="AG26" s="460">
        <v>172.50006103515625</v>
      </c>
      <c r="AH26" s="460">
        <v>179.85197448730469</v>
      </c>
      <c r="AI26" s="460">
        <v>186.81930541992188</v>
      </c>
      <c r="AJ26" s="460">
        <v>193.40974426269531</v>
      </c>
      <c r="AK26" s="460">
        <v>199.69158935546875</v>
      </c>
      <c r="AL26" s="460">
        <v>205.66587829589844</v>
      </c>
      <c r="AM26" s="460">
        <v>173.37037658691406</v>
      </c>
      <c r="AN26" s="460">
        <v>180.7783203125</v>
      </c>
      <c r="AO26" s="460">
        <v>187.78884887695312</v>
      </c>
      <c r="AP26" s="460">
        <v>194.41632080078125</v>
      </c>
      <c r="AQ26" s="460">
        <v>200.73640441894531</v>
      </c>
      <c r="AR26" s="460">
        <v>206.74958801269531</v>
      </c>
      <c r="AS26" s="460">
        <v>175.82107543945312</v>
      </c>
      <c r="AT26" s="460">
        <v>183.05287170410156</v>
      </c>
      <c r="AU26" s="460">
        <v>189.88958740234375</v>
      </c>
      <c r="AV26" s="460">
        <v>196.36317443847656</v>
      </c>
      <c r="AW26" s="460">
        <v>202.53826904296875</v>
      </c>
      <c r="AX26" s="460">
        <v>208.41964721679688</v>
      </c>
    </row>
    <row r="27" spans="1:50" s="260" customFormat="1" ht="17.25" customHeight="1"/>
    <row r="28" spans="1:50" s="260" customFormat="1" ht="17.25" customHeight="1">
      <c r="A28" s="298" t="s">
        <v>991</v>
      </c>
    </row>
    <row r="29" spans="1:50" s="260" customFormat="1" ht="17.25" customHeight="1"/>
    <row r="30" spans="1:50" s="260" customFormat="1" ht="17.25" customHeight="1"/>
    <row r="31" spans="1:50" s="260" customFormat="1" ht="17.25" customHeight="1"/>
    <row r="32" spans="1:50" s="260" customFormat="1" ht="17.25" customHeight="1"/>
    <row r="33" s="260" customFormat="1" ht="17.25" customHeight="1"/>
    <row r="34" s="260" customFormat="1" ht="17.25" customHeight="1"/>
    <row r="35" s="260" customFormat="1" ht="17.25" customHeight="1"/>
    <row r="36" s="260" customFormat="1" ht="17.25" customHeight="1"/>
    <row r="37" s="260" customFormat="1" ht="17.25" customHeight="1"/>
    <row r="38" s="260" customFormat="1" ht="17.25" customHeight="1"/>
    <row r="39" s="260" customFormat="1" ht="17.25" customHeight="1"/>
    <row r="40" s="260" customFormat="1" ht="17.25" customHeight="1"/>
    <row r="41" s="260" customFormat="1" ht="17.25" customHeight="1"/>
    <row r="42" s="260" customFormat="1" ht="17.25" customHeight="1"/>
    <row r="43" s="260" customFormat="1" ht="17.25" customHeight="1"/>
    <row r="44" s="260" customFormat="1" ht="17.25" customHeight="1"/>
    <row r="45" s="260" customFormat="1" ht="17.25" customHeight="1"/>
    <row r="46" s="260" customFormat="1" ht="17.25" customHeight="1"/>
    <row r="47" s="260" customFormat="1" ht="17.25" customHeight="1"/>
    <row r="48" s="260" customFormat="1" ht="17.25" customHeight="1"/>
    <row r="49" spans="1:50" s="260" customFormat="1" ht="17.25" customHeight="1"/>
    <row r="50" spans="1:50" s="260" customFormat="1" ht="17.25" customHeight="1"/>
    <row r="51" spans="1:50" s="260" customFormat="1" ht="17.25" customHeight="1"/>
    <row r="52" spans="1:50" s="260" customFormat="1" ht="17.25" customHeight="1"/>
    <row r="53" spans="1:50" s="141" customFormat="1" ht="17.25" customHeight="1">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c r="AA53" s="128"/>
      <c r="AB53" s="128"/>
      <c r="AC53" s="128"/>
      <c r="AD53" s="128"/>
      <c r="AE53" s="128"/>
      <c r="AF53" s="128"/>
      <c r="AG53" s="128"/>
      <c r="AH53" s="128"/>
      <c r="AI53" s="128"/>
      <c r="AJ53" s="128"/>
      <c r="AK53" s="128"/>
      <c r="AL53" s="128"/>
      <c r="AM53" s="128"/>
      <c r="AN53" s="128"/>
      <c r="AO53" s="128"/>
      <c r="AP53" s="128"/>
      <c r="AQ53" s="128"/>
      <c r="AR53" s="128"/>
      <c r="AS53" s="128"/>
      <c r="AT53" s="128"/>
      <c r="AU53" s="128"/>
      <c r="AV53" s="128"/>
      <c r="AW53" s="128"/>
      <c r="AX53" s="128"/>
    </row>
    <row r="54" spans="1:50" ht="17.25" customHeight="1">
      <c r="A54" s="97"/>
      <c r="B54" s="141"/>
      <c r="C54" s="141"/>
      <c r="D54" s="97"/>
      <c r="E54" s="141"/>
      <c r="F54" s="141"/>
      <c r="G54" s="141"/>
      <c r="H54" s="141"/>
      <c r="I54" s="141"/>
      <c r="J54" s="141"/>
      <c r="K54" s="141"/>
      <c r="L54" s="141"/>
      <c r="M54" s="141"/>
      <c r="N54" s="141"/>
      <c r="O54" s="141"/>
      <c r="P54" s="141"/>
      <c r="Q54" s="141"/>
      <c r="R54" s="141"/>
      <c r="S54" s="141"/>
      <c r="T54" s="141"/>
      <c r="U54" s="141"/>
      <c r="V54" s="141"/>
      <c r="W54" s="141"/>
      <c r="X54" s="141"/>
      <c r="Y54" s="141"/>
      <c r="Z54" s="141"/>
      <c r="AA54" s="141"/>
      <c r="AB54" s="141"/>
      <c r="AC54" s="141"/>
      <c r="AD54" s="141"/>
      <c r="AE54" s="141"/>
      <c r="AF54" s="141"/>
      <c r="AG54" s="141"/>
      <c r="AH54" s="141"/>
      <c r="AI54" s="141"/>
      <c r="AJ54" s="141"/>
      <c r="AK54" s="141"/>
      <c r="AL54" s="141"/>
      <c r="AM54" s="141"/>
      <c r="AN54" s="141"/>
      <c r="AO54" s="141"/>
      <c r="AP54" s="141"/>
      <c r="AQ54" s="141"/>
      <c r="AR54" s="141"/>
      <c r="AS54" s="141"/>
      <c r="AT54" s="141"/>
      <c r="AU54" s="141"/>
      <c r="AV54" s="141"/>
      <c r="AW54" s="141"/>
      <c r="AX54" s="141"/>
    </row>
    <row r="55" spans="1:50" ht="17.25" customHeight="1">
      <c r="A55" s="141"/>
      <c r="B55" s="141"/>
      <c r="C55" s="141"/>
      <c r="D55" s="97"/>
      <c r="E55" s="141"/>
      <c r="F55" s="141"/>
      <c r="G55" s="141"/>
      <c r="H55" s="141"/>
      <c r="I55" s="141"/>
      <c r="J55" s="141"/>
      <c r="K55" s="141"/>
      <c r="L55" s="141"/>
      <c r="M55" s="141"/>
      <c r="N55" s="141"/>
      <c r="O55" s="141"/>
      <c r="P55" s="141"/>
      <c r="Q55" s="141"/>
      <c r="R55" s="141"/>
      <c r="S55" s="141"/>
      <c r="T55" s="141"/>
      <c r="U55" s="141"/>
      <c r="V55" s="141"/>
      <c r="W55" s="141"/>
      <c r="X55" s="141"/>
      <c r="Y55" s="141"/>
      <c r="Z55" s="141"/>
      <c r="AA55" s="141"/>
      <c r="AB55" s="141"/>
      <c r="AC55" s="141"/>
      <c r="AD55" s="141"/>
      <c r="AE55" s="141"/>
      <c r="AF55" s="141"/>
      <c r="AG55" s="141"/>
      <c r="AH55" s="141"/>
      <c r="AI55" s="141"/>
      <c r="AJ55" s="141"/>
      <c r="AK55" s="141"/>
      <c r="AL55" s="141"/>
      <c r="AM55" s="141"/>
      <c r="AN55" s="141"/>
      <c r="AO55" s="141"/>
      <c r="AP55" s="141"/>
      <c r="AQ55" s="141"/>
      <c r="AR55" s="141"/>
      <c r="AS55" s="141"/>
      <c r="AT55" s="141"/>
      <c r="AU55" s="141"/>
      <c r="AV55" s="141"/>
      <c r="AW55" s="141"/>
      <c r="AX55" s="141"/>
    </row>
    <row r="56" spans="1:50" s="533" customFormat="1" ht="17.25" customHeight="1" thickBot="1">
      <c r="A56" s="533" t="s">
        <v>856</v>
      </c>
    </row>
    <row r="57" spans="1:50" ht="17.25" customHeight="1" thickTop="1">
      <c r="A57" s="87" t="s">
        <v>264</v>
      </c>
    </row>
    <row r="58" spans="1:50" ht="17.25" customHeight="1">
      <c r="A58" s="128" t="s">
        <v>265</v>
      </c>
      <c r="C58" s="39" t="s">
        <v>267</v>
      </c>
      <c r="D58" s="39" t="s">
        <v>267</v>
      </c>
      <c r="E58" s="39" t="s">
        <v>267</v>
      </c>
      <c r="F58" s="39" t="s">
        <v>267</v>
      </c>
      <c r="G58" s="39" t="s">
        <v>267</v>
      </c>
      <c r="H58" s="39" t="s">
        <v>267</v>
      </c>
      <c r="I58" s="39" t="s">
        <v>267</v>
      </c>
      <c r="J58" s="39" t="s">
        <v>267</v>
      </c>
      <c r="K58" s="39" t="s">
        <v>267</v>
      </c>
      <c r="L58" s="39" t="s">
        <v>267</v>
      </c>
      <c r="M58" s="39" t="s">
        <v>267</v>
      </c>
      <c r="N58" s="39" t="s">
        <v>267</v>
      </c>
      <c r="O58" s="39" t="s">
        <v>267</v>
      </c>
      <c r="P58" s="39" t="s">
        <v>267</v>
      </c>
      <c r="Q58" s="39" t="s">
        <v>267</v>
      </c>
      <c r="R58" s="39" t="s">
        <v>267</v>
      </c>
      <c r="S58" s="39" t="s">
        <v>267</v>
      </c>
      <c r="T58" s="39" t="s">
        <v>267</v>
      </c>
      <c r="U58" s="39" t="s">
        <v>267</v>
      </c>
      <c r="V58" s="39" t="s">
        <v>267</v>
      </c>
      <c r="W58" s="39" t="s">
        <v>267</v>
      </c>
      <c r="X58" s="39" t="s">
        <v>267</v>
      </c>
      <c r="Y58" s="39" t="s">
        <v>267</v>
      </c>
      <c r="Z58" s="39" t="s">
        <v>267</v>
      </c>
      <c r="AA58" s="39" t="s">
        <v>267</v>
      </c>
      <c r="AB58" s="39" t="s">
        <v>267</v>
      </c>
      <c r="AC58" s="39" t="s">
        <v>267</v>
      </c>
      <c r="AD58" s="39" t="s">
        <v>267</v>
      </c>
      <c r="AE58" s="39" t="s">
        <v>267</v>
      </c>
      <c r="AF58" s="39" t="s">
        <v>267</v>
      </c>
      <c r="AG58" s="39" t="s">
        <v>267</v>
      </c>
      <c r="AH58" s="39" t="s">
        <v>267</v>
      </c>
      <c r="AI58" s="39" t="s">
        <v>267</v>
      </c>
      <c r="AJ58" s="39" t="s">
        <v>267</v>
      </c>
      <c r="AK58" s="39" t="s">
        <v>267</v>
      </c>
      <c r="AL58" s="39" t="s">
        <v>267</v>
      </c>
      <c r="AM58" s="39" t="s">
        <v>267</v>
      </c>
      <c r="AN58" s="39" t="s">
        <v>267</v>
      </c>
      <c r="AO58" s="39" t="s">
        <v>267</v>
      </c>
      <c r="AP58" s="39" t="s">
        <v>267</v>
      </c>
      <c r="AQ58" s="39" t="s">
        <v>267</v>
      </c>
      <c r="AR58" s="39" t="s">
        <v>267</v>
      </c>
      <c r="AS58" s="39" t="s">
        <v>267</v>
      </c>
      <c r="AT58" s="39" t="s">
        <v>267</v>
      </c>
      <c r="AU58" s="39" t="s">
        <v>267</v>
      </c>
      <c r="AV58" s="39" t="s">
        <v>267</v>
      </c>
      <c r="AW58" s="39" t="s">
        <v>267</v>
      </c>
      <c r="AX58" s="39" t="s">
        <v>267</v>
      </c>
    </row>
    <row r="59" spans="1:50" s="141" customFormat="1" ht="17.25" customHeight="1">
      <c r="A59" s="128" t="s">
        <v>268</v>
      </c>
      <c r="B59" s="128"/>
      <c r="C59" s="219">
        <v>100</v>
      </c>
      <c r="D59" s="219">
        <v>90</v>
      </c>
      <c r="E59" s="219">
        <v>80</v>
      </c>
      <c r="F59" s="219">
        <v>70</v>
      </c>
      <c r="G59" s="219">
        <v>60</v>
      </c>
      <c r="H59" s="219">
        <v>50</v>
      </c>
      <c r="I59" s="219">
        <v>100</v>
      </c>
      <c r="J59" s="219">
        <v>90</v>
      </c>
      <c r="K59" s="219">
        <v>80</v>
      </c>
      <c r="L59" s="219">
        <v>70</v>
      </c>
      <c r="M59" s="219">
        <v>60</v>
      </c>
      <c r="N59" s="219">
        <v>50</v>
      </c>
      <c r="O59" s="219">
        <v>100</v>
      </c>
      <c r="P59" s="219">
        <v>90</v>
      </c>
      <c r="Q59" s="219">
        <v>80</v>
      </c>
      <c r="R59" s="219">
        <v>70</v>
      </c>
      <c r="S59" s="219">
        <v>60</v>
      </c>
      <c r="T59" s="219">
        <v>50</v>
      </c>
      <c r="U59" s="219">
        <v>100</v>
      </c>
      <c r="V59" s="219">
        <v>90</v>
      </c>
      <c r="W59" s="219">
        <v>80</v>
      </c>
      <c r="X59" s="219">
        <v>70</v>
      </c>
      <c r="Y59" s="219">
        <v>60</v>
      </c>
      <c r="Z59" s="219">
        <v>50</v>
      </c>
      <c r="AA59" s="219">
        <v>100</v>
      </c>
      <c r="AB59" s="219">
        <v>90</v>
      </c>
      <c r="AC59" s="219">
        <v>80</v>
      </c>
      <c r="AD59" s="219">
        <v>70</v>
      </c>
      <c r="AE59" s="219">
        <v>60</v>
      </c>
      <c r="AF59" s="219">
        <v>50</v>
      </c>
      <c r="AG59" s="219">
        <v>100</v>
      </c>
      <c r="AH59" s="219">
        <v>90</v>
      </c>
      <c r="AI59" s="219">
        <v>80</v>
      </c>
      <c r="AJ59" s="219">
        <v>70</v>
      </c>
      <c r="AK59" s="219">
        <v>60</v>
      </c>
      <c r="AL59" s="219">
        <v>50</v>
      </c>
      <c r="AM59" s="219">
        <v>100</v>
      </c>
      <c r="AN59" s="219">
        <v>90</v>
      </c>
      <c r="AO59" s="219">
        <v>80</v>
      </c>
      <c r="AP59" s="219">
        <v>70</v>
      </c>
      <c r="AQ59" s="219">
        <v>60</v>
      </c>
      <c r="AR59" s="219">
        <v>50</v>
      </c>
      <c r="AS59" s="219">
        <v>100</v>
      </c>
      <c r="AT59" s="219">
        <v>90</v>
      </c>
      <c r="AU59" s="219">
        <v>80</v>
      </c>
      <c r="AV59" s="219">
        <v>70</v>
      </c>
      <c r="AW59" s="219">
        <v>60</v>
      </c>
      <c r="AX59" s="219">
        <v>50</v>
      </c>
    </row>
    <row r="60" spans="1:50" ht="17.25" customHeight="1">
      <c r="A60" s="128" t="s">
        <v>133</v>
      </c>
      <c r="B60" s="128" t="s">
        <v>18</v>
      </c>
      <c r="C60" s="219">
        <v>25</v>
      </c>
      <c r="D60" s="219">
        <v>25</v>
      </c>
      <c r="E60" s="219">
        <v>25</v>
      </c>
      <c r="F60" s="219">
        <v>25</v>
      </c>
      <c r="G60" s="219">
        <v>25</v>
      </c>
      <c r="H60" s="219">
        <v>25</v>
      </c>
      <c r="I60" s="219">
        <v>20</v>
      </c>
      <c r="J60" s="219">
        <v>20</v>
      </c>
      <c r="K60" s="219">
        <v>20</v>
      </c>
      <c r="L60" s="219">
        <v>20</v>
      </c>
      <c r="M60" s="219">
        <v>20</v>
      </c>
      <c r="N60" s="219">
        <v>20</v>
      </c>
      <c r="O60" s="219">
        <v>15</v>
      </c>
      <c r="P60" s="219">
        <v>15</v>
      </c>
      <c r="Q60" s="219">
        <v>15</v>
      </c>
      <c r="R60" s="219">
        <v>15</v>
      </c>
      <c r="S60" s="219">
        <v>15</v>
      </c>
      <c r="T60" s="219">
        <v>15</v>
      </c>
      <c r="U60" s="219">
        <v>10</v>
      </c>
      <c r="V60" s="219">
        <v>10</v>
      </c>
      <c r="W60" s="219">
        <v>10</v>
      </c>
      <c r="X60" s="219">
        <v>10</v>
      </c>
      <c r="Y60" s="219">
        <v>10</v>
      </c>
      <c r="Z60" s="219">
        <v>10</v>
      </c>
      <c r="AA60" s="219">
        <v>5</v>
      </c>
      <c r="AB60" s="219">
        <v>5</v>
      </c>
      <c r="AC60" s="219">
        <v>5</v>
      </c>
      <c r="AD60" s="219">
        <v>5</v>
      </c>
      <c r="AE60" s="219">
        <v>5</v>
      </c>
      <c r="AF60" s="219">
        <v>5</v>
      </c>
      <c r="AG60" s="219">
        <v>0</v>
      </c>
      <c r="AH60" s="219">
        <v>0</v>
      </c>
      <c r="AI60" s="219">
        <v>0</v>
      </c>
      <c r="AJ60" s="219">
        <v>0</v>
      </c>
      <c r="AK60" s="219">
        <v>0</v>
      </c>
      <c r="AL60" s="219">
        <v>0</v>
      </c>
      <c r="AM60" s="219">
        <v>-5</v>
      </c>
      <c r="AN60" s="219">
        <v>-5</v>
      </c>
      <c r="AO60" s="219">
        <v>-5</v>
      </c>
      <c r="AP60" s="219">
        <v>-5</v>
      </c>
      <c r="AQ60" s="219">
        <v>-5</v>
      </c>
      <c r="AR60" s="219">
        <v>-5</v>
      </c>
      <c r="AS60" s="219">
        <v>-10</v>
      </c>
      <c r="AT60" s="219">
        <v>-10</v>
      </c>
      <c r="AU60" s="219">
        <v>-10</v>
      </c>
      <c r="AV60" s="219">
        <v>-10</v>
      </c>
      <c r="AW60" s="219">
        <v>-10</v>
      </c>
      <c r="AX60" s="219">
        <v>-10</v>
      </c>
    </row>
    <row r="61" spans="1:50" ht="17.25" customHeight="1">
      <c r="A61" s="128" t="s">
        <v>852</v>
      </c>
      <c r="B61" s="128" t="s">
        <v>8</v>
      </c>
      <c r="C61" s="219">
        <v>0</v>
      </c>
      <c r="D61" s="219">
        <v>0</v>
      </c>
      <c r="E61" s="219">
        <v>0</v>
      </c>
      <c r="F61" s="219">
        <v>0</v>
      </c>
      <c r="G61" s="219">
        <v>0</v>
      </c>
      <c r="H61" s="219">
        <v>0</v>
      </c>
      <c r="I61" s="219">
        <v>0</v>
      </c>
      <c r="J61" s="219">
        <v>0</v>
      </c>
      <c r="K61" s="219">
        <v>0</v>
      </c>
      <c r="L61" s="219">
        <v>0</v>
      </c>
      <c r="M61" s="219">
        <v>0</v>
      </c>
      <c r="N61" s="219">
        <v>0</v>
      </c>
      <c r="O61" s="219">
        <v>0</v>
      </c>
      <c r="P61" s="219">
        <v>0</v>
      </c>
      <c r="Q61" s="219">
        <v>0</v>
      </c>
      <c r="R61" s="219">
        <v>0</v>
      </c>
      <c r="S61" s="219">
        <v>0</v>
      </c>
      <c r="T61" s="219">
        <v>0</v>
      </c>
      <c r="U61" s="219">
        <v>0</v>
      </c>
      <c r="V61" s="219">
        <v>0</v>
      </c>
      <c r="W61" s="219">
        <v>0</v>
      </c>
      <c r="X61" s="219">
        <v>0</v>
      </c>
      <c r="Y61" s="219">
        <v>0</v>
      </c>
      <c r="Z61" s="219">
        <v>0</v>
      </c>
      <c r="AA61" s="219">
        <v>0</v>
      </c>
      <c r="AB61" s="219">
        <v>0</v>
      </c>
      <c r="AC61" s="219">
        <v>0</v>
      </c>
      <c r="AD61" s="219">
        <v>0</v>
      </c>
      <c r="AE61" s="219">
        <v>0</v>
      </c>
      <c r="AF61" s="219">
        <v>0</v>
      </c>
      <c r="AG61" s="219">
        <v>0</v>
      </c>
      <c r="AH61" s="219">
        <v>0</v>
      </c>
      <c r="AI61" s="219">
        <v>0</v>
      </c>
      <c r="AJ61" s="219">
        <v>0</v>
      </c>
      <c r="AK61" s="219">
        <v>0</v>
      </c>
      <c r="AL61" s="219">
        <v>0</v>
      </c>
      <c r="AM61" s="219">
        <v>0</v>
      </c>
      <c r="AN61" s="219">
        <v>0</v>
      </c>
      <c r="AO61" s="219">
        <v>0</v>
      </c>
      <c r="AP61" s="219">
        <v>0</v>
      </c>
      <c r="AQ61" s="219">
        <v>0</v>
      </c>
      <c r="AR61" s="219">
        <v>0</v>
      </c>
      <c r="AS61" s="219">
        <v>0</v>
      </c>
      <c r="AT61" s="219">
        <v>0</v>
      </c>
      <c r="AU61" s="219">
        <v>0</v>
      </c>
      <c r="AV61" s="219">
        <v>0</v>
      </c>
      <c r="AW61" s="219">
        <v>0</v>
      </c>
      <c r="AX61" s="219">
        <v>0</v>
      </c>
    </row>
    <row r="62" spans="1:50" ht="17.25" customHeight="1">
      <c r="A62" s="128" t="s">
        <v>853</v>
      </c>
      <c r="B62" s="128" t="s">
        <v>273</v>
      </c>
      <c r="C62" s="219">
        <v>1</v>
      </c>
      <c r="D62" s="219">
        <v>1</v>
      </c>
      <c r="E62" s="219">
        <v>1</v>
      </c>
      <c r="F62" s="219">
        <v>1</v>
      </c>
      <c r="G62" s="219">
        <v>1</v>
      </c>
      <c r="H62" s="219">
        <v>1</v>
      </c>
      <c r="I62" s="219">
        <v>1</v>
      </c>
      <c r="J62" s="219">
        <v>1</v>
      </c>
      <c r="K62" s="219">
        <v>1</v>
      </c>
      <c r="L62" s="219">
        <v>1</v>
      </c>
      <c r="M62" s="219">
        <v>1</v>
      </c>
      <c r="N62" s="219">
        <v>1</v>
      </c>
      <c r="O62" s="219">
        <v>1</v>
      </c>
      <c r="P62" s="219">
        <v>1</v>
      </c>
      <c r="Q62" s="219">
        <v>1</v>
      </c>
      <c r="R62" s="219">
        <v>1</v>
      </c>
      <c r="S62" s="219">
        <v>1</v>
      </c>
      <c r="T62" s="219">
        <v>1</v>
      </c>
      <c r="U62" s="219">
        <v>1</v>
      </c>
      <c r="V62" s="219">
        <v>1</v>
      </c>
      <c r="W62" s="219">
        <v>1</v>
      </c>
      <c r="X62" s="219">
        <v>1</v>
      </c>
      <c r="Y62" s="219">
        <v>1</v>
      </c>
      <c r="Z62" s="219">
        <v>1</v>
      </c>
      <c r="AA62" s="219">
        <v>1</v>
      </c>
      <c r="AB62" s="219">
        <v>1</v>
      </c>
      <c r="AC62" s="219">
        <v>1</v>
      </c>
      <c r="AD62" s="219">
        <v>1</v>
      </c>
      <c r="AE62" s="219">
        <v>1</v>
      </c>
      <c r="AF62" s="219">
        <v>1</v>
      </c>
      <c r="AG62" s="219">
        <v>1</v>
      </c>
      <c r="AH62" s="219">
        <v>1</v>
      </c>
      <c r="AI62" s="219">
        <v>1</v>
      </c>
      <c r="AJ62" s="219">
        <v>1</v>
      </c>
      <c r="AK62" s="219">
        <v>1</v>
      </c>
      <c r="AL62" s="219">
        <v>1</v>
      </c>
      <c r="AM62" s="219">
        <v>1</v>
      </c>
      <c r="AN62" s="219">
        <v>1</v>
      </c>
      <c r="AO62" s="219">
        <v>1</v>
      </c>
      <c r="AP62" s="219">
        <v>1</v>
      </c>
      <c r="AQ62" s="219">
        <v>1</v>
      </c>
      <c r="AR62" s="219">
        <v>1</v>
      </c>
      <c r="AS62" s="219">
        <v>1</v>
      </c>
      <c r="AT62" s="219">
        <v>1</v>
      </c>
      <c r="AU62" s="219">
        <v>1</v>
      </c>
      <c r="AV62" s="219">
        <v>1</v>
      </c>
      <c r="AW62" s="219">
        <v>1</v>
      </c>
      <c r="AX62" s="219">
        <v>1</v>
      </c>
    </row>
    <row r="63" spans="1:50" ht="17.25" customHeight="1">
      <c r="C63" s="219"/>
      <c r="D63" s="219"/>
      <c r="E63" s="219"/>
      <c r="F63" s="219"/>
      <c r="G63" s="219"/>
      <c r="H63" s="219"/>
      <c r="I63" s="219"/>
      <c r="J63" s="219"/>
      <c r="K63" s="219"/>
      <c r="L63" s="219"/>
      <c r="M63" s="219"/>
      <c r="N63" s="219"/>
      <c r="O63" s="219"/>
      <c r="P63" s="219"/>
      <c r="Q63" s="219"/>
      <c r="R63" s="219"/>
      <c r="S63" s="219"/>
      <c r="T63" s="219"/>
      <c r="U63" s="219"/>
      <c r="V63" s="219"/>
      <c r="W63" s="219"/>
      <c r="X63" s="219"/>
      <c r="Y63" s="219"/>
      <c r="Z63" s="219"/>
      <c r="AA63" s="219"/>
      <c r="AB63" s="219"/>
      <c r="AC63" s="219"/>
      <c r="AD63" s="219"/>
      <c r="AE63" s="219"/>
      <c r="AF63" s="219"/>
      <c r="AG63" s="219"/>
      <c r="AH63" s="219"/>
      <c r="AI63" s="219"/>
      <c r="AJ63" s="219"/>
      <c r="AK63" s="219"/>
      <c r="AL63" s="219"/>
      <c r="AM63" s="219"/>
      <c r="AN63" s="219"/>
      <c r="AO63" s="219"/>
      <c r="AP63" s="219"/>
      <c r="AQ63" s="219"/>
      <c r="AR63" s="219"/>
      <c r="AS63" s="219"/>
      <c r="AT63" s="219"/>
      <c r="AU63" s="219"/>
      <c r="AV63" s="219"/>
      <c r="AW63" s="219"/>
      <c r="AX63" s="219"/>
    </row>
    <row r="64" spans="1:50" ht="17.25" customHeight="1">
      <c r="A64" s="128" t="s">
        <v>269</v>
      </c>
      <c r="B64" s="128" t="s">
        <v>266</v>
      </c>
      <c r="C64" s="219" t="s">
        <v>55</v>
      </c>
      <c r="D64" s="219" t="s">
        <v>55</v>
      </c>
      <c r="E64" s="219" t="s">
        <v>55</v>
      </c>
      <c r="F64" s="219" t="s">
        <v>55</v>
      </c>
      <c r="G64" s="219" t="s">
        <v>55</v>
      </c>
      <c r="H64" s="219" t="s">
        <v>55</v>
      </c>
      <c r="I64" s="219" t="s">
        <v>55</v>
      </c>
      <c r="J64" s="219" t="s">
        <v>55</v>
      </c>
      <c r="K64" s="219" t="s">
        <v>55</v>
      </c>
      <c r="L64" s="219" t="s">
        <v>55</v>
      </c>
      <c r="M64" s="219" t="s">
        <v>55</v>
      </c>
      <c r="N64" s="219" t="s">
        <v>55</v>
      </c>
      <c r="O64" s="219" t="s">
        <v>55</v>
      </c>
      <c r="P64" s="219" t="s">
        <v>55</v>
      </c>
      <c r="Q64" s="219" t="s">
        <v>55</v>
      </c>
      <c r="R64" s="219" t="s">
        <v>55</v>
      </c>
      <c r="S64" s="219" t="s">
        <v>55</v>
      </c>
      <c r="T64" s="219" t="s">
        <v>55</v>
      </c>
      <c r="U64" s="219" t="s">
        <v>55</v>
      </c>
      <c r="V64" s="219" t="s">
        <v>55</v>
      </c>
      <c r="W64" s="219" t="s">
        <v>55</v>
      </c>
      <c r="X64" s="219" t="s">
        <v>55</v>
      </c>
      <c r="Y64" s="219" t="s">
        <v>55</v>
      </c>
      <c r="Z64" s="219" t="s">
        <v>55</v>
      </c>
      <c r="AA64" s="219" t="s">
        <v>55</v>
      </c>
      <c r="AB64" s="219" t="s">
        <v>55</v>
      </c>
      <c r="AC64" s="219" t="s">
        <v>55</v>
      </c>
      <c r="AD64" s="219" t="s">
        <v>55</v>
      </c>
      <c r="AE64" s="219" t="s">
        <v>55</v>
      </c>
      <c r="AF64" s="219" t="s">
        <v>55</v>
      </c>
      <c r="AG64" s="219" t="s">
        <v>55</v>
      </c>
      <c r="AH64" s="219" t="s">
        <v>55</v>
      </c>
      <c r="AI64" s="219" t="s">
        <v>55</v>
      </c>
      <c r="AJ64" s="219" t="s">
        <v>55</v>
      </c>
      <c r="AK64" s="219" t="s">
        <v>55</v>
      </c>
      <c r="AL64" s="219" t="s">
        <v>55</v>
      </c>
      <c r="AM64" s="219" t="s">
        <v>55</v>
      </c>
      <c r="AN64" s="219" t="s">
        <v>55</v>
      </c>
      <c r="AO64" s="219" t="s">
        <v>55</v>
      </c>
      <c r="AP64" s="219" t="s">
        <v>55</v>
      </c>
      <c r="AQ64" s="219" t="s">
        <v>55</v>
      </c>
      <c r="AR64" s="219" t="s">
        <v>55</v>
      </c>
      <c r="AS64" s="219" t="s">
        <v>55</v>
      </c>
      <c r="AT64" s="219" t="s">
        <v>55</v>
      </c>
      <c r="AU64" s="219" t="s">
        <v>55</v>
      </c>
      <c r="AV64" s="219" t="s">
        <v>55</v>
      </c>
      <c r="AW64" s="219" t="s">
        <v>55</v>
      </c>
      <c r="AX64" s="219" t="s">
        <v>55</v>
      </c>
    </row>
    <row r="65" spans="1:50" ht="17.25" customHeight="1">
      <c r="A65" s="128" t="s">
        <v>270</v>
      </c>
      <c r="B65" s="128" t="s">
        <v>8</v>
      </c>
      <c r="C65" s="219">
        <v>5898.2109375</v>
      </c>
      <c r="D65" s="219">
        <v>5309.56494140625</v>
      </c>
      <c r="E65" s="219">
        <v>4720.51513671875</v>
      </c>
      <c r="F65" s="219">
        <v>4131.1826171875</v>
      </c>
      <c r="G65" s="219">
        <v>3541.650390625</v>
      </c>
      <c r="H65" s="219">
        <v>2951.998779296875</v>
      </c>
      <c r="I65" s="219">
        <v>6089.763671875</v>
      </c>
      <c r="J65" s="219">
        <v>5482.1337890625</v>
      </c>
      <c r="K65" s="219">
        <v>4873.7138671875</v>
      </c>
      <c r="L65" s="219">
        <v>4265.29345703125</v>
      </c>
      <c r="M65" s="219">
        <v>3656.665771484375</v>
      </c>
      <c r="N65" s="219">
        <v>3047.870361328125</v>
      </c>
      <c r="O65" s="219">
        <v>6287.05029296875</v>
      </c>
      <c r="P65" s="219">
        <v>5659.875</v>
      </c>
      <c r="Q65" s="219">
        <v>5031.76513671875</v>
      </c>
      <c r="R65" s="219">
        <v>4403.72021484375</v>
      </c>
      <c r="S65" s="219">
        <v>3775.113037109375</v>
      </c>
      <c r="T65" s="219">
        <v>3146.6005859375</v>
      </c>
      <c r="U65" s="219">
        <v>6489.61865234375</v>
      </c>
      <c r="V65" s="219">
        <v>5842.0244140625</v>
      </c>
      <c r="W65" s="219">
        <v>5194.0693359375</v>
      </c>
      <c r="X65" s="219">
        <v>4545.50830078125</v>
      </c>
      <c r="Y65" s="219">
        <v>3897.064697265625</v>
      </c>
      <c r="Z65" s="219">
        <v>3248.324951171875</v>
      </c>
      <c r="AA65" s="219">
        <v>6710.6337890625</v>
      </c>
      <c r="AB65" s="219">
        <v>6041.0771484375</v>
      </c>
      <c r="AC65" s="219">
        <v>5370.7998046875</v>
      </c>
      <c r="AD65" s="219">
        <v>4700.5283203125</v>
      </c>
      <c r="AE65" s="219">
        <v>4029.727783203125</v>
      </c>
      <c r="AF65" s="219">
        <v>3358.940673828125</v>
      </c>
      <c r="AG65" s="219">
        <v>6939.685546875</v>
      </c>
      <c r="AH65" s="219">
        <v>6247.40185546875</v>
      </c>
      <c r="AI65" s="219">
        <v>5554.275390625</v>
      </c>
      <c r="AJ65" s="219">
        <v>4860.892578125</v>
      </c>
      <c r="AK65" s="219">
        <v>4167.50244140625</v>
      </c>
      <c r="AL65" s="219">
        <v>3473.683349609375</v>
      </c>
      <c r="AM65" s="219">
        <v>7175.94921875</v>
      </c>
      <c r="AN65" s="219">
        <v>6460.23681640625</v>
      </c>
      <c r="AO65" s="219">
        <v>5743.5419921875</v>
      </c>
      <c r="AP65" s="219">
        <v>5026.56640625</v>
      </c>
      <c r="AQ65" s="219">
        <v>4309.36865234375</v>
      </c>
      <c r="AR65" s="219">
        <v>3592.14111328125</v>
      </c>
      <c r="AS65" s="219">
        <v>7268.4736328125</v>
      </c>
      <c r="AT65" s="219">
        <v>6543.0556640625</v>
      </c>
      <c r="AU65" s="219">
        <v>5816.80419921875</v>
      </c>
      <c r="AV65" s="219">
        <v>5090.32568359375</v>
      </c>
      <c r="AW65" s="219">
        <v>4363.708984375</v>
      </c>
      <c r="AX65" s="219">
        <v>3637.189697265625</v>
      </c>
    </row>
    <row r="66" spans="1:50" ht="17.25" customHeight="1">
      <c r="A66" s="128" t="s">
        <v>283</v>
      </c>
      <c r="B66" s="128" t="s">
        <v>8</v>
      </c>
      <c r="C66" s="219">
        <v>5665.30859375</v>
      </c>
      <c r="D66" s="219">
        <v>5078.34912109375</v>
      </c>
      <c r="E66" s="219">
        <v>4492.15234375</v>
      </c>
      <c r="F66" s="219">
        <v>3908.149169921875</v>
      </c>
      <c r="G66" s="219">
        <v>3323.864013671875</v>
      </c>
      <c r="H66" s="219">
        <v>2739.334228515625</v>
      </c>
      <c r="I66" s="219">
        <v>5856.74267578125</v>
      </c>
      <c r="J66" s="219">
        <v>5250.84814453125</v>
      </c>
      <c r="K66" s="219">
        <v>4645.50634765625</v>
      </c>
      <c r="L66" s="219">
        <v>4042.63037109375</v>
      </c>
      <c r="M66" s="219">
        <v>3439.459716796875</v>
      </c>
      <c r="N66" s="219">
        <v>2835.9599609375</v>
      </c>
      <c r="O66" s="219">
        <v>6053.90673828125</v>
      </c>
      <c r="P66" s="219">
        <v>5428.51416015625</v>
      </c>
      <c r="Q66" s="219">
        <v>4803.685546875</v>
      </c>
      <c r="R66" s="219">
        <v>4181.38232421875</v>
      </c>
      <c r="S66" s="219">
        <v>3558.43896484375</v>
      </c>
      <c r="T66" s="219">
        <v>2935.422119140625</v>
      </c>
      <c r="U66" s="219">
        <v>6256.35009765625</v>
      </c>
      <c r="V66" s="219">
        <v>5610.58740234375</v>
      </c>
      <c r="W66" s="219">
        <v>4966.1123046875</v>
      </c>
      <c r="X66" s="219">
        <v>4323.48095703125</v>
      </c>
      <c r="Y66" s="219">
        <v>3680.8935546875</v>
      </c>
      <c r="Z66" s="219">
        <v>3037.85595703125</v>
      </c>
      <c r="AA66" s="219">
        <v>6477.20556640625</v>
      </c>
      <c r="AB66" s="219">
        <v>5809.5283203125</v>
      </c>
      <c r="AC66" s="219">
        <v>5142.880859375</v>
      </c>
      <c r="AD66" s="219">
        <v>4478.72509765625</v>
      </c>
      <c r="AE66" s="219">
        <v>3813.981689453125</v>
      </c>
      <c r="AF66" s="219">
        <v>3149.115234375</v>
      </c>
      <c r="AG66" s="219">
        <v>6706.09228515625</v>
      </c>
      <c r="AH66" s="219">
        <v>6015.73681640625</v>
      </c>
      <c r="AI66" s="219">
        <v>5326.384765625</v>
      </c>
      <c r="AJ66" s="219">
        <v>4639.30810546875</v>
      </c>
      <c r="AK66" s="219">
        <v>3952.16650390625</v>
      </c>
      <c r="AL66" s="219">
        <v>3264.485595703125</v>
      </c>
      <c r="AM66" s="219">
        <v>6942.189453125</v>
      </c>
      <c r="AN66" s="219">
        <v>6228.455078125</v>
      </c>
      <c r="AO66" s="219">
        <v>5515.68798828125</v>
      </c>
      <c r="AP66" s="219">
        <v>4805.2060546875</v>
      </c>
      <c r="AQ66" s="219">
        <v>4094.44873046875</v>
      </c>
      <c r="AR66" s="219">
        <v>3383.56982421875</v>
      </c>
      <c r="AS66" s="219">
        <v>7034.93505859375</v>
      </c>
      <c r="AT66" s="219">
        <v>6311.56787109375</v>
      </c>
      <c r="AU66" s="219">
        <v>5590.09326171875</v>
      </c>
      <c r="AV66" s="219">
        <v>4870.16796875</v>
      </c>
      <c r="AW66" s="219">
        <v>4150.0302734375</v>
      </c>
      <c r="AX66" s="219">
        <v>3429.93212890625</v>
      </c>
    </row>
    <row r="67" spans="1:50" ht="17.25" customHeight="1">
      <c r="A67" s="128" t="s">
        <v>271</v>
      </c>
      <c r="B67" s="128" t="s">
        <v>3</v>
      </c>
      <c r="C67" s="219">
        <v>29.734563827514648</v>
      </c>
      <c r="D67" s="219">
        <v>28.98350715637207</v>
      </c>
      <c r="E67" s="219">
        <v>28.065574645996094</v>
      </c>
      <c r="F67" s="219">
        <v>26.925027847290039</v>
      </c>
      <c r="G67" s="219">
        <v>25.499187469482422</v>
      </c>
      <c r="H67" s="219">
        <v>23.714006423950195</v>
      </c>
      <c r="I67" s="219">
        <v>30.040155410766602</v>
      </c>
      <c r="J67" s="219">
        <v>29.300596237182617</v>
      </c>
      <c r="K67" s="219">
        <v>28.401332855224609</v>
      </c>
      <c r="L67" s="219">
        <v>27.28980827331543</v>
      </c>
      <c r="M67" s="219">
        <v>25.894140243530273</v>
      </c>
      <c r="N67" s="219">
        <v>24.128746032714844</v>
      </c>
      <c r="O67" s="219">
        <v>30.337135314941406</v>
      </c>
      <c r="P67" s="219">
        <v>29.607433319091797</v>
      </c>
      <c r="Q67" s="219">
        <v>28.72235107421875</v>
      </c>
      <c r="R67" s="219">
        <v>27.633306503295898</v>
      </c>
      <c r="S67" s="219">
        <v>26.265810012817383</v>
      </c>
      <c r="T67" s="219">
        <v>24.525192260742188</v>
      </c>
      <c r="U67" s="219">
        <v>30.629751205444336</v>
      </c>
      <c r="V67" s="219">
        <v>29.908510208129883</v>
      </c>
      <c r="W67" s="219">
        <v>29.035640716552734</v>
      </c>
      <c r="X67" s="219">
        <v>27.96345329284668</v>
      </c>
      <c r="Y67" s="219">
        <v>26.621641159057617</v>
      </c>
      <c r="Z67" s="219">
        <v>24.907337188720703</v>
      </c>
      <c r="AA67" s="219">
        <v>30.929061889648438</v>
      </c>
      <c r="AB67" s="219">
        <v>30.217170715332031</v>
      </c>
      <c r="AC67" s="219">
        <v>29.355276107788086</v>
      </c>
      <c r="AD67" s="219">
        <v>28.299064636230469</v>
      </c>
      <c r="AE67" s="219">
        <v>26.978115081787109</v>
      </c>
      <c r="AF67" s="219">
        <v>25.289922714233398</v>
      </c>
      <c r="AG67" s="219">
        <v>31.223934173583984</v>
      </c>
      <c r="AH67" s="219">
        <v>30.521221160888672</v>
      </c>
      <c r="AI67" s="219">
        <v>29.669988632202148</v>
      </c>
      <c r="AJ67" s="219">
        <v>28.626785278320312</v>
      </c>
      <c r="AK67" s="219">
        <v>27.324680328369141</v>
      </c>
      <c r="AL67" s="219">
        <v>25.659721374511719</v>
      </c>
      <c r="AM67" s="219">
        <v>31.514553070068359</v>
      </c>
      <c r="AN67" s="219">
        <v>30.820964813232422</v>
      </c>
      <c r="AO67" s="219">
        <v>29.979801177978516</v>
      </c>
      <c r="AP67" s="219">
        <v>28.948740005493164</v>
      </c>
      <c r="AQ67" s="219">
        <v>27.662052154541016</v>
      </c>
      <c r="AR67" s="219">
        <v>26.018213272094727</v>
      </c>
      <c r="AS67" s="219">
        <v>31.671424865722656</v>
      </c>
      <c r="AT67" s="219">
        <v>30.974565505981445</v>
      </c>
      <c r="AU67" s="219">
        <v>30.131143569946289</v>
      </c>
      <c r="AV67" s="219">
        <v>29.098514556884766</v>
      </c>
      <c r="AW67" s="219">
        <v>27.81195068359375</v>
      </c>
      <c r="AX67" s="219">
        <v>26.1715087890625</v>
      </c>
    </row>
    <row r="68" spans="1:50" ht="17.25" customHeight="1">
      <c r="A68" s="128" t="s">
        <v>272</v>
      </c>
      <c r="B68" s="128" t="s">
        <v>3</v>
      </c>
      <c r="C68" s="219">
        <v>28.560436248779297</v>
      </c>
      <c r="D68" s="219">
        <v>27.72136116027832</v>
      </c>
      <c r="E68" s="219">
        <v>26.707855224609375</v>
      </c>
      <c r="F68" s="219">
        <v>25.471405029296875</v>
      </c>
      <c r="G68" s="219">
        <v>23.931169509887695</v>
      </c>
      <c r="H68" s="219">
        <v>22.00562858581543</v>
      </c>
      <c r="I68" s="219">
        <v>28.890689849853516</v>
      </c>
      <c r="J68" s="219">
        <v>28.064435958862305</v>
      </c>
      <c r="K68" s="219">
        <v>27.071464538574219</v>
      </c>
      <c r="L68" s="219">
        <v>25.865184783935547</v>
      </c>
      <c r="M68" s="219">
        <v>24.356025695800781</v>
      </c>
      <c r="N68" s="219">
        <v>22.451137542724609</v>
      </c>
      <c r="O68" s="219">
        <v>29.212139129638672</v>
      </c>
      <c r="P68" s="219">
        <v>28.397159576416016</v>
      </c>
      <c r="Q68" s="219">
        <v>27.42042350769043</v>
      </c>
      <c r="R68" s="219">
        <v>26.238138198852539</v>
      </c>
      <c r="S68" s="219">
        <v>24.758274078369141</v>
      </c>
      <c r="T68" s="219">
        <v>22.879228591918945</v>
      </c>
      <c r="U68" s="219">
        <v>29.528768539428711</v>
      </c>
      <c r="V68" s="219">
        <v>28.723659515380859</v>
      </c>
      <c r="W68" s="219">
        <v>27.761323928833008</v>
      </c>
      <c r="X68" s="219">
        <v>26.597568511962891</v>
      </c>
      <c r="Y68" s="219">
        <v>25.144933700561523</v>
      </c>
      <c r="Z68" s="219">
        <v>23.293514251708984</v>
      </c>
      <c r="AA68" s="219">
        <v>29.85319709777832</v>
      </c>
      <c r="AB68" s="219">
        <v>29.058977127075195</v>
      </c>
      <c r="AC68" s="219">
        <v>28.109533309936523</v>
      </c>
      <c r="AD68" s="219">
        <v>26.963718414306641</v>
      </c>
      <c r="AE68" s="219">
        <v>25.533742904663086</v>
      </c>
      <c r="AF68" s="219">
        <v>23.710117340087891</v>
      </c>
      <c r="AG68" s="219">
        <v>30.172922134399414</v>
      </c>
      <c r="AH68" s="219">
        <v>29.389440536499023</v>
      </c>
      <c r="AI68" s="219">
        <v>28.45263671875</v>
      </c>
      <c r="AJ68" s="219">
        <v>27.321830749511719</v>
      </c>
      <c r="AK68" s="219">
        <v>25.912809371948242</v>
      </c>
      <c r="AL68" s="219">
        <v>24.114400863647461</v>
      </c>
      <c r="AM68" s="219">
        <v>30.487949371337891</v>
      </c>
      <c r="AN68" s="219">
        <v>29.71516227722168</v>
      </c>
      <c r="AO68" s="219">
        <v>28.790460586547852</v>
      </c>
      <c r="AP68" s="219">
        <v>27.673892974853516</v>
      </c>
      <c r="AQ68" s="219">
        <v>26.282470703125</v>
      </c>
      <c r="AR68" s="219">
        <v>24.507511138916016</v>
      </c>
      <c r="AS68" s="219">
        <v>30.653812408447266</v>
      </c>
      <c r="AT68" s="219">
        <v>29.878711700439453</v>
      </c>
      <c r="AU68" s="219">
        <v>28.956777572631836</v>
      </c>
      <c r="AV68" s="219">
        <v>27.839996337890625</v>
      </c>
      <c r="AW68" s="219">
        <v>26.450075149536133</v>
      </c>
      <c r="AX68" s="219">
        <v>24.680179595947266</v>
      </c>
    </row>
    <row r="69" spans="1:50" ht="17.25" customHeight="1">
      <c r="A69" s="128" t="s">
        <v>284</v>
      </c>
      <c r="B69" s="128" t="s">
        <v>8</v>
      </c>
      <c r="C69" s="219">
        <v>21960.814453125</v>
      </c>
      <c r="D69" s="219">
        <v>20281.388671875</v>
      </c>
      <c r="E69" s="219">
        <v>18621.091796875</v>
      </c>
      <c r="F69" s="219">
        <v>16986.658203125</v>
      </c>
      <c r="G69" s="219">
        <v>15376.9091796875</v>
      </c>
      <c r="H69" s="219">
        <v>13781.6396484375</v>
      </c>
      <c r="I69" s="219">
        <v>22443.36328125</v>
      </c>
      <c r="J69" s="219">
        <v>20713.9453125</v>
      </c>
      <c r="K69" s="219">
        <v>18998.13671875</v>
      </c>
      <c r="L69" s="219">
        <v>17303.66796875</v>
      </c>
      <c r="M69" s="219">
        <v>15634.12109375</v>
      </c>
      <c r="N69" s="219">
        <v>13984.646484375</v>
      </c>
      <c r="O69" s="219">
        <v>22943.625</v>
      </c>
      <c r="P69" s="219">
        <v>21163.904296875</v>
      </c>
      <c r="Q69" s="219">
        <v>19395.015625</v>
      </c>
      <c r="R69" s="219">
        <v>17643.16796875</v>
      </c>
      <c r="S69" s="219">
        <v>15912.1494140625</v>
      </c>
      <c r="T69" s="219">
        <v>14204.26953125</v>
      </c>
      <c r="U69" s="219">
        <v>23456.619140625</v>
      </c>
      <c r="V69" s="219">
        <v>21625.109375</v>
      </c>
      <c r="W69" s="219">
        <v>19804.599609375</v>
      </c>
      <c r="X69" s="219">
        <v>17996.220703125</v>
      </c>
      <c r="Y69" s="219">
        <v>16206.619140625</v>
      </c>
      <c r="Z69" s="219">
        <v>14438.494140625</v>
      </c>
      <c r="AA69" s="219">
        <v>24020.744140625</v>
      </c>
      <c r="AB69" s="219">
        <v>22133.5078125</v>
      </c>
      <c r="AC69" s="219">
        <v>20255.48046875</v>
      </c>
      <c r="AD69" s="219">
        <v>18389.26171875</v>
      </c>
      <c r="AE69" s="219">
        <v>16536.890625</v>
      </c>
      <c r="AF69" s="219">
        <v>14704.306640625</v>
      </c>
      <c r="AG69" s="219">
        <v>24606.048828125</v>
      </c>
      <c r="AH69" s="219">
        <v>22661.421875</v>
      </c>
      <c r="AI69" s="219">
        <v>20725.248046875</v>
      </c>
      <c r="AJ69" s="219">
        <v>18798.9296875</v>
      </c>
      <c r="AK69" s="219">
        <v>16885.365234375</v>
      </c>
      <c r="AL69" s="219">
        <v>14987.4580078125</v>
      </c>
      <c r="AM69" s="219">
        <v>25209.138671875</v>
      </c>
      <c r="AN69" s="219">
        <v>23205.5546875</v>
      </c>
      <c r="AO69" s="219">
        <v>21210.00390625</v>
      </c>
      <c r="AP69" s="219">
        <v>19223.455078125</v>
      </c>
      <c r="AQ69" s="219">
        <v>17247.21484375</v>
      </c>
      <c r="AR69" s="219">
        <v>15285.0078125</v>
      </c>
      <c r="AS69" s="219">
        <v>25407.69921875</v>
      </c>
      <c r="AT69" s="219">
        <v>23386.494140625</v>
      </c>
      <c r="AU69" s="219">
        <v>21372.658203125</v>
      </c>
      <c r="AV69" s="219">
        <v>19367.095703125</v>
      </c>
      <c r="AW69" s="219">
        <v>17370.5703125</v>
      </c>
      <c r="AX69" s="219">
        <v>15386.0439453125</v>
      </c>
    </row>
    <row r="70" spans="1:50" ht="17.25" customHeight="1">
      <c r="A70" s="128" t="s">
        <v>132</v>
      </c>
      <c r="B70" s="128" t="s">
        <v>3</v>
      </c>
      <c r="C70" s="219">
        <v>68.390548706054688</v>
      </c>
      <c r="D70" s="219">
        <v>64.707984924316406</v>
      </c>
      <c r="E70" s="219">
        <v>60.611671447753906</v>
      </c>
      <c r="F70" s="219">
        <v>56.056785583496094</v>
      </c>
      <c r="G70" s="219">
        <v>50.919013977050781</v>
      </c>
      <c r="H70" s="219">
        <v>44.993785858154297</v>
      </c>
      <c r="I70" s="219">
        <v>67.246780395507812</v>
      </c>
      <c r="J70" s="219">
        <v>63.451126098632812</v>
      </c>
      <c r="K70" s="219">
        <v>59.199031829833984</v>
      </c>
      <c r="L70" s="219">
        <v>54.428153991699219</v>
      </c>
      <c r="M70" s="219">
        <v>49.021785736083984</v>
      </c>
      <c r="N70" s="219">
        <v>42.794116973876953</v>
      </c>
      <c r="O70" s="219">
        <v>66.105964660644531</v>
      </c>
      <c r="P70" s="219">
        <v>62.202739715576172</v>
      </c>
      <c r="Q70" s="219">
        <v>57.811714172363281</v>
      </c>
      <c r="R70" s="219">
        <v>52.848442077636719</v>
      </c>
      <c r="S70" s="219">
        <v>47.179347991943359</v>
      </c>
      <c r="T70" s="219">
        <v>40.634796142578125</v>
      </c>
      <c r="U70" s="219">
        <v>64.97357177734375</v>
      </c>
      <c r="V70" s="219">
        <v>60.965145111083984</v>
      </c>
      <c r="W70" s="219">
        <v>56.44317626953125</v>
      </c>
      <c r="X70" s="219">
        <v>51.301601409912109</v>
      </c>
      <c r="Y70" s="219">
        <v>45.392250061035156</v>
      </c>
      <c r="Z70" s="219">
        <v>38.531204223632812</v>
      </c>
      <c r="AA70" s="219">
        <v>63.9102783203125</v>
      </c>
      <c r="AB70" s="219">
        <v>59.798751831054688</v>
      </c>
      <c r="AC70" s="219">
        <v>55.148334503173828</v>
      </c>
      <c r="AD70" s="219">
        <v>49.844615936279297</v>
      </c>
      <c r="AE70" s="219">
        <v>43.706985473632812</v>
      </c>
      <c r="AF70" s="219">
        <v>36.536033630371094</v>
      </c>
      <c r="AG70" s="219">
        <v>62.853534698486328</v>
      </c>
      <c r="AH70" s="219">
        <v>58.637798309326172</v>
      </c>
      <c r="AI70" s="219">
        <v>53.866222381591797</v>
      </c>
      <c r="AJ70" s="219">
        <v>48.403209686279297</v>
      </c>
      <c r="AK70" s="219">
        <v>42.055713653564453</v>
      </c>
      <c r="AL70" s="219">
        <v>34.587207794189453</v>
      </c>
      <c r="AM70" s="219">
        <v>61.794715881347656</v>
      </c>
      <c r="AN70" s="219">
        <v>57.477569580078125</v>
      </c>
      <c r="AO70" s="219">
        <v>52.584449768066406</v>
      </c>
      <c r="AP70" s="219">
        <v>46.968860626220703</v>
      </c>
      <c r="AQ70" s="219">
        <v>40.416904449462891</v>
      </c>
      <c r="AR70" s="219">
        <v>32.668861389160156</v>
      </c>
      <c r="AS70" s="219">
        <v>59.872749328613281</v>
      </c>
      <c r="AT70" s="219">
        <v>55.438709259033203</v>
      </c>
      <c r="AU70" s="219">
        <v>50.409748077392578</v>
      </c>
      <c r="AV70" s="219">
        <v>44.627304077148438</v>
      </c>
      <c r="AW70" s="219">
        <v>37.867610931396484</v>
      </c>
      <c r="AX70" s="219">
        <v>29.849346160888672</v>
      </c>
    </row>
    <row r="71" spans="1:50" ht="17.25" customHeight="1">
      <c r="A71" s="128" t="s">
        <v>274</v>
      </c>
      <c r="B71" s="128" t="s">
        <v>8</v>
      </c>
      <c r="C71" s="219">
        <v>0</v>
      </c>
      <c r="D71" s="219">
        <v>0</v>
      </c>
      <c r="E71" s="219">
        <v>0</v>
      </c>
      <c r="F71" s="219">
        <v>0</v>
      </c>
      <c r="G71" s="219">
        <v>0</v>
      </c>
      <c r="H71" s="219">
        <v>0</v>
      </c>
      <c r="I71" s="219">
        <v>0</v>
      </c>
      <c r="J71" s="219">
        <v>0</v>
      </c>
      <c r="K71" s="219">
        <v>0</v>
      </c>
      <c r="L71" s="219">
        <v>0</v>
      </c>
      <c r="M71" s="219">
        <v>0</v>
      </c>
      <c r="N71" s="219">
        <v>0</v>
      </c>
      <c r="O71" s="219">
        <v>0</v>
      </c>
      <c r="P71" s="219">
        <v>0</v>
      </c>
      <c r="Q71" s="219">
        <v>0</v>
      </c>
      <c r="R71" s="219">
        <v>0</v>
      </c>
      <c r="S71" s="219">
        <v>0</v>
      </c>
      <c r="T71" s="219">
        <v>0</v>
      </c>
      <c r="U71" s="219">
        <v>0</v>
      </c>
      <c r="V71" s="219">
        <v>0</v>
      </c>
      <c r="W71" s="219">
        <v>0</v>
      </c>
      <c r="X71" s="219">
        <v>0</v>
      </c>
      <c r="Y71" s="219">
        <v>0</v>
      </c>
      <c r="Z71" s="219">
        <v>0</v>
      </c>
      <c r="AA71" s="219">
        <v>0</v>
      </c>
      <c r="AB71" s="219">
        <v>0</v>
      </c>
      <c r="AC71" s="219">
        <v>0</v>
      </c>
      <c r="AD71" s="219">
        <v>0</v>
      </c>
      <c r="AE71" s="219">
        <v>0</v>
      </c>
      <c r="AF71" s="219">
        <v>0</v>
      </c>
      <c r="AG71" s="219">
        <v>0</v>
      </c>
      <c r="AH71" s="219">
        <v>0</v>
      </c>
      <c r="AI71" s="219">
        <v>0</v>
      </c>
      <c r="AJ71" s="219">
        <v>0</v>
      </c>
      <c r="AK71" s="219">
        <v>0</v>
      </c>
      <c r="AL71" s="219">
        <v>0</v>
      </c>
      <c r="AM71" s="219">
        <v>0</v>
      </c>
      <c r="AN71" s="219">
        <v>0</v>
      </c>
      <c r="AO71" s="219">
        <v>0</v>
      </c>
      <c r="AP71" s="219">
        <v>0</v>
      </c>
      <c r="AQ71" s="219">
        <v>0</v>
      </c>
      <c r="AR71" s="219">
        <v>0</v>
      </c>
      <c r="AS71" s="219">
        <v>0</v>
      </c>
      <c r="AT71" s="219">
        <v>0</v>
      </c>
      <c r="AU71" s="219">
        <v>0</v>
      </c>
      <c r="AV71" s="219">
        <v>0</v>
      </c>
      <c r="AW71" s="219">
        <v>0</v>
      </c>
      <c r="AX71" s="219">
        <v>0</v>
      </c>
    </row>
    <row r="72" spans="1:50" ht="17.25" customHeight="1">
      <c r="A72" s="222" t="s">
        <v>520</v>
      </c>
      <c r="B72" s="222" t="s">
        <v>273</v>
      </c>
      <c r="C72" s="79">
        <v>1</v>
      </c>
      <c r="D72" s="79">
        <v>1</v>
      </c>
      <c r="E72" s="79">
        <v>1</v>
      </c>
      <c r="F72" s="79">
        <v>1</v>
      </c>
      <c r="G72" s="79">
        <v>1</v>
      </c>
      <c r="H72" s="79">
        <v>1</v>
      </c>
      <c r="I72" s="79">
        <v>1</v>
      </c>
      <c r="J72" s="79">
        <v>1</v>
      </c>
      <c r="K72" s="79">
        <v>1</v>
      </c>
      <c r="L72" s="79">
        <v>1</v>
      </c>
      <c r="M72" s="79">
        <v>1</v>
      </c>
      <c r="N72" s="79">
        <v>1</v>
      </c>
      <c r="O72" s="79">
        <v>1</v>
      </c>
      <c r="P72" s="79">
        <v>1</v>
      </c>
      <c r="Q72" s="79">
        <v>1</v>
      </c>
      <c r="R72" s="79">
        <v>1</v>
      </c>
      <c r="S72" s="79">
        <v>1</v>
      </c>
      <c r="T72" s="79">
        <v>1</v>
      </c>
      <c r="U72" s="79">
        <v>1</v>
      </c>
      <c r="V72" s="79">
        <v>1</v>
      </c>
      <c r="W72" s="79">
        <v>1</v>
      </c>
      <c r="X72" s="79">
        <v>1</v>
      </c>
      <c r="Y72" s="79">
        <v>1</v>
      </c>
      <c r="Z72" s="79">
        <v>1</v>
      </c>
      <c r="AA72" s="79">
        <v>1</v>
      </c>
      <c r="AB72" s="79">
        <v>1</v>
      </c>
      <c r="AC72" s="79">
        <v>1</v>
      </c>
      <c r="AD72" s="79">
        <v>1</v>
      </c>
      <c r="AE72" s="79">
        <v>1</v>
      </c>
      <c r="AF72" s="79">
        <v>1</v>
      </c>
      <c r="AG72" s="79">
        <v>1</v>
      </c>
      <c r="AH72" s="79">
        <v>1</v>
      </c>
      <c r="AI72" s="79">
        <v>1</v>
      </c>
      <c r="AJ72" s="79">
        <v>1</v>
      </c>
      <c r="AK72" s="79">
        <v>1</v>
      </c>
      <c r="AL72" s="79">
        <v>1</v>
      </c>
      <c r="AM72" s="79">
        <v>1</v>
      </c>
      <c r="AN72" s="79">
        <v>1</v>
      </c>
      <c r="AO72" s="79">
        <v>1</v>
      </c>
      <c r="AP72" s="79">
        <v>1</v>
      </c>
      <c r="AQ72" s="79">
        <v>1</v>
      </c>
      <c r="AR72" s="79">
        <v>1</v>
      </c>
      <c r="AS72" s="79">
        <v>1</v>
      </c>
      <c r="AT72" s="79">
        <v>1</v>
      </c>
      <c r="AU72" s="79">
        <v>1</v>
      </c>
      <c r="AV72" s="79">
        <v>1</v>
      </c>
      <c r="AW72" s="79">
        <v>1</v>
      </c>
      <c r="AX72" s="79">
        <v>1</v>
      </c>
    </row>
    <row r="73" spans="1:50" s="141" customFormat="1" ht="17.25" customHeight="1">
      <c r="A73" s="141" t="s">
        <v>276</v>
      </c>
      <c r="B73" s="141" t="s">
        <v>26</v>
      </c>
      <c r="C73" s="79">
        <v>24.023736953735352</v>
      </c>
      <c r="D73" s="79">
        <v>24.025444030761719</v>
      </c>
      <c r="E73" s="79">
        <v>24.018754959106445</v>
      </c>
      <c r="F73" s="79">
        <v>24.019721984863281</v>
      </c>
      <c r="G73" s="79">
        <v>24.020559310913086</v>
      </c>
      <c r="H73" s="79">
        <v>24.021263122558594</v>
      </c>
      <c r="I73" s="79">
        <v>24.023715972900391</v>
      </c>
      <c r="J73" s="79">
        <v>24.025453567504883</v>
      </c>
      <c r="K73" s="79">
        <v>24.018777847290039</v>
      </c>
      <c r="L73" s="79">
        <v>24.019783020019531</v>
      </c>
      <c r="M73" s="79">
        <v>24.020631790161133</v>
      </c>
      <c r="N73" s="79">
        <v>24.021335601806641</v>
      </c>
      <c r="O73" s="79">
        <v>24.023687362670898</v>
      </c>
      <c r="P73" s="79">
        <v>24.025455474853516</v>
      </c>
      <c r="Q73" s="79">
        <v>24.018795013427734</v>
      </c>
      <c r="R73" s="79">
        <v>24.019821166992188</v>
      </c>
      <c r="S73" s="79">
        <v>24.020689010620117</v>
      </c>
      <c r="T73" s="79">
        <v>24.021402359008789</v>
      </c>
      <c r="U73" s="79">
        <v>24.023654937744141</v>
      </c>
      <c r="V73" s="79">
        <v>24.017627716064453</v>
      </c>
      <c r="W73" s="79">
        <v>24.01881217956543</v>
      </c>
      <c r="X73" s="79">
        <v>24.019855499267578</v>
      </c>
      <c r="Y73" s="79">
        <v>24.020744323730469</v>
      </c>
      <c r="Z73" s="79">
        <v>24.021465301513672</v>
      </c>
      <c r="AA73" s="79">
        <v>24.023603439331055</v>
      </c>
      <c r="AB73" s="79">
        <v>24.017610549926758</v>
      </c>
      <c r="AC73" s="79">
        <v>24.018817901611328</v>
      </c>
      <c r="AD73" s="79">
        <v>24.019880294799805</v>
      </c>
      <c r="AE73" s="79">
        <v>24.020790100097656</v>
      </c>
      <c r="AF73" s="79">
        <v>24.021518707275391</v>
      </c>
      <c r="AG73" s="79">
        <v>24.023536682128906</v>
      </c>
      <c r="AH73" s="79">
        <v>24.025419235229492</v>
      </c>
      <c r="AI73" s="79">
        <v>24.018817901611328</v>
      </c>
      <c r="AJ73" s="79">
        <v>24.019905090332031</v>
      </c>
      <c r="AK73" s="79">
        <v>24.020822525024414</v>
      </c>
      <c r="AL73" s="79">
        <v>24.021568298339844</v>
      </c>
      <c r="AM73" s="79">
        <v>24.023471832275391</v>
      </c>
      <c r="AN73" s="79">
        <v>24.025394439697266</v>
      </c>
      <c r="AO73" s="79">
        <v>24.018821716308594</v>
      </c>
      <c r="AP73" s="79">
        <v>24.019927978515625</v>
      </c>
      <c r="AQ73" s="79">
        <v>24.020864486694336</v>
      </c>
      <c r="AR73" s="79">
        <v>24.021615982055664</v>
      </c>
      <c r="AS73" s="79">
        <v>24.023780822753906</v>
      </c>
      <c r="AT73" s="79">
        <v>24.017772674560547</v>
      </c>
      <c r="AU73" s="79">
        <v>24.019014358520508</v>
      </c>
      <c r="AV73" s="79">
        <v>24.020105361938477</v>
      </c>
      <c r="AW73" s="79">
        <v>24.021017074584961</v>
      </c>
      <c r="AX73" s="79">
        <v>24.021739959716797</v>
      </c>
    </row>
    <row r="74" spans="1:50" s="222" customFormat="1" ht="17.25" customHeight="1">
      <c r="A74" s="128" t="s">
        <v>277</v>
      </c>
      <c r="B74" s="128" t="s">
        <v>18</v>
      </c>
      <c r="C74" s="460">
        <v>318.97445678710938</v>
      </c>
      <c r="D74" s="460">
        <v>314.7396240234375</v>
      </c>
      <c r="E74" s="460">
        <v>309.8978271484375</v>
      </c>
      <c r="F74" s="460">
        <v>304.36843872070312</v>
      </c>
      <c r="G74" s="460">
        <v>297.96359252929688</v>
      </c>
      <c r="H74" s="460">
        <v>290.34335327148438</v>
      </c>
      <c r="I74" s="460">
        <v>317.96905517578125</v>
      </c>
      <c r="J74" s="460">
        <v>313.6619873046875</v>
      </c>
      <c r="K74" s="460">
        <v>308.68408203125</v>
      </c>
      <c r="L74" s="460">
        <v>302.92599487304688</v>
      </c>
      <c r="M74" s="460">
        <v>296.19232177734375</v>
      </c>
      <c r="N74" s="460">
        <v>288.14373779296875</v>
      </c>
      <c r="O74" s="460">
        <v>316.957763671875</v>
      </c>
      <c r="P74" s="460">
        <v>312.58343505859375</v>
      </c>
      <c r="Q74" s="460">
        <v>307.48764038085938</v>
      </c>
      <c r="R74" s="460">
        <v>301.52603149414062</v>
      </c>
      <c r="S74" s="460">
        <v>294.462890625</v>
      </c>
      <c r="T74" s="460">
        <v>285.94900512695312</v>
      </c>
      <c r="U74" s="460">
        <v>315.95748901367188</v>
      </c>
      <c r="V74" s="460">
        <v>311.505615234375</v>
      </c>
      <c r="W74" s="460">
        <v>306.30828857421875</v>
      </c>
      <c r="X74" s="460">
        <v>300.15463256835938</v>
      </c>
      <c r="Y74" s="460">
        <v>292.77987670898438</v>
      </c>
      <c r="Z74" s="460">
        <v>283.77993774414062</v>
      </c>
      <c r="AA74" s="460">
        <v>315.0225830078125</v>
      </c>
      <c r="AB74" s="460">
        <v>310.50711059570312</v>
      </c>
      <c r="AC74" s="460">
        <v>305.20147705078125</v>
      </c>
      <c r="AD74" s="460">
        <v>298.8734130859375</v>
      </c>
      <c r="AE74" s="460">
        <v>291.19601440429688</v>
      </c>
      <c r="AF74" s="460">
        <v>281.70166015625</v>
      </c>
      <c r="AG74" s="460">
        <v>314.0836181640625</v>
      </c>
      <c r="AH74" s="460">
        <v>309.513671875</v>
      </c>
      <c r="AI74" s="460">
        <v>304.09490966796875</v>
      </c>
      <c r="AJ74" s="460">
        <v>297.591064453125</v>
      </c>
      <c r="AK74" s="460">
        <v>289.6239013671875</v>
      </c>
      <c r="AL74" s="460">
        <v>279.6290283203125</v>
      </c>
      <c r="AM74" s="460">
        <v>313.13214111328125</v>
      </c>
      <c r="AN74" s="460">
        <v>308.4984130859375</v>
      </c>
      <c r="AO74" s="460">
        <v>302.97421264648438</v>
      </c>
      <c r="AP74" s="460">
        <v>296.296875</v>
      </c>
      <c r="AQ74" s="460">
        <v>288.03485107421875</v>
      </c>
      <c r="AR74" s="460">
        <v>277.53726196289062</v>
      </c>
      <c r="AS74" s="460">
        <v>311.27017211914062</v>
      </c>
      <c r="AT74" s="460">
        <v>306.4989013671875</v>
      </c>
      <c r="AU74" s="460">
        <v>300.80355834960938</v>
      </c>
      <c r="AV74" s="460">
        <v>293.86520385742188</v>
      </c>
      <c r="AW74" s="460">
        <v>285.20779418945312</v>
      </c>
      <c r="AX74" s="460">
        <v>274.07659912109375</v>
      </c>
    </row>
    <row r="75" spans="1:50" s="141" customFormat="1" ht="17.25" customHeight="1">
      <c r="A75" s="141" t="s">
        <v>275</v>
      </c>
      <c r="B75" s="141" t="s">
        <v>273</v>
      </c>
      <c r="C75" s="460">
        <v>12.772176742553711</v>
      </c>
      <c r="D75" s="460">
        <v>11.325741767883301</v>
      </c>
      <c r="E75" s="460">
        <v>9.9106216430664062</v>
      </c>
      <c r="F75" s="460">
        <v>8.5347499847412109</v>
      </c>
      <c r="G75" s="460">
        <v>7.1948256492614746</v>
      </c>
      <c r="H75" s="460">
        <v>5.8738279342651367</v>
      </c>
      <c r="I75" s="460">
        <v>12.797797203063965</v>
      </c>
      <c r="J75" s="460">
        <v>11.310160636901855</v>
      </c>
      <c r="K75" s="460">
        <v>9.8469734191894531</v>
      </c>
      <c r="L75" s="460">
        <v>8.4162864685058594</v>
      </c>
      <c r="M75" s="460">
        <v>7.0219159126281738</v>
      </c>
      <c r="N75" s="460">
        <v>5.654231071472168</v>
      </c>
      <c r="O75" s="460">
        <v>12.825390815734863</v>
      </c>
      <c r="P75" s="460">
        <v>11.297388076782227</v>
      </c>
      <c r="Q75" s="460">
        <v>9.790252685546875</v>
      </c>
      <c r="R75" s="460">
        <v>8.3095216751098633</v>
      </c>
      <c r="S75" s="460">
        <v>6.8598084449768066</v>
      </c>
      <c r="T75" s="460">
        <v>5.4403457641601562</v>
      </c>
      <c r="U75" s="460">
        <v>12.852175712585449</v>
      </c>
      <c r="V75" s="460">
        <v>11.283312797546387</v>
      </c>
      <c r="W75" s="460">
        <v>9.7342891693115234</v>
      </c>
      <c r="X75" s="460">
        <v>8.2062921524047852</v>
      </c>
      <c r="Y75" s="460">
        <v>6.7051968574523926</v>
      </c>
      <c r="Z75" s="460">
        <v>5.2322044372558594</v>
      </c>
      <c r="AA75" s="460">
        <v>12.907818794250488</v>
      </c>
      <c r="AB75" s="460">
        <v>11.294657707214355</v>
      </c>
      <c r="AC75" s="460">
        <v>9.6997652053833008</v>
      </c>
      <c r="AD75" s="460">
        <v>8.1246881484985352</v>
      </c>
      <c r="AE75" s="460">
        <v>6.5705108642578125</v>
      </c>
      <c r="AF75" s="460">
        <v>5.0409903526306152</v>
      </c>
      <c r="AG75" s="460">
        <v>12.965926170349121</v>
      </c>
      <c r="AH75" s="460">
        <v>11.30696964263916</v>
      </c>
      <c r="AI75" s="460">
        <v>9.6667308807373047</v>
      </c>
      <c r="AJ75" s="460">
        <v>8.0437297821044922</v>
      </c>
      <c r="AK75" s="460">
        <v>6.4392032623291016</v>
      </c>
      <c r="AL75" s="460">
        <v>4.853574275970459</v>
      </c>
      <c r="AM75" s="460">
        <v>13.022479057312012</v>
      </c>
      <c r="AN75" s="460">
        <v>11.317227363586426</v>
      </c>
      <c r="AO75" s="460">
        <v>9.6307573318481445</v>
      </c>
      <c r="AP75" s="460">
        <v>7.9605913162231445</v>
      </c>
      <c r="AQ75" s="460">
        <v>6.305696964263916</v>
      </c>
      <c r="AR75" s="460">
        <v>4.6661224365234375</v>
      </c>
      <c r="AS75" s="460">
        <v>12.717266082763672</v>
      </c>
      <c r="AT75" s="460">
        <v>11.003796577453613</v>
      </c>
      <c r="AU75" s="460">
        <v>9.307551383972168</v>
      </c>
      <c r="AV75" s="460">
        <v>7.6265950202941895</v>
      </c>
      <c r="AW75" s="460">
        <v>5.9582648277282715</v>
      </c>
      <c r="AX75" s="460">
        <v>4.3007616996765137</v>
      </c>
    </row>
    <row r="76" spans="1:50" ht="17.25" customHeight="1">
      <c r="A76" s="70" t="s">
        <v>854</v>
      </c>
      <c r="B76" s="70" t="s">
        <v>18</v>
      </c>
      <c r="C76" s="460">
        <v>167.98942565917969</v>
      </c>
      <c r="D76" s="460">
        <v>175.025146484375</v>
      </c>
      <c r="E76" s="460">
        <v>181.6788330078125</v>
      </c>
      <c r="F76" s="460">
        <v>187.89651489257812</v>
      </c>
      <c r="G76" s="460">
        <v>193.78285217285156</v>
      </c>
      <c r="H76" s="460">
        <v>199.42219543457031</v>
      </c>
      <c r="I76" s="460">
        <v>168.92234802246094</v>
      </c>
      <c r="J76" s="460">
        <v>176.0306396484375</v>
      </c>
      <c r="K76" s="460">
        <v>182.77650451660156</v>
      </c>
      <c r="L76" s="460">
        <v>189.11073303222656</v>
      </c>
      <c r="M76" s="460">
        <v>195.10232543945312</v>
      </c>
      <c r="N76" s="460">
        <v>200.80287170410156</v>
      </c>
      <c r="O76" s="460">
        <v>169.87019348144531</v>
      </c>
      <c r="P76" s="460">
        <v>177.03775024414062</v>
      </c>
      <c r="Q76" s="460">
        <v>183.84730529785156</v>
      </c>
      <c r="R76" s="460">
        <v>190.26631164550781</v>
      </c>
      <c r="S76" s="460">
        <v>196.35560607910156</v>
      </c>
      <c r="T76" s="460">
        <v>202.12818908691406</v>
      </c>
      <c r="U76" s="460">
        <v>170.8194580078125</v>
      </c>
      <c r="V76" s="460">
        <v>178.03387451171875</v>
      </c>
      <c r="W76" s="460">
        <v>184.8994140625</v>
      </c>
      <c r="X76" s="460">
        <v>191.38304138183594</v>
      </c>
      <c r="Y76" s="460">
        <v>197.54508972167969</v>
      </c>
      <c r="Z76" s="460">
        <v>203.38790893554688</v>
      </c>
      <c r="AA76" s="460">
        <v>171.65486145019531</v>
      </c>
      <c r="AB76" s="460">
        <v>178.93489074707031</v>
      </c>
      <c r="AC76" s="460">
        <v>185.86143493652344</v>
      </c>
      <c r="AD76" s="460">
        <v>192.40171813964844</v>
      </c>
      <c r="AE76" s="460">
        <v>198.63446044921875</v>
      </c>
      <c r="AF76" s="460">
        <v>204.54978942871094</v>
      </c>
      <c r="AG76" s="460">
        <v>172.50006103515625</v>
      </c>
      <c r="AH76" s="460">
        <v>179.85197448730469</v>
      </c>
      <c r="AI76" s="460">
        <v>186.81930541992188</v>
      </c>
      <c r="AJ76" s="460">
        <v>193.40974426269531</v>
      </c>
      <c r="AK76" s="460">
        <v>199.69158935546875</v>
      </c>
      <c r="AL76" s="460">
        <v>205.66587829589844</v>
      </c>
      <c r="AM76" s="460">
        <v>173.37037658691406</v>
      </c>
      <c r="AN76" s="460">
        <v>180.7783203125</v>
      </c>
      <c r="AO76" s="460">
        <v>187.78884887695312</v>
      </c>
      <c r="AP76" s="460">
        <v>194.41632080078125</v>
      </c>
      <c r="AQ76" s="460">
        <v>200.73640441894531</v>
      </c>
      <c r="AR76" s="460">
        <v>206.74958801269531</v>
      </c>
      <c r="AS76" s="460">
        <v>175.82107543945312</v>
      </c>
      <c r="AT76" s="460">
        <v>183.05287170410156</v>
      </c>
      <c r="AU76" s="460">
        <v>189.88958740234375</v>
      </c>
      <c r="AV76" s="460">
        <v>196.36317443847656</v>
      </c>
      <c r="AW76" s="460">
        <v>202.53826904296875</v>
      </c>
      <c r="AX76" s="460">
        <v>208.41964721679688</v>
      </c>
    </row>
    <row r="77" spans="1:50" ht="17.25" customHeight="1">
      <c r="A77" s="141"/>
      <c r="B77" s="141"/>
      <c r="C77" s="186"/>
      <c r="D77" s="186"/>
      <c r="E77" s="186"/>
      <c r="F77" s="186"/>
      <c r="G77" s="186"/>
      <c r="H77" s="186"/>
      <c r="I77" s="186"/>
      <c r="J77" s="186"/>
      <c r="K77" s="186"/>
      <c r="L77" s="186"/>
      <c r="M77" s="186"/>
      <c r="N77" s="186"/>
      <c r="O77" s="186"/>
      <c r="P77" s="186"/>
      <c r="Q77" s="186"/>
      <c r="R77" s="186"/>
      <c r="S77" s="186"/>
      <c r="T77" s="186"/>
      <c r="U77" s="186"/>
      <c r="V77" s="186"/>
      <c r="W77" s="186"/>
      <c r="X77" s="186"/>
      <c r="Y77" s="186"/>
      <c r="Z77" s="186"/>
      <c r="AA77" s="186"/>
      <c r="AB77" s="186"/>
      <c r="AC77" s="186"/>
      <c r="AD77" s="186"/>
      <c r="AE77" s="186"/>
      <c r="AF77" s="186"/>
      <c r="AG77" s="186"/>
      <c r="AH77" s="186"/>
      <c r="AI77" s="186"/>
      <c r="AJ77" s="186"/>
      <c r="AK77" s="186"/>
      <c r="AL77" s="186"/>
      <c r="AM77" s="186"/>
      <c r="AN77" s="186"/>
      <c r="AO77" s="186"/>
      <c r="AP77" s="186"/>
      <c r="AQ77" s="186"/>
      <c r="AR77" s="186"/>
      <c r="AS77" s="186"/>
      <c r="AT77" s="186"/>
      <c r="AU77" s="186"/>
      <c r="AV77" s="186"/>
      <c r="AW77" s="186"/>
      <c r="AX77" s="186"/>
    </row>
    <row r="78" spans="1:50" ht="17.25" customHeight="1">
      <c r="A78" s="128" t="s">
        <v>154</v>
      </c>
      <c r="C78" s="49"/>
      <c r="D78" s="49"/>
      <c r="E78" s="49"/>
    </row>
    <row r="79" spans="1:50" ht="17.25" customHeight="1">
      <c r="A79" s="289" t="s">
        <v>155</v>
      </c>
      <c r="B79" s="290" t="s">
        <v>129</v>
      </c>
      <c r="C79" s="523" t="s">
        <v>130</v>
      </c>
      <c r="D79" s="49"/>
      <c r="E79" s="49"/>
      <c r="F79" s="70"/>
      <c r="G79" s="70"/>
      <c r="H79" s="70"/>
      <c r="I79" s="70"/>
      <c r="J79" s="70"/>
    </row>
    <row r="80" spans="1:50" ht="17.25" customHeight="1">
      <c r="A80" s="509">
        <v>25</v>
      </c>
      <c r="B80" s="136">
        <f>COLUMN(C60)</f>
        <v>3</v>
      </c>
      <c r="C80" s="136">
        <f>COLUMN(H60)</f>
        <v>8</v>
      </c>
      <c r="D80" s="70"/>
      <c r="E80" s="70"/>
      <c r="F80" s="70"/>
      <c r="G80" s="70"/>
      <c r="H80" s="70"/>
      <c r="I80" s="70"/>
      <c r="J80" s="70"/>
    </row>
    <row r="81" spans="1:11" ht="17.25" customHeight="1">
      <c r="A81" s="509">
        <v>20</v>
      </c>
      <c r="B81" s="136">
        <f>COLUMN(I60)</f>
        <v>9</v>
      </c>
      <c r="C81" s="136">
        <f>COLUMN(N60)</f>
        <v>14</v>
      </c>
      <c r="D81" s="70"/>
      <c r="E81" s="70"/>
      <c r="F81" s="70"/>
      <c r="H81" s="70"/>
      <c r="I81" s="70"/>
      <c r="J81" s="70"/>
    </row>
    <row r="82" spans="1:11" ht="17.25" customHeight="1">
      <c r="A82" s="509">
        <v>15</v>
      </c>
      <c r="B82" s="136">
        <f>COLUMN(O60)</f>
        <v>15</v>
      </c>
      <c r="C82" s="136">
        <f>COLUMN(T60)</f>
        <v>20</v>
      </c>
      <c r="D82" s="70"/>
      <c r="E82" s="70"/>
      <c r="F82" s="70"/>
      <c r="H82" s="70"/>
      <c r="I82" s="70"/>
      <c r="J82" s="70"/>
    </row>
    <row r="83" spans="1:11" ht="17.25" customHeight="1">
      <c r="A83" s="509">
        <v>10</v>
      </c>
      <c r="B83" s="136">
        <f>COLUMN(U60)</f>
        <v>21</v>
      </c>
      <c r="C83" s="136">
        <f>COLUMN(Z60)</f>
        <v>26</v>
      </c>
      <c r="D83" s="70"/>
      <c r="E83" s="70"/>
      <c r="F83" s="70"/>
      <c r="G83" s="70"/>
      <c r="H83" s="70"/>
      <c r="I83" s="70"/>
      <c r="J83" s="70"/>
    </row>
    <row r="84" spans="1:11" ht="17.25" customHeight="1">
      <c r="A84" s="509">
        <v>5</v>
      </c>
      <c r="B84" s="136">
        <f>COLUMN(AA60)</f>
        <v>27</v>
      </c>
      <c r="C84" s="136">
        <f>COLUMN(AF60)</f>
        <v>32</v>
      </c>
      <c r="D84" s="70"/>
      <c r="E84" s="70"/>
      <c r="F84" s="70"/>
      <c r="G84" s="70"/>
      <c r="H84" s="70"/>
      <c r="I84" s="70"/>
      <c r="J84" s="70"/>
    </row>
    <row r="85" spans="1:11" ht="17.25" customHeight="1">
      <c r="A85" s="509">
        <v>0</v>
      </c>
      <c r="B85" s="136">
        <f>COLUMN(AG60)</f>
        <v>33</v>
      </c>
      <c r="C85" s="136">
        <f>COLUMN(AL60)</f>
        <v>38</v>
      </c>
      <c r="D85" s="70"/>
      <c r="E85" s="70"/>
      <c r="F85" s="70"/>
      <c r="G85" s="70"/>
      <c r="H85" s="70"/>
      <c r="I85" s="70"/>
      <c r="J85" s="70"/>
    </row>
    <row r="86" spans="1:11" ht="17.25" customHeight="1">
      <c r="A86" s="522">
        <v>-5</v>
      </c>
      <c r="B86" s="136">
        <f>COLUMN(AM60)</f>
        <v>39</v>
      </c>
      <c r="C86" s="136">
        <f>COLUMN(AR60)</f>
        <v>44</v>
      </c>
      <c r="D86" s="70"/>
      <c r="E86" s="70"/>
      <c r="F86" s="70"/>
      <c r="G86" s="70"/>
      <c r="H86" s="70"/>
      <c r="I86" s="70"/>
      <c r="J86" s="70"/>
    </row>
    <row r="87" spans="1:11" ht="17.25" customHeight="1">
      <c r="A87" s="130"/>
      <c r="B87" s="70"/>
      <c r="C87" s="70"/>
      <c r="D87" s="70"/>
      <c r="E87" s="70"/>
      <c r="F87" s="70"/>
      <c r="G87" s="70"/>
      <c r="H87" s="70"/>
      <c r="I87" s="70"/>
      <c r="J87" s="70"/>
    </row>
    <row r="88" spans="1:11" ht="17.25" customHeight="1">
      <c r="B88" s="70"/>
      <c r="C88" s="70"/>
      <c r="D88" s="70"/>
      <c r="E88" s="70"/>
      <c r="F88" s="70"/>
      <c r="G88" s="70"/>
      <c r="H88" s="70"/>
      <c r="I88" s="70"/>
      <c r="J88" s="70"/>
    </row>
    <row r="89" spans="1:11" ht="17.25" customHeight="1">
      <c r="A89" s="133" t="s">
        <v>131</v>
      </c>
      <c r="B89" s="524">
        <f>ROW(A65)</f>
        <v>65</v>
      </c>
      <c r="C89" s="70"/>
      <c r="D89" s="70"/>
      <c r="E89" s="70"/>
      <c r="F89" s="70"/>
      <c r="G89" s="70"/>
      <c r="H89" s="70"/>
      <c r="I89" s="70"/>
      <c r="J89" s="70"/>
    </row>
    <row r="90" spans="1:11" ht="17.25" customHeight="1">
      <c r="A90" s="128" t="str">
        <f ca="1">CONCATENATE("Correlation for ",INDIRECT(ADDRESS(B89,1))," [",OFFSET(INDIRECT(ADDRESS(B89,1)),0,1),"] ","as a function of Gas Turbine Load [%] and Ambient Temperature [C]")</f>
        <v>Correlation for Plant gross output [kW] as a function of Gas Turbine Load [%] and Ambient Temperature [C]</v>
      </c>
      <c r="B90" s="70"/>
      <c r="C90" s="70"/>
      <c r="D90" s="70"/>
      <c r="E90" s="70"/>
      <c r="F90" s="70"/>
      <c r="G90" s="70"/>
      <c r="H90" s="70"/>
      <c r="I90" s="70"/>
      <c r="J90" s="70"/>
    </row>
    <row r="91" spans="1:11" ht="17.25" customHeight="1">
      <c r="A91" s="129" t="s">
        <v>128</v>
      </c>
      <c r="B91" s="134">
        <v>100</v>
      </c>
      <c r="C91" s="134">
        <v>90</v>
      </c>
      <c r="D91" s="134">
        <v>80</v>
      </c>
      <c r="E91" s="134">
        <v>70</v>
      </c>
      <c r="F91" s="134">
        <v>60</v>
      </c>
      <c r="G91" s="134">
        <v>50</v>
      </c>
      <c r="H91" s="40"/>
      <c r="I91" s="70"/>
      <c r="J91" s="70"/>
    </row>
    <row r="92" spans="1:11" ht="17.25" customHeight="1">
      <c r="A92" s="129" t="s">
        <v>278</v>
      </c>
      <c r="B92" s="40" t="s">
        <v>279</v>
      </c>
      <c r="C92" s="40" t="str">
        <f>B92</f>
        <v>[%]</v>
      </c>
      <c r="D92" s="40" t="str">
        <f>C92</f>
        <v>[%]</v>
      </c>
      <c r="E92" s="40" t="str">
        <f>D92</f>
        <v>[%]</v>
      </c>
      <c r="F92" s="40" t="str">
        <f>E92</f>
        <v>[%]</v>
      </c>
      <c r="G92" s="40" t="str">
        <f>F92</f>
        <v>[%]</v>
      </c>
      <c r="H92" s="40"/>
      <c r="I92" s="70"/>
      <c r="J92" s="70"/>
    </row>
    <row r="93" spans="1:11" ht="17.25" customHeight="1">
      <c r="A93" s="525">
        <v>25</v>
      </c>
      <c r="B93" s="134">
        <f t="shared" ref="B93:G95" ca="1" si="0">INDIRECT(ADDRESS($B$89,$B80+COLUMN(A1)-1))</f>
        <v>5898.2109375</v>
      </c>
      <c r="C93" s="134">
        <f t="shared" ca="1" si="0"/>
        <v>5309.56494140625</v>
      </c>
      <c r="D93" s="134">
        <f t="shared" ca="1" si="0"/>
        <v>4720.51513671875</v>
      </c>
      <c r="E93" s="134">
        <f t="shared" ca="1" si="0"/>
        <v>4131.1826171875</v>
      </c>
      <c r="F93" s="134">
        <f t="shared" ca="1" si="0"/>
        <v>3541.650390625</v>
      </c>
      <c r="G93" s="134">
        <f t="shared" ca="1" si="0"/>
        <v>2951.998779296875</v>
      </c>
      <c r="H93" s="134"/>
      <c r="I93" s="70"/>
      <c r="J93" s="70"/>
    </row>
    <row r="94" spans="1:11" ht="17.25" customHeight="1">
      <c r="A94" s="525">
        <v>20</v>
      </c>
      <c r="B94" s="134">
        <f t="shared" ca="1" si="0"/>
        <v>6089.763671875</v>
      </c>
      <c r="C94" s="134">
        <f t="shared" ca="1" si="0"/>
        <v>5482.1337890625</v>
      </c>
      <c r="D94" s="134">
        <f t="shared" ca="1" si="0"/>
        <v>4873.7138671875</v>
      </c>
      <c r="E94" s="134">
        <f t="shared" ca="1" si="0"/>
        <v>4265.29345703125</v>
      </c>
      <c r="F94" s="134">
        <f t="shared" ca="1" si="0"/>
        <v>3656.665771484375</v>
      </c>
      <c r="G94" s="134">
        <f t="shared" ca="1" si="0"/>
        <v>3047.870361328125</v>
      </c>
      <c r="H94" s="134"/>
      <c r="I94" s="70"/>
      <c r="J94" s="70" t="s">
        <v>114</v>
      </c>
    </row>
    <row r="95" spans="1:11" ht="17.25" customHeight="1">
      <c r="A95" s="525">
        <v>15</v>
      </c>
      <c r="B95" s="134">
        <f t="shared" ca="1" si="0"/>
        <v>6287.05029296875</v>
      </c>
      <c r="C95" s="134">
        <f t="shared" ca="1" si="0"/>
        <v>5659.875</v>
      </c>
      <c r="D95" s="134">
        <f t="shared" ca="1" si="0"/>
        <v>5031.76513671875</v>
      </c>
      <c r="E95" s="134">
        <f t="shared" ca="1" si="0"/>
        <v>4403.72021484375</v>
      </c>
      <c r="F95" s="134">
        <f t="shared" ca="1" si="0"/>
        <v>3775.113037109375</v>
      </c>
      <c r="G95" s="134">
        <f t="shared" ca="1" si="0"/>
        <v>3146.6005859375</v>
      </c>
      <c r="H95" s="134"/>
      <c r="I95" s="70"/>
      <c r="J95" s="66" t="str">
        <f>A91</f>
        <v>GT Load [%]</v>
      </c>
      <c r="K95" s="526">
        <v>100</v>
      </c>
    </row>
    <row r="96" spans="1:11" ht="17.25" customHeight="1">
      <c r="A96" s="525">
        <v>10</v>
      </c>
      <c r="B96" s="134">
        <f t="shared" ref="B96:G99" ca="1" si="1">INDIRECT(ADDRESS($B$89,$B83+COLUMN(A53)-1))</f>
        <v>6489.61865234375</v>
      </c>
      <c r="C96" s="134">
        <f t="shared" ca="1" si="1"/>
        <v>5842.0244140625</v>
      </c>
      <c r="D96" s="134">
        <f t="shared" ca="1" si="1"/>
        <v>5194.0693359375</v>
      </c>
      <c r="E96" s="134">
        <f t="shared" ca="1" si="1"/>
        <v>4545.50830078125</v>
      </c>
      <c r="F96" s="134">
        <f t="shared" ca="1" si="1"/>
        <v>3897.064697265625</v>
      </c>
      <c r="G96" s="134">
        <f t="shared" ca="1" si="1"/>
        <v>3248.324951171875</v>
      </c>
      <c r="H96" s="134"/>
      <c r="I96" s="70"/>
      <c r="J96" s="66" t="str">
        <f>A92</f>
        <v>Ambient Temp. [C]</v>
      </c>
      <c r="K96" s="526">
        <v>7</v>
      </c>
    </row>
    <row r="97" spans="1:12" ht="17.25" customHeight="1">
      <c r="A97" s="525">
        <v>5</v>
      </c>
      <c r="B97" s="134">
        <f t="shared" ca="1" si="1"/>
        <v>6710.6337890625</v>
      </c>
      <c r="C97" s="134">
        <f t="shared" ca="1" si="1"/>
        <v>6041.0771484375</v>
      </c>
      <c r="D97" s="134">
        <f t="shared" ca="1" si="1"/>
        <v>5370.7998046875</v>
      </c>
      <c r="E97" s="134">
        <f t="shared" ca="1" si="1"/>
        <v>4700.5283203125</v>
      </c>
      <c r="F97" s="134">
        <f t="shared" ca="1" si="1"/>
        <v>4029.727783203125</v>
      </c>
      <c r="G97" s="134">
        <f t="shared" ca="1" si="1"/>
        <v>3358.940673828125</v>
      </c>
      <c r="H97" s="134"/>
      <c r="I97" s="70"/>
      <c r="J97" s="66" t="str">
        <f ca="1">CONCATENATE(INDIRECT(ADDRESS(B89,1))," [",OFFSET(INDIRECT(ADDRESS(B89,1)),0,1),"] ")</f>
        <v xml:space="preserve">Plant gross output [kW] </v>
      </c>
      <c r="K97" s="38">
        <f ca="1">(H100*K95+I100)*K96+K95*H101+I101</f>
        <v>6641.2284890518704</v>
      </c>
    </row>
    <row r="98" spans="1:12" ht="17.25" customHeight="1">
      <c r="A98" s="525">
        <v>0</v>
      </c>
      <c r="B98" s="134">
        <f t="shared" ca="1" si="1"/>
        <v>6939.685546875</v>
      </c>
      <c r="C98" s="134">
        <f t="shared" ca="1" si="1"/>
        <v>6247.40185546875</v>
      </c>
      <c r="D98" s="134">
        <f t="shared" ca="1" si="1"/>
        <v>5554.275390625</v>
      </c>
      <c r="E98" s="134">
        <f t="shared" ca="1" si="1"/>
        <v>4860.892578125</v>
      </c>
      <c r="F98" s="134">
        <f t="shared" ca="1" si="1"/>
        <v>4167.50244140625</v>
      </c>
      <c r="G98" s="134">
        <f t="shared" ca="1" si="1"/>
        <v>3473.683349609375</v>
      </c>
      <c r="H98" s="134"/>
      <c r="I98" s="70"/>
      <c r="J98" s="70"/>
    </row>
    <row r="99" spans="1:12" ht="17.25" customHeight="1">
      <c r="A99" s="525">
        <v>-5</v>
      </c>
      <c r="B99" s="134">
        <f t="shared" ca="1" si="1"/>
        <v>7175.94921875</v>
      </c>
      <c r="C99" s="134">
        <f t="shared" ca="1" si="1"/>
        <v>6460.23681640625</v>
      </c>
      <c r="D99" s="134">
        <f t="shared" ca="1" si="1"/>
        <v>5743.5419921875</v>
      </c>
      <c r="E99" s="134">
        <f t="shared" ca="1" si="1"/>
        <v>5026.56640625</v>
      </c>
      <c r="F99" s="134">
        <f t="shared" ca="1" si="1"/>
        <v>4309.36865234375</v>
      </c>
      <c r="G99" s="134">
        <f t="shared" ca="1" si="1"/>
        <v>3592.14111328125</v>
      </c>
      <c r="H99" s="40" t="s">
        <v>46</v>
      </c>
      <c r="I99" s="40" t="s">
        <v>59</v>
      </c>
      <c r="J99" s="40" t="s">
        <v>144</v>
      </c>
    </row>
    <row r="100" spans="1:12" ht="17.25" customHeight="1">
      <c r="A100" s="39" t="s">
        <v>46</v>
      </c>
      <c r="B100" s="134">
        <f t="shared" ref="B100:G100" ca="1" si="2">SLOPE(B93:B99,$A$93:$A$99)</f>
        <v>-42.547443498883929</v>
      </c>
      <c r="C100" s="134">
        <f t="shared" ca="1" si="2"/>
        <v>-38.312527901785714</v>
      </c>
      <c r="D100" s="134">
        <f t="shared" ca="1" si="2"/>
        <v>-34.065987723214285</v>
      </c>
      <c r="E100" s="134">
        <f t="shared" ca="1" si="2"/>
        <v>-29.815412248883927</v>
      </c>
      <c r="F100" s="134">
        <f t="shared" ca="1" si="2"/>
        <v>-25.567449079241072</v>
      </c>
      <c r="G100" s="134">
        <f t="shared" ca="1" si="2"/>
        <v>-21.317093331473213</v>
      </c>
      <c r="H100" s="502">
        <f ca="1">SLOPE(B100:G100,B91:G91)</f>
        <v>-0.42467875079719386</v>
      </c>
      <c r="I100" s="502">
        <f ca="1">INTERCEPT(B100:G100,B91:G91)</f>
        <v>-8.6745987457483409E-2</v>
      </c>
      <c r="J100" s="49">
        <f ca="1">CORREL(B100:G100,B91:G91)^2</f>
        <v>0.99999964451922552</v>
      </c>
    </row>
    <row r="101" spans="1:12" ht="17.25" customHeight="1">
      <c r="A101" s="39" t="s">
        <v>45</v>
      </c>
      <c r="B101" s="134">
        <f t="shared" ref="B101:G101" ca="1" si="3">INTERCEPT(B93:B99,$A$93:$A$99)</f>
        <v>6938.4618791852681</v>
      </c>
      <c r="C101" s="134">
        <f t="shared" ca="1" si="3"/>
        <v>6246.31298828125</v>
      </c>
      <c r="D101" s="134">
        <f t="shared" ca="1" si="3"/>
        <v>5553.3285435267862</v>
      </c>
      <c r="E101" s="134">
        <f t="shared" ca="1" si="3"/>
        <v>4860.110107421875</v>
      </c>
      <c r="F101" s="134">
        <f t="shared" ca="1" si="3"/>
        <v>4166.687744140625</v>
      </c>
      <c r="G101" s="134">
        <f t="shared" ca="1" si="3"/>
        <v>3473.1080496651789</v>
      </c>
      <c r="H101" s="502">
        <f ca="1">SLOPE(B101:G101,B91:G91)</f>
        <v>69.311038046077812</v>
      </c>
      <c r="I101" s="502">
        <f ca="1">INTERCEPT(B101:G101,B91:G91)</f>
        <v>8.0070319143278539</v>
      </c>
      <c r="J101" s="49">
        <f ca="1">CORREL(B101:G101,B91:G91)^2</f>
        <v>0.99999987821094882</v>
      </c>
    </row>
    <row r="102" spans="1:12" ht="17.25" customHeight="1">
      <c r="A102" s="39" t="s">
        <v>144</v>
      </c>
      <c r="B102" s="136">
        <f t="shared" ref="B102:G102" ca="1" si="4">CORREL(B93:B99,$A$93:$A$99)^2</f>
        <v>0.99833263680992279</v>
      </c>
      <c r="C102" s="136">
        <f t="shared" ca="1" si="4"/>
        <v>0.99832674246851505</v>
      </c>
      <c r="D102" s="136">
        <f t="shared" ca="1" si="4"/>
        <v>0.99832800484440387</v>
      </c>
      <c r="E102" s="136">
        <f t="shared" ca="1" si="4"/>
        <v>0.99833070305127336</v>
      </c>
      <c r="F102" s="136">
        <f t="shared" ca="1" si="4"/>
        <v>0.99832934619705516</v>
      </c>
      <c r="G102" s="136">
        <f t="shared" ca="1" si="4"/>
        <v>0.99832385810502278</v>
      </c>
      <c r="H102" s="70"/>
      <c r="I102" s="70"/>
      <c r="J102" s="70"/>
    </row>
    <row r="103" spans="1:12" ht="17.25" customHeight="1">
      <c r="B103" s="70"/>
      <c r="C103" s="70"/>
      <c r="D103" s="70"/>
      <c r="E103" s="70"/>
      <c r="F103" s="70"/>
      <c r="G103" s="70"/>
      <c r="H103" s="70"/>
      <c r="I103" s="70"/>
      <c r="J103" s="70"/>
      <c r="K103" s="70"/>
    </row>
    <row r="104" spans="1:12" ht="17.25" customHeight="1">
      <c r="A104" s="139" t="s">
        <v>131</v>
      </c>
      <c r="B104" s="524">
        <f>ROW(A69)</f>
        <v>69</v>
      </c>
      <c r="C104" s="298"/>
      <c r="D104" s="298"/>
      <c r="E104" s="298"/>
      <c r="F104" s="298"/>
      <c r="G104" s="298"/>
      <c r="H104" s="298"/>
      <c r="I104" s="298"/>
      <c r="J104" s="298"/>
      <c r="K104" s="260"/>
    </row>
    <row r="105" spans="1:12" ht="17.25" customHeight="1">
      <c r="A105" s="260" t="str">
        <f ca="1">CONCATENATE("Correlation for ",INDIRECT(ADDRESS(B104,1))," [",OFFSET(INDIRECT(ADDRESS(B104,1)),0,1),"] ","as a function of Gas Turbine Load [%] and Ambient Temperature [C]")</f>
        <v>Correlation for GT fuel HHV chemical energy input (77F/25C) [kW] as a function of Gas Turbine Load [%] and Ambient Temperature [C]</v>
      </c>
      <c r="B105" s="298"/>
      <c r="C105" s="298"/>
      <c r="D105" s="298"/>
      <c r="E105" s="298"/>
      <c r="F105" s="298"/>
      <c r="G105" s="298"/>
      <c r="H105" s="298"/>
      <c r="I105" s="298"/>
      <c r="J105" s="298"/>
      <c r="K105" s="260"/>
    </row>
    <row r="106" spans="1:12" ht="17.25" customHeight="1">
      <c r="A106" s="129" t="s">
        <v>128</v>
      </c>
      <c r="B106" s="134">
        <v>100</v>
      </c>
      <c r="C106" s="134">
        <v>90</v>
      </c>
      <c r="D106" s="134">
        <v>80</v>
      </c>
      <c r="E106" s="134">
        <v>70</v>
      </c>
      <c r="F106" s="134">
        <v>60</v>
      </c>
      <c r="G106" s="134">
        <v>50</v>
      </c>
      <c r="H106" s="40"/>
      <c r="I106" s="298"/>
      <c r="J106" s="298"/>
      <c r="K106" s="260"/>
    </row>
    <row r="107" spans="1:12" ht="17.25" customHeight="1">
      <c r="A107" s="129" t="s">
        <v>127</v>
      </c>
      <c r="B107" s="40" t="s">
        <v>75</v>
      </c>
      <c r="C107" s="40" t="s">
        <v>75</v>
      </c>
      <c r="D107" s="40" t="s">
        <v>75</v>
      </c>
      <c r="E107" s="40" t="s">
        <v>75</v>
      </c>
      <c r="F107" s="40" t="s">
        <v>75</v>
      </c>
      <c r="G107" s="40" t="s">
        <v>75</v>
      </c>
      <c r="H107" s="40"/>
      <c r="I107" s="298"/>
      <c r="J107" s="298"/>
      <c r="K107" s="260"/>
    </row>
    <row r="108" spans="1:12" ht="17.25" customHeight="1">
      <c r="A108" s="525">
        <f t="shared" ref="A108:A114" si="5">A93</f>
        <v>25</v>
      </c>
      <c r="B108" s="134">
        <f t="shared" ref="B108:G110" ca="1" si="6">INDIRECT(ADDRESS($B$104,$B80+COLUMN(A1)-1))</f>
        <v>21960.814453125</v>
      </c>
      <c r="C108" s="134">
        <f t="shared" ca="1" si="6"/>
        <v>20281.388671875</v>
      </c>
      <c r="D108" s="134">
        <f t="shared" ca="1" si="6"/>
        <v>18621.091796875</v>
      </c>
      <c r="E108" s="134">
        <f t="shared" ca="1" si="6"/>
        <v>16986.658203125</v>
      </c>
      <c r="F108" s="134">
        <f t="shared" ca="1" si="6"/>
        <v>15376.9091796875</v>
      </c>
      <c r="G108" s="134">
        <f t="shared" ca="1" si="6"/>
        <v>13781.6396484375</v>
      </c>
      <c r="H108" s="134"/>
      <c r="I108" s="298"/>
      <c r="J108" s="298"/>
      <c r="K108" s="260"/>
    </row>
    <row r="109" spans="1:12" ht="17.25" customHeight="1">
      <c r="A109" s="525">
        <f t="shared" si="5"/>
        <v>20</v>
      </c>
      <c r="B109" s="134">
        <f t="shared" ca="1" si="6"/>
        <v>22443.36328125</v>
      </c>
      <c r="C109" s="134">
        <f t="shared" ca="1" si="6"/>
        <v>20713.9453125</v>
      </c>
      <c r="D109" s="134">
        <f t="shared" ca="1" si="6"/>
        <v>18998.13671875</v>
      </c>
      <c r="E109" s="134">
        <f t="shared" ca="1" si="6"/>
        <v>17303.66796875</v>
      </c>
      <c r="F109" s="134">
        <f t="shared" ca="1" si="6"/>
        <v>15634.12109375</v>
      </c>
      <c r="G109" s="134">
        <f t="shared" ca="1" si="6"/>
        <v>13984.646484375</v>
      </c>
      <c r="H109" s="134"/>
      <c r="I109" s="298"/>
      <c r="J109" s="298" t="s">
        <v>114</v>
      </c>
      <c r="K109" s="260"/>
    </row>
    <row r="110" spans="1:12" ht="17.25" customHeight="1">
      <c r="A110" s="525">
        <f t="shared" si="5"/>
        <v>15</v>
      </c>
      <c r="B110" s="134">
        <f t="shared" ca="1" si="6"/>
        <v>22943.625</v>
      </c>
      <c r="C110" s="134">
        <f t="shared" ca="1" si="6"/>
        <v>21163.904296875</v>
      </c>
      <c r="D110" s="134">
        <f t="shared" ca="1" si="6"/>
        <v>19395.015625</v>
      </c>
      <c r="E110" s="134">
        <f t="shared" ca="1" si="6"/>
        <v>17643.16796875</v>
      </c>
      <c r="F110" s="134">
        <f t="shared" ca="1" si="6"/>
        <v>15912.1494140625</v>
      </c>
      <c r="G110" s="134">
        <f t="shared" ca="1" si="6"/>
        <v>14204.26953125</v>
      </c>
      <c r="H110" s="134"/>
      <c r="I110" s="298"/>
      <c r="J110" s="66" t="str">
        <f>A106</f>
        <v>GT Load [%]</v>
      </c>
      <c r="K110" s="526">
        <v>100</v>
      </c>
    </row>
    <row r="111" spans="1:12" ht="17.25" customHeight="1">
      <c r="A111" s="525">
        <f t="shared" si="5"/>
        <v>10</v>
      </c>
      <c r="B111" s="134">
        <f t="shared" ref="B111:G114" ca="1" si="7">INDIRECT(ADDRESS($B$104,$B83+COLUMN(A53)-1))</f>
        <v>23456.619140625</v>
      </c>
      <c r="C111" s="134">
        <f t="shared" ca="1" si="7"/>
        <v>21625.109375</v>
      </c>
      <c r="D111" s="134">
        <f t="shared" ca="1" si="7"/>
        <v>19804.599609375</v>
      </c>
      <c r="E111" s="134">
        <f t="shared" ca="1" si="7"/>
        <v>17996.220703125</v>
      </c>
      <c r="F111" s="134">
        <f t="shared" ca="1" si="7"/>
        <v>16206.619140625</v>
      </c>
      <c r="G111" s="134">
        <f t="shared" ca="1" si="7"/>
        <v>14438.494140625</v>
      </c>
      <c r="H111" s="134"/>
      <c r="I111" s="298"/>
      <c r="J111" s="66" t="str">
        <f>A107</f>
        <v>Ambient Temperature [C]</v>
      </c>
      <c r="K111" s="526">
        <v>5</v>
      </c>
      <c r="L111" s="70"/>
    </row>
    <row r="112" spans="1:12" ht="17.25" customHeight="1">
      <c r="A112" s="525">
        <f t="shared" si="5"/>
        <v>5</v>
      </c>
      <c r="B112" s="134">
        <f t="shared" ca="1" si="7"/>
        <v>24020.744140625</v>
      </c>
      <c r="C112" s="134">
        <f t="shared" ca="1" si="7"/>
        <v>22133.5078125</v>
      </c>
      <c r="D112" s="134">
        <f t="shared" ca="1" si="7"/>
        <v>20255.48046875</v>
      </c>
      <c r="E112" s="134">
        <f t="shared" ca="1" si="7"/>
        <v>18389.26171875</v>
      </c>
      <c r="F112" s="134">
        <f t="shared" ca="1" si="7"/>
        <v>16536.890625</v>
      </c>
      <c r="G112" s="134">
        <f t="shared" ca="1" si="7"/>
        <v>14704.306640625</v>
      </c>
      <c r="H112" s="134"/>
      <c r="I112" s="298"/>
      <c r="J112" s="66" t="str">
        <f ca="1">CONCATENATE(INDIRECT(ADDRESS(B104,1))," [",OFFSET(INDIRECT(ADDRESS(B104,1)),0,1),"] ")</f>
        <v xml:space="preserve">GT fuel HHV chemical energy input (77F/25C) [kW] </v>
      </c>
      <c r="K112" s="38">
        <f ca="1">(Assets!$H$115*K110+Assets!$I$115)*K111+K110*Assets!$H$116+Assets!$I$116</f>
        <v>24039.21907884247</v>
      </c>
      <c r="L112" s="70"/>
    </row>
    <row r="113" spans="1:12" ht="17.25" customHeight="1">
      <c r="A113" s="525">
        <f t="shared" si="5"/>
        <v>0</v>
      </c>
      <c r="B113" s="134">
        <f t="shared" ca="1" si="7"/>
        <v>24606.048828125</v>
      </c>
      <c r="C113" s="134">
        <f t="shared" ca="1" si="7"/>
        <v>22661.421875</v>
      </c>
      <c r="D113" s="134">
        <f t="shared" ca="1" si="7"/>
        <v>20725.248046875</v>
      </c>
      <c r="E113" s="134">
        <f t="shared" ca="1" si="7"/>
        <v>18798.9296875</v>
      </c>
      <c r="F113" s="134">
        <f t="shared" ca="1" si="7"/>
        <v>16885.365234375</v>
      </c>
      <c r="G113" s="134">
        <f t="shared" ca="1" si="7"/>
        <v>14987.4580078125</v>
      </c>
      <c r="H113" s="134"/>
      <c r="I113" s="298"/>
      <c r="J113" s="298"/>
      <c r="K113" s="260"/>
      <c r="L113" s="70"/>
    </row>
    <row r="114" spans="1:12" ht="17.25" customHeight="1">
      <c r="A114" s="525">
        <f t="shared" si="5"/>
        <v>-5</v>
      </c>
      <c r="B114" s="134">
        <f t="shared" ca="1" si="7"/>
        <v>25209.138671875</v>
      </c>
      <c r="C114" s="134">
        <f t="shared" ca="1" si="7"/>
        <v>23205.5546875</v>
      </c>
      <c r="D114" s="134">
        <f t="shared" ca="1" si="7"/>
        <v>21210.00390625</v>
      </c>
      <c r="E114" s="134">
        <f t="shared" ca="1" si="7"/>
        <v>19223.455078125</v>
      </c>
      <c r="F114" s="134">
        <f t="shared" ca="1" si="7"/>
        <v>17247.21484375</v>
      </c>
      <c r="G114" s="134">
        <f t="shared" ca="1" si="7"/>
        <v>15285.0078125</v>
      </c>
      <c r="H114" s="40" t="s">
        <v>46</v>
      </c>
      <c r="I114" s="40" t="s">
        <v>59</v>
      </c>
      <c r="J114" s="40" t="s">
        <v>144</v>
      </c>
      <c r="K114" s="260"/>
      <c r="L114" s="70"/>
    </row>
    <row r="115" spans="1:12" ht="17.25" customHeight="1">
      <c r="A115" s="39" t="s">
        <v>46</v>
      </c>
      <c r="B115" s="134">
        <f t="shared" ref="B115:G115" ca="1" si="8">SLOPE(B108:B114,$A$108:$A$114)</f>
        <v>-108.19616350446428</v>
      </c>
      <c r="C115" s="134">
        <f t="shared" ca="1" si="8"/>
        <v>-97.407533482142853</v>
      </c>
      <c r="D115" s="134">
        <f t="shared" ca="1" si="8"/>
        <v>-86.295884486607136</v>
      </c>
      <c r="E115" s="134">
        <f t="shared" ca="1" si="8"/>
        <v>-74.621484374999994</v>
      </c>
      <c r="F115" s="134">
        <f t="shared" ca="1" si="8"/>
        <v>-62.415332031250003</v>
      </c>
      <c r="G115" s="134">
        <f t="shared" ca="1" si="8"/>
        <v>-50.112604631696428</v>
      </c>
      <c r="H115" s="502">
        <f ca="1">SLOPE(B115:G115,B106:G106)</f>
        <v>-1.1630537109374997</v>
      </c>
      <c r="I115" s="502">
        <f ca="1">INTERCEPT(B115:G115,B106:G106)</f>
        <v>7.3875279017857025</v>
      </c>
      <c r="J115" s="49">
        <f ca="1">CORREL(B115:G115,B106:G106)^2</f>
        <v>0.99927212913001906</v>
      </c>
      <c r="K115" s="260"/>
      <c r="L115" s="70"/>
    </row>
    <row r="116" spans="1:12" ht="17.25" customHeight="1">
      <c r="A116" s="39" t="s">
        <v>45</v>
      </c>
      <c r="B116" s="134">
        <f t="shared" ref="B116:G116" ca="1" si="9">INTERCEPT(B108:B114,$A$108:$A$114)</f>
        <v>24602.012137276783</v>
      </c>
      <c r="C116" s="134">
        <f t="shared" ca="1" si="9"/>
        <v>22657.622767857141</v>
      </c>
      <c r="D116" s="134">
        <f t="shared" ca="1" si="9"/>
        <v>20721.4697265625</v>
      </c>
      <c r="E116" s="134">
        <f t="shared" ca="1" si="9"/>
        <v>18794.980747767859</v>
      </c>
      <c r="F116" s="134">
        <f t="shared" ca="1" si="9"/>
        <v>16881.191824776786</v>
      </c>
      <c r="G116" s="134">
        <f t="shared" ca="1" si="9"/>
        <v>14984.81494140625</v>
      </c>
      <c r="H116" s="502">
        <f ca="1">SLOPE(B116:G116,B106:G106)</f>
        <v>192.40505082110965</v>
      </c>
      <c r="I116" s="502">
        <f ca="1">INTERCEPT(B116:G116,B106:G106)</f>
        <v>5343.3032126913276</v>
      </c>
      <c r="J116" s="49">
        <f ca="1">CORREL(B116:G116,B106:G106)^2</f>
        <v>0.99997978208133731</v>
      </c>
      <c r="K116" s="260"/>
      <c r="L116" s="70"/>
    </row>
    <row r="117" spans="1:12" ht="17.25" customHeight="1">
      <c r="A117" s="39" t="s">
        <v>144</v>
      </c>
      <c r="B117" s="136">
        <f t="shared" ref="B117:G117" ca="1" si="10">CORREL(B108:B114,$A$93:$A$99)^2</f>
        <v>0.99812654761249575</v>
      </c>
      <c r="C117" s="136">
        <f t="shared" ca="1" si="10"/>
        <v>0.99803586218583018</v>
      </c>
      <c r="D117" s="136">
        <f t="shared" ca="1" si="10"/>
        <v>0.99777018332551892</v>
      </c>
      <c r="E117" s="136">
        <f t="shared" ca="1" si="10"/>
        <v>0.99712567760219906</v>
      </c>
      <c r="F117" s="136">
        <f t="shared" ca="1" si="10"/>
        <v>0.99607933432327778</v>
      </c>
      <c r="G117" s="136">
        <f t="shared" ca="1" si="10"/>
        <v>0.99506932725088304</v>
      </c>
      <c r="H117" s="298"/>
      <c r="I117" s="298"/>
      <c r="J117" s="298"/>
      <c r="K117" s="260"/>
    </row>
    <row r="118" spans="1:12" ht="17.25" customHeight="1">
      <c r="B118" s="70"/>
      <c r="C118" s="70"/>
      <c r="D118" s="70"/>
      <c r="E118" s="70"/>
      <c r="F118" s="70"/>
      <c r="G118" s="70"/>
      <c r="H118" s="70"/>
      <c r="I118" s="70"/>
      <c r="J118" s="70"/>
    </row>
    <row r="119" spans="1:12" ht="17.25" customHeight="1">
      <c r="A119" s="139" t="s">
        <v>131</v>
      </c>
      <c r="B119" s="524">
        <f>ROW(A75)</f>
        <v>75</v>
      </c>
      <c r="C119" s="298"/>
      <c r="D119" s="298"/>
      <c r="E119" s="298"/>
      <c r="F119" s="298"/>
      <c r="G119" s="298"/>
      <c r="H119" s="298"/>
      <c r="I119" s="298"/>
      <c r="J119" s="298"/>
      <c r="K119" s="260"/>
    </row>
    <row r="120" spans="1:12" ht="17.25" customHeight="1">
      <c r="A120" s="260" t="str">
        <f ca="1">CONCATENATE("Correlation for ",INDIRECT(ADDRESS(B119,1))," [",OFFSET(INDIRECT(ADDRESS(B119,1)),0,1),"] ","as a function of Gas Turbine Load [%] and Ambient Temperature [C]")</f>
        <v>Correlation for Main IP process mass flow [t/h] as a function of Gas Turbine Load [%] and Ambient Temperature [C]</v>
      </c>
      <c r="B120" s="298"/>
      <c r="C120" s="298"/>
      <c r="D120" s="298"/>
      <c r="E120" s="298"/>
      <c r="F120" s="298"/>
      <c r="G120" s="298"/>
      <c r="H120" s="298"/>
      <c r="I120" s="298"/>
      <c r="J120" s="298"/>
      <c r="K120" s="260"/>
    </row>
    <row r="121" spans="1:12" ht="17.25" customHeight="1">
      <c r="A121" s="129" t="s">
        <v>128</v>
      </c>
      <c r="B121" s="134">
        <v>100</v>
      </c>
      <c r="C121" s="134">
        <v>90</v>
      </c>
      <c r="D121" s="134">
        <v>80</v>
      </c>
      <c r="E121" s="134">
        <v>70</v>
      </c>
      <c r="F121" s="134">
        <v>60</v>
      </c>
      <c r="G121" s="134">
        <v>50</v>
      </c>
      <c r="H121" s="40"/>
      <c r="I121" s="298"/>
      <c r="J121" s="298"/>
      <c r="K121" s="260"/>
    </row>
    <row r="122" spans="1:12" ht="17.25" customHeight="1">
      <c r="A122" s="129" t="s">
        <v>127</v>
      </c>
      <c r="B122" s="40" t="s">
        <v>75</v>
      </c>
      <c r="C122" s="40" t="s">
        <v>75</v>
      </c>
      <c r="D122" s="40" t="s">
        <v>75</v>
      </c>
      <c r="E122" s="40" t="s">
        <v>75</v>
      </c>
      <c r="F122" s="40" t="s">
        <v>75</v>
      </c>
      <c r="G122" s="40" t="s">
        <v>75</v>
      </c>
      <c r="H122" s="40"/>
      <c r="I122" s="298"/>
      <c r="J122" s="298"/>
      <c r="K122" s="260"/>
    </row>
    <row r="123" spans="1:12" ht="17.25" customHeight="1">
      <c r="A123" s="525">
        <f>A80</f>
        <v>25</v>
      </c>
      <c r="B123" s="134">
        <f t="shared" ref="B123:G125" ca="1" si="11">INDIRECT(ADDRESS($B$119,$B80+COLUMN(A1)-1))</f>
        <v>12.772176742553711</v>
      </c>
      <c r="C123" s="134">
        <f t="shared" ca="1" si="11"/>
        <v>11.325741767883301</v>
      </c>
      <c r="D123" s="134">
        <f t="shared" ca="1" si="11"/>
        <v>9.9106216430664062</v>
      </c>
      <c r="E123" s="134">
        <f t="shared" ca="1" si="11"/>
        <v>8.5347499847412109</v>
      </c>
      <c r="F123" s="134">
        <f t="shared" ca="1" si="11"/>
        <v>7.1948256492614746</v>
      </c>
      <c r="G123" s="134">
        <f t="shared" ca="1" si="11"/>
        <v>5.8738279342651367</v>
      </c>
      <c r="H123" s="134"/>
      <c r="I123" s="298"/>
      <c r="J123" s="298"/>
      <c r="K123" s="260"/>
    </row>
    <row r="124" spans="1:12" ht="17.25" customHeight="1">
      <c r="A124" s="525">
        <f t="shared" ref="A124:A129" si="12">A81</f>
        <v>20</v>
      </c>
      <c r="B124" s="134">
        <f t="shared" ca="1" si="11"/>
        <v>12.797797203063965</v>
      </c>
      <c r="C124" s="134">
        <f t="shared" ca="1" si="11"/>
        <v>11.310160636901855</v>
      </c>
      <c r="D124" s="134">
        <f t="shared" ca="1" si="11"/>
        <v>9.8469734191894531</v>
      </c>
      <c r="E124" s="134">
        <f t="shared" ca="1" si="11"/>
        <v>8.4162864685058594</v>
      </c>
      <c r="F124" s="134">
        <f t="shared" ca="1" si="11"/>
        <v>7.0219159126281738</v>
      </c>
      <c r="G124" s="134">
        <f t="shared" ca="1" si="11"/>
        <v>5.654231071472168</v>
      </c>
      <c r="H124" s="134"/>
      <c r="I124" s="298"/>
      <c r="J124" s="298" t="s">
        <v>114</v>
      </c>
      <c r="K124" s="260"/>
    </row>
    <row r="125" spans="1:12" ht="17.25" customHeight="1">
      <c r="A125" s="525">
        <f t="shared" si="12"/>
        <v>15</v>
      </c>
      <c r="B125" s="134">
        <f t="shared" ca="1" si="11"/>
        <v>12.825390815734863</v>
      </c>
      <c r="C125" s="134">
        <f t="shared" ca="1" si="11"/>
        <v>11.297388076782227</v>
      </c>
      <c r="D125" s="134">
        <f t="shared" ca="1" si="11"/>
        <v>9.790252685546875</v>
      </c>
      <c r="E125" s="134">
        <f t="shared" ca="1" si="11"/>
        <v>8.3095216751098633</v>
      </c>
      <c r="F125" s="134">
        <f t="shared" ca="1" si="11"/>
        <v>6.8598084449768066</v>
      </c>
      <c r="G125" s="134">
        <f t="shared" ca="1" si="11"/>
        <v>5.4403457641601562</v>
      </c>
      <c r="H125" s="134"/>
      <c r="I125" s="298"/>
      <c r="J125" s="66" t="str">
        <f>A121</f>
        <v>GT Load [%]</v>
      </c>
      <c r="K125" s="526">
        <v>100</v>
      </c>
    </row>
    <row r="126" spans="1:12" ht="17.25" customHeight="1">
      <c r="A126" s="525">
        <f t="shared" si="12"/>
        <v>10</v>
      </c>
      <c r="B126" s="134">
        <f t="shared" ref="B126:G129" ca="1" si="13">INDIRECT(ADDRESS($B$119,$B83+COLUMN(A53)-1))</f>
        <v>12.852175712585449</v>
      </c>
      <c r="C126" s="134">
        <f t="shared" ca="1" si="13"/>
        <v>11.283312797546387</v>
      </c>
      <c r="D126" s="134">
        <f t="shared" ca="1" si="13"/>
        <v>9.7342891693115234</v>
      </c>
      <c r="E126" s="134">
        <f t="shared" ca="1" si="13"/>
        <v>8.2062921524047852</v>
      </c>
      <c r="F126" s="134">
        <f t="shared" ca="1" si="13"/>
        <v>6.7051968574523926</v>
      </c>
      <c r="G126" s="134">
        <f t="shared" ca="1" si="13"/>
        <v>5.2322044372558594</v>
      </c>
      <c r="H126" s="134"/>
      <c r="I126" s="298"/>
      <c r="J126" s="66" t="str">
        <f>A122</f>
        <v>Ambient Temperature [C]</v>
      </c>
      <c r="K126" s="526">
        <v>5</v>
      </c>
    </row>
    <row r="127" spans="1:12" ht="17.25" customHeight="1">
      <c r="A127" s="525">
        <f t="shared" si="12"/>
        <v>5</v>
      </c>
      <c r="B127" s="134">
        <f t="shared" ca="1" si="13"/>
        <v>12.907818794250488</v>
      </c>
      <c r="C127" s="134">
        <f t="shared" ca="1" si="13"/>
        <v>11.294657707214355</v>
      </c>
      <c r="D127" s="134">
        <f t="shared" ca="1" si="13"/>
        <v>9.6997652053833008</v>
      </c>
      <c r="E127" s="134">
        <f t="shared" ca="1" si="13"/>
        <v>8.1246881484985352</v>
      </c>
      <c r="F127" s="134">
        <f t="shared" ca="1" si="13"/>
        <v>6.5705108642578125</v>
      </c>
      <c r="G127" s="134">
        <f t="shared" ca="1" si="13"/>
        <v>5.0409903526306152</v>
      </c>
      <c r="H127" s="134"/>
      <c r="I127" s="298"/>
      <c r="J127" s="66" t="str">
        <f ca="1">CONCATENATE(INDIRECT(ADDRESS(B119,1))," [",OFFSET(INDIRECT(ADDRESS(B119,1)),0,1),"] ")</f>
        <v xml:space="preserve">Main IP process mass flow [t/h] </v>
      </c>
      <c r="K127" s="38">
        <f ca="1">(H130*K125+I130)*K126+K125*H131+I131</f>
        <v>12.884172549053112</v>
      </c>
    </row>
    <row r="128" spans="1:12" ht="17.25" customHeight="1">
      <c r="A128" s="525">
        <f t="shared" si="12"/>
        <v>0</v>
      </c>
      <c r="B128" s="134">
        <f t="shared" ca="1" si="13"/>
        <v>12.965926170349121</v>
      </c>
      <c r="C128" s="134">
        <f t="shared" ca="1" si="13"/>
        <v>11.30696964263916</v>
      </c>
      <c r="D128" s="134">
        <f t="shared" ca="1" si="13"/>
        <v>9.6667308807373047</v>
      </c>
      <c r="E128" s="134">
        <f t="shared" ca="1" si="13"/>
        <v>8.0437297821044922</v>
      </c>
      <c r="F128" s="134">
        <f t="shared" ca="1" si="13"/>
        <v>6.4392032623291016</v>
      </c>
      <c r="G128" s="134">
        <f t="shared" ca="1" si="13"/>
        <v>4.853574275970459</v>
      </c>
      <c r="H128" s="134"/>
      <c r="I128" s="298"/>
      <c r="J128" s="298"/>
      <c r="K128" s="260"/>
    </row>
    <row r="129" spans="1:11" ht="17.25" customHeight="1">
      <c r="A129" s="525">
        <f t="shared" si="12"/>
        <v>-5</v>
      </c>
      <c r="B129" s="134">
        <f t="shared" ca="1" si="13"/>
        <v>13.022479057312012</v>
      </c>
      <c r="C129" s="134">
        <f t="shared" ca="1" si="13"/>
        <v>11.317227363586426</v>
      </c>
      <c r="D129" s="134">
        <f t="shared" ca="1" si="13"/>
        <v>9.6307573318481445</v>
      </c>
      <c r="E129" s="134">
        <f t="shared" ca="1" si="13"/>
        <v>7.9605913162231445</v>
      </c>
      <c r="F129" s="134">
        <f t="shared" ca="1" si="13"/>
        <v>6.305696964263916</v>
      </c>
      <c r="G129" s="134">
        <f t="shared" ca="1" si="13"/>
        <v>4.6661224365234375</v>
      </c>
      <c r="H129" s="40" t="s">
        <v>46</v>
      </c>
      <c r="I129" s="40" t="s">
        <v>59</v>
      </c>
      <c r="J129" s="40" t="s">
        <v>144</v>
      </c>
      <c r="K129" s="260"/>
    </row>
    <row r="130" spans="1:11" ht="17.25" customHeight="1">
      <c r="A130" s="39" t="s">
        <v>46</v>
      </c>
      <c r="B130" s="134">
        <f t="shared" ref="B130:G130" ca="1" si="14">SLOPE(B123:B129,$A$123:$A$129)</f>
        <v>-8.3542346954345696E-3</v>
      </c>
      <c r="C130" s="134">
        <f t="shared" ca="1" si="14"/>
        <v>2.4753979274204797E-4</v>
      </c>
      <c r="D130" s="134">
        <f t="shared" ca="1" si="14"/>
        <v>9.2183249337332591E-3</v>
      </c>
      <c r="E130" s="134">
        <f t="shared" ca="1" si="14"/>
        <v>1.8945877892630442E-2</v>
      </c>
      <c r="F130" s="134">
        <f t="shared" ca="1" si="14"/>
        <v>2.9443635259355817E-2</v>
      </c>
      <c r="G130" s="134">
        <f t="shared" ca="1" si="14"/>
        <v>4.0169896398271836E-2</v>
      </c>
      <c r="H130" s="502">
        <f ca="1">SLOPE(B130:G130,B121:G121)</f>
        <v>-9.7124712807791574E-4</v>
      </c>
      <c r="I130" s="502">
        <f ca="1">INTERCEPT(B130:G130,B121:G121)</f>
        <v>8.7788707869393481E-2</v>
      </c>
      <c r="J130" s="49">
        <f ca="1">CORREL(B130:G130,B121:G121)^2</f>
        <v>0.99796538982557859</v>
      </c>
      <c r="K130" s="260"/>
    </row>
    <row r="131" spans="1:11" ht="17.25" customHeight="1">
      <c r="A131" s="39" t="s">
        <v>45</v>
      </c>
      <c r="B131" s="134">
        <f t="shared" ref="B131:G131" ca="1" si="15">INTERCEPT(B123:B129,$A$123:$A$129)</f>
        <v>12.961222989218575</v>
      </c>
      <c r="C131" s="134">
        <f t="shared" ca="1" si="15"/>
        <v>11.302590029580251</v>
      </c>
      <c r="D131" s="134">
        <f t="shared" ca="1" si="15"/>
        <v>9.6620153699602387</v>
      </c>
      <c r="E131" s="134">
        <f t="shared" ca="1" si="15"/>
        <v>8.0385211535862506</v>
      </c>
      <c r="F131" s="134">
        <f t="shared" ca="1" si="15"/>
        <v>6.4337290695735385</v>
      </c>
      <c r="G131" s="134">
        <f t="shared" ca="1" si="15"/>
        <v>4.8499147891998291</v>
      </c>
      <c r="H131" s="502">
        <f ca="1">SLOPE(B131:G131,B121:G121)</f>
        <v>0.16224748027567959</v>
      </c>
      <c r="I131" s="502">
        <f ca="1">INTERCEPT(B131:G131,B121:G121)</f>
        <v>-3.2938954538228558</v>
      </c>
      <c r="J131" s="49">
        <f ca="1">CORREL(B131:G131,B121:G121)^2</f>
        <v>0.99993081786413029</v>
      </c>
      <c r="K131" s="260"/>
    </row>
    <row r="132" spans="1:11" ht="17.25" customHeight="1">
      <c r="A132" s="39" t="s">
        <v>144</v>
      </c>
      <c r="B132" s="136">
        <f t="shared" ref="B132:G132" ca="1" si="16">CORREL(B123:B129,$A$93:$A$99)^2</f>
        <v>0.96629582481524789</v>
      </c>
      <c r="C132" s="136">
        <f t="shared" ca="1" si="16"/>
        <v>3.4439887095623505E-2</v>
      </c>
      <c r="D132" s="136">
        <f t="shared" ca="1" si="16"/>
        <v>0.98121667417791658</v>
      </c>
      <c r="E132" s="136">
        <f t="shared" ca="1" si="16"/>
        <v>0.99391531408543388</v>
      </c>
      <c r="F132" s="136">
        <f t="shared" ca="1" si="16"/>
        <v>0.99687412095694672</v>
      </c>
      <c r="G132" s="136">
        <f t="shared" ca="1" si="16"/>
        <v>0.99884068490966194</v>
      </c>
      <c r="H132" s="298"/>
      <c r="I132" s="298"/>
      <c r="J132" s="298"/>
      <c r="K132" s="260"/>
    </row>
    <row r="133" spans="1:11" s="222" customFormat="1" ht="17.25" customHeight="1">
      <c r="A133" s="66"/>
      <c r="B133" s="136"/>
      <c r="C133" s="136"/>
      <c r="D133" s="136"/>
      <c r="E133" s="136"/>
      <c r="F133" s="136"/>
      <c r="G133" s="136"/>
      <c r="H133" s="70"/>
      <c r="I133" s="70"/>
      <c r="J133" s="70"/>
    </row>
    <row r="134" spans="1:11" s="222" customFormat="1" ht="17.25" customHeight="1">
      <c r="A134" s="139" t="s">
        <v>131</v>
      </c>
      <c r="B134" s="524">
        <f>ROW(A72)</f>
        <v>72</v>
      </c>
      <c r="C134" s="298"/>
      <c r="D134" s="298"/>
      <c r="E134" s="298"/>
      <c r="F134" s="298"/>
      <c r="G134" s="298"/>
      <c r="H134" s="298"/>
      <c r="I134" s="298"/>
      <c r="J134" s="298"/>
      <c r="K134" s="260"/>
    </row>
    <row r="135" spans="1:11" s="222" customFormat="1" ht="17.25" customHeight="1">
      <c r="A135" s="260" t="str">
        <f ca="1">CONCATENATE("Correlation for ",INDIRECT(ADDRESS(B134,1))," [",OFFSET(INDIRECT(ADDRESS(B134,1)),0,1),"] ","as a function of Gas Turbine Load [%] and Ambient Temperature [C]")</f>
        <v>Correlation for Combustor steam injection flow (per GT) [t/h] as a function of Gas Turbine Load [%] and Ambient Temperature [C]</v>
      </c>
      <c r="B135" s="298"/>
      <c r="C135" s="298"/>
      <c r="D135" s="298"/>
      <c r="E135" s="298"/>
      <c r="F135" s="298"/>
      <c r="G135" s="298"/>
      <c r="H135" s="298"/>
      <c r="I135" s="298"/>
      <c r="J135" s="298"/>
      <c r="K135" s="260"/>
    </row>
    <row r="136" spans="1:11" s="222" customFormat="1" ht="17.25" customHeight="1">
      <c r="A136" s="129" t="str">
        <f>A121</f>
        <v>GT Load [%]</v>
      </c>
      <c r="B136" s="134">
        <v>100</v>
      </c>
      <c r="C136" s="134">
        <v>90</v>
      </c>
      <c r="D136" s="134">
        <v>80</v>
      </c>
      <c r="E136" s="134">
        <v>70</v>
      </c>
      <c r="F136" s="134">
        <v>60</v>
      </c>
      <c r="G136" s="134">
        <v>50</v>
      </c>
      <c r="H136" s="40"/>
      <c r="I136" s="298"/>
      <c r="J136" s="298"/>
      <c r="K136" s="260"/>
    </row>
    <row r="137" spans="1:11" s="222" customFormat="1" ht="17.25" customHeight="1">
      <c r="A137" s="129" t="str">
        <f t="shared" ref="A137:A144" si="17">A122</f>
        <v>Ambient Temperature [C]</v>
      </c>
      <c r="B137" s="40" t="s">
        <v>75</v>
      </c>
      <c r="C137" s="40" t="s">
        <v>75</v>
      </c>
      <c r="D137" s="40" t="s">
        <v>75</v>
      </c>
      <c r="E137" s="40" t="s">
        <v>75</v>
      </c>
      <c r="F137" s="40" t="s">
        <v>75</v>
      </c>
      <c r="G137" s="40" t="s">
        <v>75</v>
      </c>
      <c r="H137" s="40" t="s">
        <v>194</v>
      </c>
      <c r="I137" s="298"/>
      <c r="J137" s="298"/>
      <c r="K137" s="260"/>
    </row>
    <row r="138" spans="1:11" s="222" customFormat="1" ht="17.25" customHeight="1">
      <c r="A138" s="525">
        <f t="shared" si="17"/>
        <v>25</v>
      </c>
      <c r="B138" s="134">
        <f t="shared" ref="B138:G140" ca="1" si="18">INDIRECT(ADDRESS($B$134,$B80+COLUMN(A1)-1))</f>
        <v>1</v>
      </c>
      <c r="C138" s="134">
        <f t="shared" ca="1" si="18"/>
        <v>1</v>
      </c>
      <c r="D138" s="134">
        <f t="shared" ca="1" si="18"/>
        <v>1</v>
      </c>
      <c r="E138" s="134">
        <f t="shared" ca="1" si="18"/>
        <v>1</v>
      </c>
      <c r="F138" s="134">
        <f t="shared" ca="1" si="18"/>
        <v>1</v>
      </c>
      <c r="G138" s="134">
        <f t="shared" ca="1" si="18"/>
        <v>1</v>
      </c>
      <c r="H138" s="134"/>
      <c r="I138" s="298"/>
      <c r="J138" s="298"/>
      <c r="K138" s="260"/>
    </row>
    <row r="139" spans="1:11" s="222" customFormat="1" ht="17.25" customHeight="1">
      <c r="A139" s="525">
        <f t="shared" si="17"/>
        <v>20</v>
      </c>
      <c r="B139" s="134">
        <f t="shared" ca="1" si="18"/>
        <v>1</v>
      </c>
      <c r="C139" s="134">
        <f t="shared" ca="1" si="18"/>
        <v>1</v>
      </c>
      <c r="D139" s="134">
        <f t="shared" ca="1" si="18"/>
        <v>1</v>
      </c>
      <c r="E139" s="134">
        <f t="shared" ca="1" si="18"/>
        <v>1</v>
      </c>
      <c r="F139" s="134">
        <f t="shared" ca="1" si="18"/>
        <v>1</v>
      </c>
      <c r="G139" s="134">
        <f t="shared" ca="1" si="18"/>
        <v>1</v>
      </c>
      <c r="H139" s="134"/>
      <c r="I139" s="298"/>
      <c r="J139" s="298" t="s">
        <v>114</v>
      </c>
      <c r="K139" s="260"/>
    </row>
    <row r="140" spans="1:11" s="222" customFormat="1" ht="17.25" customHeight="1">
      <c r="A140" s="525">
        <f t="shared" si="17"/>
        <v>15</v>
      </c>
      <c r="B140" s="134">
        <f t="shared" ca="1" si="18"/>
        <v>1</v>
      </c>
      <c r="C140" s="134">
        <f t="shared" ca="1" si="18"/>
        <v>1</v>
      </c>
      <c r="D140" s="134">
        <f t="shared" ca="1" si="18"/>
        <v>1</v>
      </c>
      <c r="E140" s="134">
        <f t="shared" ca="1" si="18"/>
        <v>1</v>
      </c>
      <c r="F140" s="134">
        <f t="shared" ca="1" si="18"/>
        <v>1</v>
      </c>
      <c r="G140" s="134">
        <f t="shared" ca="1" si="18"/>
        <v>1</v>
      </c>
      <c r="H140" s="134"/>
      <c r="I140" s="298"/>
      <c r="J140" s="66" t="str">
        <f>A136</f>
        <v>GT Load [%]</v>
      </c>
      <c r="K140" s="526">
        <v>100</v>
      </c>
    </row>
    <row r="141" spans="1:11" s="222" customFormat="1" ht="17.25" customHeight="1">
      <c r="A141" s="525">
        <f t="shared" si="17"/>
        <v>10</v>
      </c>
      <c r="B141" s="134">
        <f t="shared" ref="B141:G144" ca="1" si="19">INDIRECT(ADDRESS($B$134,$B83+COLUMN(A53)-1))</f>
        <v>1</v>
      </c>
      <c r="C141" s="134">
        <f t="shared" ca="1" si="19"/>
        <v>1</v>
      </c>
      <c r="D141" s="134">
        <f t="shared" ca="1" si="19"/>
        <v>1</v>
      </c>
      <c r="E141" s="134">
        <f t="shared" ca="1" si="19"/>
        <v>1</v>
      </c>
      <c r="F141" s="134">
        <f t="shared" ca="1" si="19"/>
        <v>1</v>
      </c>
      <c r="G141" s="134">
        <f t="shared" ca="1" si="19"/>
        <v>1</v>
      </c>
      <c r="H141" s="134"/>
      <c r="I141" s="298"/>
      <c r="J141" s="66" t="str">
        <f>A137</f>
        <v>Ambient Temperature [C]</v>
      </c>
      <c r="K141" s="526">
        <v>10</v>
      </c>
    </row>
    <row r="142" spans="1:11" s="222" customFormat="1" ht="17.25" customHeight="1">
      <c r="A142" s="525">
        <f t="shared" si="17"/>
        <v>5</v>
      </c>
      <c r="B142" s="134">
        <f t="shared" ca="1" si="19"/>
        <v>1</v>
      </c>
      <c r="C142" s="134">
        <f t="shared" ca="1" si="19"/>
        <v>1</v>
      </c>
      <c r="D142" s="134">
        <f t="shared" ca="1" si="19"/>
        <v>1</v>
      </c>
      <c r="E142" s="134">
        <f t="shared" ca="1" si="19"/>
        <v>1</v>
      </c>
      <c r="F142" s="134">
        <f t="shared" ca="1" si="19"/>
        <v>1</v>
      </c>
      <c r="G142" s="134">
        <f t="shared" ca="1" si="19"/>
        <v>1</v>
      </c>
      <c r="H142" s="134"/>
      <c r="I142" s="298"/>
      <c r="J142" s="66" t="str">
        <f ca="1">CONCATENATE(INDIRECT(ADDRESS(B134,1))," [",OFFSET(INDIRECT(ADDRESS(B134,1)),0,1),"] ")</f>
        <v xml:space="preserve">Combustor steam injection flow (per GT) [t/h] </v>
      </c>
      <c r="K142" s="38">
        <f ca="1">(H145*K140+I145)*K141+K140*H146+I146</f>
        <v>1</v>
      </c>
    </row>
    <row r="143" spans="1:11" s="222" customFormat="1" ht="17.25" customHeight="1">
      <c r="A143" s="525">
        <f t="shared" si="17"/>
        <v>0</v>
      </c>
      <c r="B143" s="134">
        <f t="shared" ca="1" si="19"/>
        <v>1</v>
      </c>
      <c r="C143" s="134">
        <f t="shared" ca="1" si="19"/>
        <v>1</v>
      </c>
      <c r="D143" s="134">
        <f t="shared" ca="1" si="19"/>
        <v>1</v>
      </c>
      <c r="E143" s="134">
        <f t="shared" ca="1" si="19"/>
        <v>1</v>
      </c>
      <c r="F143" s="134">
        <f t="shared" ca="1" si="19"/>
        <v>1</v>
      </c>
      <c r="G143" s="134">
        <f t="shared" ca="1" si="19"/>
        <v>1</v>
      </c>
      <c r="H143" s="134"/>
      <c r="I143" s="298"/>
      <c r="J143" s="298"/>
      <c r="K143" s="260"/>
    </row>
    <row r="144" spans="1:11" s="222" customFormat="1" ht="17.25" customHeight="1">
      <c r="A144" s="525">
        <f t="shared" si="17"/>
        <v>-5</v>
      </c>
      <c r="B144" s="134">
        <f t="shared" ca="1" si="19"/>
        <v>1</v>
      </c>
      <c r="C144" s="134">
        <f t="shared" ca="1" si="19"/>
        <v>1</v>
      </c>
      <c r="D144" s="134">
        <f t="shared" ca="1" si="19"/>
        <v>1</v>
      </c>
      <c r="E144" s="134">
        <f t="shared" ca="1" si="19"/>
        <v>1</v>
      </c>
      <c r="F144" s="134">
        <f t="shared" ca="1" si="19"/>
        <v>1</v>
      </c>
      <c r="G144" s="134">
        <f t="shared" ca="1" si="19"/>
        <v>1</v>
      </c>
      <c r="H144" s="40" t="s">
        <v>46</v>
      </c>
      <c r="I144" s="40" t="s">
        <v>59</v>
      </c>
      <c r="J144" s="40" t="s">
        <v>144</v>
      </c>
      <c r="K144" s="260"/>
    </row>
    <row r="145" spans="1:50" s="222" customFormat="1" ht="17.25" customHeight="1">
      <c r="A145" s="39" t="s">
        <v>46</v>
      </c>
      <c r="B145" s="134">
        <f t="shared" ref="B145:G145" ca="1" si="20">SLOPE(B138:B144,$A$123:$A$129)</f>
        <v>0</v>
      </c>
      <c r="C145" s="134">
        <f t="shared" ca="1" si="20"/>
        <v>0</v>
      </c>
      <c r="D145" s="134">
        <f t="shared" ca="1" si="20"/>
        <v>0</v>
      </c>
      <c r="E145" s="134">
        <f t="shared" ca="1" si="20"/>
        <v>0</v>
      </c>
      <c r="F145" s="134">
        <f t="shared" ca="1" si="20"/>
        <v>0</v>
      </c>
      <c r="G145" s="134">
        <f t="shared" ca="1" si="20"/>
        <v>0</v>
      </c>
      <c r="H145" s="502">
        <f ca="1">SLOPE(B145:G145,B136:G136)</f>
        <v>0</v>
      </c>
      <c r="I145" s="502">
        <f ca="1">INTERCEPT(B145:G145,B136:G136)</f>
        <v>0</v>
      </c>
      <c r="J145" s="49" t="e">
        <f ca="1">CORREL(B145:G145,B136:G136)^2</f>
        <v>#DIV/0!</v>
      </c>
      <c r="K145" s="260"/>
    </row>
    <row r="146" spans="1:50" s="222" customFormat="1" ht="17.25" customHeight="1">
      <c r="A146" s="39" t="s">
        <v>45</v>
      </c>
      <c r="B146" s="134">
        <f t="shared" ref="B146:G146" ca="1" si="21">INTERCEPT(B138:B144,$A$123:$A$129)</f>
        <v>1</v>
      </c>
      <c r="C146" s="134">
        <f t="shared" ca="1" si="21"/>
        <v>1</v>
      </c>
      <c r="D146" s="134">
        <f t="shared" ca="1" si="21"/>
        <v>1</v>
      </c>
      <c r="E146" s="134">
        <f t="shared" ca="1" si="21"/>
        <v>1</v>
      </c>
      <c r="F146" s="134">
        <f t="shared" ca="1" si="21"/>
        <v>1</v>
      </c>
      <c r="G146" s="134">
        <f t="shared" ca="1" si="21"/>
        <v>1</v>
      </c>
      <c r="H146" s="502">
        <f ca="1">SLOPE(B146:G146,B136:G136)</f>
        <v>0</v>
      </c>
      <c r="I146" s="502">
        <f ca="1">INTERCEPT(B146:G146,B136:G136)</f>
        <v>1</v>
      </c>
      <c r="J146" s="49" t="e">
        <f ca="1">CORREL(B146:G146,B136:G136)^2</f>
        <v>#DIV/0!</v>
      </c>
      <c r="K146" s="260"/>
    </row>
    <row r="147" spans="1:50" ht="17.25" customHeight="1">
      <c r="A147" s="39" t="s">
        <v>144</v>
      </c>
      <c r="B147" s="136" t="e">
        <f t="shared" ref="B147:G147" ca="1" si="22">CORREL(B138:B144,$A$93:$A$99)^2</f>
        <v>#DIV/0!</v>
      </c>
      <c r="C147" s="136" t="e">
        <f t="shared" ca="1" si="22"/>
        <v>#DIV/0!</v>
      </c>
      <c r="D147" s="136" t="e">
        <f t="shared" ca="1" si="22"/>
        <v>#DIV/0!</v>
      </c>
      <c r="E147" s="136" t="e">
        <f t="shared" ca="1" si="22"/>
        <v>#DIV/0!</v>
      </c>
      <c r="F147" s="136" t="e">
        <f t="shared" ca="1" si="22"/>
        <v>#DIV/0!</v>
      </c>
      <c r="G147" s="136" t="e">
        <f t="shared" ca="1" si="22"/>
        <v>#DIV/0!</v>
      </c>
      <c r="H147" s="298"/>
      <c r="I147" s="298"/>
      <c r="J147" s="298"/>
      <c r="K147" s="260"/>
      <c r="L147" s="222"/>
      <c r="M147" s="222"/>
      <c r="N147" s="222"/>
      <c r="O147" s="222"/>
      <c r="P147" s="222"/>
      <c r="Q147" s="222"/>
      <c r="R147" s="222"/>
      <c r="S147" s="222"/>
      <c r="T147" s="222"/>
      <c r="U147" s="222"/>
      <c r="V147" s="222"/>
      <c r="W147" s="222"/>
      <c r="X147" s="222"/>
      <c r="Y147" s="222"/>
      <c r="Z147" s="222"/>
      <c r="AA147" s="222"/>
      <c r="AB147" s="222"/>
      <c r="AC147" s="222"/>
      <c r="AD147" s="222"/>
      <c r="AE147" s="222"/>
      <c r="AF147" s="222"/>
      <c r="AG147" s="222"/>
      <c r="AH147" s="222"/>
      <c r="AI147" s="222"/>
      <c r="AJ147" s="222"/>
      <c r="AK147" s="222"/>
      <c r="AL147" s="222"/>
      <c r="AM147" s="222"/>
      <c r="AN147" s="222"/>
      <c r="AO147" s="222"/>
      <c r="AP147" s="222"/>
      <c r="AQ147" s="222"/>
      <c r="AR147" s="222"/>
      <c r="AS147" s="222"/>
      <c r="AT147" s="222"/>
      <c r="AU147" s="222"/>
      <c r="AV147" s="222"/>
      <c r="AW147" s="222"/>
      <c r="AX147" s="222"/>
    </row>
    <row r="148" spans="1:50" ht="17.25" customHeight="1">
      <c r="A148" s="66"/>
      <c r="B148" s="136"/>
      <c r="C148" s="136"/>
      <c r="D148" s="136"/>
      <c r="E148" s="136"/>
      <c r="F148" s="136"/>
      <c r="G148" s="136"/>
      <c r="H148" s="70"/>
      <c r="I148" s="70"/>
      <c r="J148" s="70"/>
      <c r="K148" s="222"/>
      <c r="L148" s="222"/>
      <c r="M148" s="222"/>
      <c r="N148" s="222"/>
      <c r="O148" s="222"/>
      <c r="P148" s="222"/>
      <c r="Q148" s="222"/>
      <c r="R148" s="222"/>
      <c r="S148" s="222"/>
      <c r="T148" s="222"/>
      <c r="U148" s="222"/>
      <c r="V148" s="222"/>
      <c r="W148" s="222"/>
      <c r="X148" s="222"/>
      <c r="Y148" s="222"/>
      <c r="Z148" s="222"/>
      <c r="AA148" s="222"/>
      <c r="AB148" s="222"/>
      <c r="AC148" s="222"/>
      <c r="AD148" s="222"/>
      <c r="AE148" s="222"/>
      <c r="AF148" s="222"/>
      <c r="AG148" s="222"/>
      <c r="AH148" s="222"/>
      <c r="AI148" s="222"/>
      <c r="AJ148" s="222"/>
      <c r="AK148" s="222"/>
      <c r="AL148" s="222"/>
      <c r="AM148" s="222"/>
      <c r="AN148" s="222"/>
      <c r="AO148" s="222"/>
      <c r="AP148" s="222"/>
      <c r="AQ148" s="222"/>
      <c r="AR148" s="222"/>
      <c r="AS148" s="222"/>
      <c r="AT148" s="222"/>
      <c r="AU148" s="222"/>
      <c r="AV148" s="222"/>
      <c r="AW148" s="222"/>
      <c r="AX148" s="222"/>
    </row>
    <row r="149" spans="1:50" ht="17.25" customHeight="1">
      <c r="B149" s="39"/>
    </row>
    <row r="150" spans="1:50" s="533" customFormat="1" ht="17.25" customHeight="1" thickBot="1">
      <c r="A150" s="533" t="s">
        <v>857</v>
      </c>
    </row>
    <row r="151" spans="1:50" ht="17.25" customHeight="1" thickTop="1">
      <c r="A151" s="128" t="s">
        <v>265</v>
      </c>
      <c r="B151" s="128" t="s">
        <v>266</v>
      </c>
      <c r="C151" s="128" t="s">
        <v>267</v>
      </c>
      <c r="D151" s="128" t="s">
        <v>267</v>
      </c>
      <c r="E151" s="128" t="s">
        <v>267</v>
      </c>
      <c r="F151" s="128" t="s">
        <v>267</v>
      </c>
      <c r="G151" s="128" t="s">
        <v>267</v>
      </c>
      <c r="H151" s="128" t="s">
        <v>267</v>
      </c>
      <c r="I151" s="128" t="s">
        <v>267</v>
      </c>
      <c r="J151" s="128" t="s">
        <v>267</v>
      </c>
      <c r="K151" s="128" t="s">
        <v>267</v>
      </c>
      <c r="L151" s="128" t="s">
        <v>267</v>
      </c>
      <c r="M151" s="128" t="s">
        <v>267</v>
      </c>
      <c r="N151" s="128" t="s">
        <v>267</v>
      </c>
      <c r="O151" s="128" t="s">
        <v>267</v>
      </c>
      <c r="P151" s="128" t="s">
        <v>267</v>
      </c>
      <c r="Q151" s="128" t="s">
        <v>267</v>
      </c>
      <c r="R151" s="128" t="s">
        <v>267</v>
      </c>
      <c r="S151" s="128" t="s">
        <v>267</v>
      </c>
      <c r="T151" s="128" t="s">
        <v>267</v>
      </c>
      <c r="U151" s="128" t="s">
        <v>267</v>
      </c>
      <c r="V151" s="128" t="s">
        <v>267</v>
      </c>
      <c r="W151" s="128" t="s">
        <v>267</v>
      </c>
      <c r="X151" s="128" t="s">
        <v>267</v>
      </c>
      <c r="Y151" s="128" t="s">
        <v>267</v>
      </c>
      <c r="Z151" s="128" t="s">
        <v>267</v>
      </c>
      <c r="AA151" s="128" t="s">
        <v>267</v>
      </c>
      <c r="AB151" s="128" t="s">
        <v>267</v>
      </c>
      <c r="AC151" s="128" t="s">
        <v>267</v>
      </c>
      <c r="AD151" s="128" t="s">
        <v>267</v>
      </c>
      <c r="AE151" s="128" t="s">
        <v>267</v>
      </c>
      <c r="AF151" s="128" t="s">
        <v>267</v>
      </c>
      <c r="AG151" s="128" t="s">
        <v>267</v>
      </c>
      <c r="AH151" s="128" t="s">
        <v>267</v>
      </c>
      <c r="AI151" s="128" t="s">
        <v>267</v>
      </c>
      <c r="AJ151" s="128" t="s">
        <v>267</v>
      </c>
      <c r="AK151" s="128" t="s">
        <v>267</v>
      </c>
      <c r="AL151" s="128" t="s">
        <v>267</v>
      </c>
      <c r="AM151" s="128" t="s">
        <v>267</v>
      </c>
      <c r="AN151" s="128" t="s">
        <v>267</v>
      </c>
      <c r="AO151" s="128" t="s">
        <v>267</v>
      </c>
      <c r="AP151" s="128" t="s">
        <v>267</v>
      </c>
      <c r="AQ151" s="128" t="s">
        <v>267</v>
      </c>
      <c r="AR151" s="128" t="s">
        <v>267</v>
      </c>
      <c r="AS151" s="128" t="s">
        <v>267</v>
      </c>
      <c r="AT151" s="128" t="s">
        <v>267</v>
      </c>
      <c r="AU151" s="128" t="s">
        <v>267</v>
      </c>
      <c r="AV151" s="128" t="s">
        <v>267</v>
      </c>
      <c r="AW151" s="128" t="s">
        <v>267</v>
      </c>
      <c r="AX151" s="128" t="s">
        <v>267</v>
      </c>
    </row>
    <row r="152" spans="1:50" s="141" customFormat="1" ht="17.25" customHeight="1">
      <c r="A152" s="128" t="s">
        <v>268</v>
      </c>
      <c r="B152" s="128"/>
      <c r="C152" s="132">
        <f t="shared" ref="C152:AX152" si="23">C59</f>
        <v>100</v>
      </c>
      <c r="D152" s="132">
        <f t="shared" si="23"/>
        <v>90</v>
      </c>
      <c r="E152" s="132">
        <f t="shared" si="23"/>
        <v>80</v>
      </c>
      <c r="F152" s="132">
        <f t="shared" si="23"/>
        <v>70</v>
      </c>
      <c r="G152" s="132">
        <f t="shared" si="23"/>
        <v>60</v>
      </c>
      <c r="H152" s="132">
        <f t="shared" si="23"/>
        <v>50</v>
      </c>
      <c r="I152" s="132">
        <f t="shared" si="23"/>
        <v>100</v>
      </c>
      <c r="J152" s="132">
        <f t="shared" si="23"/>
        <v>90</v>
      </c>
      <c r="K152" s="132">
        <f t="shared" si="23"/>
        <v>80</v>
      </c>
      <c r="L152" s="132">
        <f t="shared" si="23"/>
        <v>70</v>
      </c>
      <c r="M152" s="132">
        <f t="shared" si="23"/>
        <v>60</v>
      </c>
      <c r="N152" s="132">
        <f t="shared" si="23"/>
        <v>50</v>
      </c>
      <c r="O152" s="132">
        <f t="shared" si="23"/>
        <v>100</v>
      </c>
      <c r="P152" s="132">
        <f t="shared" si="23"/>
        <v>90</v>
      </c>
      <c r="Q152" s="132">
        <f t="shared" si="23"/>
        <v>80</v>
      </c>
      <c r="R152" s="132">
        <f t="shared" si="23"/>
        <v>70</v>
      </c>
      <c r="S152" s="132">
        <f t="shared" si="23"/>
        <v>60</v>
      </c>
      <c r="T152" s="132">
        <f t="shared" si="23"/>
        <v>50</v>
      </c>
      <c r="U152" s="132">
        <f t="shared" si="23"/>
        <v>100</v>
      </c>
      <c r="V152" s="132">
        <f t="shared" si="23"/>
        <v>90</v>
      </c>
      <c r="W152" s="132">
        <f t="shared" si="23"/>
        <v>80</v>
      </c>
      <c r="X152" s="132">
        <f t="shared" si="23"/>
        <v>70</v>
      </c>
      <c r="Y152" s="132">
        <f t="shared" si="23"/>
        <v>60</v>
      </c>
      <c r="Z152" s="132">
        <f t="shared" si="23"/>
        <v>50</v>
      </c>
      <c r="AA152" s="132">
        <f t="shared" si="23"/>
        <v>100</v>
      </c>
      <c r="AB152" s="132">
        <f t="shared" si="23"/>
        <v>90</v>
      </c>
      <c r="AC152" s="132">
        <f t="shared" si="23"/>
        <v>80</v>
      </c>
      <c r="AD152" s="132">
        <f t="shared" si="23"/>
        <v>70</v>
      </c>
      <c r="AE152" s="132">
        <f t="shared" si="23"/>
        <v>60</v>
      </c>
      <c r="AF152" s="132">
        <f t="shared" si="23"/>
        <v>50</v>
      </c>
      <c r="AG152" s="132">
        <f t="shared" si="23"/>
        <v>100</v>
      </c>
      <c r="AH152" s="132">
        <f t="shared" si="23"/>
        <v>90</v>
      </c>
      <c r="AI152" s="132">
        <f t="shared" si="23"/>
        <v>80</v>
      </c>
      <c r="AJ152" s="132">
        <f t="shared" si="23"/>
        <v>70</v>
      </c>
      <c r="AK152" s="132">
        <f t="shared" si="23"/>
        <v>60</v>
      </c>
      <c r="AL152" s="132">
        <f t="shared" si="23"/>
        <v>50</v>
      </c>
      <c r="AM152" s="132">
        <f t="shared" si="23"/>
        <v>100</v>
      </c>
      <c r="AN152" s="132">
        <f t="shared" si="23"/>
        <v>90</v>
      </c>
      <c r="AO152" s="132">
        <f t="shared" si="23"/>
        <v>80</v>
      </c>
      <c r="AP152" s="132">
        <f t="shared" si="23"/>
        <v>70</v>
      </c>
      <c r="AQ152" s="132">
        <f t="shared" si="23"/>
        <v>60</v>
      </c>
      <c r="AR152" s="132">
        <f t="shared" si="23"/>
        <v>50</v>
      </c>
      <c r="AS152" s="132">
        <f t="shared" si="23"/>
        <v>100</v>
      </c>
      <c r="AT152" s="132">
        <f t="shared" si="23"/>
        <v>90</v>
      </c>
      <c r="AU152" s="132">
        <f t="shared" si="23"/>
        <v>80</v>
      </c>
      <c r="AV152" s="132">
        <f t="shared" si="23"/>
        <v>70</v>
      </c>
      <c r="AW152" s="132">
        <f t="shared" si="23"/>
        <v>60</v>
      </c>
      <c r="AX152" s="132">
        <f t="shared" si="23"/>
        <v>50</v>
      </c>
    </row>
    <row r="153" spans="1:50" ht="17.25" customHeight="1">
      <c r="A153" s="128" t="s">
        <v>133</v>
      </c>
      <c r="B153" s="128" t="s">
        <v>18</v>
      </c>
      <c r="C153" s="132">
        <f t="shared" ref="C153:AX153" si="24">C60</f>
        <v>25</v>
      </c>
      <c r="D153" s="132">
        <f t="shared" si="24"/>
        <v>25</v>
      </c>
      <c r="E153" s="132">
        <f t="shared" si="24"/>
        <v>25</v>
      </c>
      <c r="F153" s="132">
        <f t="shared" si="24"/>
        <v>25</v>
      </c>
      <c r="G153" s="132">
        <f t="shared" si="24"/>
        <v>25</v>
      </c>
      <c r="H153" s="132">
        <f t="shared" si="24"/>
        <v>25</v>
      </c>
      <c r="I153" s="132">
        <f t="shared" si="24"/>
        <v>20</v>
      </c>
      <c r="J153" s="132">
        <f t="shared" si="24"/>
        <v>20</v>
      </c>
      <c r="K153" s="132">
        <f t="shared" si="24"/>
        <v>20</v>
      </c>
      <c r="L153" s="132">
        <f t="shared" si="24"/>
        <v>20</v>
      </c>
      <c r="M153" s="132">
        <f t="shared" si="24"/>
        <v>20</v>
      </c>
      <c r="N153" s="132">
        <f t="shared" si="24"/>
        <v>20</v>
      </c>
      <c r="O153" s="132">
        <f t="shared" si="24"/>
        <v>15</v>
      </c>
      <c r="P153" s="132">
        <f t="shared" si="24"/>
        <v>15</v>
      </c>
      <c r="Q153" s="132">
        <f t="shared" si="24"/>
        <v>15</v>
      </c>
      <c r="R153" s="132">
        <f t="shared" si="24"/>
        <v>15</v>
      </c>
      <c r="S153" s="132">
        <f t="shared" si="24"/>
        <v>15</v>
      </c>
      <c r="T153" s="132">
        <f t="shared" si="24"/>
        <v>15</v>
      </c>
      <c r="U153" s="132">
        <f t="shared" si="24"/>
        <v>10</v>
      </c>
      <c r="V153" s="132">
        <f t="shared" si="24"/>
        <v>10</v>
      </c>
      <c r="W153" s="132">
        <f t="shared" si="24"/>
        <v>10</v>
      </c>
      <c r="X153" s="132">
        <f t="shared" si="24"/>
        <v>10</v>
      </c>
      <c r="Y153" s="132">
        <f t="shared" si="24"/>
        <v>10</v>
      </c>
      <c r="Z153" s="132">
        <f t="shared" si="24"/>
        <v>10</v>
      </c>
      <c r="AA153" s="132">
        <f t="shared" si="24"/>
        <v>5</v>
      </c>
      <c r="AB153" s="132">
        <f t="shared" si="24"/>
        <v>5</v>
      </c>
      <c r="AC153" s="132">
        <f t="shared" si="24"/>
        <v>5</v>
      </c>
      <c r="AD153" s="132">
        <f t="shared" si="24"/>
        <v>5</v>
      </c>
      <c r="AE153" s="132">
        <f t="shared" si="24"/>
        <v>5</v>
      </c>
      <c r="AF153" s="132">
        <f t="shared" si="24"/>
        <v>5</v>
      </c>
      <c r="AG153" s="132">
        <f t="shared" si="24"/>
        <v>0</v>
      </c>
      <c r="AH153" s="132">
        <f t="shared" si="24"/>
        <v>0</v>
      </c>
      <c r="AI153" s="132">
        <f t="shared" si="24"/>
        <v>0</v>
      </c>
      <c r="AJ153" s="132">
        <f t="shared" si="24"/>
        <v>0</v>
      </c>
      <c r="AK153" s="132">
        <f t="shared" si="24"/>
        <v>0</v>
      </c>
      <c r="AL153" s="132">
        <f t="shared" si="24"/>
        <v>0</v>
      </c>
      <c r="AM153" s="132">
        <f t="shared" si="24"/>
        <v>-5</v>
      </c>
      <c r="AN153" s="132">
        <f t="shared" si="24"/>
        <v>-5</v>
      </c>
      <c r="AO153" s="132">
        <f t="shared" si="24"/>
        <v>-5</v>
      </c>
      <c r="AP153" s="132">
        <f t="shared" si="24"/>
        <v>-5</v>
      </c>
      <c r="AQ153" s="132">
        <f t="shared" si="24"/>
        <v>-5</v>
      </c>
      <c r="AR153" s="132">
        <f t="shared" si="24"/>
        <v>-5</v>
      </c>
      <c r="AS153" s="132">
        <f t="shared" si="24"/>
        <v>-10</v>
      </c>
      <c r="AT153" s="132">
        <f t="shared" si="24"/>
        <v>-10</v>
      </c>
      <c r="AU153" s="132">
        <f t="shared" si="24"/>
        <v>-10</v>
      </c>
      <c r="AV153" s="132">
        <f t="shared" si="24"/>
        <v>-10</v>
      </c>
      <c r="AW153" s="132">
        <f t="shared" si="24"/>
        <v>-10</v>
      </c>
      <c r="AX153" s="132">
        <f t="shared" si="24"/>
        <v>-10</v>
      </c>
    </row>
    <row r="154" spans="1:50" s="141" customFormat="1" ht="17.25" customHeight="1">
      <c r="A154" s="128" t="s">
        <v>282</v>
      </c>
      <c r="B154" s="128" t="s">
        <v>8</v>
      </c>
      <c r="C154" s="132">
        <f t="shared" ref="C154:AX154" si="25">C61</f>
        <v>0</v>
      </c>
      <c r="D154" s="132">
        <f t="shared" si="25"/>
        <v>0</v>
      </c>
      <c r="E154" s="132">
        <f t="shared" si="25"/>
        <v>0</v>
      </c>
      <c r="F154" s="132">
        <f t="shared" si="25"/>
        <v>0</v>
      </c>
      <c r="G154" s="132">
        <f t="shared" si="25"/>
        <v>0</v>
      </c>
      <c r="H154" s="132">
        <f t="shared" si="25"/>
        <v>0</v>
      </c>
      <c r="I154" s="132">
        <f t="shared" si="25"/>
        <v>0</v>
      </c>
      <c r="J154" s="132">
        <f t="shared" si="25"/>
        <v>0</v>
      </c>
      <c r="K154" s="132">
        <f t="shared" si="25"/>
        <v>0</v>
      </c>
      <c r="L154" s="132">
        <f t="shared" si="25"/>
        <v>0</v>
      </c>
      <c r="M154" s="132">
        <f t="shared" si="25"/>
        <v>0</v>
      </c>
      <c r="N154" s="132">
        <f t="shared" si="25"/>
        <v>0</v>
      </c>
      <c r="O154" s="132">
        <f t="shared" si="25"/>
        <v>0</v>
      </c>
      <c r="P154" s="132">
        <f t="shared" si="25"/>
        <v>0</v>
      </c>
      <c r="Q154" s="132">
        <f t="shared" si="25"/>
        <v>0</v>
      </c>
      <c r="R154" s="132">
        <f t="shared" si="25"/>
        <v>0</v>
      </c>
      <c r="S154" s="132">
        <f t="shared" si="25"/>
        <v>0</v>
      </c>
      <c r="T154" s="132">
        <f t="shared" si="25"/>
        <v>0</v>
      </c>
      <c r="U154" s="132">
        <f t="shared" si="25"/>
        <v>0</v>
      </c>
      <c r="V154" s="132">
        <f t="shared" si="25"/>
        <v>0</v>
      </c>
      <c r="W154" s="132">
        <f t="shared" si="25"/>
        <v>0</v>
      </c>
      <c r="X154" s="132">
        <f t="shared" si="25"/>
        <v>0</v>
      </c>
      <c r="Y154" s="132">
        <f t="shared" si="25"/>
        <v>0</v>
      </c>
      <c r="Z154" s="132">
        <f t="shared" si="25"/>
        <v>0</v>
      </c>
      <c r="AA154" s="132">
        <f t="shared" si="25"/>
        <v>0</v>
      </c>
      <c r="AB154" s="132">
        <f t="shared" si="25"/>
        <v>0</v>
      </c>
      <c r="AC154" s="132">
        <f t="shared" si="25"/>
        <v>0</v>
      </c>
      <c r="AD154" s="132">
        <f t="shared" si="25"/>
        <v>0</v>
      </c>
      <c r="AE154" s="132">
        <f t="shared" si="25"/>
        <v>0</v>
      </c>
      <c r="AF154" s="132">
        <f t="shared" si="25"/>
        <v>0</v>
      </c>
      <c r="AG154" s="132">
        <f t="shared" si="25"/>
        <v>0</v>
      </c>
      <c r="AH154" s="132">
        <f t="shared" si="25"/>
        <v>0</v>
      </c>
      <c r="AI154" s="132">
        <f t="shared" si="25"/>
        <v>0</v>
      </c>
      <c r="AJ154" s="132">
        <f t="shared" si="25"/>
        <v>0</v>
      </c>
      <c r="AK154" s="132">
        <f t="shared" si="25"/>
        <v>0</v>
      </c>
      <c r="AL154" s="132">
        <f t="shared" si="25"/>
        <v>0</v>
      </c>
      <c r="AM154" s="132">
        <f t="shared" si="25"/>
        <v>0</v>
      </c>
      <c r="AN154" s="132">
        <f t="shared" si="25"/>
        <v>0</v>
      </c>
      <c r="AO154" s="132">
        <f t="shared" si="25"/>
        <v>0</v>
      </c>
      <c r="AP154" s="132">
        <f t="shared" si="25"/>
        <v>0</v>
      </c>
      <c r="AQ154" s="132">
        <f t="shared" si="25"/>
        <v>0</v>
      </c>
      <c r="AR154" s="132">
        <f t="shared" si="25"/>
        <v>0</v>
      </c>
      <c r="AS154" s="132">
        <f t="shared" si="25"/>
        <v>0</v>
      </c>
      <c r="AT154" s="132">
        <f t="shared" si="25"/>
        <v>0</v>
      </c>
      <c r="AU154" s="132">
        <f t="shared" si="25"/>
        <v>0</v>
      </c>
      <c r="AV154" s="132">
        <f t="shared" si="25"/>
        <v>0</v>
      </c>
      <c r="AW154" s="132">
        <f t="shared" si="25"/>
        <v>0</v>
      </c>
      <c r="AX154" s="132">
        <f t="shared" si="25"/>
        <v>0</v>
      </c>
    </row>
    <row r="155" spans="1:50" ht="17.25" customHeight="1">
      <c r="A155" s="128" t="s">
        <v>281</v>
      </c>
      <c r="C155" s="132">
        <f t="shared" ref="C155:AX155" si="26">C62</f>
        <v>1</v>
      </c>
      <c r="D155" s="132">
        <f t="shared" si="26"/>
        <v>1</v>
      </c>
      <c r="E155" s="132">
        <f t="shared" si="26"/>
        <v>1</v>
      </c>
      <c r="F155" s="132">
        <f t="shared" si="26"/>
        <v>1</v>
      </c>
      <c r="G155" s="132">
        <f t="shared" si="26"/>
        <v>1</v>
      </c>
      <c r="H155" s="132">
        <f t="shared" si="26"/>
        <v>1</v>
      </c>
      <c r="I155" s="132">
        <f t="shared" si="26"/>
        <v>1</v>
      </c>
      <c r="J155" s="132">
        <f t="shared" si="26"/>
        <v>1</v>
      </c>
      <c r="K155" s="132">
        <f t="shared" si="26"/>
        <v>1</v>
      </c>
      <c r="L155" s="132">
        <f t="shared" si="26"/>
        <v>1</v>
      </c>
      <c r="M155" s="132">
        <f t="shared" si="26"/>
        <v>1</v>
      </c>
      <c r="N155" s="132">
        <f t="shared" si="26"/>
        <v>1</v>
      </c>
      <c r="O155" s="132">
        <f t="shared" si="26"/>
        <v>1</v>
      </c>
      <c r="P155" s="132">
        <f t="shared" si="26"/>
        <v>1</v>
      </c>
      <c r="Q155" s="132">
        <f t="shared" si="26"/>
        <v>1</v>
      </c>
      <c r="R155" s="132">
        <f t="shared" si="26"/>
        <v>1</v>
      </c>
      <c r="S155" s="132">
        <f t="shared" si="26"/>
        <v>1</v>
      </c>
      <c r="T155" s="132">
        <f t="shared" si="26"/>
        <v>1</v>
      </c>
      <c r="U155" s="132">
        <f t="shared" si="26"/>
        <v>1</v>
      </c>
      <c r="V155" s="132">
        <f t="shared" si="26"/>
        <v>1</v>
      </c>
      <c r="W155" s="132">
        <f t="shared" si="26"/>
        <v>1</v>
      </c>
      <c r="X155" s="132">
        <f t="shared" si="26"/>
        <v>1</v>
      </c>
      <c r="Y155" s="132">
        <f t="shared" si="26"/>
        <v>1</v>
      </c>
      <c r="Z155" s="132">
        <f t="shared" si="26"/>
        <v>1</v>
      </c>
      <c r="AA155" s="132">
        <f t="shared" si="26"/>
        <v>1</v>
      </c>
      <c r="AB155" s="132">
        <f t="shared" si="26"/>
        <v>1</v>
      </c>
      <c r="AC155" s="132">
        <f t="shared" si="26"/>
        <v>1</v>
      </c>
      <c r="AD155" s="132">
        <f t="shared" si="26"/>
        <v>1</v>
      </c>
      <c r="AE155" s="132">
        <f t="shared" si="26"/>
        <v>1</v>
      </c>
      <c r="AF155" s="132">
        <f t="shared" si="26"/>
        <v>1</v>
      </c>
      <c r="AG155" s="132">
        <f t="shared" si="26"/>
        <v>1</v>
      </c>
      <c r="AH155" s="132">
        <f t="shared" si="26"/>
        <v>1</v>
      </c>
      <c r="AI155" s="132">
        <f t="shared" si="26"/>
        <v>1</v>
      </c>
      <c r="AJ155" s="132">
        <f t="shared" si="26"/>
        <v>1</v>
      </c>
      <c r="AK155" s="132">
        <f t="shared" si="26"/>
        <v>1</v>
      </c>
      <c r="AL155" s="132">
        <f t="shared" si="26"/>
        <v>1</v>
      </c>
      <c r="AM155" s="132">
        <f t="shared" si="26"/>
        <v>1</v>
      </c>
      <c r="AN155" s="132">
        <f t="shared" si="26"/>
        <v>1</v>
      </c>
      <c r="AO155" s="132">
        <f t="shared" si="26"/>
        <v>1</v>
      </c>
      <c r="AP155" s="132">
        <f t="shared" si="26"/>
        <v>1</v>
      </c>
      <c r="AQ155" s="132">
        <f t="shared" si="26"/>
        <v>1</v>
      </c>
      <c r="AR155" s="132">
        <f t="shared" si="26"/>
        <v>1</v>
      </c>
      <c r="AS155" s="132">
        <f t="shared" si="26"/>
        <v>1</v>
      </c>
      <c r="AT155" s="132">
        <f t="shared" si="26"/>
        <v>1</v>
      </c>
      <c r="AU155" s="132">
        <f t="shared" si="26"/>
        <v>1</v>
      </c>
      <c r="AV155" s="132">
        <f t="shared" si="26"/>
        <v>1</v>
      </c>
      <c r="AW155" s="132">
        <f t="shared" si="26"/>
        <v>1</v>
      </c>
      <c r="AX155" s="132">
        <f t="shared" si="26"/>
        <v>1</v>
      </c>
    </row>
    <row r="156" spans="1:50" ht="17.25" customHeight="1">
      <c r="A156" s="141"/>
      <c r="B156" s="141"/>
      <c r="C156" s="132"/>
      <c r="D156" s="132"/>
      <c r="E156" s="132"/>
      <c r="F156" s="132"/>
      <c r="G156" s="132"/>
      <c r="H156" s="132"/>
      <c r="I156" s="132"/>
      <c r="J156" s="132"/>
      <c r="K156" s="132"/>
      <c r="L156" s="132"/>
      <c r="M156" s="132"/>
      <c r="N156" s="132"/>
      <c r="O156" s="132"/>
      <c r="P156" s="132"/>
      <c r="Q156" s="132"/>
      <c r="R156" s="132"/>
      <c r="S156" s="132"/>
      <c r="T156" s="132"/>
      <c r="U156" s="132"/>
      <c r="V156" s="132"/>
      <c r="W156" s="132"/>
      <c r="X156" s="132"/>
      <c r="Y156" s="132"/>
      <c r="Z156" s="132"/>
      <c r="AA156" s="132"/>
      <c r="AB156" s="132"/>
      <c r="AC156" s="132"/>
      <c r="AD156" s="132"/>
      <c r="AE156" s="132"/>
      <c r="AF156" s="132"/>
      <c r="AG156" s="132"/>
      <c r="AH156" s="132"/>
      <c r="AI156" s="132"/>
      <c r="AJ156" s="132"/>
      <c r="AK156" s="132"/>
      <c r="AL156" s="132"/>
      <c r="AM156" s="132"/>
      <c r="AN156" s="132"/>
      <c r="AO156" s="132"/>
      <c r="AP156" s="132"/>
      <c r="AQ156" s="132"/>
      <c r="AR156" s="132"/>
      <c r="AS156" s="132"/>
      <c r="AT156" s="132"/>
      <c r="AU156" s="132"/>
      <c r="AV156" s="132"/>
      <c r="AW156" s="132"/>
      <c r="AX156" s="132"/>
    </row>
    <row r="157" spans="1:50" ht="17.25" customHeight="1">
      <c r="A157" s="128" t="s">
        <v>269</v>
      </c>
      <c r="B157" s="128" t="s">
        <v>266</v>
      </c>
      <c r="C157" s="132" t="s">
        <v>55</v>
      </c>
      <c r="D157" s="132" t="s">
        <v>55</v>
      </c>
      <c r="E157" s="132" t="s">
        <v>55</v>
      </c>
      <c r="F157" s="132" t="s">
        <v>55</v>
      </c>
      <c r="G157" s="132" t="s">
        <v>55</v>
      </c>
      <c r="H157" s="132" t="s">
        <v>55</v>
      </c>
      <c r="I157" s="132" t="s">
        <v>55</v>
      </c>
      <c r="J157" s="132" t="s">
        <v>55</v>
      </c>
      <c r="K157" s="132" t="s">
        <v>55</v>
      </c>
      <c r="L157" s="132" t="s">
        <v>55</v>
      </c>
      <c r="M157" s="132" t="s">
        <v>55</v>
      </c>
      <c r="N157" s="132" t="s">
        <v>55</v>
      </c>
      <c r="O157" s="132" t="s">
        <v>55</v>
      </c>
      <c r="P157" s="132" t="s">
        <v>55</v>
      </c>
      <c r="Q157" s="132" t="s">
        <v>55</v>
      </c>
      <c r="R157" s="132" t="s">
        <v>55</v>
      </c>
      <c r="S157" s="132" t="s">
        <v>55</v>
      </c>
      <c r="T157" s="132" t="s">
        <v>55</v>
      </c>
      <c r="U157" s="132" t="s">
        <v>55</v>
      </c>
      <c r="V157" s="132" t="s">
        <v>55</v>
      </c>
      <c r="W157" s="132" t="s">
        <v>55</v>
      </c>
      <c r="X157" s="132" t="s">
        <v>55</v>
      </c>
      <c r="Y157" s="132" t="s">
        <v>55</v>
      </c>
      <c r="Z157" s="132" t="s">
        <v>55</v>
      </c>
      <c r="AA157" s="132" t="s">
        <v>55</v>
      </c>
      <c r="AB157" s="132" t="s">
        <v>55</v>
      </c>
      <c r="AC157" s="132" t="s">
        <v>55</v>
      </c>
      <c r="AD157" s="132" t="s">
        <v>55</v>
      </c>
      <c r="AE157" s="132" t="s">
        <v>55</v>
      </c>
      <c r="AF157" s="132" t="s">
        <v>55</v>
      </c>
      <c r="AG157" s="132" t="s">
        <v>55</v>
      </c>
      <c r="AH157" s="132" t="s">
        <v>55</v>
      </c>
      <c r="AI157" s="132" t="s">
        <v>55</v>
      </c>
      <c r="AJ157" s="132" t="s">
        <v>55</v>
      </c>
      <c r="AK157" s="132" t="s">
        <v>55</v>
      </c>
      <c r="AL157" s="132" t="s">
        <v>55</v>
      </c>
      <c r="AM157" s="132" t="s">
        <v>55</v>
      </c>
      <c r="AN157" s="132" t="s">
        <v>55</v>
      </c>
      <c r="AO157" s="132" t="s">
        <v>55</v>
      </c>
      <c r="AP157" s="132" t="s">
        <v>55</v>
      </c>
      <c r="AQ157" s="132" t="s">
        <v>55</v>
      </c>
      <c r="AR157" s="132" t="s">
        <v>55</v>
      </c>
      <c r="AS157" s="132" t="s">
        <v>55</v>
      </c>
      <c r="AT157" s="132" t="s">
        <v>55</v>
      </c>
      <c r="AU157" s="132" t="s">
        <v>55</v>
      </c>
      <c r="AV157" s="132" t="s">
        <v>55</v>
      </c>
      <c r="AW157" s="132" t="s">
        <v>55</v>
      </c>
      <c r="AX157" s="132" t="s">
        <v>55</v>
      </c>
    </row>
    <row r="158" spans="1:50" ht="17.25" customHeight="1">
      <c r="A158" s="13" t="str">
        <f t="shared" ref="A158:AF158" si="27">A65</f>
        <v>Plant gross output</v>
      </c>
      <c r="B158" s="13" t="str">
        <f t="shared" si="27"/>
        <v>kW</v>
      </c>
      <c r="C158" s="13">
        <f t="shared" si="27"/>
        <v>5898.2109375</v>
      </c>
      <c r="D158" s="186">
        <f t="shared" si="27"/>
        <v>5309.56494140625</v>
      </c>
      <c r="E158" s="186">
        <f t="shared" si="27"/>
        <v>4720.51513671875</v>
      </c>
      <c r="F158" s="186">
        <f t="shared" si="27"/>
        <v>4131.1826171875</v>
      </c>
      <c r="G158" s="186">
        <f t="shared" si="27"/>
        <v>3541.650390625</v>
      </c>
      <c r="H158" s="186">
        <f t="shared" si="27"/>
        <v>2951.998779296875</v>
      </c>
      <c r="I158" s="186">
        <f t="shared" si="27"/>
        <v>6089.763671875</v>
      </c>
      <c r="J158" s="186">
        <f t="shared" si="27"/>
        <v>5482.1337890625</v>
      </c>
      <c r="K158" s="186">
        <f t="shared" si="27"/>
        <v>4873.7138671875</v>
      </c>
      <c r="L158" s="186">
        <f t="shared" si="27"/>
        <v>4265.29345703125</v>
      </c>
      <c r="M158" s="186">
        <f t="shared" si="27"/>
        <v>3656.665771484375</v>
      </c>
      <c r="N158" s="186">
        <f t="shared" si="27"/>
        <v>3047.870361328125</v>
      </c>
      <c r="O158" s="186">
        <f t="shared" si="27"/>
        <v>6287.05029296875</v>
      </c>
      <c r="P158" s="186">
        <f t="shared" si="27"/>
        <v>5659.875</v>
      </c>
      <c r="Q158" s="186">
        <f t="shared" si="27"/>
        <v>5031.76513671875</v>
      </c>
      <c r="R158" s="186">
        <f t="shared" si="27"/>
        <v>4403.72021484375</v>
      </c>
      <c r="S158" s="186">
        <f t="shared" si="27"/>
        <v>3775.113037109375</v>
      </c>
      <c r="T158" s="186">
        <f t="shared" si="27"/>
        <v>3146.6005859375</v>
      </c>
      <c r="U158" s="186">
        <f t="shared" si="27"/>
        <v>6489.61865234375</v>
      </c>
      <c r="V158" s="186">
        <f t="shared" si="27"/>
        <v>5842.0244140625</v>
      </c>
      <c r="W158" s="186">
        <f t="shared" si="27"/>
        <v>5194.0693359375</v>
      </c>
      <c r="X158" s="186">
        <f t="shared" si="27"/>
        <v>4545.50830078125</v>
      </c>
      <c r="Y158" s="186">
        <f t="shared" si="27"/>
        <v>3897.064697265625</v>
      </c>
      <c r="Z158" s="186">
        <f t="shared" si="27"/>
        <v>3248.324951171875</v>
      </c>
      <c r="AA158" s="186">
        <f t="shared" si="27"/>
        <v>6710.6337890625</v>
      </c>
      <c r="AB158" s="186">
        <f t="shared" si="27"/>
        <v>6041.0771484375</v>
      </c>
      <c r="AC158" s="186">
        <f t="shared" si="27"/>
        <v>5370.7998046875</v>
      </c>
      <c r="AD158" s="186">
        <f t="shared" si="27"/>
        <v>4700.5283203125</v>
      </c>
      <c r="AE158" s="186">
        <f t="shared" si="27"/>
        <v>4029.727783203125</v>
      </c>
      <c r="AF158" s="186">
        <f t="shared" si="27"/>
        <v>3358.940673828125</v>
      </c>
      <c r="AG158" s="186">
        <f t="shared" ref="AG158:AX158" si="28">AG65</f>
        <v>6939.685546875</v>
      </c>
      <c r="AH158" s="186">
        <f t="shared" si="28"/>
        <v>6247.40185546875</v>
      </c>
      <c r="AI158" s="186">
        <f t="shared" si="28"/>
        <v>5554.275390625</v>
      </c>
      <c r="AJ158" s="186">
        <f t="shared" si="28"/>
        <v>4860.892578125</v>
      </c>
      <c r="AK158" s="186">
        <f t="shared" si="28"/>
        <v>4167.50244140625</v>
      </c>
      <c r="AL158" s="186">
        <f t="shared" si="28"/>
        <v>3473.683349609375</v>
      </c>
      <c r="AM158" s="186">
        <f t="shared" si="28"/>
        <v>7175.94921875</v>
      </c>
      <c r="AN158" s="186">
        <f t="shared" si="28"/>
        <v>6460.23681640625</v>
      </c>
      <c r="AO158" s="186">
        <f t="shared" si="28"/>
        <v>5743.5419921875</v>
      </c>
      <c r="AP158" s="186">
        <f t="shared" si="28"/>
        <v>5026.56640625</v>
      </c>
      <c r="AQ158" s="186">
        <f t="shared" si="28"/>
        <v>4309.36865234375</v>
      </c>
      <c r="AR158" s="186">
        <f t="shared" si="28"/>
        <v>3592.14111328125</v>
      </c>
      <c r="AS158" s="186">
        <f t="shared" si="28"/>
        <v>7268.4736328125</v>
      </c>
      <c r="AT158" s="186">
        <f t="shared" si="28"/>
        <v>6543.0556640625</v>
      </c>
      <c r="AU158" s="186">
        <f t="shared" si="28"/>
        <v>5816.80419921875</v>
      </c>
      <c r="AV158" s="186">
        <f t="shared" si="28"/>
        <v>5090.32568359375</v>
      </c>
      <c r="AW158" s="186">
        <f t="shared" si="28"/>
        <v>4363.708984375</v>
      </c>
      <c r="AX158" s="186">
        <f t="shared" si="28"/>
        <v>3637.189697265625</v>
      </c>
    </row>
    <row r="159" spans="1:50" ht="17.25" customHeight="1">
      <c r="A159" s="13" t="str">
        <f t="shared" ref="A159:AF159" si="29">A66</f>
        <v>Plant net output</v>
      </c>
      <c r="B159" s="13" t="str">
        <f t="shared" si="29"/>
        <v>kW</v>
      </c>
      <c r="C159" s="186">
        <f t="shared" si="29"/>
        <v>5665.30859375</v>
      </c>
      <c r="D159" s="186">
        <f t="shared" si="29"/>
        <v>5078.34912109375</v>
      </c>
      <c r="E159" s="186">
        <f t="shared" si="29"/>
        <v>4492.15234375</v>
      </c>
      <c r="F159" s="186">
        <f t="shared" si="29"/>
        <v>3908.149169921875</v>
      </c>
      <c r="G159" s="186">
        <f t="shared" si="29"/>
        <v>3323.864013671875</v>
      </c>
      <c r="H159" s="186">
        <f t="shared" si="29"/>
        <v>2739.334228515625</v>
      </c>
      <c r="I159" s="186">
        <f t="shared" si="29"/>
        <v>5856.74267578125</v>
      </c>
      <c r="J159" s="186">
        <f t="shared" si="29"/>
        <v>5250.84814453125</v>
      </c>
      <c r="K159" s="186">
        <f t="shared" si="29"/>
        <v>4645.50634765625</v>
      </c>
      <c r="L159" s="186">
        <f t="shared" si="29"/>
        <v>4042.63037109375</v>
      </c>
      <c r="M159" s="186">
        <f t="shared" si="29"/>
        <v>3439.459716796875</v>
      </c>
      <c r="N159" s="186">
        <f t="shared" si="29"/>
        <v>2835.9599609375</v>
      </c>
      <c r="O159" s="186">
        <f t="shared" si="29"/>
        <v>6053.90673828125</v>
      </c>
      <c r="P159" s="186">
        <f t="shared" si="29"/>
        <v>5428.51416015625</v>
      </c>
      <c r="Q159" s="186">
        <f t="shared" si="29"/>
        <v>4803.685546875</v>
      </c>
      <c r="R159" s="186">
        <f t="shared" si="29"/>
        <v>4181.38232421875</v>
      </c>
      <c r="S159" s="186">
        <f t="shared" si="29"/>
        <v>3558.43896484375</v>
      </c>
      <c r="T159" s="186">
        <f t="shared" si="29"/>
        <v>2935.422119140625</v>
      </c>
      <c r="U159" s="186">
        <f t="shared" si="29"/>
        <v>6256.35009765625</v>
      </c>
      <c r="V159" s="186">
        <f t="shared" si="29"/>
        <v>5610.58740234375</v>
      </c>
      <c r="W159" s="186">
        <f t="shared" si="29"/>
        <v>4966.1123046875</v>
      </c>
      <c r="X159" s="186">
        <f t="shared" si="29"/>
        <v>4323.48095703125</v>
      </c>
      <c r="Y159" s="186">
        <f t="shared" si="29"/>
        <v>3680.8935546875</v>
      </c>
      <c r="Z159" s="186">
        <f t="shared" si="29"/>
        <v>3037.85595703125</v>
      </c>
      <c r="AA159" s="186">
        <f t="shared" si="29"/>
        <v>6477.20556640625</v>
      </c>
      <c r="AB159" s="186">
        <f t="shared" si="29"/>
        <v>5809.5283203125</v>
      </c>
      <c r="AC159" s="186">
        <f t="shared" si="29"/>
        <v>5142.880859375</v>
      </c>
      <c r="AD159" s="186">
        <f t="shared" si="29"/>
        <v>4478.72509765625</v>
      </c>
      <c r="AE159" s="186">
        <f t="shared" si="29"/>
        <v>3813.981689453125</v>
      </c>
      <c r="AF159" s="186">
        <f t="shared" si="29"/>
        <v>3149.115234375</v>
      </c>
      <c r="AG159" s="186">
        <f t="shared" ref="AG159:AX159" si="30">AG66</f>
        <v>6706.09228515625</v>
      </c>
      <c r="AH159" s="186">
        <f t="shared" si="30"/>
        <v>6015.73681640625</v>
      </c>
      <c r="AI159" s="186">
        <f t="shared" si="30"/>
        <v>5326.384765625</v>
      </c>
      <c r="AJ159" s="186">
        <f t="shared" si="30"/>
        <v>4639.30810546875</v>
      </c>
      <c r="AK159" s="186">
        <f t="shared" si="30"/>
        <v>3952.16650390625</v>
      </c>
      <c r="AL159" s="186">
        <f t="shared" si="30"/>
        <v>3264.485595703125</v>
      </c>
      <c r="AM159" s="186">
        <f t="shared" si="30"/>
        <v>6942.189453125</v>
      </c>
      <c r="AN159" s="186">
        <f t="shared" si="30"/>
        <v>6228.455078125</v>
      </c>
      <c r="AO159" s="186">
        <f t="shared" si="30"/>
        <v>5515.68798828125</v>
      </c>
      <c r="AP159" s="186">
        <f t="shared" si="30"/>
        <v>4805.2060546875</v>
      </c>
      <c r="AQ159" s="186">
        <f t="shared" si="30"/>
        <v>4094.44873046875</v>
      </c>
      <c r="AR159" s="186">
        <f t="shared" si="30"/>
        <v>3383.56982421875</v>
      </c>
      <c r="AS159" s="186">
        <f t="shared" si="30"/>
        <v>7034.93505859375</v>
      </c>
      <c r="AT159" s="186">
        <f t="shared" si="30"/>
        <v>6311.56787109375</v>
      </c>
      <c r="AU159" s="186">
        <f t="shared" si="30"/>
        <v>5590.09326171875</v>
      </c>
      <c r="AV159" s="186">
        <f t="shared" si="30"/>
        <v>4870.16796875</v>
      </c>
      <c r="AW159" s="186">
        <f t="shared" si="30"/>
        <v>4150.0302734375</v>
      </c>
      <c r="AX159" s="186">
        <f t="shared" si="30"/>
        <v>3429.93212890625</v>
      </c>
    </row>
    <row r="160" spans="1:50" ht="17.25" customHeight="1">
      <c r="A160" s="13" t="str">
        <f t="shared" ref="A160:AF160" si="31">A67</f>
        <v>Plant gross elec eff</v>
      </c>
      <c r="B160" s="13" t="str">
        <f t="shared" si="31"/>
        <v>%</v>
      </c>
      <c r="C160" s="186">
        <f t="shared" si="31"/>
        <v>29.734563827514648</v>
      </c>
      <c r="D160" s="186">
        <f t="shared" si="31"/>
        <v>28.98350715637207</v>
      </c>
      <c r="E160" s="186">
        <f t="shared" si="31"/>
        <v>28.065574645996094</v>
      </c>
      <c r="F160" s="186">
        <f t="shared" si="31"/>
        <v>26.925027847290039</v>
      </c>
      <c r="G160" s="186">
        <f t="shared" si="31"/>
        <v>25.499187469482422</v>
      </c>
      <c r="H160" s="186">
        <f t="shared" si="31"/>
        <v>23.714006423950195</v>
      </c>
      <c r="I160" s="186">
        <f t="shared" si="31"/>
        <v>30.040155410766602</v>
      </c>
      <c r="J160" s="186">
        <f t="shared" si="31"/>
        <v>29.300596237182617</v>
      </c>
      <c r="K160" s="186">
        <f t="shared" si="31"/>
        <v>28.401332855224609</v>
      </c>
      <c r="L160" s="186">
        <f t="shared" si="31"/>
        <v>27.28980827331543</v>
      </c>
      <c r="M160" s="186">
        <f t="shared" si="31"/>
        <v>25.894140243530273</v>
      </c>
      <c r="N160" s="186">
        <f t="shared" si="31"/>
        <v>24.128746032714844</v>
      </c>
      <c r="O160" s="186">
        <f t="shared" si="31"/>
        <v>30.337135314941406</v>
      </c>
      <c r="P160" s="186">
        <f t="shared" si="31"/>
        <v>29.607433319091797</v>
      </c>
      <c r="Q160" s="186">
        <f t="shared" si="31"/>
        <v>28.72235107421875</v>
      </c>
      <c r="R160" s="186">
        <f t="shared" si="31"/>
        <v>27.633306503295898</v>
      </c>
      <c r="S160" s="186">
        <f t="shared" si="31"/>
        <v>26.265810012817383</v>
      </c>
      <c r="T160" s="186">
        <f t="shared" si="31"/>
        <v>24.525192260742188</v>
      </c>
      <c r="U160" s="186">
        <f t="shared" si="31"/>
        <v>30.629751205444336</v>
      </c>
      <c r="V160" s="186">
        <f t="shared" si="31"/>
        <v>29.908510208129883</v>
      </c>
      <c r="W160" s="186">
        <f t="shared" si="31"/>
        <v>29.035640716552734</v>
      </c>
      <c r="X160" s="186">
        <f t="shared" si="31"/>
        <v>27.96345329284668</v>
      </c>
      <c r="Y160" s="186">
        <f t="shared" si="31"/>
        <v>26.621641159057617</v>
      </c>
      <c r="Z160" s="186">
        <f t="shared" si="31"/>
        <v>24.907337188720703</v>
      </c>
      <c r="AA160" s="186">
        <f t="shared" si="31"/>
        <v>30.929061889648438</v>
      </c>
      <c r="AB160" s="186">
        <f t="shared" si="31"/>
        <v>30.217170715332031</v>
      </c>
      <c r="AC160" s="186">
        <f t="shared" si="31"/>
        <v>29.355276107788086</v>
      </c>
      <c r="AD160" s="186">
        <f t="shared" si="31"/>
        <v>28.299064636230469</v>
      </c>
      <c r="AE160" s="186">
        <f t="shared" si="31"/>
        <v>26.978115081787109</v>
      </c>
      <c r="AF160" s="186">
        <f t="shared" si="31"/>
        <v>25.289922714233398</v>
      </c>
      <c r="AG160" s="186">
        <f t="shared" ref="AG160:AX160" si="32">AG67</f>
        <v>31.223934173583984</v>
      </c>
      <c r="AH160" s="186">
        <f t="shared" si="32"/>
        <v>30.521221160888672</v>
      </c>
      <c r="AI160" s="186">
        <f t="shared" si="32"/>
        <v>29.669988632202148</v>
      </c>
      <c r="AJ160" s="186">
        <f t="shared" si="32"/>
        <v>28.626785278320312</v>
      </c>
      <c r="AK160" s="186">
        <f t="shared" si="32"/>
        <v>27.324680328369141</v>
      </c>
      <c r="AL160" s="186">
        <f t="shared" si="32"/>
        <v>25.659721374511719</v>
      </c>
      <c r="AM160" s="186">
        <f t="shared" si="32"/>
        <v>31.514553070068359</v>
      </c>
      <c r="AN160" s="186">
        <f t="shared" si="32"/>
        <v>30.820964813232422</v>
      </c>
      <c r="AO160" s="186">
        <f t="shared" si="32"/>
        <v>29.979801177978516</v>
      </c>
      <c r="AP160" s="186">
        <f t="shared" si="32"/>
        <v>28.948740005493164</v>
      </c>
      <c r="AQ160" s="186">
        <f t="shared" si="32"/>
        <v>27.662052154541016</v>
      </c>
      <c r="AR160" s="186">
        <f t="shared" si="32"/>
        <v>26.018213272094727</v>
      </c>
      <c r="AS160" s="186">
        <f t="shared" si="32"/>
        <v>31.671424865722656</v>
      </c>
      <c r="AT160" s="186">
        <f t="shared" si="32"/>
        <v>30.974565505981445</v>
      </c>
      <c r="AU160" s="186">
        <f t="shared" si="32"/>
        <v>30.131143569946289</v>
      </c>
      <c r="AV160" s="186">
        <f t="shared" si="32"/>
        <v>29.098514556884766</v>
      </c>
      <c r="AW160" s="186">
        <f t="shared" si="32"/>
        <v>27.81195068359375</v>
      </c>
      <c r="AX160" s="186">
        <f t="shared" si="32"/>
        <v>26.1715087890625</v>
      </c>
    </row>
    <row r="161" spans="1:50" ht="17.25" customHeight="1">
      <c r="A161" s="13" t="str">
        <f t="shared" ref="A161:AF161" si="33">A68</f>
        <v>Plant net elec eff</v>
      </c>
      <c r="B161" s="13" t="str">
        <f t="shared" si="33"/>
        <v>%</v>
      </c>
      <c r="C161" s="186">
        <f t="shared" si="33"/>
        <v>28.560436248779297</v>
      </c>
      <c r="D161" s="186">
        <f t="shared" si="33"/>
        <v>27.72136116027832</v>
      </c>
      <c r="E161" s="186">
        <f t="shared" si="33"/>
        <v>26.707855224609375</v>
      </c>
      <c r="F161" s="186">
        <f t="shared" si="33"/>
        <v>25.471405029296875</v>
      </c>
      <c r="G161" s="186">
        <f t="shared" si="33"/>
        <v>23.931169509887695</v>
      </c>
      <c r="H161" s="186">
        <f t="shared" si="33"/>
        <v>22.00562858581543</v>
      </c>
      <c r="I161" s="186">
        <f t="shared" si="33"/>
        <v>28.890689849853516</v>
      </c>
      <c r="J161" s="186">
        <f t="shared" si="33"/>
        <v>28.064435958862305</v>
      </c>
      <c r="K161" s="186">
        <f t="shared" si="33"/>
        <v>27.071464538574219</v>
      </c>
      <c r="L161" s="186">
        <f t="shared" si="33"/>
        <v>25.865184783935547</v>
      </c>
      <c r="M161" s="186">
        <f t="shared" si="33"/>
        <v>24.356025695800781</v>
      </c>
      <c r="N161" s="186">
        <f t="shared" si="33"/>
        <v>22.451137542724609</v>
      </c>
      <c r="O161" s="186">
        <f t="shared" si="33"/>
        <v>29.212139129638672</v>
      </c>
      <c r="P161" s="186">
        <f t="shared" si="33"/>
        <v>28.397159576416016</v>
      </c>
      <c r="Q161" s="186">
        <f t="shared" si="33"/>
        <v>27.42042350769043</v>
      </c>
      <c r="R161" s="186">
        <f t="shared" si="33"/>
        <v>26.238138198852539</v>
      </c>
      <c r="S161" s="186">
        <f t="shared" si="33"/>
        <v>24.758274078369141</v>
      </c>
      <c r="T161" s="186">
        <f t="shared" si="33"/>
        <v>22.879228591918945</v>
      </c>
      <c r="U161" s="186">
        <f t="shared" si="33"/>
        <v>29.528768539428711</v>
      </c>
      <c r="V161" s="186">
        <f t="shared" si="33"/>
        <v>28.723659515380859</v>
      </c>
      <c r="W161" s="186">
        <f t="shared" si="33"/>
        <v>27.761323928833008</v>
      </c>
      <c r="X161" s="186">
        <f t="shared" si="33"/>
        <v>26.597568511962891</v>
      </c>
      <c r="Y161" s="186">
        <f t="shared" si="33"/>
        <v>25.144933700561523</v>
      </c>
      <c r="Z161" s="186">
        <f t="shared" si="33"/>
        <v>23.293514251708984</v>
      </c>
      <c r="AA161" s="186">
        <f t="shared" si="33"/>
        <v>29.85319709777832</v>
      </c>
      <c r="AB161" s="186">
        <f t="shared" si="33"/>
        <v>29.058977127075195</v>
      </c>
      <c r="AC161" s="186">
        <f t="shared" si="33"/>
        <v>28.109533309936523</v>
      </c>
      <c r="AD161" s="186">
        <f t="shared" si="33"/>
        <v>26.963718414306641</v>
      </c>
      <c r="AE161" s="186">
        <f t="shared" si="33"/>
        <v>25.533742904663086</v>
      </c>
      <c r="AF161" s="186">
        <f t="shared" si="33"/>
        <v>23.710117340087891</v>
      </c>
      <c r="AG161" s="186">
        <f t="shared" ref="AG161:AX161" si="34">AG68</f>
        <v>30.172922134399414</v>
      </c>
      <c r="AH161" s="186">
        <f t="shared" si="34"/>
        <v>29.389440536499023</v>
      </c>
      <c r="AI161" s="186">
        <f t="shared" si="34"/>
        <v>28.45263671875</v>
      </c>
      <c r="AJ161" s="186">
        <f t="shared" si="34"/>
        <v>27.321830749511719</v>
      </c>
      <c r="AK161" s="186">
        <f t="shared" si="34"/>
        <v>25.912809371948242</v>
      </c>
      <c r="AL161" s="186">
        <f t="shared" si="34"/>
        <v>24.114400863647461</v>
      </c>
      <c r="AM161" s="186">
        <f t="shared" si="34"/>
        <v>30.487949371337891</v>
      </c>
      <c r="AN161" s="186">
        <f t="shared" si="34"/>
        <v>29.71516227722168</v>
      </c>
      <c r="AO161" s="186">
        <f t="shared" si="34"/>
        <v>28.790460586547852</v>
      </c>
      <c r="AP161" s="186">
        <f t="shared" si="34"/>
        <v>27.673892974853516</v>
      </c>
      <c r="AQ161" s="186">
        <f t="shared" si="34"/>
        <v>26.282470703125</v>
      </c>
      <c r="AR161" s="186">
        <f t="shared" si="34"/>
        <v>24.507511138916016</v>
      </c>
      <c r="AS161" s="186">
        <f t="shared" si="34"/>
        <v>30.653812408447266</v>
      </c>
      <c r="AT161" s="186">
        <f t="shared" si="34"/>
        <v>29.878711700439453</v>
      </c>
      <c r="AU161" s="186">
        <f t="shared" si="34"/>
        <v>28.956777572631836</v>
      </c>
      <c r="AV161" s="186">
        <f t="shared" si="34"/>
        <v>27.839996337890625</v>
      </c>
      <c r="AW161" s="186">
        <f t="shared" si="34"/>
        <v>26.450075149536133</v>
      </c>
      <c r="AX161" s="186">
        <f t="shared" si="34"/>
        <v>24.680179595947266</v>
      </c>
    </row>
    <row r="162" spans="1:50" ht="17.25" customHeight="1">
      <c r="A162" s="13" t="str">
        <f t="shared" ref="A162:AF162" si="35">A69</f>
        <v>GT fuel HHV chemical energy input (77F/25C)</v>
      </c>
      <c r="B162" s="13" t="str">
        <f t="shared" si="35"/>
        <v>kW</v>
      </c>
      <c r="C162" s="186">
        <f t="shared" si="35"/>
        <v>21960.814453125</v>
      </c>
      <c r="D162" s="186">
        <f t="shared" si="35"/>
        <v>20281.388671875</v>
      </c>
      <c r="E162" s="186">
        <f t="shared" si="35"/>
        <v>18621.091796875</v>
      </c>
      <c r="F162" s="186">
        <f t="shared" si="35"/>
        <v>16986.658203125</v>
      </c>
      <c r="G162" s="186">
        <f t="shared" si="35"/>
        <v>15376.9091796875</v>
      </c>
      <c r="H162" s="186">
        <f t="shared" si="35"/>
        <v>13781.6396484375</v>
      </c>
      <c r="I162" s="186">
        <f t="shared" si="35"/>
        <v>22443.36328125</v>
      </c>
      <c r="J162" s="186">
        <f t="shared" si="35"/>
        <v>20713.9453125</v>
      </c>
      <c r="K162" s="186">
        <f t="shared" si="35"/>
        <v>18998.13671875</v>
      </c>
      <c r="L162" s="186">
        <f t="shared" si="35"/>
        <v>17303.66796875</v>
      </c>
      <c r="M162" s="186">
        <f t="shared" si="35"/>
        <v>15634.12109375</v>
      </c>
      <c r="N162" s="186">
        <f t="shared" si="35"/>
        <v>13984.646484375</v>
      </c>
      <c r="O162" s="186">
        <f t="shared" si="35"/>
        <v>22943.625</v>
      </c>
      <c r="P162" s="186">
        <f t="shared" si="35"/>
        <v>21163.904296875</v>
      </c>
      <c r="Q162" s="186">
        <f t="shared" si="35"/>
        <v>19395.015625</v>
      </c>
      <c r="R162" s="186">
        <f t="shared" si="35"/>
        <v>17643.16796875</v>
      </c>
      <c r="S162" s="186">
        <f t="shared" si="35"/>
        <v>15912.1494140625</v>
      </c>
      <c r="T162" s="186">
        <f t="shared" si="35"/>
        <v>14204.26953125</v>
      </c>
      <c r="U162" s="186">
        <f t="shared" si="35"/>
        <v>23456.619140625</v>
      </c>
      <c r="V162" s="186">
        <f t="shared" si="35"/>
        <v>21625.109375</v>
      </c>
      <c r="W162" s="186">
        <f t="shared" si="35"/>
        <v>19804.599609375</v>
      </c>
      <c r="X162" s="186">
        <f t="shared" si="35"/>
        <v>17996.220703125</v>
      </c>
      <c r="Y162" s="186">
        <f t="shared" si="35"/>
        <v>16206.619140625</v>
      </c>
      <c r="Z162" s="186">
        <f t="shared" si="35"/>
        <v>14438.494140625</v>
      </c>
      <c r="AA162" s="186">
        <f t="shared" si="35"/>
        <v>24020.744140625</v>
      </c>
      <c r="AB162" s="186">
        <f t="shared" si="35"/>
        <v>22133.5078125</v>
      </c>
      <c r="AC162" s="186">
        <f t="shared" si="35"/>
        <v>20255.48046875</v>
      </c>
      <c r="AD162" s="186">
        <f t="shared" si="35"/>
        <v>18389.26171875</v>
      </c>
      <c r="AE162" s="186">
        <f t="shared" si="35"/>
        <v>16536.890625</v>
      </c>
      <c r="AF162" s="186">
        <f t="shared" si="35"/>
        <v>14704.306640625</v>
      </c>
      <c r="AG162" s="186">
        <f t="shared" ref="AG162:AX162" si="36">AG69</f>
        <v>24606.048828125</v>
      </c>
      <c r="AH162" s="186">
        <f t="shared" si="36"/>
        <v>22661.421875</v>
      </c>
      <c r="AI162" s="186">
        <f t="shared" si="36"/>
        <v>20725.248046875</v>
      </c>
      <c r="AJ162" s="186">
        <f t="shared" si="36"/>
        <v>18798.9296875</v>
      </c>
      <c r="AK162" s="186">
        <f t="shared" si="36"/>
        <v>16885.365234375</v>
      </c>
      <c r="AL162" s="186">
        <f t="shared" si="36"/>
        <v>14987.4580078125</v>
      </c>
      <c r="AM162" s="186">
        <f t="shared" si="36"/>
        <v>25209.138671875</v>
      </c>
      <c r="AN162" s="186">
        <f t="shared" si="36"/>
        <v>23205.5546875</v>
      </c>
      <c r="AO162" s="186">
        <f t="shared" si="36"/>
        <v>21210.00390625</v>
      </c>
      <c r="AP162" s="186">
        <f t="shared" si="36"/>
        <v>19223.455078125</v>
      </c>
      <c r="AQ162" s="186">
        <f t="shared" si="36"/>
        <v>17247.21484375</v>
      </c>
      <c r="AR162" s="186">
        <f t="shared" si="36"/>
        <v>15285.0078125</v>
      </c>
      <c r="AS162" s="186">
        <f t="shared" si="36"/>
        <v>25407.69921875</v>
      </c>
      <c r="AT162" s="186">
        <f t="shared" si="36"/>
        <v>23386.494140625</v>
      </c>
      <c r="AU162" s="186">
        <f t="shared" si="36"/>
        <v>21372.658203125</v>
      </c>
      <c r="AV162" s="186">
        <f t="shared" si="36"/>
        <v>19367.095703125</v>
      </c>
      <c r="AW162" s="186">
        <f t="shared" si="36"/>
        <v>17370.5703125</v>
      </c>
      <c r="AX162" s="186">
        <f t="shared" si="36"/>
        <v>15386.0439453125</v>
      </c>
    </row>
    <row r="163" spans="1:50" ht="17.25" customHeight="1">
      <c r="A163" s="13" t="str">
        <f t="shared" ref="A163:AF163" si="37">A70</f>
        <v>HRSG efficiency</v>
      </c>
      <c r="B163" s="13" t="str">
        <f t="shared" si="37"/>
        <v>%</v>
      </c>
      <c r="C163" s="186">
        <f t="shared" si="37"/>
        <v>68.390548706054688</v>
      </c>
      <c r="D163" s="186">
        <f t="shared" si="37"/>
        <v>64.707984924316406</v>
      </c>
      <c r="E163" s="186">
        <f t="shared" si="37"/>
        <v>60.611671447753906</v>
      </c>
      <c r="F163" s="186">
        <f t="shared" si="37"/>
        <v>56.056785583496094</v>
      </c>
      <c r="G163" s="186">
        <f t="shared" si="37"/>
        <v>50.919013977050781</v>
      </c>
      <c r="H163" s="186">
        <f t="shared" si="37"/>
        <v>44.993785858154297</v>
      </c>
      <c r="I163" s="186">
        <f t="shared" si="37"/>
        <v>67.246780395507812</v>
      </c>
      <c r="J163" s="186">
        <f t="shared" si="37"/>
        <v>63.451126098632812</v>
      </c>
      <c r="K163" s="186">
        <f t="shared" si="37"/>
        <v>59.199031829833984</v>
      </c>
      <c r="L163" s="186">
        <f t="shared" si="37"/>
        <v>54.428153991699219</v>
      </c>
      <c r="M163" s="186">
        <f t="shared" si="37"/>
        <v>49.021785736083984</v>
      </c>
      <c r="N163" s="186">
        <f t="shared" si="37"/>
        <v>42.794116973876953</v>
      </c>
      <c r="O163" s="186">
        <f t="shared" si="37"/>
        <v>66.105964660644531</v>
      </c>
      <c r="P163" s="186">
        <f t="shared" si="37"/>
        <v>62.202739715576172</v>
      </c>
      <c r="Q163" s="186">
        <f t="shared" si="37"/>
        <v>57.811714172363281</v>
      </c>
      <c r="R163" s="186">
        <f t="shared" si="37"/>
        <v>52.848442077636719</v>
      </c>
      <c r="S163" s="186">
        <f t="shared" si="37"/>
        <v>47.179347991943359</v>
      </c>
      <c r="T163" s="186">
        <f t="shared" si="37"/>
        <v>40.634796142578125</v>
      </c>
      <c r="U163" s="186">
        <f t="shared" si="37"/>
        <v>64.97357177734375</v>
      </c>
      <c r="V163" s="186">
        <f t="shared" si="37"/>
        <v>60.965145111083984</v>
      </c>
      <c r="W163" s="186">
        <f t="shared" si="37"/>
        <v>56.44317626953125</v>
      </c>
      <c r="X163" s="186">
        <f t="shared" si="37"/>
        <v>51.301601409912109</v>
      </c>
      <c r="Y163" s="186">
        <f t="shared" si="37"/>
        <v>45.392250061035156</v>
      </c>
      <c r="Z163" s="186">
        <f t="shared" si="37"/>
        <v>38.531204223632812</v>
      </c>
      <c r="AA163" s="186">
        <f t="shared" si="37"/>
        <v>63.9102783203125</v>
      </c>
      <c r="AB163" s="186">
        <f t="shared" si="37"/>
        <v>59.798751831054688</v>
      </c>
      <c r="AC163" s="186">
        <f t="shared" si="37"/>
        <v>55.148334503173828</v>
      </c>
      <c r="AD163" s="186">
        <f t="shared" si="37"/>
        <v>49.844615936279297</v>
      </c>
      <c r="AE163" s="186">
        <f t="shared" si="37"/>
        <v>43.706985473632812</v>
      </c>
      <c r="AF163" s="186">
        <f t="shared" si="37"/>
        <v>36.536033630371094</v>
      </c>
      <c r="AG163" s="186">
        <f t="shared" ref="AG163:AX163" si="38">AG70</f>
        <v>62.853534698486328</v>
      </c>
      <c r="AH163" s="186">
        <f t="shared" si="38"/>
        <v>58.637798309326172</v>
      </c>
      <c r="AI163" s="186">
        <f t="shared" si="38"/>
        <v>53.866222381591797</v>
      </c>
      <c r="AJ163" s="186">
        <f t="shared" si="38"/>
        <v>48.403209686279297</v>
      </c>
      <c r="AK163" s="186">
        <f t="shared" si="38"/>
        <v>42.055713653564453</v>
      </c>
      <c r="AL163" s="186">
        <f t="shared" si="38"/>
        <v>34.587207794189453</v>
      </c>
      <c r="AM163" s="186">
        <f t="shared" si="38"/>
        <v>61.794715881347656</v>
      </c>
      <c r="AN163" s="186">
        <f t="shared" si="38"/>
        <v>57.477569580078125</v>
      </c>
      <c r="AO163" s="186">
        <f t="shared" si="38"/>
        <v>52.584449768066406</v>
      </c>
      <c r="AP163" s="186">
        <f t="shared" si="38"/>
        <v>46.968860626220703</v>
      </c>
      <c r="AQ163" s="186">
        <f t="shared" si="38"/>
        <v>40.416904449462891</v>
      </c>
      <c r="AR163" s="186">
        <f t="shared" si="38"/>
        <v>32.668861389160156</v>
      </c>
      <c r="AS163" s="186">
        <f t="shared" si="38"/>
        <v>59.872749328613281</v>
      </c>
      <c r="AT163" s="186">
        <f t="shared" si="38"/>
        <v>55.438709259033203</v>
      </c>
      <c r="AU163" s="186">
        <f t="shared" si="38"/>
        <v>50.409748077392578</v>
      </c>
      <c r="AV163" s="186">
        <f t="shared" si="38"/>
        <v>44.627304077148438</v>
      </c>
      <c r="AW163" s="186">
        <f t="shared" si="38"/>
        <v>37.867610931396484</v>
      </c>
      <c r="AX163" s="186">
        <f t="shared" si="38"/>
        <v>29.849346160888672</v>
      </c>
    </row>
    <row r="164" spans="1:50" ht="17.25" customHeight="1">
      <c r="A164" s="13" t="str">
        <f t="shared" ref="A164:AF164" si="39">A71</f>
        <v>Fuel HHV chemical energy to duct burner(s) (77F/25C)</v>
      </c>
      <c r="B164" s="13" t="str">
        <f t="shared" si="39"/>
        <v>kW</v>
      </c>
      <c r="C164" s="186">
        <f t="shared" si="39"/>
        <v>0</v>
      </c>
      <c r="D164" s="186">
        <f t="shared" si="39"/>
        <v>0</v>
      </c>
      <c r="E164" s="186">
        <f t="shared" si="39"/>
        <v>0</v>
      </c>
      <c r="F164" s="186">
        <f t="shared" si="39"/>
        <v>0</v>
      </c>
      <c r="G164" s="186">
        <f t="shared" si="39"/>
        <v>0</v>
      </c>
      <c r="H164" s="186">
        <f t="shared" si="39"/>
        <v>0</v>
      </c>
      <c r="I164" s="186">
        <f t="shared" si="39"/>
        <v>0</v>
      </c>
      <c r="J164" s="186">
        <f t="shared" si="39"/>
        <v>0</v>
      </c>
      <c r="K164" s="186">
        <f t="shared" si="39"/>
        <v>0</v>
      </c>
      <c r="L164" s="186">
        <f t="shared" si="39"/>
        <v>0</v>
      </c>
      <c r="M164" s="186">
        <f t="shared" si="39"/>
        <v>0</v>
      </c>
      <c r="N164" s="186">
        <f t="shared" si="39"/>
        <v>0</v>
      </c>
      <c r="O164" s="186">
        <f t="shared" si="39"/>
        <v>0</v>
      </c>
      <c r="P164" s="186">
        <f t="shared" si="39"/>
        <v>0</v>
      </c>
      <c r="Q164" s="186">
        <f t="shared" si="39"/>
        <v>0</v>
      </c>
      <c r="R164" s="186">
        <f t="shared" si="39"/>
        <v>0</v>
      </c>
      <c r="S164" s="186">
        <f t="shared" si="39"/>
        <v>0</v>
      </c>
      <c r="T164" s="186">
        <f t="shared" si="39"/>
        <v>0</v>
      </c>
      <c r="U164" s="186">
        <f t="shared" si="39"/>
        <v>0</v>
      </c>
      <c r="V164" s="186">
        <f t="shared" si="39"/>
        <v>0</v>
      </c>
      <c r="W164" s="186">
        <f t="shared" si="39"/>
        <v>0</v>
      </c>
      <c r="X164" s="186">
        <f t="shared" si="39"/>
        <v>0</v>
      </c>
      <c r="Y164" s="186">
        <f t="shared" si="39"/>
        <v>0</v>
      </c>
      <c r="Z164" s="186">
        <f t="shared" si="39"/>
        <v>0</v>
      </c>
      <c r="AA164" s="186">
        <f t="shared" si="39"/>
        <v>0</v>
      </c>
      <c r="AB164" s="186">
        <f t="shared" si="39"/>
        <v>0</v>
      </c>
      <c r="AC164" s="186">
        <f t="shared" si="39"/>
        <v>0</v>
      </c>
      <c r="AD164" s="186">
        <f t="shared" si="39"/>
        <v>0</v>
      </c>
      <c r="AE164" s="186">
        <f t="shared" si="39"/>
        <v>0</v>
      </c>
      <c r="AF164" s="186">
        <f t="shared" si="39"/>
        <v>0</v>
      </c>
      <c r="AG164" s="186">
        <f t="shared" ref="AG164:AX164" si="40">AG71</f>
        <v>0</v>
      </c>
      <c r="AH164" s="186">
        <f t="shared" si="40"/>
        <v>0</v>
      </c>
      <c r="AI164" s="186">
        <f t="shared" si="40"/>
        <v>0</v>
      </c>
      <c r="AJ164" s="186">
        <f t="shared" si="40"/>
        <v>0</v>
      </c>
      <c r="AK164" s="186">
        <f t="shared" si="40"/>
        <v>0</v>
      </c>
      <c r="AL164" s="186">
        <f t="shared" si="40"/>
        <v>0</v>
      </c>
      <c r="AM164" s="186">
        <f t="shared" si="40"/>
        <v>0</v>
      </c>
      <c r="AN164" s="186">
        <f t="shared" si="40"/>
        <v>0</v>
      </c>
      <c r="AO164" s="186">
        <f t="shared" si="40"/>
        <v>0</v>
      </c>
      <c r="AP164" s="186">
        <f t="shared" si="40"/>
        <v>0</v>
      </c>
      <c r="AQ164" s="186">
        <f t="shared" si="40"/>
        <v>0</v>
      </c>
      <c r="AR164" s="186">
        <f t="shared" si="40"/>
        <v>0</v>
      </c>
      <c r="AS164" s="186">
        <f t="shared" si="40"/>
        <v>0</v>
      </c>
      <c r="AT164" s="186">
        <f t="shared" si="40"/>
        <v>0</v>
      </c>
      <c r="AU164" s="186">
        <f t="shared" si="40"/>
        <v>0</v>
      </c>
      <c r="AV164" s="186">
        <f t="shared" si="40"/>
        <v>0</v>
      </c>
      <c r="AW164" s="186">
        <f t="shared" si="40"/>
        <v>0</v>
      </c>
      <c r="AX164" s="186">
        <f t="shared" si="40"/>
        <v>0</v>
      </c>
    </row>
    <row r="165" spans="1:50" s="260" customFormat="1" ht="17.25" customHeight="1">
      <c r="A165" s="318" t="str">
        <f>A72</f>
        <v>Combustor steam injection flow (per GT)</v>
      </c>
      <c r="B165" s="318" t="str">
        <f t="shared" ref="B165:AX165" si="41">B72</f>
        <v>t/h</v>
      </c>
      <c r="C165" s="318">
        <f t="shared" si="41"/>
        <v>1</v>
      </c>
      <c r="D165" s="318">
        <f t="shared" si="41"/>
        <v>1</v>
      </c>
      <c r="E165" s="318">
        <f t="shared" si="41"/>
        <v>1</v>
      </c>
      <c r="F165" s="318">
        <f t="shared" si="41"/>
        <v>1</v>
      </c>
      <c r="G165" s="318">
        <f t="shared" si="41"/>
        <v>1</v>
      </c>
      <c r="H165" s="318">
        <f t="shared" si="41"/>
        <v>1</v>
      </c>
      <c r="I165" s="318">
        <f t="shared" si="41"/>
        <v>1</v>
      </c>
      <c r="J165" s="318">
        <f t="shared" si="41"/>
        <v>1</v>
      </c>
      <c r="K165" s="318">
        <f t="shared" si="41"/>
        <v>1</v>
      </c>
      <c r="L165" s="318">
        <f t="shared" si="41"/>
        <v>1</v>
      </c>
      <c r="M165" s="318">
        <f t="shared" si="41"/>
        <v>1</v>
      </c>
      <c r="N165" s="318">
        <f t="shared" si="41"/>
        <v>1</v>
      </c>
      <c r="O165" s="318">
        <f t="shared" si="41"/>
        <v>1</v>
      </c>
      <c r="P165" s="318">
        <f t="shared" si="41"/>
        <v>1</v>
      </c>
      <c r="Q165" s="318">
        <f t="shared" si="41"/>
        <v>1</v>
      </c>
      <c r="R165" s="318">
        <f t="shared" si="41"/>
        <v>1</v>
      </c>
      <c r="S165" s="318">
        <f t="shared" si="41"/>
        <v>1</v>
      </c>
      <c r="T165" s="318">
        <f t="shared" si="41"/>
        <v>1</v>
      </c>
      <c r="U165" s="318">
        <f t="shared" si="41"/>
        <v>1</v>
      </c>
      <c r="V165" s="318">
        <f t="shared" si="41"/>
        <v>1</v>
      </c>
      <c r="W165" s="318">
        <f t="shared" si="41"/>
        <v>1</v>
      </c>
      <c r="X165" s="318">
        <f t="shared" si="41"/>
        <v>1</v>
      </c>
      <c r="Y165" s="318">
        <f t="shared" si="41"/>
        <v>1</v>
      </c>
      <c r="Z165" s="318">
        <f t="shared" si="41"/>
        <v>1</v>
      </c>
      <c r="AA165" s="318">
        <f t="shared" si="41"/>
        <v>1</v>
      </c>
      <c r="AB165" s="318">
        <f t="shared" si="41"/>
        <v>1</v>
      </c>
      <c r="AC165" s="318">
        <f t="shared" si="41"/>
        <v>1</v>
      </c>
      <c r="AD165" s="318">
        <f t="shared" si="41"/>
        <v>1</v>
      </c>
      <c r="AE165" s="318">
        <f t="shared" si="41"/>
        <v>1</v>
      </c>
      <c r="AF165" s="318">
        <f t="shared" si="41"/>
        <v>1</v>
      </c>
      <c r="AG165" s="318">
        <f t="shared" si="41"/>
        <v>1</v>
      </c>
      <c r="AH165" s="318">
        <f t="shared" si="41"/>
        <v>1</v>
      </c>
      <c r="AI165" s="318">
        <f t="shared" si="41"/>
        <v>1</v>
      </c>
      <c r="AJ165" s="318">
        <f t="shared" si="41"/>
        <v>1</v>
      </c>
      <c r="AK165" s="318">
        <f t="shared" si="41"/>
        <v>1</v>
      </c>
      <c r="AL165" s="318">
        <f t="shared" si="41"/>
        <v>1</v>
      </c>
      <c r="AM165" s="318">
        <f t="shared" si="41"/>
        <v>1</v>
      </c>
      <c r="AN165" s="318">
        <f t="shared" si="41"/>
        <v>1</v>
      </c>
      <c r="AO165" s="318">
        <f t="shared" si="41"/>
        <v>1</v>
      </c>
      <c r="AP165" s="318">
        <f t="shared" si="41"/>
        <v>1</v>
      </c>
      <c r="AQ165" s="318">
        <f t="shared" si="41"/>
        <v>1</v>
      </c>
      <c r="AR165" s="318">
        <f t="shared" si="41"/>
        <v>1</v>
      </c>
      <c r="AS165" s="318">
        <f t="shared" si="41"/>
        <v>1</v>
      </c>
      <c r="AT165" s="318">
        <f t="shared" si="41"/>
        <v>1</v>
      </c>
      <c r="AU165" s="318">
        <f t="shared" si="41"/>
        <v>1</v>
      </c>
      <c r="AV165" s="318">
        <f t="shared" si="41"/>
        <v>1</v>
      </c>
      <c r="AW165" s="318">
        <f t="shared" si="41"/>
        <v>1</v>
      </c>
      <c r="AX165" s="318">
        <f t="shared" si="41"/>
        <v>1</v>
      </c>
    </row>
    <row r="166" spans="1:50" s="141" customFormat="1" ht="17.25" customHeight="1">
      <c r="A166" s="13" t="str">
        <f>A73</f>
        <v>Main IP process pressure</v>
      </c>
      <c r="B166" s="13" t="str">
        <f t="shared" ref="B166:AG166" si="42">B73</f>
        <v>bar</v>
      </c>
      <c r="C166" s="186">
        <f t="shared" si="42"/>
        <v>24.023736953735352</v>
      </c>
      <c r="D166" s="186">
        <f t="shared" si="42"/>
        <v>24.025444030761719</v>
      </c>
      <c r="E166" s="186">
        <f t="shared" si="42"/>
        <v>24.018754959106445</v>
      </c>
      <c r="F166" s="186">
        <f t="shared" si="42"/>
        <v>24.019721984863281</v>
      </c>
      <c r="G166" s="186">
        <f t="shared" si="42"/>
        <v>24.020559310913086</v>
      </c>
      <c r="H166" s="186">
        <f t="shared" si="42"/>
        <v>24.021263122558594</v>
      </c>
      <c r="I166" s="186">
        <f t="shared" si="42"/>
        <v>24.023715972900391</v>
      </c>
      <c r="J166" s="186">
        <f t="shared" si="42"/>
        <v>24.025453567504883</v>
      </c>
      <c r="K166" s="186">
        <f t="shared" si="42"/>
        <v>24.018777847290039</v>
      </c>
      <c r="L166" s="186">
        <f t="shared" si="42"/>
        <v>24.019783020019531</v>
      </c>
      <c r="M166" s="186">
        <f t="shared" si="42"/>
        <v>24.020631790161133</v>
      </c>
      <c r="N166" s="186">
        <f t="shared" si="42"/>
        <v>24.021335601806641</v>
      </c>
      <c r="O166" s="186">
        <f t="shared" si="42"/>
        <v>24.023687362670898</v>
      </c>
      <c r="P166" s="186">
        <f t="shared" si="42"/>
        <v>24.025455474853516</v>
      </c>
      <c r="Q166" s="186">
        <f t="shared" si="42"/>
        <v>24.018795013427734</v>
      </c>
      <c r="R166" s="186">
        <f t="shared" si="42"/>
        <v>24.019821166992188</v>
      </c>
      <c r="S166" s="186">
        <f t="shared" si="42"/>
        <v>24.020689010620117</v>
      </c>
      <c r="T166" s="186">
        <f t="shared" si="42"/>
        <v>24.021402359008789</v>
      </c>
      <c r="U166" s="186">
        <f t="shared" si="42"/>
        <v>24.023654937744141</v>
      </c>
      <c r="V166" s="186">
        <f t="shared" si="42"/>
        <v>24.017627716064453</v>
      </c>
      <c r="W166" s="186">
        <f t="shared" si="42"/>
        <v>24.01881217956543</v>
      </c>
      <c r="X166" s="186">
        <f t="shared" si="42"/>
        <v>24.019855499267578</v>
      </c>
      <c r="Y166" s="186">
        <f t="shared" si="42"/>
        <v>24.020744323730469</v>
      </c>
      <c r="Z166" s="186">
        <f t="shared" si="42"/>
        <v>24.021465301513672</v>
      </c>
      <c r="AA166" s="186">
        <f t="shared" si="42"/>
        <v>24.023603439331055</v>
      </c>
      <c r="AB166" s="186">
        <f t="shared" si="42"/>
        <v>24.017610549926758</v>
      </c>
      <c r="AC166" s="186">
        <f t="shared" si="42"/>
        <v>24.018817901611328</v>
      </c>
      <c r="AD166" s="186">
        <f t="shared" si="42"/>
        <v>24.019880294799805</v>
      </c>
      <c r="AE166" s="186">
        <f t="shared" si="42"/>
        <v>24.020790100097656</v>
      </c>
      <c r="AF166" s="186">
        <f t="shared" si="42"/>
        <v>24.021518707275391</v>
      </c>
      <c r="AG166" s="186">
        <f t="shared" si="42"/>
        <v>24.023536682128906</v>
      </c>
      <c r="AH166" s="186">
        <f t="shared" ref="AH166:AX166" si="43">AH73</f>
        <v>24.025419235229492</v>
      </c>
      <c r="AI166" s="186">
        <f t="shared" si="43"/>
        <v>24.018817901611328</v>
      </c>
      <c r="AJ166" s="186">
        <f t="shared" si="43"/>
        <v>24.019905090332031</v>
      </c>
      <c r="AK166" s="186">
        <f t="shared" si="43"/>
        <v>24.020822525024414</v>
      </c>
      <c r="AL166" s="186">
        <f t="shared" si="43"/>
        <v>24.021568298339844</v>
      </c>
      <c r="AM166" s="186">
        <f t="shared" si="43"/>
        <v>24.023471832275391</v>
      </c>
      <c r="AN166" s="186">
        <f t="shared" si="43"/>
        <v>24.025394439697266</v>
      </c>
      <c r="AO166" s="186">
        <f t="shared" si="43"/>
        <v>24.018821716308594</v>
      </c>
      <c r="AP166" s="186">
        <f t="shared" si="43"/>
        <v>24.019927978515625</v>
      </c>
      <c r="AQ166" s="186">
        <f t="shared" si="43"/>
        <v>24.020864486694336</v>
      </c>
      <c r="AR166" s="186">
        <f t="shared" si="43"/>
        <v>24.021615982055664</v>
      </c>
      <c r="AS166" s="186">
        <f t="shared" si="43"/>
        <v>24.023780822753906</v>
      </c>
      <c r="AT166" s="186">
        <f t="shared" si="43"/>
        <v>24.017772674560547</v>
      </c>
      <c r="AU166" s="186">
        <f t="shared" si="43"/>
        <v>24.019014358520508</v>
      </c>
      <c r="AV166" s="186">
        <f t="shared" si="43"/>
        <v>24.020105361938477</v>
      </c>
      <c r="AW166" s="186">
        <f t="shared" si="43"/>
        <v>24.021017074584961</v>
      </c>
      <c r="AX166" s="186">
        <f t="shared" si="43"/>
        <v>24.021739959716797</v>
      </c>
    </row>
    <row r="167" spans="1:50" s="141" customFormat="1" ht="17.25" customHeight="1">
      <c r="A167" s="13" t="str">
        <f>A74</f>
        <v>Main IP process temperature</v>
      </c>
      <c r="B167" s="13" t="str">
        <f t="shared" ref="B167:AG167" si="44">B74</f>
        <v>C</v>
      </c>
      <c r="C167" s="186">
        <f t="shared" si="44"/>
        <v>318.97445678710938</v>
      </c>
      <c r="D167" s="186">
        <f t="shared" si="44"/>
        <v>314.7396240234375</v>
      </c>
      <c r="E167" s="186">
        <f t="shared" si="44"/>
        <v>309.8978271484375</v>
      </c>
      <c r="F167" s="186">
        <f t="shared" si="44"/>
        <v>304.36843872070312</v>
      </c>
      <c r="G167" s="186">
        <f t="shared" si="44"/>
        <v>297.96359252929688</v>
      </c>
      <c r="H167" s="186">
        <f t="shared" si="44"/>
        <v>290.34335327148438</v>
      </c>
      <c r="I167" s="186">
        <f t="shared" si="44"/>
        <v>317.96905517578125</v>
      </c>
      <c r="J167" s="186">
        <f t="shared" si="44"/>
        <v>313.6619873046875</v>
      </c>
      <c r="K167" s="186">
        <f t="shared" si="44"/>
        <v>308.68408203125</v>
      </c>
      <c r="L167" s="186">
        <f t="shared" si="44"/>
        <v>302.92599487304688</v>
      </c>
      <c r="M167" s="186">
        <f t="shared" si="44"/>
        <v>296.19232177734375</v>
      </c>
      <c r="N167" s="186">
        <f t="shared" si="44"/>
        <v>288.14373779296875</v>
      </c>
      <c r="O167" s="186">
        <f t="shared" si="44"/>
        <v>316.957763671875</v>
      </c>
      <c r="P167" s="186">
        <f t="shared" si="44"/>
        <v>312.58343505859375</v>
      </c>
      <c r="Q167" s="186">
        <f t="shared" si="44"/>
        <v>307.48764038085938</v>
      </c>
      <c r="R167" s="186">
        <f t="shared" si="44"/>
        <v>301.52603149414062</v>
      </c>
      <c r="S167" s="186">
        <f t="shared" si="44"/>
        <v>294.462890625</v>
      </c>
      <c r="T167" s="186">
        <f t="shared" si="44"/>
        <v>285.94900512695312</v>
      </c>
      <c r="U167" s="186">
        <f t="shared" si="44"/>
        <v>315.95748901367188</v>
      </c>
      <c r="V167" s="186">
        <f t="shared" si="44"/>
        <v>311.505615234375</v>
      </c>
      <c r="W167" s="186">
        <f t="shared" si="44"/>
        <v>306.30828857421875</v>
      </c>
      <c r="X167" s="186">
        <f t="shared" si="44"/>
        <v>300.15463256835938</v>
      </c>
      <c r="Y167" s="186">
        <f t="shared" si="44"/>
        <v>292.77987670898438</v>
      </c>
      <c r="Z167" s="186">
        <f t="shared" si="44"/>
        <v>283.77993774414062</v>
      </c>
      <c r="AA167" s="186">
        <f t="shared" si="44"/>
        <v>315.0225830078125</v>
      </c>
      <c r="AB167" s="186">
        <f t="shared" si="44"/>
        <v>310.50711059570312</v>
      </c>
      <c r="AC167" s="186">
        <f t="shared" si="44"/>
        <v>305.20147705078125</v>
      </c>
      <c r="AD167" s="186">
        <f t="shared" si="44"/>
        <v>298.8734130859375</v>
      </c>
      <c r="AE167" s="186">
        <f t="shared" si="44"/>
        <v>291.19601440429688</v>
      </c>
      <c r="AF167" s="186">
        <f t="shared" si="44"/>
        <v>281.70166015625</v>
      </c>
      <c r="AG167" s="186">
        <f t="shared" si="44"/>
        <v>314.0836181640625</v>
      </c>
      <c r="AH167" s="186">
        <f t="shared" ref="AH167:AX167" si="45">AH74</f>
        <v>309.513671875</v>
      </c>
      <c r="AI167" s="186">
        <f t="shared" si="45"/>
        <v>304.09490966796875</v>
      </c>
      <c r="AJ167" s="186">
        <f t="shared" si="45"/>
        <v>297.591064453125</v>
      </c>
      <c r="AK167" s="186">
        <f t="shared" si="45"/>
        <v>289.6239013671875</v>
      </c>
      <c r="AL167" s="186">
        <f t="shared" si="45"/>
        <v>279.6290283203125</v>
      </c>
      <c r="AM167" s="186">
        <f t="shared" si="45"/>
        <v>313.13214111328125</v>
      </c>
      <c r="AN167" s="186">
        <f t="shared" si="45"/>
        <v>308.4984130859375</v>
      </c>
      <c r="AO167" s="186">
        <f t="shared" si="45"/>
        <v>302.97421264648438</v>
      </c>
      <c r="AP167" s="186">
        <f t="shared" si="45"/>
        <v>296.296875</v>
      </c>
      <c r="AQ167" s="186">
        <f t="shared" si="45"/>
        <v>288.03485107421875</v>
      </c>
      <c r="AR167" s="186">
        <f t="shared" si="45"/>
        <v>277.53726196289062</v>
      </c>
      <c r="AS167" s="186">
        <f t="shared" si="45"/>
        <v>311.27017211914062</v>
      </c>
      <c r="AT167" s="186">
        <f t="shared" si="45"/>
        <v>306.4989013671875</v>
      </c>
      <c r="AU167" s="186">
        <f t="shared" si="45"/>
        <v>300.80355834960938</v>
      </c>
      <c r="AV167" s="186">
        <f t="shared" si="45"/>
        <v>293.86520385742188</v>
      </c>
      <c r="AW167" s="186">
        <f t="shared" si="45"/>
        <v>285.20779418945312</v>
      </c>
      <c r="AX167" s="186">
        <f t="shared" si="45"/>
        <v>274.07659912109375</v>
      </c>
    </row>
    <row r="168" spans="1:50" ht="17.25" customHeight="1">
      <c r="A168" s="13" t="str">
        <f>A75</f>
        <v>Main IP process mass flow</v>
      </c>
      <c r="B168" s="13" t="str">
        <f t="shared" ref="B168:AG168" si="46">B75</f>
        <v>t/h</v>
      </c>
      <c r="C168" s="186">
        <f t="shared" si="46"/>
        <v>12.772176742553711</v>
      </c>
      <c r="D168" s="186">
        <f t="shared" si="46"/>
        <v>11.325741767883301</v>
      </c>
      <c r="E168" s="186">
        <f t="shared" si="46"/>
        <v>9.9106216430664062</v>
      </c>
      <c r="F168" s="186">
        <f t="shared" si="46"/>
        <v>8.5347499847412109</v>
      </c>
      <c r="G168" s="186">
        <f t="shared" si="46"/>
        <v>7.1948256492614746</v>
      </c>
      <c r="H168" s="186">
        <f t="shared" si="46"/>
        <v>5.8738279342651367</v>
      </c>
      <c r="I168" s="186">
        <f t="shared" si="46"/>
        <v>12.797797203063965</v>
      </c>
      <c r="J168" s="186">
        <f t="shared" si="46"/>
        <v>11.310160636901855</v>
      </c>
      <c r="K168" s="186">
        <f t="shared" si="46"/>
        <v>9.8469734191894531</v>
      </c>
      <c r="L168" s="186">
        <f t="shared" si="46"/>
        <v>8.4162864685058594</v>
      </c>
      <c r="M168" s="186">
        <f t="shared" si="46"/>
        <v>7.0219159126281738</v>
      </c>
      <c r="N168" s="186">
        <f t="shared" si="46"/>
        <v>5.654231071472168</v>
      </c>
      <c r="O168" s="186">
        <f t="shared" si="46"/>
        <v>12.825390815734863</v>
      </c>
      <c r="P168" s="186">
        <f t="shared" si="46"/>
        <v>11.297388076782227</v>
      </c>
      <c r="Q168" s="186">
        <f t="shared" si="46"/>
        <v>9.790252685546875</v>
      </c>
      <c r="R168" s="186">
        <f t="shared" si="46"/>
        <v>8.3095216751098633</v>
      </c>
      <c r="S168" s="186">
        <f t="shared" si="46"/>
        <v>6.8598084449768066</v>
      </c>
      <c r="T168" s="186">
        <f t="shared" si="46"/>
        <v>5.4403457641601562</v>
      </c>
      <c r="U168" s="186">
        <f t="shared" si="46"/>
        <v>12.852175712585449</v>
      </c>
      <c r="V168" s="186">
        <f t="shared" si="46"/>
        <v>11.283312797546387</v>
      </c>
      <c r="W168" s="186">
        <f t="shared" si="46"/>
        <v>9.7342891693115234</v>
      </c>
      <c r="X168" s="186">
        <f t="shared" si="46"/>
        <v>8.2062921524047852</v>
      </c>
      <c r="Y168" s="186">
        <f t="shared" si="46"/>
        <v>6.7051968574523926</v>
      </c>
      <c r="Z168" s="186">
        <f t="shared" si="46"/>
        <v>5.2322044372558594</v>
      </c>
      <c r="AA168" s="186">
        <f t="shared" si="46"/>
        <v>12.907818794250488</v>
      </c>
      <c r="AB168" s="186">
        <f t="shared" si="46"/>
        <v>11.294657707214355</v>
      </c>
      <c r="AC168" s="186">
        <f t="shared" si="46"/>
        <v>9.6997652053833008</v>
      </c>
      <c r="AD168" s="186">
        <f t="shared" si="46"/>
        <v>8.1246881484985352</v>
      </c>
      <c r="AE168" s="186">
        <f t="shared" si="46"/>
        <v>6.5705108642578125</v>
      </c>
      <c r="AF168" s="186">
        <f t="shared" si="46"/>
        <v>5.0409903526306152</v>
      </c>
      <c r="AG168" s="186">
        <f t="shared" si="46"/>
        <v>12.965926170349121</v>
      </c>
      <c r="AH168" s="186">
        <f t="shared" ref="AH168:AX168" si="47">AH75</f>
        <v>11.30696964263916</v>
      </c>
      <c r="AI168" s="186">
        <f t="shared" si="47"/>
        <v>9.6667308807373047</v>
      </c>
      <c r="AJ168" s="186">
        <f t="shared" si="47"/>
        <v>8.0437297821044922</v>
      </c>
      <c r="AK168" s="186">
        <f t="shared" si="47"/>
        <v>6.4392032623291016</v>
      </c>
      <c r="AL168" s="186">
        <f t="shared" si="47"/>
        <v>4.853574275970459</v>
      </c>
      <c r="AM168" s="186">
        <f t="shared" si="47"/>
        <v>13.022479057312012</v>
      </c>
      <c r="AN168" s="186">
        <f t="shared" si="47"/>
        <v>11.317227363586426</v>
      </c>
      <c r="AO168" s="186">
        <f t="shared" si="47"/>
        <v>9.6307573318481445</v>
      </c>
      <c r="AP168" s="186">
        <f t="shared" si="47"/>
        <v>7.9605913162231445</v>
      </c>
      <c r="AQ168" s="186">
        <f t="shared" si="47"/>
        <v>6.305696964263916</v>
      </c>
      <c r="AR168" s="186">
        <f t="shared" si="47"/>
        <v>4.6661224365234375</v>
      </c>
      <c r="AS168" s="186">
        <f t="shared" si="47"/>
        <v>12.717266082763672</v>
      </c>
      <c r="AT168" s="186">
        <f t="shared" si="47"/>
        <v>11.003796577453613</v>
      </c>
      <c r="AU168" s="186">
        <f t="shared" si="47"/>
        <v>9.307551383972168</v>
      </c>
      <c r="AV168" s="186">
        <f t="shared" si="47"/>
        <v>7.6265950202941895</v>
      </c>
      <c r="AW168" s="186">
        <f t="shared" si="47"/>
        <v>5.9582648277282715</v>
      </c>
      <c r="AX168" s="186">
        <f t="shared" si="47"/>
        <v>4.3007616996765137</v>
      </c>
    </row>
    <row r="169" spans="1:50" ht="17.25" customHeight="1">
      <c r="A169" s="186" t="str">
        <f>A76</f>
        <v>Stack temperature</v>
      </c>
      <c r="B169" s="186" t="str">
        <f t="shared" ref="B169:AG169" si="48">B76</f>
        <v>C</v>
      </c>
      <c r="C169" s="186">
        <f t="shared" si="48"/>
        <v>167.98942565917969</v>
      </c>
      <c r="D169" s="186">
        <f t="shared" si="48"/>
        <v>175.025146484375</v>
      </c>
      <c r="E169" s="186">
        <f t="shared" si="48"/>
        <v>181.6788330078125</v>
      </c>
      <c r="F169" s="186">
        <f t="shared" si="48"/>
        <v>187.89651489257812</v>
      </c>
      <c r="G169" s="186">
        <f t="shared" si="48"/>
        <v>193.78285217285156</v>
      </c>
      <c r="H169" s="186">
        <f t="shared" si="48"/>
        <v>199.42219543457031</v>
      </c>
      <c r="I169" s="186">
        <f t="shared" si="48"/>
        <v>168.92234802246094</v>
      </c>
      <c r="J169" s="186">
        <f t="shared" si="48"/>
        <v>176.0306396484375</v>
      </c>
      <c r="K169" s="186">
        <f t="shared" si="48"/>
        <v>182.77650451660156</v>
      </c>
      <c r="L169" s="186">
        <f t="shared" si="48"/>
        <v>189.11073303222656</v>
      </c>
      <c r="M169" s="186">
        <f t="shared" si="48"/>
        <v>195.10232543945312</v>
      </c>
      <c r="N169" s="186">
        <f t="shared" si="48"/>
        <v>200.80287170410156</v>
      </c>
      <c r="O169" s="186">
        <f t="shared" si="48"/>
        <v>169.87019348144531</v>
      </c>
      <c r="P169" s="186">
        <f t="shared" si="48"/>
        <v>177.03775024414062</v>
      </c>
      <c r="Q169" s="186">
        <f t="shared" si="48"/>
        <v>183.84730529785156</v>
      </c>
      <c r="R169" s="186">
        <f t="shared" si="48"/>
        <v>190.26631164550781</v>
      </c>
      <c r="S169" s="186">
        <f t="shared" si="48"/>
        <v>196.35560607910156</v>
      </c>
      <c r="T169" s="186">
        <f t="shared" si="48"/>
        <v>202.12818908691406</v>
      </c>
      <c r="U169" s="186">
        <f t="shared" si="48"/>
        <v>170.8194580078125</v>
      </c>
      <c r="V169" s="186">
        <f t="shared" si="48"/>
        <v>178.03387451171875</v>
      </c>
      <c r="W169" s="186">
        <f t="shared" si="48"/>
        <v>184.8994140625</v>
      </c>
      <c r="X169" s="186">
        <f t="shared" si="48"/>
        <v>191.38304138183594</v>
      </c>
      <c r="Y169" s="186">
        <f t="shared" si="48"/>
        <v>197.54508972167969</v>
      </c>
      <c r="Z169" s="186">
        <f t="shared" si="48"/>
        <v>203.38790893554688</v>
      </c>
      <c r="AA169" s="186">
        <f t="shared" si="48"/>
        <v>171.65486145019531</v>
      </c>
      <c r="AB169" s="186">
        <f t="shared" si="48"/>
        <v>178.93489074707031</v>
      </c>
      <c r="AC169" s="186">
        <f t="shared" si="48"/>
        <v>185.86143493652344</v>
      </c>
      <c r="AD169" s="186">
        <f t="shared" si="48"/>
        <v>192.40171813964844</v>
      </c>
      <c r="AE169" s="186">
        <f t="shared" si="48"/>
        <v>198.63446044921875</v>
      </c>
      <c r="AF169" s="186">
        <f t="shared" si="48"/>
        <v>204.54978942871094</v>
      </c>
      <c r="AG169" s="186">
        <f t="shared" si="48"/>
        <v>172.50006103515625</v>
      </c>
      <c r="AH169" s="186">
        <f t="shared" ref="AH169:AX169" si="49">AH76</f>
        <v>179.85197448730469</v>
      </c>
      <c r="AI169" s="186">
        <f t="shared" si="49"/>
        <v>186.81930541992188</v>
      </c>
      <c r="AJ169" s="186">
        <f t="shared" si="49"/>
        <v>193.40974426269531</v>
      </c>
      <c r="AK169" s="186">
        <f t="shared" si="49"/>
        <v>199.69158935546875</v>
      </c>
      <c r="AL169" s="186">
        <f t="shared" si="49"/>
        <v>205.66587829589844</v>
      </c>
      <c r="AM169" s="186">
        <f t="shared" si="49"/>
        <v>173.37037658691406</v>
      </c>
      <c r="AN169" s="186">
        <f t="shared" si="49"/>
        <v>180.7783203125</v>
      </c>
      <c r="AO169" s="186">
        <f t="shared" si="49"/>
        <v>187.78884887695312</v>
      </c>
      <c r="AP169" s="186">
        <f t="shared" si="49"/>
        <v>194.41632080078125</v>
      </c>
      <c r="AQ169" s="186">
        <f t="shared" si="49"/>
        <v>200.73640441894531</v>
      </c>
      <c r="AR169" s="186">
        <f t="shared" si="49"/>
        <v>206.74958801269531</v>
      </c>
      <c r="AS169" s="186">
        <f t="shared" si="49"/>
        <v>175.82107543945312</v>
      </c>
      <c r="AT169" s="186">
        <f t="shared" si="49"/>
        <v>183.05287170410156</v>
      </c>
      <c r="AU169" s="186">
        <f t="shared" si="49"/>
        <v>189.88958740234375</v>
      </c>
      <c r="AV169" s="186">
        <f t="shared" si="49"/>
        <v>196.36317443847656</v>
      </c>
      <c r="AW169" s="186">
        <f t="shared" si="49"/>
        <v>202.53826904296875</v>
      </c>
      <c r="AX169" s="186">
        <f t="shared" si="49"/>
        <v>208.41964721679688</v>
      </c>
    </row>
    <row r="171" spans="1:50" ht="17.25" customHeight="1">
      <c r="A171" s="128" t="s">
        <v>154</v>
      </c>
      <c r="C171" s="49"/>
      <c r="D171" s="49"/>
      <c r="E171" s="49"/>
      <c r="K171" s="335"/>
    </row>
    <row r="172" spans="1:50" ht="17.25" customHeight="1">
      <c r="A172" s="34" t="s">
        <v>155</v>
      </c>
      <c r="B172" s="66" t="s">
        <v>129</v>
      </c>
      <c r="C172" s="49" t="s">
        <v>130</v>
      </c>
      <c r="D172" s="49"/>
      <c r="E172" s="49"/>
      <c r="F172" s="70"/>
      <c r="G172" s="70"/>
      <c r="H172" s="70"/>
      <c r="I172" s="70"/>
      <c r="J172" s="70"/>
      <c r="K172" s="335"/>
    </row>
    <row r="173" spans="1:50" ht="17.25" customHeight="1">
      <c r="A173" s="509">
        <v>25</v>
      </c>
      <c r="B173" s="335">
        <f>COLUMN(C153)</f>
        <v>3</v>
      </c>
      <c r="C173" s="335">
        <f>COLUMN(H153)</f>
        <v>8</v>
      </c>
      <c r="D173" s="70"/>
      <c r="E173" s="70"/>
      <c r="F173" s="70"/>
      <c r="G173" s="70"/>
      <c r="H173" s="70"/>
      <c r="I173" s="70"/>
      <c r="J173" s="70"/>
      <c r="K173" s="335"/>
    </row>
    <row r="174" spans="1:50" ht="17.25" customHeight="1">
      <c r="A174" s="509">
        <v>20</v>
      </c>
      <c r="B174" s="335">
        <f>COLUMN(I153)</f>
        <v>9</v>
      </c>
      <c r="C174" s="335">
        <f>COLUMN(N153)</f>
        <v>14</v>
      </c>
      <c r="D174" s="70"/>
      <c r="E174" s="70"/>
      <c r="F174" s="70"/>
      <c r="G174" s="70"/>
      <c r="H174" s="70"/>
      <c r="I174" s="70"/>
      <c r="J174" s="70"/>
      <c r="K174" s="335"/>
    </row>
    <row r="175" spans="1:50" ht="17.25" customHeight="1">
      <c r="A175" s="509">
        <v>15</v>
      </c>
      <c r="B175" s="335">
        <f>COLUMN(O153)</f>
        <v>15</v>
      </c>
      <c r="C175" s="335">
        <f>COLUMN(T153)</f>
        <v>20</v>
      </c>
      <c r="D175" s="70"/>
      <c r="E175" s="70"/>
      <c r="F175" s="70"/>
      <c r="G175" s="70"/>
      <c r="H175" s="70"/>
      <c r="I175" s="70"/>
      <c r="J175" s="70"/>
      <c r="K175" s="335"/>
    </row>
    <row r="176" spans="1:50" ht="17.25" customHeight="1">
      <c r="A176" s="509">
        <v>10</v>
      </c>
      <c r="B176" s="335">
        <f>COLUMN(U153)</f>
        <v>21</v>
      </c>
      <c r="C176" s="335">
        <f>COLUMN(Z153)</f>
        <v>26</v>
      </c>
      <c r="D176" s="70"/>
      <c r="E176" s="70"/>
      <c r="F176" s="70"/>
      <c r="G176" s="70"/>
      <c r="H176" s="70"/>
      <c r="I176" s="70"/>
      <c r="J176" s="70"/>
      <c r="K176" s="335"/>
    </row>
    <row r="177" spans="1:11" ht="17.25" customHeight="1">
      <c r="A177" s="509">
        <v>5</v>
      </c>
      <c r="B177" s="335">
        <f>COLUMN(AA153)</f>
        <v>27</v>
      </c>
      <c r="C177" s="335">
        <f>COLUMN(AF153)</f>
        <v>32</v>
      </c>
      <c r="D177" s="70"/>
      <c r="E177" s="70"/>
      <c r="F177" s="70"/>
      <c r="G177" s="70"/>
      <c r="H177" s="70"/>
      <c r="I177" s="70"/>
      <c r="J177" s="70"/>
      <c r="K177" s="335"/>
    </row>
    <row r="178" spans="1:11" ht="17.25" customHeight="1">
      <c r="A178" s="509">
        <v>0</v>
      </c>
      <c r="B178" s="335">
        <f>COLUMN(AG153)</f>
        <v>33</v>
      </c>
      <c r="C178" s="335">
        <f>COLUMN(AL153)</f>
        <v>38</v>
      </c>
      <c r="D178" s="70"/>
      <c r="E178" s="70"/>
      <c r="F178" s="70"/>
      <c r="G178" s="70"/>
      <c r="H178" s="70"/>
      <c r="I178" s="70"/>
      <c r="J178" s="70"/>
      <c r="K178" s="335"/>
    </row>
    <row r="179" spans="1:11" ht="17.25" customHeight="1">
      <c r="A179" s="522">
        <v>-5</v>
      </c>
      <c r="B179" s="335">
        <f>COLUMN(AM153)</f>
        <v>39</v>
      </c>
      <c r="C179" s="335">
        <f>COLUMN(AR153)</f>
        <v>44</v>
      </c>
      <c r="D179" s="70"/>
      <c r="E179" s="70"/>
      <c r="F179" s="70"/>
      <c r="G179" s="70"/>
      <c r="H179" s="70"/>
      <c r="I179" s="70"/>
      <c r="J179" s="70"/>
      <c r="K179" s="335"/>
    </row>
    <row r="180" spans="1:11" ht="17.25" customHeight="1">
      <c r="A180" s="130"/>
      <c r="B180" s="70"/>
      <c r="C180" s="70"/>
      <c r="D180" s="70"/>
      <c r="E180" s="70"/>
      <c r="F180" s="70"/>
      <c r="G180" s="70"/>
      <c r="H180" s="70"/>
      <c r="I180" s="70"/>
      <c r="J180" s="70"/>
      <c r="K180" s="335"/>
    </row>
    <row r="181" spans="1:11" ht="17.25" customHeight="1">
      <c r="B181" s="70"/>
      <c r="C181" s="70"/>
      <c r="D181" s="70"/>
      <c r="E181" s="70"/>
      <c r="F181" s="70"/>
      <c r="G181" s="70"/>
      <c r="H181" s="70"/>
      <c r="I181" s="70"/>
      <c r="J181" s="70"/>
      <c r="K181" s="335"/>
    </row>
    <row r="182" spans="1:11" ht="17.25" customHeight="1">
      <c r="A182" s="139" t="s">
        <v>131</v>
      </c>
      <c r="B182" s="524">
        <f>ROW(A158)</f>
        <v>158</v>
      </c>
      <c r="C182" s="298"/>
      <c r="D182" s="298"/>
      <c r="E182" s="298"/>
      <c r="F182" s="298"/>
      <c r="G182" s="298"/>
      <c r="H182" s="298"/>
      <c r="I182" s="298"/>
      <c r="J182" s="298"/>
      <c r="K182" s="335"/>
    </row>
    <row r="183" spans="1:11" ht="17.25" customHeight="1">
      <c r="A183" s="260" t="str">
        <f ca="1">CONCATENATE("Correlation for ",INDIRECT(ADDRESS(B182,1))," [",OFFSET(INDIRECT(ADDRESS(B182,1)),0,1),"] ","as a function of Gas Turbine Load [%] and Ambient Temperature [C]")</f>
        <v>Correlation for Plant gross output [kW] as a function of Gas Turbine Load [%] and Ambient Temperature [C]</v>
      </c>
      <c r="B183" s="298"/>
      <c r="C183" s="298"/>
      <c r="D183" s="298"/>
      <c r="E183" s="298"/>
      <c r="F183" s="298"/>
      <c r="G183" s="298"/>
      <c r="H183" s="298"/>
      <c r="I183" s="298"/>
      <c r="J183" s="298"/>
      <c r="K183" s="260"/>
    </row>
    <row r="184" spans="1:11" ht="17.25" customHeight="1">
      <c r="A184" s="129" t="s">
        <v>128</v>
      </c>
      <c r="B184" s="134">
        <v>100</v>
      </c>
      <c r="C184" s="134">
        <v>90</v>
      </c>
      <c r="D184" s="134">
        <v>80</v>
      </c>
      <c r="E184" s="134">
        <v>70</v>
      </c>
      <c r="F184" s="134">
        <v>60</v>
      </c>
      <c r="G184" s="134">
        <v>50</v>
      </c>
      <c r="H184" s="40"/>
      <c r="I184" s="298"/>
      <c r="J184" s="298"/>
      <c r="K184" s="260"/>
    </row>
    <row r="185" spans="1:11" ht="17.25" customHeight="1">
      <c r="A185" s="129" t="s">
        <v>278</v>
      </c>
      <c r="B185" s="40" t="s">
        <v>279</v>
      </c>
      <c r="C185" s="40" t="str">
        <f>B185</f>
        <v>[%]</v>
      </c>
      <c r="D185" s="40" t="str">
        <f>C185</f>
        <v>[%]</v>
      </c>
      <c r="E185" s="40" t="str">
        <f>D185</f>
        <v>[%]</v>
      </c>
      <c r="F185" s="40" t="str">
        <f>E185</f>
        <v>[%]</v>
      </c>
      <c r="G185" s="40" t="str">
        <f>F185</f>
        <v>[%]</v>
      </c>
      <c r="H185" s="40"/>
      <c r="I185" s="298"/>
      <c r="J185" s="298"/>
      <c r="K185" s="260"/>
    </row>
    <row r="186" spans="1:11" ht="17.25" customHeight="1">
      <c r="A186" s="525">
        <v>25</v>
      </c>
      <c r="B186" s="134">
        <f t="shared" ref="B186:G188" ca="1" si="50">INDIRECT(ADDRESS($B$182,$B173+COLUMN(A1)-1))</f>
        <v>5898.2109375</v>
      </c>
      <c r="C186" s="134">
        <f t="shared" ca="1" si="50"/>
        <v>5309.56494140625</v>
      </c>
      <c r="D186" s="134">
        <f t="shared" ca="1" si="50"/>
        <v>4720.51513671875</v>
      </c>
      <c r="E186" s="134">
        <f t="shared" ca="1" si="50"/>
        <v>4131.1826171875</v>
      </c>
      <c r="F186" s="134">
        <f t="shared" ca="1" si="50"/>
        <v>3541.650390625</v>
      </c>
      <c r="G186" s="134">
        <f t="shared" ca="1" si="50"/>
        <v>2951.998779296875</v>
      </c>
      <c r="H186" s="134"/>
      <c r="I186" s="298"/>
      <c r="J186" s="298"/>
      <c r="K186" s="260"/>
    </row>
    <row r="187" spans="1:11" ht="17.25" customHeight="1">
      <c r="A187" s="525">
        <v>20</v>
      </c>
      <c r="B187" s="134">
        <f t="shared" ca="1" si="50"/>
        <v>6089.763671875</v>
      </c>
      <c r="C187" s="134">
        <f t="shared" ca="1" si="50"/>
        <v>5482.1337890625</v>
      </c>
      <c r="D187" s="134">
        <f t="shared" ca="1" si="50"/>
        <v>4873.7138671875</v>
      </c>
      <c r="E187" s="134">
        <f t="shared" ca="1" si="50"/>
        <v>4265.29345703125</v>
      </c>
      <c r="F187" s="134">
        <f t="shared" ca="1" si="50"/>
        <v>3656.665771484375</v>
      </c>
      <c r="G187" s="134">
        <f t="shared" ca="1" si="50"/>
        <v>3047.870361328125</v>
      </c>
      <c r="H187" s="134"/>
      <c r="I187" s="298"/>
      <c r="J187" s="298" t="s">
        <v>114</v>
      </c>
      <c r="K187" s="260"/>
    </row>
    <row r="188" spans="1:11" ht="17.25" customHeight="1">
      <c r="A188" s="525">
        <v>15</v>
      </c>
      <c r="B188" s="134">
        <f t="shared" ca="1" si="50"/>
        <v>6287.05029296875</v>
      </c>
      <c r="C188" s="134">
        <f t="shared" ca="1" si="50"/>
        <v>5659.875</v>
      </c>
      <c r="D188" s="134">
        <f t="shared" ca="1" si="50"/>
        <v>5031.76513671875</v>
      </c>
      <c r="E188" s="134">
        <f t="shared" ca="1" si="50"/>
        <v>4403.72021484375</v>
      </c>
      <c r="F188" s="134">
        <f t="shared" ca="1" si="50"/>
        <v>3775.113037109375</v>
      </c>
      <c r="G188" s="134">
        <f t="shared" ca="1" si="50"/>
        <v>3146.6005859375</v>
      </c>
      <c r="H188" s="134"/>
      <c r="I188" s="298"/>
      <c r="J188" s="66" t="str">
        <f>A184</f>
        <v>GT Load [%]</v>
      </c>
      <c r="K188" s="526">
        <v>90</v>
      </c>
    </row>
    <row r="189" spans="1:11" ht="17.25" customHeight="1">
      <c r="A189" s="525">
        <v>10</v>
      </c>
      <c r="B189" s="134">
        <f t="shared" ref="B189:G192" ca="1" si="51">INDIRECT(ADDRESS($B$182,$B176+COLUMN(A53)-1))</f>
        <v>6489.61865234375</v>
      </c>
      <c r="C189" s="134">
        <f t="shared" ca="1" si="51"/>
        <v>5842.0244140625</v>
      </c>
      <c r="D189" s="134">
        <f t="shared" ca="1" si="51"/>
        <v>5194.0693359375</v>
      </c>
      <c r="E189" s="134">
        <f t="shared" ca="1" si="51"/>
        <v>4545.50830078125</v>
      </c>
      <c r="F189" s="134">
        <f t="shared" ca="1" si="51"/>
        <v>3897.064697265625</v>
      </c>
      <c r="G189" s="134">
        <f t="shared" ca="1" si="51"/>
        <v>3248.324951171875</v>
      </c>
      <c r="H189" s="134"/>
      <c r="I189" s="298"/>
      <c r="J189" s="66" t="str">
        <f>A185</f>
        <v>Ambient Temp. [C]</v>
      </c>
      <c r="K189" s="526">
        <v>15</v>
      </c>
    </row>
    <row r="190" spans="1:11" ht="17.25" customHeight="1">
      <c r="A190" s="525">
        <v>5</v>
      </c>
      <c r="B190" s="134">
        <f t="shared" ca="1" si="51"/>
        <v>6710.6337890625</v>
      </c>
      <c r="C190" s="134">
        <f t="shared" ca="1" si="51"/>
        <v>6041.0771484375</v>
      </c>
      <c r="D190" s="134">
        <f t="shared" ca="1" si="51"/>
        <v>5370.7998046875</v>
      </c>
      <c r="E190" s="134">
        <f t="shared" ca="1" si="51"/>
        <v>4700.5283203125</v>
      </c>
      <c r="F190" s="134">
        <f t="shared" ca="1" si="51"/>
        <v>4029.727783203125</v>
      </c>
      <c r="G190" s="134">
        <f t="shared" ca="1" si="51"/>
        <v>3358.940673828125</v>
      </c>
      <c r="H190" s="134"/>
      <c r="I190" s="298"/>
      <c r="J190" s="66" t="str">
        <f ca="1">CONCATENATE(INDIRECT(ADDRESS(B182,1))," [",OFFSET(INDIRECT(ADDRESS(B182,1)),0,1),"] ")</f>
        <v xml:space="preserve">Plant gross output [kW] </v>
      </c>
      <c r="K190" s="38">
        <f ca="1">(H193*K188+I193)*K189+K188*H194+I194</f>
        <v>5671.382952673257</v>
      </c>
    </row>
    <row r="191" spans="1:11" ht="17.25" customHeight="1">
      <c r="A191" s="525">
        <v>0</v>
      </c>
      <c r="B191" s="134">
        <f t="shared" ca="1" si="51"/>
        <v>6939.685546875</v>
      </c>
      <c r="C191" s="134">
        <f t="shared" ca="1" si="51"/>
        <v>6247.40185546875</v>
      </c>
      <c r="D191" s="134">
        <f t="shared" ca="1" si="51"/>
        <v>5554.275390625</v>
      </c>
      <c r="E191" s="134">
        <f t="shared" ca="1" si="51"/>
        <v>4860.892578125</v>
      </c>
      <c r="F191" s="134">
        <f t="shared" ca="1" si="51"/>
        <v>4167.50244140625</v>
      </c>
      <c r="G191" s="134">
        <f t="shared" ca="1" si="51"/>
        <v>3473.683349609375</v>
      </c>
      <c r="H191" s="134"/>
      <c r="I191" s="298"/>
      <c r="J191" s="298"/>
      <c r="K191" s="260"/>
    </row>
    <row r="192" spans="1:11" ht="17.25" customHeight="1">
      <c r="A192" s="525">
        <v>-5</v>
      </c>
      <c r="B192" s="134">
        <f t="shared" ca="1" si="51"/>
        <v>7175.94921875</v>
      </c>
      <c r="C192" s="134">
        <f t="shared" ca="1" si="51"/>
        <v>6460.23681640625</v>
      </c>
      <c r="D192" s="134">
        <f t="shared" ca="1" si="51"/>
        <v>5743.5419921875</v>
      </c>
      <c r="E192" s="134">
        <f t="shared" ca="1" si="51"/>
        <v>5026.56640625</v>
      </c>
      <c r="F192" s="134">
        <f t="shared" ca="1" si="51"/>
        <v>4309.36865234375</v>
      </c>
      <c r="G192" s="134">
        <f t="shared" ca="1" si="51"/>
        <v>3592.14111328125</v>
      </c>
      <c r="H192" s="40" t="s">
        <v>46</v>
      </c>
      <c r="I192" s="40" t="s">
        <v>59</v>
      </c>
      <c r="J192" s="40" t="s">
        <v>144</v>
      </c>
      <c r="K192" s="260"/>
    </row>
    <row r="193" spans="1:11" ht="17.25" customHeight="1">
      <c r="A193" s="39" t="s">
        <v>46</v>
      </c>
      <c r="B193" s="134">
        <f t="shared" ref="B193:G193" ca="1" si="52">SLOPE(B186:B192,$A$93:$A$99)</f>
        <v>-42.547443498883929</v>
      </c>
      <c r="C193" s="134">
        <f t="shared" ca="1" si="52"/>
        <v>-38.312527901785714</v>
      </c>
      <c r="D193" s="134">
        <f t="shared" ca="1" si="52"/>
        <v>-34.065987723214285</v>
      </c>
      <c r="E193" s="134">
        <f t="shared" ca="1" si="52"/>
        <v>-29.815412248883927</v>
      </c>
      <c r="F193" s="134">
        <f t="shared" ca="1" si="52"/>
        <v>-25.567449079241072</v>
      </c>
      <c r="G193" s="134">
        <f t="shared" ca="1" si="52"/>
        <v>-21.317093331473213</v>
      </c>
      <c r="H193" s="502">
        <f ca="1">SLOPE(B193:G193,B184:G184)</f>
        <v>-0.42467875079719386</v>
      </c>
      <c r="I193" s="502">
        <f ca="1">INTERCEPT(B193:G193,B184:G184)</f>
        <v>-8.6745987457483409E-2</v>
      </c>
      <c r="J193" s="49">
        <f ca="1">CORREL(B193:G193,B184:G184)^2</f>
        <v>0.99999964451922552</v>
      </c>
      <c r="K193" s="260"/>
    </row>
    <row r="194" spans="1:11" ht="17.25" customHeight="1">
      <c r="A194" s="39" t="s">
        <v>45</v>
      </c>
      <c r="B194" s="134">
        <f t="shared" ref="B194:G194" ca="1" si="53">INTERCEPT(B186:B192,$A$93:$A$99)</f>
        <v>6938.4618791852681</v>
      </c>
      <c r="C194" s="134">
        <f t="shared" ca="1" si="53"/>
        <v>6246.31298828125</v>
      </c>
      <c r="D194" s="134">
        <f t="shared" ca="1" si="53"/>
        <v>5553.3285435267862</v>
      </c>
      <c r="E194" s="134">
        <f t="shared" ca="1" si="53"/>
        <v>4860.110107421875</v>
      </c>
      <c r="F194" s="134">
        <f t="shared" ca="1" si="53"/>
        <v>4166.687744140625</v>
      </c>
      <c r="G194" s="134">
        <f t="shared" ca="1" si="53"/>
        <v>3473.1080496651789</v>
      </c>
      <c r="H194" s="502">
        <f ca="1">SLOPE(B194:G194,B184:G184)</f>
        <v>69.311038046077812</v>
      </c>
      <c r="I194" s="502">
        <f ca="1">INTERCEPT(B194:G194,B184:G184)</f>
        <v>8.0070319143278539</v>
      </c>
      <c r="J194" s="49">
        <f ca="1">CORREL(B194:G194,B184:G184)^2</f>
        <v>0.99999987821094882</v>
      </c>
      <c r="K194" s="260"/>
    </row>
    <row r="195" spans="1:11" ht="17.25" customHeight="1">
      <c r="A195" s="39" t="s">
        <v>144</v>
      </c>
      <c r="B195" s="136">
        <f t="shared" ref="B195:G195" ca="1" si="54">CORREL(B186:B192,$A$93:$A$99)^2</f>
        <v>0.99833263680992279</v>
      </c>
      <c r="C195" s="136">
        <f t="shared" ca="1" si="54"/>
        <v>0.99832674246851505</v>
      </c>
      <c r="D195" s="136">
        <f t="shared" ca="1" si="54"/>
        <v>0.99832800484440387</v>
      </c>
      <c r="E195" s="136">
        <f t="shared" ca="1" si="54"/>
        <v>0.99833070305127336</v>
      </c>
      <c r="F195" s="136">
        <f t="shared" ca="1" si="54"/>
        <v>0.99832934619705516</v>
      </c>
      <c r="G195" s="136">
        <f t="shared" ca="1" si="54"/>
        <v>0.99832385810502278</v>
      </c>
      <c r="H195" s="298"/>
      <c r="I195" s="298"/>
      <c r="J195" s="298"/>
      <c r="K195" s="260"/>
    </row>
    <row r="196" spans="1:11" ht="17.25" customHeight="1">
      <c r="A196" s="133"/>
      <c r="B196" s="57"/>
      <c r="C196" s="70"/>
      <c r="D196" s="70"/>
      <c r="E196" s="70"/>
      <c r="F196" s="70"/>
      <c r="G196" s="70"/>
      <c r="H196" s="135"/>
      <c r="I196" s="70"/>
      <c r="J196" s="70"/>
    </row>
    <row r="197" spans="1:11" ht="17.25" customHeight="1">
      <c r="A197" s="139" t="s">
        <v>131</v>
      </c>
      <c r="B197" s="524">
        <f>ROW(C159)</f>
        <v>159</v>
      </c>
      <c r="C197" s="298"/>
      <c r="D197" s="298"/>
      <c r="E197" s="298"/>
      <c r="F197" s="298"/>
      <c r="G197" s="298"/>
      <c r="H197" s="298"/>
      <c r="I197" s="298"/>
      <c r="J197" s="298"/>
      <c r="K197" s="260"/>
    </row>
    <row r="198" spans="1:11" ht="17.25" customHeight="1">
      <c r="A198" s="260" t="str">
        <f ca="1">CONCATENATE("Correlation for ",INDIRECT(ADDRESS(B197,1))," [",OFFSET(INDIRECT(ADDRESS(B197,1)),0,1),"] ","as a function of Gas Turbine Load [%] and Ambient Temperature [C]")</f>
        <v>Correlation for Plant net output [kW] as a function of Gas Turbine Load [%] and Ambient Temperature [C]</v>
      </c>
      <c r="B198" s="298"/>
      <c r="C198" s="298"/>
      <c r="D198" s="298"/>
      <c r="E198" s="298"/>
      <c r="F198" s="298"/>
      <c r="G198" s="298"/>
      <c r="H198" s="298"/>
      <c r="I198" s="298"/>
      <c r="J198" s="298"/>
      <c r="K198" s="260"/>
    </row>
    <row r="199" spans="1:11" ht="17.25" customHeight="1">
      <c r="A199" s="129" t="s">
        <v>128</v>
      </c>
      <c r="B199" s="134">
        <v>100</v>
      </c>
      <c r="C199" s="134">
        <v>90</v>
      </c>
      <c r="D199" s="134">
        <v>80</v>
      </c>
      <c r="E199" s="134">
        <v>70</v>
      </c>
      <c r="F199" s="134">
        <v>60</v>
      </c>
      <c r="G199" s="134">
        <v>50</v>
      </c>
      <c r="H199" s="40"/>
      <c r="I199" s="298"/>
      <c r="J199" s="298"/>
      <c r="K199" s="260"/>
    </row>
    <row r="200" spans="1:11" ht="17.25" customHeight="1">
      <c r="A200" s="129" t="s">
        <v>127</v>
      </c>
      <c r="B200" s="40" t="s">
        <v>280</v>
      </c>
      <c r="C200" s="40" t="str">
        <f>B200</f>
        <v>[kWth]</v>
      </c>
      <c r="D200" s="40" t="str">
        <f>C200</f>
        <v>[kWth]</v>
      </c>
      <c r="E200" s="40" t="str">
        <f>D200</f>
        <v>[kWth]</v>
      </c>
      <c r="F200" s="40" t="str">
        <f>E200</f>
        <v>[kWth]</v>
      </c>
      <c r="G200" s="40" t="str">
        <f>F200</f>
        <v>[kWth]</v>
      </c>
      <c r="H200" s="40"/>
      <c r="I200" s="298"/>
      <c r="J200" s="298"/>
      <c r="K200" s="260"/>
    </row>
    <row r="201" spans="1:11" ht="17.25" customHeight="1">
      <c r="A201" s="525">
        <f t="shared" ref="A201:A207" si="55">A186</f>
        <v>25</v>
      </c>
      <c r="B201" s="134">
        <f t="shared" ref="B201:G203" ca="1" si="56">INDIRECT(ADDRESS($B$197,$B173+COLUMN(A1)-1))</f>
        <v>5665.30859375</v>
      </c>
      <c r="C201" s="134">
        <f t="shared" ca="1" si="56"/>
        <v>5078.34912109375</v>
      </c>
      <c r="D201" s="134">
        <f t="shared" ca="1" si="56"/>
        <v>4492.15234375</v>
      </c>
      <c r="E201" s="134">
        <f t="shared" ca="1" si="56"/>
        <v>3908.149169921875</v>
      </c>
      <c r="F201" s="134">
        <f t="shared" ca="1" si="56"/>
        <v>3323.864013671875</v>
      </c>
      <c r="G201" s="134">
        <f t="shared" ca="1" si="56"/>
        <v>2739.334228515625</v>
      </c>
      <c r="H201" s="134"/>
      <c r="I201" s="298"/>
      <c r="J201" s="298"/>
      <c r="K201" s="260"/>
    </row>
    <row r="202" spans="1:11" ht="17.25" customHeight="1">
      <c r="A202" s="525">
        <f t="shared" si="55"/>
        <v>20</v>
      </c>
      <c r="B202" s="134">
        <f t="shared" ca="1" si="56"/>
        <v>5856.74267578125</v>
      </c>
      <c r="C202" s="134">
        <f t="shared" ca="1" si="56"/>
        <v>5250.84814453125</v>
      </c>
      <c r="D202" s="134">
        <f t="shared" ca="1" si="56"/>
        <v>4645.50634765625</v>
      </c>
      <c r="E202" s="134">
        <f t="shared" ca="1" si="56"/>
        <v>4042.63037109375</v>
      </c>
      <c r="F202" s="134">
        <f t="shared" ca="1" si="56"/>
        <v>3439.459716796875</v>
      </c>
      <c r="G202" s="134">
        <f t="shared" ca="1" si="56"/>
        <v>2835.9599609375</v>
      </c>
      <c r="H202" s="134"/>
      <c r="I202" s="298"/>
      <c r="J202" s="298" t="s">
        <v>114</v>
      </c>
      <c r="K202" s="260"/>
    </row>
    <row r="203" spans="1:11" ht="17.25" customHeight="1">
      <c r="A203" s="525">
        <f t="shared" si="55"/>
        <v>15</v>
      </c>
      <c r="B203" s="134">
        <f t="shared" ca="1" si="56"/>
        <v>6053.90673828125</v>
      </c>
      <c r="C203" s="134">
        <f t="shared" ca="1" si="56"/>
        <v>5428.51416015625</v>
      </c>
      <c r="D203" s="134">
        <f t="shared" ca="1" si="56"/>
        <v>4803.685546875</v>
      </c>
      <c r="E203" s="134">
        <f t="shared" ca="1" si="56"/>
        <v>4181.38232421875</v>
      </c>
      <c r="F203" s="134">
        <f t="shared" ca="1" si="56"/>
        <v>3558.43896484375</v>
      </c>
      <c r="G203" s="134">
        <f t="shared" ca="1" si="56"/>
        <v>2935.422119140625</v>
      </c>
      <c r="H203" s="134"/>
      <c r="I203" s="298"/>
      <c r="J203" s="66" t="str">
        <f>A199</f>
        <v>GT Load [%]</v>
      </c>
      <c r="K203" s="526">
        <v>100</v>
      </c>
    </row>
    <row r="204" spans="1:11" ht="17.25" customHeight="1">
      <c r="A204" s="525">
        <f t="shared" si="55"/>
        <v>10</v>
      </c>
      <c r="B204" s="134">
        <f t="shared" ref="B204:G207" ca="1" si="57">INDIRECT(ADDRESS($B$197,$B176+COLUMN(A53)-1))</f>
        <v>6256.35009765625</v>
      </c>
      <c r="C204" s="134">
        <f t="shared" ca="1" si="57"/>
        <v>5610.58740234375</v>
      </c>
      <c r="D204" s="134">
        <f t="shared" ca="1" si="57"/>
        <v>4966.1123046875</v>
      </c>
      <c r="E204" s="134">
        <f t="shared" ca="1" si="57"/>
        <v>4323.48095703125</v>
      </c>
      <c r="F204" s="134">
        <f t="shared" ca="1" si="57"/>
        <v>3680.8935546875</v>
      </c>
      <c r="G204" s="134">
        <f t="shared" ca="1" si="57"/>
        <v>3037.85595703125</v>
      </c>
      <c r="H204" s="134"/>
      <c r="I204" s="298"/>
      <c r="J204" s="66" t="str">
        <f>A200</f>
        <v>Ambient Temperature [C]</v>
      </c>
      <c r="K204" s="526">
        <v>8</v>
      </c>
    </row>
    <row r="205" spans="1:11" ht="17.25" customHeight="1">
      <c r="A205" s="525">
        <f t="shared" si="55"/>
        <v>5</v>
      </c>
      <c r="B205" s="134">
        <f t="shared" ca="1" si="57"/>
        <v>6477.20556640625</v>
      </c>
      <c r="C205" s="134">
        <f t="shared" ca="1" si="57"/>
        <v>5809.5283203125</v>
      </c>
      <c r="D205" s="134">
        <f t="shared" ca="1" si="57"/>
        <v>5142.880859375</v>
      </c>
      <c r="E205" s="134">
        <f t="shared" ca="1" si="57"/>
        <v>4478.72509765625</v>
      </c>
      <c r="F205" s="134">
        <f t="shared" ca="1" si="57"/>
        <v>3813.981689453125</v>
      </c>
      <c r="G205" s="134">
        <f t="shared" ca="1" si="57"/>
        <v>3149.115234375</v>
      </c>
      <c r="H205" s="134"/>
      <c r="I205" s="298"/>
      <c r="J205" s="66" t="str">
        <f ca="1">CONCATENATE(INDIRECT(ADDRESS(B197,1))," [",OFFSET(INDIRECT(ADDRESS(B197,1)),0,1),"] ")</f>
        <v xml:space="preserve">Plant net output [kW] </v>
      </c>
      <c r="K205" s="38">
        <f ca="1">(H208*K203+I208)*K204+K203*H209+I209</f>
        <v>6363.1550063775512</v>
      </c>
    </row>
    <row r="206" spans="1:11" ht="17.25" customHeight="1">
      <c r="A206" s="525">
        <f t="shared" si="55"/>
        <v>0</v>
      </c>
      <c r="B206" s="134">
        <f t="shared" ca="1" si="57"/>
        <v>6706.09228515625</v>
      </c>
      <c r="C206" s="134">
        <f t="shared" ca="1" si="57"/>
        <v>6015.73681640625</v>
      </c>
      <c r="D206" s="134">
        <f t="shared" ca="1" si="57"/>
        <v>5326.384765625</v>
      </c>
      <c r="E206" s="134">
        <f t="shared" ca="1" si="57"/>
        <v>4639.30810546875</v>
      </c>
      <c r="F206" s="134">
        <f t="shared" ca="1" si="57"/>
        <v>3952.16650390625</v>
      </c>
      <c r="G206" s="134">
        <f t="shared" ca="1" si="57"/>
        <v>3264.485595703125</v>
      </c>
      <c r="H206" s="134"/>
      <c r="I206" s="298"/>
      <c r="J206" s="298"/>
      <c r="K206" s="260"/>
    </row>
    <row r="207" spans="1:11" ht="17.25" customHeight="1">
      <c r="A207" s="525">
        <f t="shared" si="55"/>
        <v>-5</v>
      </c>
      <c r="B207" s="134">
        <f t="shared" ca="1" si="57"/>
        <v>6942.189453125</v>
      </c>
      <c r="C207" s="134">
        <f t="shared" ca="1" si="57"/>
        <v>6228.455078125</v>
      </c>
      <c r="D207" s="134">
        <f t="shared" ca="1" si="57"/>
        <v>5515.68798828125</v>
      </c>
      <c r="E207" s="134">
        <f t="shared" ca="1" si="57"/>
        <v>4805.2060546875</v>
      </c>
      <c r="F207" s="134">
        <f t="shared" ca="1" si="57"/>
        <v>4094.44873046875</v>
      </c>
      <c r="G207" s="134">
        <f t="shared" ca="1" si="57"/>
        <v>3383.56982421875</v>
      </c>
      <c r="H207" s="40" t="s">
        <v>46</v>
      </c>
      <c r="I207" s="40" t="s">
        <v>59</v>
      </c>
      <c r="J207" s="40" t="s">
        <v>144</v>
      </c>
      <c r="K207" s="260"/>
    </row>
    <row r="208" spans="1:11" ht="17.25" customHeight="1">
      <c r="A208" s="39" t="s">
        <v>46</v>
      </c>
      <c r="B208" s="134">
        <f ca="1">SLOPE(B201:B207,$A$201:$A$207)</f>
        <v>-42.51886160714286</v>
      </c>
      <c r="C208" s="134">
        <f t="shared" ref="C208:G208" ca="1" si="58">SLOPE(C201:C207,$A$201:$A$207)</f>
        <v>-38.29363839285714</v>
      </c>
      <c r="D208" s="134">
        <f t="shared" ca="1" si="58"/>
        <v>-34.082564871651783</v>
      </c>
      <c r="E208" s="134">
        <f t="shared" ca="1" si="58"/>
        <v>-29.870492117745535</v>
      </c>
      <c r="F208" s="134">
        <f t="shared" ca="1" si="58"/>
        <v>-25.662217494419643</v>
      </c>
      <c r="G208" s="134">
        <f t="shared" ca="1" si="58"/>
        <v>-21.453222656249999</v>
      </c>
      <c r="H208" s="502">
        <f ca="1">SLOPE(B208:G208,B199:G199)</f>
        <v>-0.42124151486766576</v>
      </c>
      <c r="I208" s="502">
        <f ca="1">INTERCEPT(B208:G208,B199:G199)</f>
        <v>-0.3870525749362308</v>
      </c>
      <c r="J208" s="49">
        <f ca="1">CORREL(B208:G208,B199:G199)^2</f>
        <v>0.9999995848744434</v>
      </c>
      <c r="K208" s="260"/>
    </row>
    <row r="209" spans="1:12" ht="17.25" customHeight="1">
      <c r="A209" s="39" t="s">
        <v>45</v>
      </c>
      <c r="B209" s="134">
        <f t="shared" ref="B209:G209" ca="1" si="59">INTERCEPT(B201:B207,$A$201:$A$207)</f>
        <v>6704.8736746651784</v>
      </c>
      <c r="C209" s="134">
        <f t="shared" ca="1" si="59"/>
        <v>6014.6533900669647</v>
      </c>
      <c r="D209" s="134">
        <f t="shared" ca="1" si="59"/>
        <v>5325.4556710379466</v>
      </c>
      <c r="E209" s="134">
        <f t="shared" ca="1" si="59"/>
        <v>4638.5452183314737</v>
      </c>
      <c r="F209" s="134">
        <f t="shared" ca="1" si="59"/>
        <v>3951.3726283482142</v>
      </c>
      <c r="G209" s="134">
        <f t="shared" ca="1" si="59"/>
        <v>3263.924072265625</v>
      </c>
      <c r="H209" s="502">
        <f ca="1">SLOPE(B209:G209,B199:G199)</f>
        <v>68.804287856744267</v>
      </c>
      <c r="I209" s="502">
        <f ca="1">INTERCEPT(B209:G209,B199:G199)</f>
        <v>-177.1841468032535</v>
      </c>
      <c r="J209" s="49">
        <f ca="1">CORREL(B209:G209,B199:G199)^2</f>
        <v>0.99999914662725597</v>
      </c>
      <c r="K209" s="260"/>
    </row>
    <row r="210" spans="1:12" ht="17.25" customHeight="1">
      <c r="A210" s="39" t="s">
        <v>144</v>
      </c>
      <c r="B210" s="136">
        <f t="shared" ref="B210:G210" ca="1" si="60">CORREL(B201:B207,$A$93:$A$99)^2</f>
        <v>0.99833457897210287</v>
      </c>
      <c r="C210" s="136">
        <f t="shared" ca="1" si="60"/>
        <v>0.99832965425026865</v>
      </c>
      <c r="D210" s="136">
        <f t="shared" ca="1" si="60"/>
        <v>0.99834217340571341</v>
      </c>
      <c r="E210" s="136">
        <f t="shared" ca="1" si="60"/>
        <v>0.99835301011092914</v>
      </c>
      <c r="F210" s="136">
        <f t="shared" ca="1" si="60"/>
        <v>0.99836231569397904</v>
      </c>
      <c r="G210" s="136">
        <f t="shared" ca="1" si="60"/>
        <v>0.99836522973535669</v>
      </c>
      <c r="H210" s="298"/>
      <c r="I210" s="298"/>
      <c r="J210" s="298"/>
      <c r="K210" s="260"/>
    </row>
    <row r="211" spans="1:12" ht="17.25" customHeight="1">
      <c r="B211" s="70"/>
      <c r="C211" s="70"/>
      <c r="D211" s="70"/>
      <c r="E211" s="70"/>
      <c r="F211" s="70"/>
      <c r="G211" s="70"/>
      <c r="H211" s="70"/>
      <c r="I211" s="70"/>
      <c r="J211" s="70"/>
      <c r="K211" s="70"/>
    </row>
    <row r="212" spans="1:12" ht="17.25" customHeight="1">
      <c r="A212" s="139" t="s">
        <v>131</v>
      </c>
      <c r="B212" s="524">
        <f>ROW(A162)</f>
        <v>162</v>
      </c>
      <c r="C212" s="298"/>
      <c r="D212" s="298"/>
      <c r="E212" s="298"/>
      <c r="F212" s="298"/>
      <c r="G212" s="298"/>
      <c r="H212" s="298"/>
      <c r="I212" s="298"/>
      <c r="J212" s="298"/>
      <c r="K212" s="260"/>
    </row>
    <row r="213" spans="1:12" ht="17.25" customHeight="1">
      <c r="A213" s="260" t="str">
        <f ca="1">CONCATENATE("Correlation for ",INDIRECT(ADDRESS(B212,1))," [",OFFSET(INDIRECT(ADDRESS(B212,1)),0,1),"] ","as a function of Gas Turbine Load [%] and Ambient Temperature [C]")</f>
        <v>Correlation for GT fuel HHV chemical energy input (77F/25C) [kW] as a function of Gas Turbine Load [%] and Ambient Temperature [C]</v>
      </c>
      <c r="B213" s="298"/>
      <c r="C213" s="298"/>
      <c r="D213" s="298"/>
      <c r="E213" s="298"/>
      <c r="F213" s="298"/>
      <c r="G213" s="298"/>
      <c r="H213" s="298"/>
      <c r="I213" s="298"/>
      <c r="J213" s="298"/>
      <c r="K213" s="260"/>
    </row>
    <row r="214" spans="1:12" ht="17.25" customHeight="1">
      <c r="A214" s="129" t="s">
        <v>128</v>
      </c>
      <c r="B214" s="134">
        <v>100</v>
      </c>
      <c r="C214" s="134">
        <v>90</v>
      </c>
      <c r="D214" s="134">
        <v>80</v>
      </c>
      <c r="E214" s="134">
        <v>70</v>
      </c>
      <c r="F214" s="134">
        <v>60</v>
      </c>
      <c r="G214" s="134">
        <v>50</v>
      </c>
      <c r="H214" s="40"/>
      <c r="I214" s="298"/>
      <c r="J214" s="298"/>
      <c r="K214" s="260"/>
    </row>
    <row r="215" spans="1:12" ht="17.25" customHeight="1">
      <c r="A215" s="129" t="s">
        <v>127</v>
      </c>
      <c r="B215" s="40" t="s">
        <v>75</v>
      </c>
      <c r="C215" s="40" t="s">
        <v>75</v>
      </c>
      <c r="D215" s="40" t="s">
        <v>75</v>
      </c>
      <c r="E215" s="40" t="s">
        <v>75</v>
      </c>
      <c r="F215" s="40" t="s">
        <v>75</v>
      </c>
      <c r="G215" s="40" t="s">
        <v>75</v>
      </c>
      <c r="H215" s="40"/>
      <c r="I215" s="298"/>
      <c r="J215" s="298"/>
      <c r="K215" s="260"/>
    </row>
    <row r="216" spans="1:12" ht="17.25" customHeight="1">
      <c r="A216" s="525">
        <f t="shared" ref="A216:A222" si="61">A186</f>
        <v>25</v>
      </c>
      <c r="B216" s="134">
        <f t="shared" ref="B216:G218" ca="1" si="62">INDIRECT(ADDRESS($B$212,$B173+COLUMN(A1)-1))</f>
        <v>21960.814453125</v>
      </c>
      <c r="C216" s="134">
        <f t="shared" ca="1" si="62"/>
        <v>20281.388671875</v>
      </c>
      <c r="D216" s="134">
        <f t="shared" ca="1" si="62"/>
        <v>18621.091796875</v>
      </c>
      <c r="E216" s="134">
        <f t="shared" ca="1" si="62"/>
        <v>16986.658203125</v>
      </c>
      <c r="F216" s="134">
        <f t="shared" ca="1" si="62"/>
        <v>15376.9091796875</v>
      </c>
      <c r="G216" s="134">
        <f t="shared" ca="1" si="62"/>
        <v>13781.6396484375</v>
      </c>
      <c r="H216" s="134"/>
      <c r="I216" s="298"/>
      <c r="J216" s="298"/>
      <c r="K216" s="260"/>
    </row>
    <row r="217" spans="1:12" ht="17.25" customHeight="1">
      <c r="A217" s="525">
        <f t="shared" si="61"/>
        <v>20</v>
      </c>
      <c r="B217" s="134">
        <f t="shared" ca="1" si="62"/>
        <v>22443.36328125</v>
      </c>
      <c r="C217" s="134">
        <f t="shared" ca="1" si="62"/>
        <v>20713.9453125</v>
      </c>
      <c r="D217" s="134">
        <f t="shared" ca="1" si="62"/>
        <v>18998.13671875</v>
      </c>
      <c r="E217" s="134">
        <f t="shared" ca="1" si="62"/>
        <v>17303.66796875</v>
      </c>
      <c r="F217" s="134">
        <f t="shared" ca="1" si="62"/>
        <v>15634.12109375</v>
      </c>
      <c r="G217" s="134">
        <f t="shared" ca="1" si="62"/>
        <v>13984.646484375</v>
      </c>
      <c r="H217" s="134"/>
      <c r="I217" s="298"/>
      <c r="J217" s="298" t="s">
        <v>114</v>
      </c>
      <c r="K217" s="260"/>
    </row>
    <row r="218" spans="1:12" ht="17.25" customHeight="1">
      <c r="A218" s="525">
        <f t="shared" si="61"/>
        <v>15</v>
      </c>
      <c r="B218" s="134">
        <f t="shared" ca="1" si="62"/>
        <v>22943.625</v>
      </c>
      <c r="C218" s="134">
        <f t="shared" ca="1" si="62"/>
        <v>21163.904296875</v>
      </c>
      <c r="D218" s="134">
        <f t="shared" ca="1" si="62"/>
        <v>19395.015625</v>
      </c>
      <c r="E218" s="134">
        <f t="shared" ca="1" si="62"/>
        <v>17643.16796875</v>
      </c>
      <c r="F218" s="134">
        <f t="shared" ca="1" si="62"/>
        <v>15912.1494140625</v>
      </c>
      <c r="G218" s="134">
        <f t="shared" ca="1" si="62"/>
        <v>14204.26953125</v>
      </c>
      <c r="H218" s="134"/>
      <c r="I218" s="298"/>
      <c r="J218" s="66" t="str">
        <f>A214</f>
        <v>GT Load [%]</v>
      </c>
      <c r="K218" s="526">
        <v>100</v>
      </c>
    </row>
    <row r="219" spans="1:12" ht="17.25" customHeight="1">
      <c r="A219" s="525">
        <f t="shared" si="61"/>
        <v>10</v>
      </c>
      <c r="B219" s="134">
        <f t="shared" ref="B219:G222" ca="1" si="63">INDIRECT(ADDRESS($B$212,$B176+COLUMN(A53)-1))</f>
        <v>23456.619140625</v>
      </c>
      <c r="C219" s="134">
        <f t="shared" ca="1" si="63"/>
        <v>21625.109375</v>
      </c>
      <c r="D219" s="134">
        <f t="shared" ca="1" si="63"/>
        <v>19804.599609375</v>
      </c>
      <c r="E219" s="134">
        <f t="shared" ca="1" si="63"/>
        <v>17996.220703125</v>
      </c>
      <c r="F219" s="134">
        <f t="shared" ca="1" si="63"/>
        <v>16206.619140625</v>
      </c>
      <c r="G219" s="134">
        <f t="shared" ca="1" si="63"/>
        <v>14438.494140625</v>
      </c>
      <c r="H219" s="134"/>
      <c r="I219" s="298"/>
      <c r="J219" s="66" t="str">
        <f>A215</f>
        <v>Ambient Temperature [C]</v>
      </c>
      <c r="K219" s="526">
        <v>5</v>
      </c>
      <c r="L219" s="70"/>
    </row>
    <row r="220" spans="1:12" ht="17.25" customHeight="1">
      <c r="A220" s="525">
        <f t="shared" si="61"/>
        <v>5</v>
      </c>
      <c r="B220" s="134">
        <f t="shared" ca="1" si="63"/>
        <v>24020.744140625</v>
      </c>
      <c r="C220" s="134">
        <f t="shared" ca="1" si="63"/>
        <v>22133.5078125</v>
      </c>
      <c r="D220" s="134">
        <f t="shared" ca="1" si="63"/>
        <v>20255.48046875</v>
      </c>
      <c r="E220" s="134">
        <f t="shared" ca="1" si="63"/>
        <v>18389.26171875</v>
      </c>
      <c r="F220" s="134">
        <f t="shared" ca="1" si="63"/>
        <v>16536.890625</v>
      </c>
      <c r="G220" s="134">
        <f t="shared" ca="1" si="63"/>
        <v>14704.306640625</v>
      </c>
      <c r="H220" s="134"/>
      <c r="I220" s="298"/>
      <c r="J220" s="66" t="str">
        <f ca="1">CONCATENATE(INDIRECT(ADDRESS(B212,1))," [",OFFSET(INDIRECT(ADDRESS(B212,1)),0,1),"] ")</f>
        <v xml:space="preserve">GT fuel HHV chemical energy input (77F/25C) [kW] </v>
      </c>
      <c r="K220" s="38">
        <f ca="1">(H223*K218+I223)*K219+K218*H224+I224</f>
        <v>24039.21907884247</v>
      </c>
      <c r="L220" s="70"/>
    </row>
    <row r="221" spans="1:12" ht="17.25" customHeight="1">
      <c r="A221" s="525">
        <f t="shared" si="61"/>
        <v>0</v>
      </c>
      <c r="B221" s="134">
        <f t="shared" ca="1" si="63"/>
        <v>24606.048828125</v>
      </c>
      <c r="C221" s="134">
        <f t="shared" ca="1" si="63"/>
        <v>22661.421875</v>
      </c>
      <c r="D221" s="134">
        <f t="shared" ca="1" si="63"/>
        <v>20725.248046875</v>
      </c>
      <c r="E221" s="134">
        <f t="shared" ca="1" si="63"/>
        <v>18798.9296875</v>
      </c>
      <c r="F221" s="134">
        <f t="shared" ca="1" si="63"/>
        <v>16885.365234375</v>
      </c>
      <c r="G221" s="134">
        <f t="shared" ca="1" si="63"/>
        <v>14987.4580078125</v>
      </c>
      <c r="H221" s="134"/>
      <c r="I221" s="298"/>
      <c r="J221" s="298"/>
      <c r="K221" s="260"/>
      <c r="L221" s="70"/>
    </row>
    <row r="222" spans="1:12" ht="17.25" customHeight="1">
      <c r="A222" s="525">
        <f t="shared" si="61"/>
        <v>-5</v>
      </c>
      <c r="B222" s="134">
        <f t="shared" ca="1" si="63"/>
        <v>25209.138671875</v>
      </c>
      <c r="C222" s="134">
        <f t="shared" ca="1" si="63"/>
        <v>23205.5546875</v>
      </c>
      <c r="D222" s="134">
        <f t="shared" ca="1" si="63"/>
        <v>21210.00390625</v>
      </c>
      <c r="E222" s="134">
        <f t="shared" ca="1" si="63"/>
        <v>19223.455078125</v>
      </c>
      <c r="F222" s="134">
        <f t="shared" ca="1" si="63"/>
        <v>17247.21484375</v>
      </c>
      <c r="G222" s="134">
        <f t="shared" ca="1" si="63"/>
        <v>15285.0078125</v>
      </c>
      <c r="H222" s="40" t="s">
        <v>46</v>
      </c>
      <c r="I222" s="40" t="s">
        <v>59</v>
      </c>
      <c r="J222" s="40" t="s">
        <v>144</v>
      </c>
      <c r="K222" s="260"/>
      <c r="L222" s="70"/>
    </row>
    <row r="223" spans="1:12" ht="17.25" customHeight="1">
      <c r="A223" s="39" t="s">
        <v>46</v>
      </c>
      <c r="B223" s="134">
        <f t="shared" ref="B223:G223" ca="1" si="64">SLOPE(B216:B222,$A$108:$A$114)</f>
        <v>-108.19616350446428</v>
      </c>
      <c r="C223" s="134">
        <f t="shared" ca="1" si="64"/>
        <v>-97.407533482142853</v>
      </c>
      <c r="D223" s="134">
        <f t="shared" ca="1" si="64"/>
        <v>-86.295884486607136</v>
      </c>
      <c r="E223" s="134">
        <f t="shared" ca="1" si="64"/>
        <v>-74.621484374999994</v>
      </c>
      <c r="F223" s="134">
        <f t="shared" ca="1" si="64"/>
        <v>-62.415332031250003</v>
      </c>
      <c r="G223" s="134">
        <f t="shared" ca="1" si="64"/>
        <v>-50.112604631696428</v>
      </c>
      <c r="H223" s="502">
        <f ca="1">SLOPE(B223:G223,B214:G214)</f>
        <v>-1.1630537109374997</v>
      </c>
      <c r="I223" s="502">
        <f ca="1">INTERCEPT(B223:G223,B214:G214)</f>
        <v>7.3875279017857025</v>
      </c>
      <c r="J223" s="49">
        <f ca="1">CORREL(B223:G223,B214:G214)^2</f>
        <v>0.99927212913001906</v>
      </c>
      <c r="K223" s="260"/>
      <c r="L223" s="70"/>
    </row>
    <row r="224" spans="1:12" ht="17.25" customHeight="1">
      <c r="A224" s="39" t="s">
        <v>45</v>
      </c>
      <c r="B224" s="134">
        <f t="shared" ref="B224:G224" ca="1" si="65">INTERCEPT(B216:B222,$A$108:$A$114)</f>
        <v>24602.012137276783</v>
      </c>
      <c r="C224" s="134">
        <f t="shared" ca="1" si="65"/>
        <v>22657.622767857141</v>
      </c>
      <c r="D224" s="134">
        <f t="shared" ca="1" si="65"/>
        <v>20721.4697265625</v>
      </c>
      <c r="E224" s="134">
        <f t="shared" ca="1" si="65"/>
        <v>18794.980747767859</v>
      </c>
      <c r="F224" s="134">
        <f t="shared" ca="1" si="65"/>
        <v>16881.191824776786</v>
      </c>
      <c r="G224" s="134">
        <f t="shared" ca="1" si="65"/>
        <v>14984.81494140625</v>
      </c>
      <c r="H224" s="502">
        <f ca="1">SLOPE(B224:G224,B214:G214)</f>
        <v>192.40505082110965</v>
      </c>
      <c r="I224" s="502">
        <f ca="1">INTERCEPT(B224:G224,B214:G214)</f>
        <v>5343.3032126913276</v>
      </c>
      <c r="J224" s="49">
        <f ca="1">CORREL(B224:G224,B214:G214)^2</f>
        <v>0.99997978208133731</v>
      </c>
      <c r="K224" s="260"/>
      <c r="L224" s="70"/>
    </row>
    <row r="225" spans="1:11" ht="17.25" customHeight="1">
      <c r="A225" s="39" t="s">
        <v>144</v>
      </c>
      <c r="B225" s="136">
        <f t="shared" ref="B225:G225" ca="1" si="66">CORREL(B216:B222,$A$93:$A$99)^2</f>
        <v>0.99812654761249575</v>
      </c>
      <c r="C225" s="136">
        <f t="shared" ca="1" si="66"/>
        <v>0.99803586218583018</v>
      </c>
      <c r="D225" s="136">
        <f t="shared" ca="1" si="66"/>
        <v>0.99777018332551892</v>
      </c>
      <c r="E225" s="136">
        <f t="shared" ca="1" si="66"/>
        <v>0.99712567760219906</v>
      </c>
      <c r="F225" s="136">
        <f t="shared" ca="1" si="66"/>
        <v>0.99607933432327778</v>
      </c>
      <c r="G225" s="136">
        <f t="shared" ca="1" si="66"/>
        <v>0.99506932725088304</v>
      </c>
      <c r="H225" s="298"/>
      <c r="I225" s="298"/>
      <c r="J225" s="298"/>
      <c r="K225" s="260"/>
    </row>
    <row r="226" spans="1:11" ht="17.25" customHeight="1">
      <c r="B226" s="70"/>
      <c r="C226" s="70"/>
      <c r="D226" s="70"/>
      <c r="E226" s="70"/>
      <c r="F226" s="70"/>
      <c r="G226" s="70"/>
      <c r="H226" s="70"/>
      <c r="I226" s="70"/>
      <c r="J226" s="70"/>
    </row>
    <row r="227" spans="1:11" ht="17.25" customHeight="1">
      <c r="A227" s="139" t="s">
        <v>131</v>
      </c>
      <c r="B227" s="524">
        <f>ROW(A168)</f>
        <v>168</v>
      </c>
      <c r="C227" s="298"/>
      <c r="D227" s="298"/>
      <c r="E227" s="298"/>
      <c r="F227" s="298"/>
      <c r="G227" s="298"/>
      <c r="H227" s="298"/>
      <c r="I227" s="298"/>
      <c r="J227" s="298"/>
      <c r="K227" s="260"/>
    </row>
    <row r="228" spans="1:11" ht="17.25" customHeight="1">
      <c r="A228" s="260" t="str">
        <f ca="1">CONCATENATE("Correlation for ",INDIRECT(ADDRESS(B227,1))," [",OFFSET(INDIRECT(ADDRESS(B227,1)),0,1),"] ","as a function of Gas Turbine Load [%] and Ambient Temperature [C]")</f>
        <v>Correlation for Main IP process mass flow [t/h] as a function of Gas Turbine Load [%] and Ambient Temperature [C]</v>
      </c>
      <c r="B228" s="298"/>
      <c r="C228" s="298"/>
      <c r="D228" s="298"/>
      <c r="E228" s="298"/>
      <c r="F228" s="298"/>
      <c r="G228" s="298"/>
      <c r="H228" s="298"/>
      <c r="I228" s="298"/>
      <c r="J228" s="298"/>
      <c r="K228" s="260"/>
    </row>
    <row r="229" spans="1:11" ht="17.25" customHeight="1">
      <c r="A229" s="129" t="s">
        <v>128</v>
      </c>
      <c r="B229" s="134">
        <v>100</v>
      </c>
      <c r="C229" s="134">
        <v>90</v>
      </c>
      <c r="D229" s="134">
        <v>80</v>
      </c>
      <c r="E229" s="134">
        <v>70</v>
      </c>
      <c r="F229" s="134">
        <v>60</v>
      </c>
      <c r="G229" s="134">
        <v>50</v>
      </c>
      <c r="H229" s="40"/>
      <c r="I229" s="298"/>
      <c r="J229" s="298"/>
      <c r="K229" s="260"/>
    </row>
    <row r="230" spans="1:11" ht="17.25" customHeight="1">
      <c r="A230" s="129" t="s">
        <v>127</v>
      </c>
      <c r="B230" s="40" t="s">
        <v>75</v>
      </c>
      <c r="C230" s="40" t="s">
        <v>75</v>
      </c>
      <c r="D230" s="40" t="s">
        <v>75</v>
      </c>
      <c r="E230" s="40" t="s">
        <v>75</v>
      </c>
      <c r="F230" s="40" t="s">
        <v>75</v>
      </c>
      <c r="G230" s="40" t="s">
        <v>75</v>
      </c>
      <c r="H230" s="40"/>
      <c r="I230" s="298"/>
      <c r="J230" s="298"/>
      <c r="K230" s="260"/>
    </row>
    <row r="231" spans="1:11" ht="17.25" customHeight="1">
      <c r="A231" s="525">
        <f t="shared" ref="A231:A237" si="67">A201</f>
        <v>25</v>
      </c>
      <c r="B231" s="136">
        <f t="shared" ref="B231:G233" ca="1" si="68">INDIRECT(ADDRESS($B$227,$B173+COLUMN(A1)-1))</f>
        <v>12.772176742553711</v>
      </c>
      <c r="C231" s="136">
        <f t="shared" ca="1" si="68"/>
        <v>11.325741767883301</v>
      </c>
      <c r="D231" s="136">
        <f t="shared" ca="1" si="68"/>
        <v>9.9106216430664062</v>
      </c>
      <c r="E231" s="136">
        <f t="shared" ca="1" si="68"/>
        <v>8.5347499847412109</v>
      </c>
      <c r="F231" s="136">
        <f t="shared" ca="1" si="68"/>
        <v>7.1948256492614746</v>
      </c>
      <c r="G231" s="136">
        <f t="shared" ca="1" si="68"/>
        <v>5.8738279342651367</v>
      </c>
      <c r="H231" s="134"/>
      <c r="I231" s="298"/>
      <c r="J231" s="298"/>
      <c r="K231" s="260"/>
    </row>
    <row r="232" spans="1:11" ht="17.25" customHeight="1">
      <c r="A232" s="525">
        <f t="shared" si="67"/>
        <v>20</v>
      </c>
      <c r="B232" s="136">
        <f t="shared" ca="1" si="68"/>
        <v>12.797797203063965</v>
      </c>
      <c r="C232" s="136">
        <f t="shared" ca="1" si="68"/>
        <v>11.310160636901855</v>
      </c>
      <c r="D232" s="136">
        <f t="shared" ca="1" si="68"/>
        <v>9.8469734191894531</v>
      </c>
      <c r="E232" s="136">
        <f t="shared" ca="1" si="68"/>
        <v>8.4162864685058594</v>
      </c>
      <c r="F232" s="136">
        <f t="shared" ca="1" si="68"/>
        <v>7.0219159126281738</v>
      </c>
      <c r="G232" s="136">
        <f t="shared" ca="1" si="68"/>
        <v>5.654231071472168</v>
      </c>
      <c r="H232" s="134"/>
      <c r="I232" s="298"/>
      <c r="J232" s="298" t="s">
        <v>114</v>
      </c>
      <c r="K232" s="260"/>
    </row>
    <row r="233" spans="1:11" ht="17.25" customHeight="1">
      <c r="A233" s="525">
        <f t="shared" si="67"/>
        <v>15</v>
      </c>
      <c r="B233" s="136">
        <f t="shared" ca="1" si="68"/>
        <v>12.825390815734863</v>
      </c>
      <c r="C233" s="136">
        <f t="shared" ca="1" si="68"/>
        <v>11.297388076782227</v>
      </c>
      <c r="D233" s="136">
        <f t="shared" ca="1" si="68"/>
        <v>9.790252685546875</v>
      </c>
      <c r="E233" s="136">
        <f t="shared" ca="1" si="68"/>
        <v>8.3095216751098633</v>
      </c>
      <c r="F233" s="136">
        <f t="shared" ca="1" si="68"/>
        <v>6.8598084449768066</v>
      </c>
      <c r="G233" s="136">
        <f t="shared" ca="1" si="68"/>
        <v>5.4403457641601562</v>
      </c>
      <c r="H233" s="134"/>
      <c r="I233" s="298"/>
      <c r="J233" s="66" t="str">
        <f>A229</f>
        <v>GT Load [%]</v>
      </c>
      <c r="K233" s="526">
        <v>100</v>
      </c>
    </row>
    <row r="234" spans="1:11" ht="17.25" customHeight="1">
      <c r="A234" s="525">
        <f t="shared" si="67"/>
        <v>10</v>
      </c>
      <c r="B234" s="136">
        <f t="shared" ref="B234:G237" ca="1" si="69">INDIRECT(ADDRESS($B$227,$B176+COLUMN(A53)-1))</f>
        <v>12.852175712585449</v>
      </c>
      <c r="C234" s="136">
        <f t="shared" ca="1" si="69"/>
        <v>11.283312797546387</v>
      </c>
      <c r="D234" s="136">
        <f t="shared" ca="1" si="69"/>
        <v>9.7342891693115234</v>
      </c>
      <c r="E234" s="136">
        <f t="shared" ca="1" si="69"/>
        <v>8.2062921524047852</v>
      </c>
      <c r="F234" s="136">
        <f t="shared" ca="1" si="69"/>
        <v>6.7051968574523926</v>
      </c>
      <c r="G234" s="136">
        <f t="shared" ca="1" si="69"/>
        <v>5.2322044372558594</v>
      </c>
      <c r="H234" s="134"/>
      <c r="I234" s="298"/>
      <c r="J234" s="66" t="str">
        <f>A230</f>
        <v>Ambient Temperature [C]</v>
      </c>
      <c r="K234" s="526">
        <v>5</v>
      </c>
    </row>
    <row r="235" spans="1:11" ht="17.25" customHeight="1">
      <c r="A235" s="525">
        <f t="shared" si="67"/>
        <v>5</v>
      </c>
      <c r="B235" s="136">
        <f t="shared" ca="1" si="69"/>
        <v>12.907818794250488</v>
      </c>
      <c r="C235" s="136">
        <f t="shared" ca="1" si="69"/>
        <v>11.294657707214355</v>
      </c>
      <c r="D235" s="136">
        <f t="shared" ca="1" si="69"/>
        <v>9.6997652053833008</v>
      </c>
      <c r="E235" s="136">
        <f t="shared" ca="1" si="69"/>
        <v>8.1246881484985352</v>
      </c>
      <c r="F235" s="136">
        <f t="shared" ca="1" si="69"/>
        <v>6.5705108642578125</v>
      </c>
      <c r="G235" s="136">
        <f t="shared" ca="1" si="69"/>
        <v>5.0409903526306152</v>
      </c>
      <c r="H235" s="134"/>
      <c r="I235" s="298"/>
      <c r="J235" s="66" t="str">
        <f ca="1">CONCATENATE(INDIRECT(ADDRESS(B227,1))," [",OFFSET(INDIRECT(ADDRESS(B227,1)),0,1),"] ")</f>
        <v xml:space="preserve">Main IP process mass flow [t/h] </v>
      </c>
      <c r="K235" s="38">
        <f ca="1">(H238*K233+I238)*K234+K233*H239+I239</f>
        <v>12.884172549053112</v>
      </c>
    </row>
    <row r="236" spans="1:11" ht="17.25" customHeight="1">
      <c r="A236" s="525">
        <f t="shared" si="67"/>
        <v>0</v>
      </c>
      <c r="B236" s="136">
        <f t="shared" ca="1" si="69"/>
        <v>12.965926170349121</v>
      </c>
      <c r="C236" s="136">
        <f t="shared" ca="1" si="69"/>
        <v>11.30696964263916</v>
      </c>
      <c r="D236" s="136">
        <f t="shared" ca="1" si="69"/>
        <v>9.6667308807373047</v>
      </c>
      <c r="E236" s="136">
        <f t="shared" ca="1" si="69"/>
        <v>8.0437297821044922</v>
      </c>
      <c r="F236" s="136">
        <f t="shared" ca="1" si="69"/>
        <v>6.4392032623291016</v>
      </c>
      <c r="G236" s="136">
        <f t="shared" ca="1" si="69"/>
        <v>4.853574275970459</v>
      </c>
      <c r="H236" s="134"/>
      <c r="I236" s="298"/>
      <c r="J236" s="298"/>
      <c r="K236" s="260"/>
    </row>
    <row r="237" spans="1:11" ht="17.25" customHeight="1">
      <c r="A237" s="525">
        <f t="shared" si="67"/>
        <v>-5</v>
      </c>
      <c r="B237" s="136">
        <f t="shared" ca="1" si="69"/>
        <v>13.022479057312012</v>
      </c>
      <c r="C237" s="136">
        <f t="shared" ca="1" si="69"/>
        <v>11.317227363586426</v>
      </c>
      <c r="D237" s="136">
        <f t="shared" ca="1" si="69"/>
        <v>9.6307573318481445</v>
      </c>
      <c r="E237" s="136">
        <f t="shared" ca="1" si="69"/>
        <v>7.9605913162231445</v>
      </c>
      <c r="F237" s="136">
        <f t="shared" ca="1" si="69"/>
        <v>6.305696964263916</v>
      </c>
      <c r="G237" s="136">
        <f t="shared" ca="1" si="69"/>
        <v>4.6661224365234375</v>
      </c>
      <c r="H237" s="40" t="s">
        <v>46</v>
      </c>
      <c r="I237" s="40" t="s">
        <v>59</v>
      </c>
      <c r="J237" s="40" t="s">
        <v>144</v>
      </c>
      <c r="K237" s="260"/>
    </row>
    <row r="238" spans="1:11" ht="17.25" customHeight="1">
      <c r="A238" s="39" t="s">
        <v>46</v>
      </c>
      <c r="B238" s="134">
        <f t="shared" ref="B238:G238" ca="1" si="70">SLOPE(B231:B237,$A$123:$A$129)</f>
        <v>-8.3542346954345696E-3</v>
      </c>
      <c r="C238" s="134">
        <f t="shared" ca="1" si="70"/>
        <v>2.4753979274204797E-4</v>
      </c>
      <c r="D238" s="134">
        <f t="shared" ca="1" si="70"/>
        <v>9.2183249337332591E-3</v>
      </c>
      <c r="E238" s="134">
        <f t="shared" ca="1" si="70"/>
        <v>1.8945877892630442E-2</v>
      </c>
      <c r="F238" s="134">
        <f t="shared" ca="1" si="70"/>
        <v>2.9443635259355817E-2</v>
      </c>
      <c r="G238" s="134">
        <f t="shared" ca="1" si="70"/>
        <v>4.0169896398271836E-2</v>
      </c>
      <c r="H238" s="502">
        <f ca="1">SLOPE(B238:G238,B229:G229)</f>
        <v>-9.7124712807791574E-4</v>
      </c>
      <c r="I238" s="502">
        <f ca="1">INTERCEPT(B238:G238,B229:G229)</f>
        <v>8.7788707869393481E-2</v>
      </c>
      <c r="J238" s="49">
        <f ca="1">CORREL(B238:G238,B229:G229)^2</f>
        <v>0.99796538982557859</v>
      </c>
      <c r="K238" s="260"/>
    </row>
    <row r="239" spans="1:11" ht="17.25" customHeight="1">
      <c r="A239" s="39" t="s">
        <v>45</v>
      </c>
      <c r="B239" s="134">
        <f t="shared" ref="B239:G239" ca="1" si="71">INTERCEPT(B231:B237,$A$123:$A$129)</f>
        <v>12.961222989218575</v>
      </c>
      <c r="C239" s="134">
        <f t="shared" ca="1" si="71"/>
        <v>11.302590029580251</v>
      </c>
      <c r="D239" s="134">
        <f t="shared" ca="1" si="71"/>
        <v>9.6620153699602387</v>
      </c>
      <c r="E239" s="134">
        <f t="shared" ca="1" si="71"/>
        <v>8.0385211535862506</v>
      </c>
      <c r="F239" s="134">
        <f t="shared" ca="1" si="71"/>
        <v>6.4337290695735385</v>
      </c>
      <c r="G239" s="134">
        <f t="shared" ca="1" si="71"/>
        <v>4.8499147891998291</v>
      </c>
      <c r="H239" s="502">
        <f ca="1">SLOPE(B239:G239,B229:G229)</f>
        <v>0.16224748027567959</v>
      </c>
      <c r="I239" s="502">
        <f ca="1">INTERCEPT(B239:G239,B229:G229)</f>
        <v>-3.2938954538228558</v>
      </c>
      <c r="J239" s="49">
        <f ca="1">CORREL(B239:G239,B229:G229)^2</f>
        <v>0.99993081786413029</v>
      </c>
      <c r="K239" s="260"/>
    </row>
    <row r="240" spans="1:11" ht="17.25" customHeight="1">
      <c r="A240" s="39" t="s">
        <v>144</v>
      </c>
      <c r="B240" s="136">
        <f t="shared" ref="B240:G240" ca="1" si="72">CORREL(B231:B237,$A$93:$A$99)^2</f>
        <v>0.96629582481524789</v>
      </c>
      <c r="C240" s="136">
        <f t="shared" ca="1" si="72"/>
        <v>3.4439887095623505E-2</v>
      </c>
      <c r="D240" s="136">
        <f t="shared" ca="1" si="72"/>
        <v>0.98121667417791658</v>
      </c>
      <c r="E240" s="136">
        <f t="shared" ca="1" si="72"/>
        <v>0.99391531408543388</v>
      </c>
      <c r="F240" s="136">
        <f t="shared" ca="1" si="72"/>
        <v>0.99687412095694672</v>
      </c>
      <c r="G240" s="136">
        <f t="shared" ca="1" si="72"/>
        <v>0.99884068490966194</v>
      </c>
      <c r="H240" s="298"/>
      <c r="I240" s="298"/>
      <c r="J240" s="298"/>
      <c r="K240" s="260"/>
    </row>
    <row r="242" spans="1:50" ht="17.25" customHeight="1">
      <c r="A242" s="139" t="s">
        <v>131</v>
      </c>
      <c r="B242" s="524">
        <f>ROW(A165)</f>
        <v>165</v>
      </c>
      <c r="C242" s="298"/>
      <c r="D242" s="298"/>
      <c r="E242" s="298"/>
      <c r="F242" s="298"/>
      <c r="G242" s="298"/>
      <c r="H242" s="298"/>
      <c r="I242" s="298"/>
      <c r="J242" s="298"/>
      <c r="K242" s="260"/>
    </row>
    <row r="243" spans="1:50" ht="17.25" customHeight="1">
      <c r="A243" s="260" t="str">
        <f ca="1">CONCATENATE("Correlation for ",INDIRECT(ADDRESS(B242,1))," [",OFFSET(INDIRECT(ADDRESS(B242,1)),0,1),"] ","as a function of Gas Turbine Load [%] and Ambient Temperature [C]")</f>
        <v>Correlation for Combustor steam injection flow (per GT) [t/h] as a function of Gas Turbine Load [%] and Ambient Temperature [C]</v>
      </c>
      <c r="B243" s="298"/>
      <c r="C243" s="298"/>
      <c r="D243" s="298"/>
      <c r="E243" s="298"/>
      <c r="F243" s="298"/>
      <c r="G243" s="298"/>
      <c r="H243" s="298"/>
      <c r="I243" s="298"/>
      <c r="J243" s="298"/>
      <c r="K243" s="260"/>
    </row>
    <row r="244" spans="1:50" ht="17.25" customHeight="1">
      <c r="A244" s="129" t="s">
        <v>128</v>
      </c>
      <c r="B244" s="134">
        <v>100</v>
      </c>
      <c r="C244" s="134">
        <v>90</v>
      </c>
      <c r="D244" s="134">
        <v>80</v>
      </c>
      <c r="E244" s="134">
        <v>70</v>
      </c>
      <c r="F244" s="134">
        <v>60</v>
      </c>
      <c r="G244" s="134">
        <v>50</v>
      </c>
      <c r="H244" s="40"/>
      <c r="I244" s="298"/>
      <c r="J244" s="298"/>
      <c r="K244" s="260"/>
    </row>
    <row r="245" spans="1:50" ht="17.25" customHeight="1">
      <c r="A245" s="129" t="s">
        <v>127</v>
      </c>
      <c r="B245" s="40" t="s">
        <v>75</v>
      </c>
      <c r="C245" s="40" t="s">
        <v>75</v>
      </c>
      <c r="D245" s="40" t="s">
        <v>75</v>
      </c>
      <c r="E245" s="40" t="s">
        <v>75</v>
      </c>
      <c r="F245" s="40" t="s">
        <v>75</v>
      </c>
      <c r="G245" s="40" t="s">
        <v>75</v>
      </c>
      <c r="H245" s="40"/>
      <c r="I245" s="298"/>
      <c r="J245" s="298"/>
      <c r="K245" s="260"/>
    </row>
    <row r="246" spans="1:50" ht="17.25" customHeight="1">
      <c r="A246" s="525">
        <f t="shared" ref="A246:A252" si="73">A216</f>
        <v>25</v>
      </c>
      <c r="B246" s="136">
        <f t="shared" ref="B246:G248" ca="1" si="74">INDIRECT(ADDRESS($B$242,$B173+COLUMN(A1)-1))</f>
        <v>1</v>
      </c>
      <c r="C246" s="136">
        <f t="shared" ca="1" si="74"/>
        <v>1</v>
      </c>
      <c r="D246" s="136">
        <f t="shared" ca="1" si="74"/>
        <v>1</v>
      </c>
      <c r="E246" s="136">
        <f t="shared" ca="1" si="74"/>
        <v>1</v>
      </c>
      <c r="F246" s="136">
        <f t="shared" ca="1" si="74"/>
        <v>1</v>
      </c>
      <c r="G246" s="136">
        <f t="shared" ca="1" si="74"/>
        <v>1</v>
      </c>
      <c r="H246" s="134"/>
      <c r="I246" s="298"/>
      <c r="J246" s="298"/>
      <c r="K246" s="260"/>
    </row>
    <row r="247" spans="1:50" ht="17.25" customHeight="1">
      <c r="A247" s="525">
        <f t="shared" si="73"/>
        <v>20</v>
      </c>
      <c r="B247" s="136">
        <f t="shared" ca="1" si="74"/>
        <v>1</v>
      </c>
      <c r="C247" s="136">
        <f t="shared" ca="1" si="74"/>
        <v>1</v>
      </c>
      <c r="D247" s="136">
        <f t="shared" ca="1" si="74"/>
        <v>1</v>
      </c>
      <c r="E247" s="136">
        <f t="shared" ca="1" si="74"/>
        <v>1</v>
      </c>
      <c r="F247" s="136">
        <f t="shared" ca="1" si="74"/>
        <v>1</v>
      </c>
      <c r="G247" s="136">
        <f t="shared" ca="1" si="74"/>
        <v>1</v>
      </c>
      <c r="H247" s="134"/>
      <c r="I247" s="298"/>
      <c r="J247" s="298" t="s">
        <v>114</v>
      </c>
      <c r="K247" s="260"/>
    </row>
    <row r="248" spans="1:50" ht="17.25" customHeight="1">
      <c r="A248" s="525">
        <f t="shared" si="73"/>
        <v>15</v>
      </c>
      <c r="B248" s="136">
        <f t="shared" ca="1" si="74"/>
        <v>1</v>
      </c>
      <c r="C248" s="136">
        <f t="shared" ca="1" si="74"/>
        <v>1</v>
      </c>
      <c r="D248" s="136">
        <f t="shared" ca="1" si="74"/>
        <v>1</v>
      </c>
      <c r="E248" s="136">
        <f t="shared" ca="1" si="74"/>
        <v>1</v>
      </c>
      <c r="F248" s="136">
        <f t="shared" ca="1" si="74"/>
        <v>1</v>
      </c>
      <c r="G248" s="136">
        <f t="shared" ca="1" si="74"/>
        <v>1</v>
      </c>
      <c r="H248" s="134"/>
      <c r="I248" s="298"/>
      <c r="J248" s="66" t="str">
        <f>A244</f>
        <v>GT Load [%]</v>
      </c>
      <c r="K248" s="526">
        <v>100</v>
      </c>
    </row>
    <row r="249" spans="1:50" ht="17.25" customHeight="1">
      <c r="A249" s="525">
        <f t="shared" si="73"/>
        <v>10</v>
      </c>
      <c r="B249" s="136">
        <f t="shared" ref="B249:G252" ca="1" si="75">INDIRECT(ADDRESS($B$242,$B176+COLUMN(A53)-1))</f>
        <v>1</v>
      </c>
      <c r="C249" s="136">
        <f t="shared" ca="1" si="75"/>
        <v>1</v>
      </c>
      <c r="D249" s="136">
        <f t="shared" ca="1" si="75"/>
        <v>1</v>
      </c>
      <c r="E249" s="136">
        <f t="shared" ca="1" si="75"/>
        <v>1</v>
      </c>
      <c r="F249" s="136">
        <f t="shared" ca="1" si="75"/>
        <v>1</v>
      </c>
      <c r="G249" s="136">
        <f t="shared" ca="1" si="75"/>
        <v>1</v>
      </c>
      <c r="H249" s="134"/>
      <c r="I249" s="298"/>
      <c r="J249" s="66" t="str">
        <f>A245</f>
        <v>Ambient Temperature [C]</v>
      </c>
      <c r="K249" s="526">
        <v>5</v>
      </c>
    </row>
    <row r="250" spans="1:50" ht="17.25" customHeight="1">
      <c r="A250" s="525">
        <f t="shared" si="73"/>
        <v>5</v>
      </c>
      <c r="B250" s="136">
        <f t="shared" ca="1" si="75"/>
        <v>1</v>
      </c>
      <c r="C250" s="136">
        <f t="shared" ca="1" si="75"/>
        <v>1</v>
      </c>
      <c r="D250" s="136">
        <f t="shared" ca="1" si="75"/>
        <v>1</v>
      </c>
      <c r="E250" s="136">
        <f t="shared" ca="1" si="75"/>
        <v>1</v>
      </c>
      <c r="F250" s="136">
        <f t="shared" ca="1" si="75"/>
        <v>1</v>
      </c>
      <c r="G250" s="136">
        <f t="shared" ca="1" si="75"/>
        <v>1</v>
      </c>
      <c r="H250" s="134"/>
      <c r="I250" s="298"/>
      <c r="J250" s="66" t="str">
        <f ca="1">CONCATENATE(INDIRECT(ADDRESS(B242,1))," [",OFFSET(INDIRECT(ADDRESS(B242,1)),0,1),"] ")</f>
        <v xml:space="preserve">Combustor steam injection flow (per GT) [t/h] </v>
      </c>
      <c r="K250" s="38">
        <f ca="1">(H253*K248+I253)*K249+K248*H254+I254</f>
        <v>1</v>
      </c>
    </row>
    <row r="251" spans="1:50" ht="17.25" customHeight="1">
      <c r="A251" s="525">
        <f t="shared" si="73"/>
        <v>0</v>
      </c>
      <c r="B251" s="136">
        <f t="shared" ca="1" si="75"/>
        <v>1</v>
      </c>
      <c r="C251" s="136">
        <f t="shared" ca="1" si="75"/>
        <v>1</v>
      </c>
      <c r="D251" s="136">
        <f t="shared" ca="1" si="75"/>
        <v>1</v>
      </c>
      <c r="E251" s="136">
        <f t="shared" ca="1" si="75"/>
        <v>1</v>
      </c>
      <c r="F251" s="136">
        <f t="shared" ca="1" si="75"/>
        <v>1</v>
      </c>
      <c r="G251" s="136">
        <f t="shared" ca="1" si="75"/>
        <v>1</v>
      </c>
      <c r="H251" s="134"/>
      <c r="I251" s="298"/>
      <c r="J251" s="298"/>
      <c r="K251" s="260"/>
    </row>
    <row r="252" spans="1:50" ht="17.25" customHeight="1">
      <c r="A252" s="525">
        <f t="shared" si="73"/>
        <v>-5</v>
      </c>
      <c r="B252" s="136">
        <f t="shared" ca="1" si="75"/>
        <v>1</v>
      </c>
      <c r="C252" s="136">
        <f t="shared" ca="1" si="75"/>
        <v>1</v>
      </c>
      <c r="D252" s="136">
        <f t="shared" ca="1" si="75"/>
        <v>1</v>
      </c>
      <c r="E252" s="136">
        <f t="shared" ca="1" si="75"/>
        <v>1</v>
      </c>
      <c r="F252" s="136">
        <f t="shared" ca="1" si="75"/>
        <v>1</v>
      </c>
      <c r="G252" s="136">
        <f t="shared" ca="1" si="75"/>
        <v>1</v>
      </c>
      <c r="H252" s="40" t="s">
        <v>46</v>
      </c>
      <c r="I252" s="40" t="s">
        <v>59</v>
      </c>
      <c r="J252" s="40" t="s">
        <v>144</v>
      </c>
      <c r="K252" s="260"/>
    </row>
    <row r="253" spans="1:50" ht="17.25" customHeight="1">
      <c r="A253" s="39" t="s">
        <v>46</v>
      </c>
      <c r="B253" s="134">
        <f t="shared" ref="B253:G253" ca="1" si="76">SLOPE(B246:B252,$A$123:$A$129)</f>
        <v>0</v>
      </c>
      <c r="C253" s="134">
        <f t="shared" ca="1" si="76"/>
        <v>0</v>
      </c>
      <c r="D253" s="134">
        <f t="shared" ca="1" si="76"/>
        <v>0</v>
      </c>
      <c r="E253" s="134">
        <f t="shared" ca="1" si="76"/>
        <v>0</v>
      </c>
      <c r="F253" s="134">
        <f t="shared" ca="1" si="76"/>
        <v>0</v>
      </c>
      <c r="G253" s="134">
        <f t="shared" ca="1" si="76"/>
        <v>0</v>
      </c>
      <c r="H253" s="502">
        <f ca="1">SLOPE(B253:G253,B244:G244)</f>
        <v>0</v>
      </c>
      <c r="I253" s="502">
        <f ca="1">INTERCEPT(B253:G253,B244:G244)</f>
        <v>0</v>
      </c>
      <c r="J253" s="49" t="e">
        <f ca="1">CORREL(B253:G253,B244:G244)^2</f>
        <v>#DIV/0!</v>
      </c>
      <c r="K253" s="260"/>
    </row>
    <row r="254" spans="1:50" s="222" customFormat="1" ht="17.25" customHeight="1">
      <c r="A254" s="39" t="s">
        <v>45</v>
      </c>
      <c r="B254" s="134">
        <f t="shared" ref="B254:G254" ca="1" si="77">INTERCEPT(B246:B252,$A$123:$A$129)</f>
        <v>1</v>
      </c>
      <c r="C254" s="134">
        <f t="shared" ca="1" si="77"/>
        <v>1</v>
      </c>
      <c r="D254" s="134">
        <f t="shared" ca="1" si="77"/>
        <v>1</v>
      </c>
      <c r="E254" s="134">
        <f t="shared" ca="1" si="77"/>
        <v>1</v>
      </c>
      <c r="F254" s="134">
        <f t="shared" ca="1" si="77"/>
        <v>1</v>
      </c>
      <c r="G254" s="134">
        <f t="shared" ca="1" si="77"/>
        <v>1</v>
      </c>
      <c r="H254" s="502">
        <f ca="1">SLOPE(B254:G254,B244:G244)</f>
        <v>0</v>
      </c>
      <c r="I254" s="502">
        <f ca="1">INTERCEPT(B254:G254,B244:G244)</f>
        <v>1</v>
      </c>
      <c r="J254" s="49" t="e">
        <f ca="1">CORREL(B254:G254,B244:G244)^2</f>
        <v>#DIV/0!</v>
      </c>
      <c r="K254" s="260"/>
      <c r="L254" s="128"/>
      <c r="M254" s="128"/>
      <c r="N254" s="128"/>
      <c r="O254" s="128"/>
      <c r="P254" s="128"/>
      <c r="Q254" s="128"/>
      <c r="R254" s="128"/>
      <c r="S254" s="128"/>
      <c r="T254" s="128"/>
      <c r="U254" s="128"/>
      <c r="V254" s="128"/>
      <c r="W254" s="128"/>
      <c r="X254" s="128"/>
      <c r="Y254" s="128"/>
      <c r="Z254" s="128"/>
      <c r="AA254" s="128"/>
      <c r="AB254" s="128"/>
      <c r="AC254" s="128"/>
      <c r="AD254" s="128"/>
      <c r="AE254" s="128"/>
      <c r="AF254" s="128"/>
      <c r="AG254" s="128"/>
      <c r="AH254" s="128"/>
      <c r="AI254" s="128"/>
      <c r="AJ254" s="128"/>
      <c r="AK254" s="128"/>
      <c r="AL254" s="128"/>
      <c r="AM254" s="128"/>
      <c r="AN254" s="128"/>
      <c r="AO254" s="128"/>
      <c r="AP254" s="128"/>
      <c r="AQ254" s="128"/>
      <c r="AR254" s="128"/>
      <c r="AS254" s="128"/>
      <c r="AT254" s="128"/>
      <c r="AU254" s="128"/>
      <c r="AV254" s="128"/>
      <c r="AW254" s="128"/>
      <c r="AX254" s="128"/>
    </row>
    <row r="255" spans="1:50" s="222" customFormat="1" ht="17.25" customHeight="1">
      <c r="A255" s="39" t="s">
        <v>144</v>
      </c>
      <c r="B255" s="136" t="e">
        <f t="shared" ref="B255:G255" ca="1" si="78">CORREL(B246:B252,$A$93:$A$99)^2</f>
        <v>#DIV/0!</v>
      </c>
      <c r="C255" s="136" t="e">
        <f t="shared" ca="1" si="78"/>
        <v>#DIV/0!</v>
      </c>
      <c r="D255" s="136" t="e">
        <f t="shared" ca="1" si="78"/>
        <v>#DIV/0!</v>
      </c>
      <c r="E255" s="136" t="e">
        <f t="shared" ca="1" si="78"/>
        <v>#DIV/0!</v>
      </c>
      <c r="F255" s="136" t="e">
        <f t="shared" ca="1" si="78"/>
        <v>#DIV/0!</v>
      </c>
      <c r="G255" s="136" t="e">
        <f t="shared" ca="1" si="78"/>
        <v>#DIV/0!</v>
      </c>
      <c r="H255" s="298"/>
      <c r="I255" s="298"/>
      <c r="J255" s="298"/>
      <c r="K255" s="260"/>
      <c r="L255" s="128"/>
      <c r="M255" s="128"/>
      <c r="N255" s="128"/>
      <c r="O255" s="128"/>
      <c r="P255" s="128"/>
      <c r="Q255" s="128"/>
      <c r="R255" s="128"/>
      <c r="S255" s="128"/>
      <c r="T255" s="128"/>
      <c r="U255" s="128"/>
      <c r="V255" s="128"/>
      <c r="W255" s="128"/>
      <c r="X255" s="128"/>
      <c r="Y255" s="128"/>
      <c r="Z255" s="128"/>
      <c r="AA255" s="128"/>
      <c r="AB255" s="128"/>
      <c r="AC255" s="128"/>
      <c r="AD255" s="128"/>
      <c r="AE255" s="128"/>
      <c r="AF255" s="128"/>
      <c r="AG255" s="128"/>
      <c r="AH255" s="128"/>
      <c r="AI255" s="128"/>
      <c r="AJ255" s="128"/>
      <c r="AK255" s="128"/>
      <c r="AL255" s="128"/>
      <c r="AM255" s="128"/>
      <c r="AN255" s="128"/>
      <c r="AO255" s="128"/>
      <c r="AP255" s="128"/>
      <c r="AQ255" s="128"/>
      <c r="AR255" s="128"/>
      <c r="AS255" s="128"/>
      <c r="AT255" s="128"/>
      <c r="AU255" s="128"/>
      <c r="AV255" s="128"/>
      <c r="AW255" s="128"/>
      <c r="AX255" s="128"/>
    </row>
    <row r="256" spans="1:50" s="260" customFormat="1" ht="17.25" customHeight="1">
      <c r="A256" s="39"/>
      <c r="B256" s="136"/>
      <c r="C256" s="136"/>
      <c r="D256" s="136"/>
      <c r="E256" s="136"/>
      <c r="F256" s="136"/>
      <c r="G256" s="136"/>
      <c r="H256" s="298"/>
      <c r="I256" s="298"/>
      <c r="J256" s="298"/>
    </row>
    <row r="257" spans="1:50" s="533" customFormat="1" ht="17.25" customHeight="1" thickBot="1">
      <c r="A257" s="533" t="s">
        <v>992</v>
      </c>
    </row>
    <row r="258" spans="1:50" s="260" customFormat="1" ht="17.25" customHeight="1" thickTop="1">
      <c r="A258" s="39"/>
      <c r="B258" s="136"/>
      <c r="C258" s="136"/>
      <c r="D258" s="136"/>
      <c r="E258" s="136"/>
      <c r="F258" s="136"/>
      <c r="G258" s="136"/>
      <c r="H258" s="298"/>
      <c r="I258" s="298"/>
      <c r="J258" s="298"/>
    </row>
    <row r="259" spans="1:50" s="260" customFormat="1" ht="17.25" customHeight="1">
      <c r="A259" s="260" t="s">
        <v>265</v>
      </c>
      <c r="B259" s="260" t="s">
        <v>266</v>
      </c>
      <c r="C259" s="260" t="s">
        <v>267</v>
      </c>
      <c r="D259" s="260" t="s">
        <v>267</v>
      </c>
      <c r="E259" s="260" t="s">
        <v>267</v>
      </c>
      <c r="F259" s="260" t="s">
        <v>267</v>
      </c>
      <c r="G259" s="260" t="s">
        <v>267</v>
      </c>
      <c r="H259" s="260" t="s">
        <v>267</v>
      </c>
      <c r="I259" s="260" t="s">
        <v>267</v>
      </c>
      <c r="J259" s="260" t="s">
        <v>267</v>
      </c>
      <c r="K259" s="260" t="s">
        <v>267</v>
      </c>
      <c r="L259" s="260" t="s">
        <v>267</v>
      </c>
      <c r="M259" s="260" t="s">
        <v>267</v>
      </c>
      <c r="N259" s="260" t="s">
        <v>267</v>
      </c>
      <c r="O259" s="260" t="s">
        <v>267</v>
      </c>
      <c r="P259" s="260" t="s">
        <v>267</v>
      </c>
      <c r="Q259" s="260" t="s">
        <v>267</v>
      </c>
      <c r="R259" s="260" t="s">
        <v>267</v>
      </c>
      <c r="S259" s="260" t="s">
        <v>267</v>
      </c>
      <c r="T259" s="260" t="s">
        <v>267</v>
      </c>
      <c r="U259" s="260" t="s">
        <v>267</v>
      </c>
      <c r="V259" s="260" t="s">
        <v>267</v>
      </c>
      <c r="W259" s="260" t="s">
        <v>267</v>
      </c>
      <c r="X259" s="260" t="s">
        <v>267</v>
      </c>
      <c r="Y259" s="260" t="s">
        <v>267</v>
      </c>
      <c r="Z259" s="260" t="s">
        <v>267</v>
      </c>
      <c r="AA259" s="260" t="s">
        <v>267</v>
      </c>
      <c r="AB259" s="260" t="s">
        <v>267</v>
      </c>
      <c r="AC259" s="260" t="s">
        <v>267</v>
      </c>
      <c r="AD259" s="260" t="s">
        <v>267</v>
      </c>
      <c r="AE259" s="260" t="s">
        <v>267</v>
      </c>
      <c r="AF259" s="260" t="s">
        <v>267</v>
      </c>
      <c r="AG259" s="260" t="s">
        <v>267</v>
      </c>
      <c r="AH259" s="260" t="s">
        <v>267</v>
      </c>
      <c r="AI259" s="260" t="s">
        <v>267</v>
      </c>
      <c r="AJ259" s="260" t="s">
        <v>267</v>
      </c>
      <c r="AK259" s="260" t="s">
        <v>267</v>
      </c>
      <c r="AL259" s="260" t="s">
        <v>267</v>
      </c>
      <c r="AM259" s="260" t="s">
        <v>267</v>
      </c>
      <c r="AN259" s="260" t="s">
        <v>267</v>
      </c>
      <c r="AO259" s="260" t="s">
        <v>267</v>
      </c>
      <c r="AP259" s="260" t="s">
        <v>267</v>
      </c>
      <c r="AQ259" s="260" t="s">
        <v>267</v>
      </c>
      <c r="AR259" s="260" t="s">
        <v>267</v>
      </c>
      <c r="AS259" s="260" t="s">
        <v>267</v>
      </c>
      <c r="AT259" s="260" t="s">
        <v>267</v>
      </c>
      <c r="AU259" s="260" t="s">
        <v>267</v>
      </c>
      <c r="AV259" s="260" t="s">
        <v>267</v>
      </c>
      <c r="AW259" s="260" t="s">
        <v>267</v>
      </c>
      <c r="AX259" s="260" t="s">
        <v>267</v>
      </c>
    </row>
    <row r="260" spans="1:50" s="260" customFormat="1" ht="17.25" customHeight="1">
      <c r="A260" s="260" t="s">
        <v>268</v>
      </c>
      <c r="C260" s="132">
        <f t="shared" ref="C260:AX260" si="79">C8</f>
        <v>100</v>
      </c>
      <c r="D260" s="132">
        <f t="shared" si="79"/>
        <v>90</v>
      </c>
      <c r="E260" s="132">
        <f t="shared" si="79"/>
        <v>80</v>
      </c>
      <c r="F260" s="132">
        <f t="shared" si="79"/>
        <v>70</v>
      </c>
      <c r="G260" s="132">
        <f t="shared" si="79"/>
        <v>60</v>
      </c>
      <c r="H260" s="132">
        <f t="shared" si="79"/>
        <v>50</v>
      </c>
      <c r="I260" s="132">
        <f t="shared" si="79"/>
        <v>100</v>
      </c>
      <c r="J260" s="132">
        <f t="shared" si="79"/>
        <v>90</v>
      </c>
      <c r="K260" s="132">
        <f t="shared" si="79"/>
        <v>80</v>
      </c>
      <c r="L260" s="132">
        <f t="shared" si="79"/>
        <v>70</v>
      </c>
      <c r="M260" s="132">
        <f t="shared" si="79"/>
        <v>60</v>
      </c>
      <c r="N260" s="132">
        <f t="shared" si="79"/>
        <v>50</v>
      </c>
      <c r="O260" s="132">
        <f t="shared" si="79"/>
        <v>100</v>
      </c>
      <c r="P260" s="132">
        <f t="shared" si="79"/>
        <v>90</v>
      </c>
      <c r="Q260" s="132">
        <f t="shared" si="79"/>
        <v>80</v>
      </c>
      <c r="R260" s="132">
        <f t="shared" si="79"/>
        <v>70</v>
      </c>
      <c r="S260" s="132">
        <f t="shared" si="79"/>
        <v>60</v>
      </c>
      <c r="T260" s="132">
        <f t="shared" si="79"/>
        <v>50</v>
      </c>
      <c r="U260" s="132">
        <f t="shared" si="79"/>
        <v>100</v>
      </c>
      <c r="V260" s="132">
        <f t="shared" si="79"/>
        <v>90</v>
      </c>
      <c r="W260" s="132">
        <f t="shared" si="79"/>
        <v>80</v>
      </c>
      <c r="X260" s="132">
        <f t="shared" si="79"/>
        <v>70</v>
      </c>
      <c r="Y260" s="132">
        <f t="shared" si="79"/>
        <v>60</v>
      </c>
      <c r="Z260" s="132">
        <f t="shared" si="79"/>
        <v>50</v>
      </c>
      <c r="AA260" s="132">
        <f t="shared" si="79"/>
        <v>100</v>
      </c>
      <c r="AB260" s="132">
        <f t="shared" si="79"/>
        <v>90</v>
      </c>
      <c r="AC260" s="132">
        <f t="shared" si="79"/>
        <v>80</v>
      </c>
      <c r="AD260" s="132">
        <f t="shared" si="79"/>
        <v>70</v>
      </c>
      <c r="AE260" s="132">
        <f t="shared" si="79"/>
        <v>60</v>
      </c>
      <c r="AF260" s="132">
        <f t="shared" si="79"/>
        <v>50</v>
      </c>
      <c r="AG260" s="132">
        <f t="shared" si="79"/>
        <v>100</v>
      </c>
      <c r="AH260" s="132">
        <f t="shared" si="79"/>
        <v>90</v>
      </c>
      <c r="AI260" s="132">
        <f t="shared" si="79"/>
        <v>80</v>
      </c>
      <c r="AJ260" s="132">
        <f t="shared" si="79"/>
        <v>70</v>
      </c>
      <c r="AK260" s="132">
        <f t="shared" si="79"/>
        <v>60</v>
      </c>
      <c r="AL260" s="132">
        <f t="shared" si="79"/>
        <v>50</v>
      </c>
      <c r="AM260" s="132">
        <f t="shared" si="79"/>
        <v>100</v>
      </c>
      <c r="AN260" s="132">
        <f t="shared" si="79"/>
        <v>90</v>
      </c>
      <c r="AO260" s="132">
        <f t="shared" si="79"/>
        <v>80</v>
      </c>
      <c r="AP260" s="132">
        <f t="shared" si="79"/>
        <v>70</v>
      </c>
      <c r="AQ260" s="132">
        <f t="shared" si="79"/>
        <v>60</v>
      </c>
      <c r="AR260" s="132">
        <f t="shared" si="79"/>
        <v>50</v>
      </c>
      <c r="AS260" s="132">
        <f t="shared" si="79"/>
        <v>100</v>
      </c>
      <c r="AT260" s="132">
        <f t="shared" si="79"/>
        <v>90</v>
      </c>
      <c r="AU260" s="132">
        <f t="shared" si="79"/>
        <v>80</v>
      </c>
      <c r="AV260" s="132">
        <f t="shared" si="79"/>
        <v>70</v>
      </c>
      <c r="AW260" s="132">
        <f t="shared" si="79"/>
        <v>60</v>
      </c>
      <c r="AX260" s="132">
        <f t="shared" si="79"/>
        <v>50</v>
      </c>
    </row>
    <row r="261" spans="1:50" s="260" customFormat="1" ht="17.25" customHeight="1">
      <c r="A261" s="260" t="s">
        <v>133</v>
      </c>
      <c r="B261" s="260" t="s">
        <v>18</v>
      </c>
      <c r="C261" s="132">
        <f t="shared" ref="C261:AX261" si="80">C9</f>
        <v>25</v>
      </c>
      <c r="D261" s="132">
        <f t="shared" si="80"/>
        <v>25</v>
      </c>
      <c r="E261" s="132">
        <f t="shared" si="80"/>
        <v>25</v>
      </c>
      <c r="F261" s="132">
        <f t="shared" si="80"/>
        <v>25</v>
      </c>
      <c r="G261" s="132">
        <f t="shared" si="80"/>
        <v>25</v>
      </c>
      <c r="H261" s="132">
        <f t="shared" si="80"/>
        <v>25</v>
      </c>
      <c r="I261" s="132">
        <f t="shared" si="80"/>
        <v>20</v>
      </c>
      <c r="J261" s="132">
        <f t="shared" si="80"/>
        <v>20</v>
      </c>
      <c r="K261" s="132">
        <f t="shared" si="80"/>
        <v>20</v>
      </c>
      <c r="L261" s="132">
        <f t="shared" si="80"/>
        <v>20</v>
      </c>
      <c r="M261" s="132">
        <f t="shared" si="80"/>
        <v>20</v>
      </c>
      <c r="N261" s="132">
        <f t="shared" si="80"/>
        <v>20</v>
      </c>
      <c r="O261" s="132">
        <f t="shared" si="80"/>
        <v>15</v>
      </c>
      <c r="P261" s="132">
        <f t="shared" si="80"/>
        <v>15</v>
      </c>
      <c r="Q261" s="132">
        <f t="shared" si="80"/>
        <v>15</v>
      </c>
      <c r="R261" s="132">
        <f t="shared" si="80"/>
        <v>15</v>
      </c>
      <c r="S261" s="132">
        <f t="shared" si="80"/>
        <v>15</v>
      </c>
      <c r="T261" s="132">
        <f t="shared" si="80"/>
        <v>15</v>
      </c>
      <c r="U261" s="132">
        <f t="shared" si="80"/>
        <v>10</v>
      </c>
      <c r="V261" s="132">
        <f t="shared" si="80"/>
        <v>10</v>
      </c>
      <c r="W261" s="132">
        <f t="shared" si="80"/>
        <v>10</v>
      </c>
      <c r="X261" s="132">
        <f t="shared" si="80"/>
        <v>10</v>
      </c>
      <c r="Y261" s="132">
        <f t="shared" si="80"/>
        <v>10</v>
      </c>
      <c r="Z261" s="132">
        <f t="shared" si="80"/>
        <v>10</v>
      </c>
      <c r="AA261" s="132">
        <f t="shared" si="80"/>
        <v>5</v>
      </c>
      <c r="AB261" s="132">
        <f t="shared" si="80"/>
        <v>5</v>
      </c>
      <c r="AC261" s="132">
        <f t="shared" si="80"/>
        <v>5</v>
      </c>
      <c r="AD261" s="132">
        <f t="shared" si="80"/>
        <v>5</v>
      </c>
      <c r="AE261" s="132">
        <f t="shared" si="80"/>
        <v>5</v>
      </c>
      <c r="AF261" s="132">
        <f t="shared" si="80"/>
        <v>5</v>
      </c>
      <c r="AG261" s="132">
        <f t="shared" si="80"/>
        <v>0</v>
      </c>
      <c r="AH261" s="132">
        <f t="shared" si="80"/>
        <v>0</v>
      </c>
      <c r="AI261" s="132">
        <f t="shared" si="80"/>
        <v>0</v>
      </c>
      <c r="AJ261" s="132">
        <f t="shared" si="80"/>
        <v>0</v>
      </c>
      <c r="AK261" s="132">
        <f t="shared" si="80"/>
        <v>0</v>
      </c>
      <c r="AL261" s="132">
        <f t="shared" si="80"/>
        <v>0</v>
      </c>
      <c r="AM261" s="132">
        <f t="shared" si="80"/>
        <v>-5</v>
      </c>
      <c r="AN261" s="132">
        <f t="shared" si="80"/>
        <v>-5</v>
      </c>
      <c r="AO261" s="132">
        <f t="shared" si="80"/>
        <v>-5</v>
      </c>
      <c r="AP261" s="132">
        <f t="shared" si="80"/>
        <v>-5</v>
      </c>
      <c r="AQ261" s="132">
        <f t="shared" si="80"/>
        <v>-5</v>
      </c>
      <c r="AR261" s="132">
        <f t="shared" si="80"/>
        <v>-5</v>
      </c>
      <c r="AS261" s="132">
        <f t="shared" si="80"/>
        <v>-10</v>
      </c>
      <c r="AT261" s="132">
        <f t="shared" si="80"/>
        <v>-10</v>
      </c>
      <c r="AU261" s="132">
        <f t="shared" si="80"/>
        <v>-10</v>
      </c>
      <c r="AV261" s="132">
        <f t="shared" si="80"/>
        <v>-10</v>
      </c>
      <c r="AW261" s="132">
        <f t="shared" si="80"/>
        <v>-10</v>
      </c>
      <c r="AX261" s="132">
        <f t="shared" si="80"/>
        <v>-10</v>
      </c>
    </row>
    <row r="262" spans="1:50" s="260" customFormat="1" ht="17.25" customHeight="1">
      <c r="A262" s="260" t="s">
        <v>282</v>
      </c>
      <c r="B262" s="260" t="s">
        <v>8</v>
      </c>
      <c r="C262" s="132">
        <f t="shared" ref="C262:AX262" si="81">C10</f>
        <v>0</v>
      </c>
      <c r="D262" s="132">
        <f t="shared" si="81"/>
        <v>0</v>
      </c>
      <c r="E262" s="132">
        <f t="shared" si="81"/>
        <v>0</v>
      </c>
      <c r="F262" s="132">
        <f t="shared" si="81"/>
        <v>0</v>
      </c>
      <c r="G262" s="132">
        <f t="shared" si="81"/>
        <v>0</v>
      </c>
      <c r="H262" s="132">
        <f t="shared" si="81"/>
        <v>0</v>
      </c>
      <c r="I262" s="132">
        <f t="shared" si="81"/>
        <v>0</v>
      </c>
      <c r="J262" s="132">
        <f t="shared" si="81"/>
        <v>0</v>
      </c>
      <c r="K262" s="132">
        <f t="shared" si="81"/>
        <v>0</v>
      </c>
      <c r="L262" s="132">
        <f t="shared" si="81"/>
        <v>0</v>
      </c>
      <c r="M262" s="132">
        <f t="shared" si="81"/>
        <v>0</v>
      </c>
      <c r="N262" s="132">
        <f t="shared" si="81"/>
        <v>0</v>
      </c>
      <c r="O262" s="132">
        <f t="shared" si="81"/>
        <v>0</v>
      </c>
      <c r="P262" s="132">
        <f t="shared" si="81"/>
        <v>0</v>
      </c>
      <c r="Q262" s="132">
        <f t="shared" si="81"/>
        <v>0</v>
      </c>
      <c r="R262" s="132">
        <f t="shared" si="81"/>
        <v>0</v>
      </c>
      <c r="S262" s="132">
        <f t="shared" si="81"/>
        <v>0</v>
      </c>
      <c r="T262" s="132">
        <f t="shared" si="81"/>
        <v>0</v>
      </c>
      <c r="U262" s="132">
        <f t="shared" si="81"/>
        <v>0</v>
      </c>
      <c r="V262" s="132">
        <f t="shared" si="81"/>
        <v>0</v>
      </c>
      <c r="W262" s="132">
        <f t="shared" si="81"/>
        <v>0</v>
      </c>
      <c r="X262" s="132">
        <f t="shared" si="81"/>
        <v>0</v>
      </c>
      <c r="Y262" s="132">
        <f t="shared" si="81"/>
        <v>0</v>
      </c>
      <c r="Z262" s="132">
        <f t="shared" si="81"/>
        <v>0</v>
      </c>
      <c r="AA262" s="132">
        <f t="shared" si="81"/>
        <v>0</v>
      </c>
      <c r="AB262" s="132">
        <f t="shared" si="81"/>
        <v>0</v>
      </c>
      <c r="AC262" s="132">
        <f t="shared" si="81"/>
        <v>0</v>
      </c>
      <c r="AD262" s="132">
        <f t="shared" si="81"/>
        <v>0</v>
      </c>
      <c r="AE262" s="132">
        <f t="shared" si="81"/>
        <v>0</v>
      </c>
      <c r="AF262" s="132">
        <f t="shared" si="81"/>
        <v>0</v>
      </c>
      <c r="AG262" s="132">
        <f t="shared" si="81"/>
        <v>0</v>
      </c>
      <c r="AH262" s="132">
        <f t="shared" si="81"/>
        <v>0</v>
      </c>
      <c r="AI262" s="132">
        <f t="shared" si="81"/>
        <v>0</v>
      </c>
      <c r="AJ262" s="132">
        <f t="shared" si="81"/>
        <v>0</v>
      </c>
      <c r="AK262" s="132">
        <f t="shared" si="81"/>
        <v>0</v>
      </c>
      <c r="AL262" s="132">
        <f t="shared" si="81"/>
        <v>0</v>
      </c>
      <c r="AM262" s="132">
        <f t="shared" si="81"/>
        <v>0</v>
      </c>
      <c r="AN262" s="132">
        <f t="shared" si="81"/>
        <v>0</v>
      </c>
      <c r="AO262" s="132">
        <f t="shared" si="81"/>
        <v>0</v>
      </c>
      <c r="AP262" s="132">
        <f t="shared" si="81"/>
        <v>0</v>
      </c>
      <c r="AQ262" s="132">
        <f t="shared" si="81"/>
        <v>0</v>
      </c>
      <c r="AR262" s="132">
        <f t="shared" si="81"/>
        <v>0</v>
      </c>
      <c r="AS262" s="132">
        <f t="shared" si="81"/>
        <v>0</v>
      </c>
      <c r="AT262" s="132">
        <f t="shared" si="81"/>
        <v>0</v>
      </c>
      <c r="AU262" s="132">
        <f t="shared" si="81"/>
        <v>0</v>
      </c>
      <c r="AV262" s="132">
        <f t="shared" si="81"/>
        <v>0</v>
      </c>
      <c r="AW262" s="132">
        <f t="shared" si="81"/>
        <v>0</v>
      </c>
      <c r="AX262" s="132">
        <f t="shared" si="81"/>
        <v>0</v>
      </c>
    </row>
    <row r="263" spans="1:50" s="260" customFormat="1" ht="17.25" customHeight="1">
      <c r="A263" s="260" t="s">
        <v>281</v>
      </c>
      <c r="C263" s="132">
        <f t="shared" ref="C263:AX263" si="82">C11</f>
        <v>1</v>
      </c>
      <c r="D263" s="132">
        <f t="shared" si="82"/>
        <v>1</v>
      </c>
      <c r="E263" s="132">
        <f t="shared" si="82"/>
        <v>1</v>
      </c>
      <c r="F263" s="132">
        <f t="shared" si="82"/>
        <v>1</v>
      </c>
      <c r="G263" s="132">
        <f t="shared" si="82"/>
        <v>1</v>
      </c>
      <c r="H263" s="132">
        <f t="shared" si="82"/>
        <v>1</v>
      </c>
      <c r="I263" s="132">
        <f t="shared" si="82"/>
        <v>1</v>
      </c>
      <c r="J263" s="132">
        <f t="shared" si="82"/>
        <v>1</v>
      </c>
      <c r="K263" s="132">
        <f t="shared" si="82"/>
        <v>1</v>
      </c>
      <c r="L263" s="132">
        <f t="shared" si="82"/>
        <v>1</v>
      </c>
      <c r="M263" s="132">
        <f t="shared" si="82"/>
        <v>1</v>
      </c>
      <c r="N263" s="132">
        <f t="shared" si="82"/>
        <v>1</v>
      </c>
      <c r="O263" s="132">
        <f t="shared" si="82"/>
        <v>1</v>
      </c>
      <c r="P263" s="132">
        <f t="shared" si="82"/>
        <v>1</v>
      </c>
      <c r="Q263" s="132">
        <f t="shared" si="82"/>
        <v>1</v>
      </c>
      <c r="R263" s="132">
        <f t="shared" si="82"/>
        <v>1</v>
      </c>
      <c r="S263" s="132">
        <f t="shared" si="82"/>
        <v>1</v>
      </c>
      <c r="T263" s="132">
        <f t="shared" si="82"/>
        <v>1</v>
      </c>
      <c r="U263" s="132">
        <f t="shared" si="82"/>
        <v>1</v>
      </c>
      <c r="V263" s="132">
        <f t="shared" si="82"/>
        <v>1</v>
      </c>
      <c r="W263" s="132">
        <f t="shared" si="82"/>
        <v>1</v>
      </c>
      <c r="X263" s="132">
        <f t="shared" si="82"/>
        <v>1</v>
      </c>
      <c r="Y263" s="132">
        <f t="shared" si="82"/>
        <v>1</v>
      </c>
      <c r="Z263" s="132">
        <f t="shared" si="82"/>
        <v>1</v>
      </c>
      <c r="AA263" s="132">
        <f t="shared" si="82"/>
        <v>1</v>
      </c>
      <c r="AB263" s="132">
        <f t="shared" si="82"/>
        <v>1</v>
      </c>
      <c r="AC263" s="132">
        <f t="shared" si="82"/>
        <v>1</v>
      </c>
      <c r="AD263" s="132">
        <f t="shared" si="82"/>
        <v>1</v>
      </c>
      <c r="AE263" s="132">
        <f t="shared" si="82"/>
        <v>1</v>
      </c>
      <c r="AF263" s="132">
        <f t="shared" si="82"/>
        <v>1</v>
      </c>
      <c r="AG263" s="132">
        <f t="shared" si="82"/>
        <v>1</v>
      </c>
      <c r="AH263" s="132">
        <f t="shared" si="82"/>
        <v>1</v>
      </c>
      <c r="AI263" s="132">
        <f t="shared" si="82"/>
        <v>1</v>
      </c>
      <c r="AJ263" s="132">
        <f t="shared" si="82"/>
        <v>1</v>
      </c>
      <c r="AK263" s="132">
        <f t="shared" si="82"/>
        <v>1</v>
      </c>
      <c r="AL263" s="132">
        <f t="shared" si="82"/>
        <v>1</v>
      </c>
      <c r="AM263" s="132">
        <f t="shared" si="82"/>
        <v>1</v>
      </c>
      <c r="AN263" s="132">
        <f t="shared" si="82"/>
        <v>1</v>
      </c>
      <c r="AO263" s="132">
        <f t="shared" si="82"/>
        <v>1</v>
      </c>
      <c r="AP263" s="132">
        <f t="shared" si="82"/>
        <v>1</v>
      </c>
      <c r="AQ263" s="132">
        <f t="shared" si="82"/>
        <v>1</v>
      </c>
      <c r="AR263" s="132">
        <f t="shared" si="82"/>
        <v>1</v>
      </c>
      <c r="AS263" s="132">
        <f t="shared" si="82"/>
        <v>1</v>
      </c>
      <c r="AT263" s="132">
        <f t="shared" si="82"/>
        <v>1</v>
      </c>
      <c r="AU263" s="132">
        <f t="shared" si="82"/>
        <v>1</v>
      </c>
      <c r="AV263" s="132">
        <f t="shared" si="82"/>
        <v>1</v>
      </c>
      <c r="AW263" s="132">
        <f t="shared" si="82"/>
        <v>1</v>
      </c>
      <c r="AX263" s="132">
        <f t="shared" si="82"/>
        <v>1</v>
      </c>
    </row>
    <row r="264" spans="1:50" s="260" customFormat="1" ht="17.25" customHeight="1">
      <c r="C264" s="132"/>
      <c r="D264" s="132"/>
      <c r="E264" s="132"/>
      <c r="F264" s="132"/>
      <c r="G264" s="132"/>
      <c r="H264" s="132"/>
      <c r="I264" s="132"/>
      <c r="J264" s="132"/>
      <c r="K264" s="132"/>
      <c r="L264" s="132"/>
      <c r="M264" s="132"/>
      <c r="N264" s="132"/>
      <c r="O264" s="132"/>
      <c r="P264" s="132"/>
      <c r="Q264" s="132"/>
      <c r="R264" s="132"/>
      <c r="S264" s="132"/>
      <c r="T264" s="132"/>
      <c r="U264" s="132"/>
      <c r="V264" s="132"/>
      <c r="W264" s="132"/>
      <c r="X264" s="132"/>
      <c r="Y264" s="132"/>
      <c r="Z264" s="132"/>
      <c r="AA264" s="132"/>
      <c r="AB264" s="132"/>
      <c r="AC264" s="132"/>
      <c r="AD264" s="132"/>
      <c r="AE264" s="132"/>
      <c r="AF264" s="132"/>
      <c r="AG264" s="132"/>
      <c r="AH264" s="132"/>
      <c r="AI264" s="132"/>
      <c r="AJ264" s="132"/>
      <c r="AK264" s="132"/>
      <c r="AL264" s="132"/>
      <c r="AM264" s="132"/>
      <c r="AN264" s="132"/>
      <c r="AO264" s="132"/>
      <c r="AP264" s="132"/>
      <c r="AQ264" s="132"/>
      <c r="AR264" s="132"/>
      <c r="AS264" s="132"/>
      <c r="AT264" s="132"/>
      <c r="AU264" s="132"/>
      <c r="AV264" s="132"/>
      <c r="AW264" s="132"/>
      <c r="AX264" s="132"/>
    </row>
    <row r="265" spans="1:50" s="260" customFormat="1" ht="17.25" customHeight="1">
      <c r="A265" s="260" t="s">
        <v>269</v>
      </c>
      <c r="B265" s="260" t="s">
        <v>266</v>
      </c>
      <c r="C265" s="132" t="s">
        <v>55</v>
      </c>
      <c r="D265" s="132" t="s">
        <v>55</v>
      </c>
      <c r="E265" s="132" t="s">
        <v>55</v>
      </c>
      <c r="F265" s="132" t="s">
        <v>55</v>
      </c>
      <c r="G265" s="132" t="s">
        <v>55</v>
      </c>
      <c r="H265" s="132" t="s">
        <v>55</v>
      </c>
      <c r="I265" s="132" t="s">
        <v>55</v>
      </c>
      <c r="J265" s="132" t="s">
        <v>55</v>
      </c>
      <c r="K265" s="132" t="s">
        <v>55</v>
      </c>
      <c r="L265" s="132" t="s">
        <v>55</v>
      </c>
      <c r="M265" s="132" t="s">
        <v>55</v>
      </c>
      <c r="N265" s="132" t="s">
        <v>55</v>
      </c>
      <c r="O265" s="132" t="s">
        <v>55</v>
      </c>
      <c r="P265" s="132" t="s">
        <v>55</v>
      </c>
      <c r="Q265" s="132" t="s">
        <v>55</v>
      </c>
      <c r="R265" s="132" t="s">
        <v>55</v>
      </c>
      <c r="S265" s="132" t="s">
        <v>55</v>
      </c>
      <c r="T265" s="132" t="s">
        <v>55</v>
      </c>
      <c r="U265" s="132" t="s">
        <v>55</v>
      </c>
      <c r="V265" s="132" t="s">
        <v>55</v>
      </c>
      <c r="W265" s="132" t="s">
        <v>55</v>
      </c>
      <c r="X265" s="132" t="s">
        <v>55</v>
      </c>
      <c r="Y265" s="132" t="s">
        <v>55</v>
      </c>
      <c r="Z265" s="132" t="s">
        <v>55</v>
      </c>
      <c r="AA265" s="132" t="s">
        <v>55</v>
      </c>
      <c r="AB265" s="132" t="s">
        <v>55</v>
      </c>
      <c r="AC265" s="132" t="s">
        <v>55</v>
      </c>
      <c r="AD265" s="132" t="s">
        <v>55</v>
      </c>
      <c r="AE265" s="132" t="s">
        <v>55</v>
      </c>
      <c r="AF265" s="132" t="s">
        <v>55</v>
      </c>
      <c r="AG265" s="132" t="s">
        <v>55</v>
      </c>
      <c r="AH265" s="132" t="s">
        <v>55</v>
      </c>
      <c r="AI265" s="132" t="s">
        <v>55</v>
      </c>
      <c r="AJ265" s="132" t="s">
        <v>55</v>
      </c>
      <c r="AK265" s="132" t="s">
        <v>55</v>
      </c>
      <c r="AL265" s="132" t="s">
        <v>55</v>
      </c>
      <c r="AM265" s="132" t="s">
        <v>55</v>
      </c>
      <c r="AN265" s="132" t="s">
        <v>55</v>
      </c>
      <c r="AO265" s="132" t="s">
        <v>55</v>
      </c>
      <c r="AP265" s="132" t="s">
        <v>55</v>
      </c>
      <c r="AQ265" s="132" t="s">
        <v>55</v>
      </c>
      <c r="AR265" s="132" t="s">
        <v>55</v>
      </c>
      <c r="AS265" s="132" t="s">
        <v>55</v>
      </c>
      <c r="AT265" s="132" t="s">
        <v>55</v>
      </c>
      <c r="AU265" s="132" t="s">
        <v>55</v>
      </c>
      <c r="AV265" s="132" t="s">
        <v>55</v>
      </c>
      <c r="AW265" s="132" t="s">
        <v>55</v>
      </c>
      <c r="AX265" s="132" t="s">
        <v>55</v>
      </c>
    </row>
    <row r="266" spans="1:50" s="260" customFormat="1" ht="17.25" customHeight="1">
      <c r="A266" s="318" t="s">
        <v>270</v>
      </c>
      <c r="B266" s="318" t="s">
        <v>8</v>
      </c>
      <c r="C266" s="318">
        <f t="shared" ref="C266:AX266" si="83">C15</f>
        <v>5898.2109375</v>
      </c>
      <c r="D266" s="318">
        <f t="shared" si="83"/>
        <v>5309.56494140625</v>
      </c>
      <c r="E266" s="318">
        <f t="shared" si="83"/>
        <v>4720.51513671875</v>
      </c>
      <c r="F266" s="318">
        <f t="shared" si="83"/>
        <v>4131.1826171875</v>
      </c>
      <c r="G266" s="318">
        <f t="shared" si="83"/>
        <v>3541.650390625</v>
      </c>
      <c r="H266" s="318">
        <f t="shared" si="83"/>
        <v>2951.998779296875</v>
      </c>
      <c r="I266" s="318">
        <f t="shared" si="83"/>
        <v>6089.763671875</v>
      </c>
      <c r="J266" s="318">
        <f t="shared" si="83"/>
        <v>5482.1337890625</v>
      </c>
      <c r="K266" s="318">
        <f t="shared" si="83"/>
        <v>4873.7138671875</v>
      </c>
      <c r="L266" s="318">
        <f t="shared" si="83"/>
        <v>4265.29345703125</v>
      </c>
      <c r="M266" s="318">
        <f t="shared" si="83"/>
        <v>3656.665771484375</v>
      </c>
      <c r="N266" s="318">
        <f t="shared" si="83"/>
        <v>3047.870361328125</v>
      </c>
      <c r="O266" s="318">
        <f t="shared" si="83"/>
        <v>6287.05029296875</v>
      </c>
      <c r="P266" s="318">
        <f t="shared" si="83"/>
        <v>5659.875</v>
      </c>
      <c r="Q266" s="318">
        <f t="shared" si="83"/>
        <v>5031.76513671875</v>
      </c>
      <c r="R266" s="318">
        <f t="shared" si="83"/>
        <v>4403.72021484375</v>
      </c>
      <c r="S266" s="318">
        <f t="shared" si="83"/>
        <v>3775.113037109375</v>
      </c>
      <c r="T266" s="318">
        <f t="shared" si="83"/>
        <v>3146.6005859375</v>
      </c>
      <c r="U266" s="318">
        <f t="shared" si="83"/>
        <v>6489.61865234375</v>
      </c>
      <c r="V266" s="318">
        <f t="shared" si="83"/>
        <v>5842.0244140625</v>
      </c>
      <c r="W266" s="318">
        <f t="shared" si="83"/>
        <v>5194.0693359375</v>
      </c>
      <c r="X266" s="318">
        <f t="shared" si="83"/>
        <v>4545.50830078125</v>
      </c>
      <c r="Y266" s="318">
        <f t="shared" si="83"/>
        <v>3897.064697265625</v>
      </c>
      <c r="Z266" s="318">
        <f t="shared" si="83"/>
        <v>3248.324951171875</v>
      </c>
      <c r="AA266" s="318">
        <f t="shared" si="83"/>
        <v>6710.6337890625</v>
      </c>
      <c r="AB266" s="318">
        <f t="shared" si="83"/>
        <v>6041.0771484375</v>
      </c>
      <c r="AC266" s="318">
        <f t="shared" si="83"/>
        <v>5370.7998046875</v>
      </c>
      <c r="AD266" s="318">
        <f t="shared" si="83"/>
        <v>4700.5283203125</v>
      </c>
      <c r="AE266" s="318">
        <f t="shared" si="83"/>
        <v>4029.727783203125</v>
      </c>
      <c r="AF266" s="318">
        <f t="shared" si="83"/>
        <v>3358.940673828125</v>
      </c>
      <c r="AG266" s="318">
        <f t="shared" si="83"/>
        <v>6939.685546875</v>
      </c>
      <c r="AH266" s="318">
        <f t="shared" si="83"/>
        <v>6247.40185546875</v>
      </c>
      <c r="AI266" s="318">
        <f t="shared" si="83"/>
        <v>5554.275390625</v>
      </c>
      <c r="AJ266" s="318">
        <f t="shared" si="83"/>
        <v>4860.892578125</v>
      </c>
      <c r="AK266" s="318">
        <f t="shared" si="83"/>
        <v>4167.50244140625</v>
      </c>
      <c r="AL266" s="318">
        <f t="shared" si="83"/>
        <v>3473.683349609375</v>
      </c>
      <c r="AM266" s="318">
        <f t="shared" si="83"/>
        <v>7175.94921875</v>
      </c>
      <c r="AN266" s="318">
        <f t="shared" si="83"/>
        <v>6460.23681640625</v>
      </c>
      <c r="AO266" s="318">
        <f t="shared" si="83"/>
        <v>5743.5419921875</v>
      </c>
      <c r="AP266" s="318">
        <f t="shared" si="83"/>
        <v>5026.56640625</v>
      </c>
      <c r="AQ266" s="318">
        <f t="shared" si="83"/>
        <v>4309.36865234375</v>
      </c>
      <c r="AR266" s="318">
        <f t="shared" si="83"/>
        <v>3592.14111328125</v>
      </c>
      <c r="AS266" s="318">
        <f t="shared" si="83"/>
        <v>7268.4736328125</v>
      </c>
      <c r="AT266" s="318">
        <f t="shared" si="83"/>
        <v>6543.0556640625</v>
      </c>
      <c r="AU266" s="318">
        <f t="shared" si="83"/>
        <v>5816.80419921875</v>
      </c>
      <c r="AV266" s="318">
        <f t="shared" si="83"/>
        <v>5090.32568359375</v>
      </c>
      <c r="AW266" s="318">
        <f t="shared" si="83"/>
        <v>4363.708984375</v>
      </c>
      <c r="AX266" s="318">
        <f t="shared" si="83"/>
        <v>3637.189697265625</v>
      </c>
    </row>
    <row r="267" spans="1:50" s="260" customFormat="1" ht="17.25" customHeight="1">
      <c r="A267" s="318" t="s">
        <v>283</v>
      </c>
      <c r="B267" s="318" t="s">
        <v>8</v>
      </c>
      <c r="C267" s="318">
        <f t="shared" ref="C267:AX267" si="84">C16</f>
        <v>5665.30859375</v>
      </c>
      <c r="D267" s="318">
        <f t="shared" si="84"/>
        <v>5078.34912109375</v>
      </c>
      <c r="E267" s="318">
        <f t="shared" si="84"/>
        <v>4492.15234375</v>
      </c>
      <c r="F267" s="318">
        <f t="shared" si="84"/>
        <v>3908.149169921875</v>
      </c>
      <c r="G267" s="318">
        <f t="shared" si="84"/>
        <v>3323.864013671875</v>
      </c>
      <c r="H267" s="318">
        <f t="shared" si="84"/>
        <v>2739.334228515625</v>
      </c>
      <c r="I267" s="318">
        <f t="shared" si="84"/>
        <v>5856.74267578125</v>
      </c>
      <c r="J267" s="318">
        <f t="shared" si="84"/>
        <v>5250.84814453125</v>
      </c>
      <c r="K267" s="318">
        <f t="shared" si="84"/>
        <v>4645.50634765625</v>
      </c>
      <c r="L267" s="318">
        <f t="shared" si="84"/>
        <v>4042.63037109375</v>
      </c>
      <c r="M267" s="318">
        <f t="shared" si="84"/>
        <v>3439.459716796875</v>
      </c>
      <c r="N267" s="318">
        <f t="shared" si="84"/>
        <v>2835.9599609375</v>
      </c>
      <c r="O267" s="318">
        <f t="shared" si="84"/>
        <v>6053.90673828125</v>
      </c>
      <c r="P267" s="318">
        <f t="shared" si="84"/>
        <v>5428.51416015625</v>
      </c>
      <c r="Q267" s="318">
        <f t="shared" si="84"/>
        <v>4803.685546875</v>
      </c>
      <c r="R267" s="318">
        <f t="shared" si="84"/>
        <v>4181.38232421875</v>
      </c>
      <c r="S267" s="318">
        <f t="shared" si="84"/>
        <v>3558.43896484375</v>
      </c>
      <c r="T267" s="318">
        <f t="shared" si="84"/>
        <v>2935.422119140625</v>
      </c>
      <c r="U267" s="318">
        <f t="shared" si="84"/>
        <v>6256.35009765625</v>
      </c>
      <c r="V267" s="318">
        <f t="shared" si="84"/>
        <v>5610.58740234375</v>
      </c>
      <c r="W267" s="318">
        <f t="shared" si="84"/>
        <v>4966.1123046875</v>
      </c>
      <c r="X267" s="318">
        <f t="shared" si="84"/>
        <v>4323.48095703125</v>
      </c>
      <c r="Y267" s="318">
        <f t="shared" si="84"/>
        <v>3680.8935546875</v>
      </c>
      <c r="Z267" s="318">
        <f t="shared" si="84"/>
        <v>3037.85595703125</v>
      </c>
      <c r="AA267" s="318">
        <f t="shared" si="84"/>
        <v>6477.20556640625</v>
      </c>
      <c r="AB267" s="318">
        <f t="shared" si="84"/>
        <v>5809.5283203125</v>
      </c>
      <c r="AC267" s="318">
        <f t="shared" si="84"/>
        <v>5142.880859375</v>
      </c>
      <c r="AD267" s="318">
        <f t="shared" si="84"/>
        <v>4478.72509765625</v>
      </c>
      <c r="AE267" s="318">
        <f t="shared" si="84"/>
        <v>3813.981689453125</v>
      </c>
      <c r="AF267" s="318">
        <f t="shared" si="84"/>
        <v>3149.115234375</v>
      </c>
      <c r="AG267" s="318">
        <f t="shared" si="84"/>
        <v>6706.09228515625</v>
      </c>
      <c r="AH267" s="318">
        <f t="shared" si="84"/>
        <v>6015.73681640625</v>
      </c>
      <c r="AI267" s="318">
        <f t="shared" si="84"/>
        <v>5326.384765625</v>
      </c>
      <c r="AJ267" s="318">
        <f t="shared" si="84"/>
        <v>4639.30810546875</v>
      </c>
      <c r="AK267" s="318">
        <f t="shared" si="84"/>
        <v>3952.16650390625</v>
      </c>
      <c r="AL267" s="318">
        <f t="shared" si="84"/>
        <v>3264.485595703125</v>
      </c>
      <c r="AM267" s="318">
        <f t="shared" si="84"/>
        <v>6942.189453125</v>
      </c>
      <c r="AN267" s="318">
        <f t="shared" si="84"/>
        <v>6228.455078125</v>
      </c>
      <c r="AO267" s="318">
        <f t="shared" si="84"/>
        <v>5515.68798828125</v>
      </c>
      <c r="AP267" s="318">
        <f t="shared" si="84"/>
        <v>4805.2060546875</v>
      </c>
      <c r="AQ267" s="318">
        <f t="shared" si="84"/>
        <v>4094.44873046875</v>
      </c>
      <c r="AR267" s="318">
        <f t="shared" si="84"/>
        <v>3383.56982421875</v>
      </c>
      <c r="AS267" s="318">
        <f t="shared" si="84"/>
        <v>7034.93505859375</v>
      </c>
      <c r="AT267" s="318">
        <f t="shared" si="84"/>
        <v>6311.56787109375</v>
      </c>
      <c r="AU267" s="318">
        <f t="shared" si="84"/>
        <v>5590.09326171875</v>
      </c>
      <c r="AV267" s="318">
        <f t="shared" si="84"/>
        <v>4870.16796875</v>
      </c>
      <c r="AW267" s="318">
        <f t="shared" si="84"/>
        <v>4150.0302734375</v>
      </c>
      <c r="AX267" s="318">
        <f t="shared" si="84"/>
        <v>3429.93212890625</v>
      </c>
    </row>
    <row r="268" spans="1:50" s="260" customFormat="1" ht="17.25" customHeight="1">
      <c r="A268" s="318" t="s">
        <v>271</v>
      </c>
      <c r="B268" s="318" t="s">
        <v>3</v>
      </c>
      <c r="C268" s="318">
        <f t="shared" ref="C268:AX268" si="85">C17</f>
        <v>29.734563827514648</v>
      </c>
      <c r="D268" s="318">
        <f t="shared" si="85"/>
        <v>28.98350715637207</v>
      </c>
      <c r="E268" s="318">
        <f t="shared" si="85"/>
        <v>28.065574645996094</v>
      </c>
      <c r="F268" s="318">
        <f t="shared" si="85"/>
        <v>26.925027847290039</v>
      </c>
      <c r="G268" s="318">
        <f t="shared" si="85"/>
        <v>25.499187469482422</v>
      </c>
      <c r="H268" s="318">
        <f t="shared" si="85"/>
        <v>23.714006423950195</v>
      </c>
      <c r="I268" s="318">
        <f t="shared" si="85"/>
        <v>30.040155410766602</v>
      </c>
      <c r="J268" s="318">
        <f t="shared" si="85"/>
        <v>29.300596237182617</v>
      </c>
      <c r="K268" s="318">
        <f t="shared" si="85"/>
        <v>28.401332855224609</v>
      </c>
      <c r="L268" s="318">
        <f t="shared" si="85"/>
        <v>27.28980827331543</v>
      </c>
      <c r="M268" s="318">
        <f t="shared" si="85"/>
        <v>25.894140243530273</v>
      </c>
      <c r="N268" s="318">
        <f t="shared" si="85"/>
        <v>24.128746032714844</v>
      </c>
      <c r="O268" s="318">
        <f t="shared" si="85"/>
        <v>30.337135314941406</v>
      </c>
      <c r="P268" s="318">
        <f t="shared" si="85"/>
        <v>29.607433319091797</v>
      </c>
      <c r="Q268" s="318">
        <f t="shared" si="85"/>
        <v>28.72235107421875</v>
      </c>
      <c r="R268" s="318">
        <f t="shared" si="85"/>
        <v>27.633306503295898</v>
      </c>
      <c r="S268" s="318">
        <f t="shared" si="85"/>
        <v>26.265810012817383</v>
      </c>
      <c r="T268" s="318">
        <f t="shared" si="85"/>
        <v>24.525192260742188</v>
      </c>
      <c r="U268" s="318">
        <f t="shared" si="85"/>
        <v>30.629751205444336</v>
      </c>
      <c r="V268" s="318">
        <f t="shared" si="85"/>
        <v>29.908510208129883</v>
      </c>
      <c r="W268" s="318">
        <f t="shared" si="85"/>
        <v>29.035640716552734</v>
      </c>
      <c r="X268" s="318">
        <f t="shared" si="85"/>
        <v>27.96345329284668</v>
      </c>
      <c r="Y268" s="318">
        <f t="shared" si="85"/>
        <v>26.621641159057617</v>
      </c>
      <c r="Z268" s="318">
        <f t="shared" si="85"/>
        <v>24.907337188720703</v>
      </c>
      <c r="AA268" s="318">
        <f t="shared" si="85"/>
        <v>30.929061889648438</v>
      </c>
      <c r="AB268" s="318">
        <f t="shared" si="85"/>
        <v>30.217170715332031</v>
      </c>
      <c r="AC268" s="318">
        <f t="shared" si="85"/>
        <v>29.355276107788086</v>
      </c>
      <c r="AD268" s="318">
        <f t="shared" si="85"/>
        <v>28.299064636230469</v>
      </c>
      <c r="AE268" s="318">
        <f t="shared" si="85"/>
        <v>26.978115081787109</v>
      </c>
      <c r="AF268" s="318">
        <f t="shared" si="85"/>
        <v>25.289922714233398</v>
      </c>
      <c r="AG268" s="318">
        <f t="shared" si="85"/>
        <v>31.223934173583984</v>
      </c>
      <c r="AH268" s="318">
        <f t="shared" si="85"/>
        <v>30.521221160888672</v>
      </c>
      <c r="AI268" s="318">
        <f t="shared" si="85"/>
        <v>29.669988632202148</v>
      </c>
      <c r="AJ268" s="318">
        <f t="shared" si="85"/>
        <v>28.626785278320312</v>
      </c>
      <c r="AK268" s="318">
        <f t="shared" si="85"/>
        <v>27.324680328369141</v>
      </c>
      <c r="AL268" s="318">
        <f t="shared" si="85"/>
        <v>25.659721374511719</v>
      </c>
      <c r="AM268" s="318">
        <f t="shared" si="85"/>
        <v>31.514553070068359</v>
      </c>
      <c r="AN268" s="318">
        <f t="shared" si="85"/>
        <v>30.820964813232422</v>
      </c>
      <c r="AO268" s="318">
        <f t="shared" si="85"/>
        <v>29.979801177978516</v>
      </c>
      <c r="AP268" s="318">
        <f t="shared" si="85"/>
        <v>28.948740005493164</v>
      </c>
      <c r="AQ268" s="318">
        <f t="shared" si="85"/>
        <v>27.662052154541016</v>
      </c>
      <c r="AR268" s="318">
        <f t="shared" si="85"/>
        <v>26.018213272094727</v>
      </c>
      <c r="AS268" s="318">
        <f t="shared" si="85"/>
        <v>31.671424865722656</v>
      </c>
      <c r="AT268" s="318">
        <f t="shared" si="85"/>
        <v>30.974565505981445</v>
      </c>
      <c r="AU268" s="318">
        <f t="shared" si="85"/>
        <v>30.131143569946289</v>
      </c>
      <c r="AV268" s="318">
        <f t="shared" si="85"/>
        <v>29.098514556884766</v>
      </c>
      <c r="AW268" s="318">
        <f t="shared" si="85"/>
        <v>27.81195068359375</v>
      </c>
      <c r="AX268" s="318">
        <f t="shared" si="85"/>
        <v>26.1715087890625</v>
      </c>
    </row>
    <row r="269" spans="1:50" s="260" customFormat="1" ht="17.25" customHeight="1">
      <c r="A269" s="318" t="s">
        <v>272</v>
      </c>
      <c r="B269" s="318" t="s">
        <v>3</v>
      </c>
      <c r="C269" s="318">
        <f t="shared" ref="C269:AX269" si="86">C18</f>
        <v>28.560436248779297</v>
      </c>
      <c r="D269" s="318">
        <f t="shared" si="86"/>
        <v>27.72136116027832</v>
      </c>
      <c r="E269" s="318">
        <f t="shared" si="86"/>
        <v>26.707855224609375</v>
      </c>
      <c r="F269" s="318">
        <f t="shared" si="86"/>
        <v>25.471405029296875</v>
      </c>
      <c r="G269" s="318">
        <f t="shared" si="86"/>
        <v>23.931169509887695</v>
      </c>
      <c r="H269" s="318">
        <f t="shared" si="86"/>
        <v>22.00562858581543</v>
      </c>
      <c r="I269" s="318">
        <f t="shared" si="86"/>
        <v>28.890689849853516</v>
      </c>
      <c r="J269" s="318">
        <f t="shared" si="86"/>
        <v>28.064435958862305</v>
      </c>
      <c r="K269" s="318">
        <f t="shared" si="86"/>
        <v>27.071464538574219</v>
      </c>
      <c r="L269" s="318">
        <f t="shared" si="86"/>
        <v>25.865184783935547</v>
      </c>
      <c r="M269" s="318">
        <f t="shared" si="86"/>
        <v>24.356025695800781</v>
      </c>
      <c r="N269" s="318">
        <f t="shared" si="86"/>
        <v>22.451137542724609</v>
      </c>
      <c r="O269" s="318">
        <f t="shared" si="86"/>
        <v>29.212139129638672</v>
      </c>
      <c r="P269" s="318">
        <f t="shared" si="86"/>
        <v>28.397159576416016</v>
      </c>
      <c r="Q269" s="318">
        <f t="shared" si="86"/>
        <v>27.42042350769043</v>
      </c>
      <c r="R269" s="318">
        <f t="shared" si="86"/>
        <v>26.238138198852539</v>
      </c>
      <c r="S269" s="318">
        <f t="shared" si="86"/>
        <v>24.758274078369141</v>
      </c>
      <c r="T269" s="318">
        <f t="shared" si="86"/>
        <v>22.879228591918945</v>
      </c>
      <c r="U269" s="318">
        <f t="shared" si="86"/>
        <v>29.528768539428711</v>
      </c>
      <c r="V269" s="318">
        <f t="shared" si="86"/>
        <v>28.723659515380859</v>
      </c>
      <c r="W269" s="318">
        <f t="shared" si="86"/>
        <v>27.761323928833008</v>
      </c>
      <c r="X269" s="318">
        <f t="shared" si="86"/>
        <v>26.597568511962891</v>
      </c>
      <c r="Y269" s="318">
        <f t="shared" si="86"/>
        <v>25.144933700561523</v>
      </c>
      <c r="Z269" s="318">
        <f t="shared" si="86"/>
        <v>23.293514251708984</v>
      </c>
      <c r="AA269" s="318">
        <f t="shared" si="86"/>
        <v>29.85319709777832</v>
      </c>
      <c r="AB269" s="318">
        <f t="shared" si="86"/>
        <v>29.058977127075195</v>
      </c>
      <c r="AC269" s="318">
        <f t="shared" si="86"/>
        <v>28.109533309936523</v>
      </c>
      <c r="AD269" s="318">
        <f t="shared" si="86"/>
        <v>26.963718414306641</v>
      </c>
      <c r="AE269" s="318">
        <f t="shared" si="86"/>
        <v>25.533742904663086</v>
      </c>
      <c r="AF269" s="318">
        <f t="shared" si="86"/>
        <v>23.710117340087891</v>
      </c>
      <c r="AG269" s="318">
        <f t="shared" si="86"/>
        <v>30.172922134399414</v>
      </c>
      <c r="AH269" s="318">
        <f t="shared" si="86"/>
        <v>29.389440536499023</v>
      </c>
      <c r="AI269" s="318">
        <f t="shared" si="86"/>
        <v>28.45263671875</v>
      </c>
      <c r="AJ269" s="318">
        <f t="shared" si="86"/>
        <v>27.321830749511719</v>
      </c>
      <c r="AK269" s="318">
        <f t="shared" si="86"/>
        <v>25.912809371948242</v>
      </c>
      <c r="AL269" s="318">
        <f t="shared" si="86"/>
        <v>24.114400863647461</v>
      </c>
      <c r="AM269" s="318">
        <f t="shared" si="86"/>
        <v>30.487949371337891</v>
      </c>
      <c r="AN269" s="318">
        <f t="shared" si="86"/>
        <v>29.71516227722168</v>
      </c>
      <c r="AO269" s="318">
        <f t="shared" si="86"/>
        <v>28.790460586547852</v>
      </c>
      <c r="AP269" s="318">
        <f t="shared" si="86"/>
        <v>27.673892974853516</v>
      </c>
      <c r="AQ269" s="318">
        <f t="shared" si="86"/>
        <v>26.282470703125</v>
      </c>
      <c r="AR269" s="318">
        <f t="shared" si="86"/>
        <v>24.507511138916016</v>
      </c>
      <c r="AS269" s="318">
        <f t="shared" si="86"/>
        <v>30.653812408447266</v>
      </c>
      <c r="AT269" s="318">
        <f t="shared" si="86"/>
        <v>29.878711700439453</v>
      </c>
      <c r="AU269" s="318">
        <f t="shared" si="86"/>
        <v>28.956777572631836</v>
      </c>
      <c r="AV269" s="318">
        <f t="shared" si="86"/>
        <v>27.839996337890625</v>
      </c>
      <c r="AW269" s="318">
        <f t="shared" si="86"/>
        <v>26.450075149536133</v>
      </c>
      <c r="AX269" s="318">
        <f t="shared" si="86"/>
        <v>24.680179595947266</v>
      </c>
    </row>
    <row r="270" spans="1:50" s="260" customFormat="1" ht="17.25" customHeight="1">
      <c r="A270" s="318" t="s">
        <v>284</v>
      </c>
      <c r="B270" s="318" t="s">
        <v>8</v>
      </c>
      <c r="C270" s="318">
        <f t="shared" ref="C270:AX270" si="87">C19</f>
        <v>21960.814453125</v>
      </c>
      <c r="D270" s="318">
        <f t="shared" si="87"/>
        <v>20281.388671875</v>
      </c>
      <c r="E270" s="318">
        <f t="shared" si="87"/>
        <v>18621.091796875</v>
      </c>
      <c r="F270" s="318">
        <f t="shared" si="87"/>
        <v>16986.658203125</v>
      </c>
      <c r="G270" s="318">
        <f t="shared" si="87"/>
        <v>15376.9091796875</v>
      </c>
      <c r="H270" s="318">
        <f t="shared" si="87"/>
        <v>13781.6396484375</v>
      </c>
      <c r="I270" s="318">
        <f t="shared" si="87"/>
        <v>22443.36328125</v>
      </c>
      <c r="J270" s="318">
        <f t="shared" si="87"/>
        <v>20713.9453125</v>
      </c>
      <c r="K270" s="318">
        <f t="shared" si="87"/>
        <v>18998.13671875</v>
      </c>
      <c r="L270" s="318">
        <f t="shared" si="87"/>
        <v>17303.66796875</v>
      </c>
      <c r="M270" s="318">
        <f t="shared" si="87"/>
        <v>15634.12109375</v>
      </c>
      <c r="N270" s="318">
        <f t="shared" si="87"/>
        <v>13984.646484375</v>
      </c>
      <c r="O270" s="318">
        <f t="shared" si="87"/>
        <v>22943.625</v>
      </c>
      <c r="P270" s="318">
        <f t="shared" si="87"/>
        <v>21163.904296875</v>
      </c>
      <c r="Q270" s="318">
        <f t="shared" si="87"/>
        <v>19395.015625</v>
      </c>
      <c r="R270" s="318">
        <f t="shared" si="87"/>
        <v>17643.16796875</v>
      </c>
      <c r="S270" s="318">
        <f t="shared" si="87"/>
        <v>15912.1494140625</v>
      </c>
      <c r="T270" s="318">
        <f t="shared" si="87"/>
        <v>14204.26953125</v>
      </c>
      <c r="U270" s="318">
        <f t="shared" si="87"/>
        <v>23456.619140625</v>
      </c>
      <c r="V270" s="318">
        <f t="shared" si="87"/>
        <v>21625.109375</v>
      </c>
      <c r="W270" s="318">
        <f t="shared" si="87"/>
        <v>19804.599609375</v>
      </c>
      <c r="X270" s="318">
        <f t="shared" si="87"/>
        <v>17996.220703125</v>
      </c>
      <c r="Y270" s="318">
        <f t="shared" si="87"/>
        <v>16206.619140625</v>
      </c>
      <c r="Z270" s="318">
        <f t="shared" si="87"/>
        <v>14438.494140625</v>
      </c>
      <c r="AA270" s="318">
        <f t="shared" si="87"/>
        <v>24020.744140625</v>
      </c>
      <c r="AB270" s="318">
        <f t="shared" si="87"/>
        <v>22133.5078125</v>
      </c>
      <c r="AC270" s="318">
        <f t="shared" si="87"/>
        <v>20255.48046875</v>
      </c>
      <c r="AD270" s="318">
        <f t="shared" si="87"/>
        <v>18389.26171875</v>
      </c>
      <c r="AE270" s="318">
        <f t="shared" si="87"/>
        <v>16536.890625</v>
      </c>
      <c r="AF270" s="318">
        <f t="shared" si="87"/>
        <v>14704.306640625</v>
      </c>
      <c r="AG270" s="318">
        <f t="shared" si="87"/>
        <v>24606.048828125</v>
      </c>
      <c r="AH270" s="318">
        <f t="shared" si="87"/>
        <v>22661.421875</v>
      </c>
      <c r="AI270" s="318">
        <f t="shared" si="87"/>
        <v>20725.248046875</v>
      </c>
      <c r="AJ270" s="318">
        <f t="shared" si="87"/>
        <v>18798.9296875</v>
      </c>
      <c r="AK270" s="318">
        <f t="shared" si="87"/>
        <v>16885.365234375</v>
      </c>
      <c r="AL270" s="318">
        <f t="shared" si="87"/>
        <v>14987.4580078125</v>
      </c>
      <c r="AM270" s="318">
        <f t="shared" si="87"/>
        <v>25209.138671875</v>
      </c>
      <c r="AN270" s="318">
        <f t="shared" si="87"/>
        <v>23205.5546875</v>
      </c>
      <c r="AO270" s="318">
        <f t="shared" si="87"/>
        <v>21210.00390625</v>
      </c>
      <c r="AP270" s="318">
        <f t="shared" si="87"/>
        <v>19223.455078125</v>
      </c>
      <c r="AQ270" s="318">
        <f t="shared" si="87"/>
        <v>17247.21484375</v>
      </c>
      <c r="AR270" s="318">
        <f t="shared" si="87"/>
        <v>15285.0078125</v>
      </c>
      <c r="AS270" s="318">
        <f t="shared" si="87"/>
        <v>25407.69921875</v>
      </c>
      <c r="AT270" s="318">
        <f t="shared" si="87"/>
        <v>23386.494140625</v>
      </c>
      <c r="AU270" s="318">
        <f t="shared" si="87"/>
        <v>21372.658203125</v>
      </c>
      <c r="AV270" s="318">
        <f t="shared" si="87"/>
        <v>19367.095703125</v>
      </c>
      <c r="AW270" s="318">
        <f t="shared" si="87"/>
        <v>17370.5703125</v>
      </c>
      <c r="AX270" s="318">
        <f t="shared" si="87"/>
        <v>15386.0439453125</v>
      </c>
    </row>
    <row r="271" spans="1:50" s="260" customFormat="1" ht="17.25" customHeight="1">
      <c r="A271" s="318" t="s">
        <v>132</v>
      </c>
      <c r="B271" s="318" t="s">
        <v>3</v>
      </c>
      <c r="C271" s="318">
        <f t="shared" ref="C271:AX271" si="88">C20</f>
        <v>68.390548706054688</v>
      </c>
      <c r="D271" s="318">
        <f t="shared" si="88"/>
        <v>64.707984924316406</v>
      </c>
      <c r="E271" s="318">
        <f t="shared" si="88"/>
        <v>60.611671447753906</v>
      </c>
      <c r="F271" s="318">
        <f t="shared" si="88"/>
        <v>56.056785583496094</v>
      </c>
      <c r="G271" s="318">
        <f t="shared" si="88"/>
        <v>50.919013977050781</v>
      </c>
      <c r="H271" s="318">
        <f t="shared" si="88"/>
        <v>44.993785858154297</v>
      </c>
      <c r="I271" s="318">
        <f t="shared" si="88"/>
        <v>67.246780395507812</v>
      </c>
      <c r="J271" s="318">
        <f t="shared" si="88"/>
        <v>63.451126098632812</v>
      </c>
      <c r="K271" s="318">
        <f t="shared" si="88"/>
        <v>59.199031829833984</v>
      </c>
      <c r="L271" s="318">
        <f t="shared" si="88"/>
        <v>54.428153991699219</v>
      </c>
      <c r="M271" s="318">
        <f t="shared" si="88"/>
        <v>49.021785736083984</v>
      </c>
      <c r="N271" s="318">
        <f t="shared" si="88"/>
        <v>42.794116973876953</v>
      </c>
      <c r="O271" s="318">
        <f t="shared" si="88"/>
        <v>66.105964660644531</v>
      </c>
      <c r="P271" s="318">
        <f t="shared" si="88"/>
        <v>62.202739715576172</v>
      </c>
      <c r="Q271" s="318">
        <f t="shared" si="88"/>
        <v>57.811714172363281</v>
      </c>
      <c r="R271" s="318">
        <f t="shared" si="88"/>
        <v>52.848442077636719</v>
      </c>
      <c r="S271" s="318">
        <f t="shared" si="88"/>
        <v>47.179347991943359</v>
      </c>
      <c r="T271" s="318">
        <f t="shared" si="88"/>
        <v>40.634796142578125</v>
      </c>
      <c r="U271" s="318">
        <f t="shared" si="88"/>
        <v>64.97357177734375</v>
      </c>
      <c r="V271" s="318">
        <f t="shared" si="88"/>
        <v>60.965145111083984</v>
      </c>
      <c r="W271" s="318">
        <f t="shared" si="88"/>
        <v>56.44317626953125</v>
      </c>
      <c r="X271" s="318">
        <f t="shared" si="88"/>
        <v>51.301601409912109</v>
      </c>
      <c r="Y271" s="318">
        <f t="shared" si="88"/>
        <v>45.392250061035156</v>
      </c>
      <c r="Z271" s="318">
        <f t="shared" si="88"/>
        <v>38.531204223632812</v>
      </c>
      <c r="AA271" s="318">
        <f t="shared" si="88"/>
        <v>63.9102783203125</v>
      </c>
      <c r="AB271" s="318">
        <f t="shared" si="88"/>
        <v>59.798751831054688</v>
      </c>
      <c r="AC271" s="318">
        <f t="shared" si="88"/>
        <v>55.148334503173828</v>
      </c>
      <c r="AD271" s="318">
        <f t="shared" si="88"/>
        <v>49.844615936279297</v>
      </c>
      <c r="AE271" s="318">
        <f t="shared" si="88"/>
        <v>43.706985473632812</v>
      </c>
      <c r="AF271" s="318">
        <f t="shared" si="88"/>
        <v>36.536033630371094</v>
      </c>
      <c r="AG271" s="318">
        <f t="shared" si="88"/>
        <v>62.853534698486328</v>
      </c>
      <c r="AH271" s="318">
        <f t="shared" si="88"/>
        <v>58.637798309326172</v>
      </c>
      <c r="AI271" s="318">
        <f t="shared" si="88"/>
        <v>53.866222381591797</v>
      </c>
      <c r="AJ271" s="318">
        <f t="shared" si="88"/>
        <v>48.403209686279297</v>
      </c>
      <c r="AK271" s="318">
        <f t="shared" si="88"/>
        <v>42.055713653564453</v>
      </c>
      <c r="AL271" s="318">
        <f t="shared" si="88"/>
        <v>34.587207794189453</v>
      </c>
      <c r="AM271" s="318">
        <f t="shared" si="88"/>
        <v>61.794715881347656</v>
      </c>
      <c r="AN271" s="318">
        <f t="shared" si="88"/>
        <v>57.477569580078125</v>
      </c>
      <c r="AO271" s="318">
        <f t="shared" si="88"/>
        <v>52.584449768066406</v>
      </c>
      <c r="AP271" s="318">
        <f t="shared" si="88"/>
        <v>46.968860626220703</v>
      </c>
      <c r="AQ271" s="318">
        <f t="shared" si="88"/>
        <v>40.416904449462891</v>
      </c>
      <c r="AR271" s="318">
        <f t="shared" si="88"/>
        <v>32.668861389160156</v>
      </c>
      <c r="AS271" s="318">
        <f t="shared" si="88"/>
        <v>59.872749328613281</v>
      </c>
      <c r="AT271" s="318">
        <f t="shared" si="88"/>
        <v>55.438709259033203</v>
      </c>
      <c r="AU271" s="318">
        <f t="shared" si="88"/>
        <v>50.409748077392578</v>
      </c>
      <c r="AV271" s="318">
        <f t="shared" si="88"/>
        <v>44.627304077148438</v>
      </c>
      <c r="AW271" s="318">
        <f t="shared" si="88"/>
        <v>37.867610931396484</v>
      </c>
      <c r="AX271" s="318">
        <f t="shared" si="88"/>
        <v>29.849346160888672</v>
      </c>
    </row>
    <row r="272" spans="1:50" s="260" customFormat="1" ht="17.25" customHeight="1">
      <c r="A272" s="318" t="s">
        <v>274</v>
      </c>
      <c r="B272" s="318" t="s">
        <v>8</v>
      </c>
      <c r="C272" s="318">
        <f t="shared" ref="C272:AX272" si="89">C21</f>
        <v>0</v>
      </c>
      <c r="D272" s="318">
        <f t="shared" si="89"/>
        <v>0</v>
      </c>
      <c r="E272" s="318">
        <f t="shared" si="89"/>
        <v>0</v>
      </c>
      <c r="F272" s="318">
        <f t="shared" si="89"/>
        <v>0</v>
      </c>
      <c r="G272" s="318">
        <f t="shared" si="89"/>
        <v>0</v>
      </c>
      <c r="H272" s="318">
        <f t="shared" si="89"/>
        <v>0</v>
      </c>
      <c r="I272" s="318">
        <f t="shared" si="89"/>
        <v>0</v>
      </c>
      <c r="J272" s="318">
        <f t="shared" si="89"/>
        <v>0</v>
      </c>
      <c r="K272" s="318">
        <f t="shared" si="89"/>
        <v>0</v>
      </c>
      <c r="L272" s="318">
        <f t="shared" si="89"/>
        <v>0</v>
      </c>
      <c r="M272" s="318">
        <f t="shared" si="89"/>
        <v>0</v>
      </c>
      <c r="N272" s="318">
        <f t="shared" si="89"/>
        <v>0</v>
      </c>
      <c r="O272" s="318">
        <f t="shared" si="89"/>
        <v>0</v>
      </c>
      <c r="P272" s="318">
        <f t="shared" si="89"/>
        <v>0</v>
      </c>
      <c r="Q272" s="318">
        <f t="shared" si="89"/>
        <v>0</v>
      </c>
      <c r="R272" s="318">
        <f t="shared" si="89"/>
        <v>0</v>
      </c>
      <c r="S272" s="318">
        <f t="shared" si="89"/>
        <v>0</v>
      </c>
      <c r="T272" s="318">
        <f t="shared" si="89"/>
        <v>0</v>
      </c>
      <c r="U272" s="318">
        <f t="shared" si="89"/>
        <v>0</v>
      </c>
      <c r="V272" s="318">
        <f t="shared" si="89"/>
        <v>0</v>
      </c>
      <c r="W272" s="318">
        <f t="shared" si="89"/>
        <v>0</v>
      </c>
      <c r="X272" s="318">
        <f t="shared" si="89"/>
        <v>0</v>
      </c>
      <c r="Y272" s="318">
        <f t="shared" si="89"/>
        <v>0</v>
      </c>
      <c r="Z272" s="318">
        <f t="shared" si="89"/>
        <v>0</v>
      </c>
      <c r="AA272" s="318">
        <f t="shared" si="89"/>
        <v>0</v>
      </c>
      <c r="AB272" s="318">
        <f t="shared" si="89"/>
        <v>0</v>
      </c>
      <c r="AC272" s="318">
        <f t="shared" si="89"/>
        <v>0</v>
      </c>
      <c r="AD272" s="318">
        <f t="shared" si="89"/>
        <v>0</v>
      </c>
      <c r="AE272" s="318">
        <f t="shared" si="89"/>
        <v>0</v>
      </c>
      <c r="AF272" s="318">
        <f t="shared" si="89"/>
        <v>0</v>
      </c>
      <c r="AG272" s="318">
        <f t="shared" si="89"/>
        <v>0</v>
      </c>
      <c r="AH272" s="318">
        <f t="shared" si="89"/>
        <v>0</v>
      </c>
      <c r="AI272" s="318">
        <f t="shared" si="89"/>
        <v>0</v>
      </c>
      <c r="AJ272" s="318">
        <f t="shared" si="89"/>
        <v>0</v>
      </c>
      <c r="AK272" s="318">
        <f t="shared" si="89"/>
        <v>0</v>
      </c>
      <c r="AL272" s="318">
        <f t="shared" si="89"/>
        <v>0</v>
      </c>
      <c r="AM272" s="318">
        <f t="shared" si="89"/>
        <v>0</v>
      </c>
      <c r="AN272" s="318">
        <f t="shared" si="89"/>
        <v>0</v>
      </c>
      <c r="AO272" s="318">
        <f t="shared" si="89"/>
        <v>0</v>
      </c>
      <c r="AP272" s="318">
        <f t="shared" si="89"/>
        <v>0</v>
      </c>
      <c r="AQ272" s="318">
        <f t="shared" si="89"/>
        <v>0</v>
      </c>
      <c r="AR272" s="318">
        <f t="shared" si="89"/>
        <v>0</v>
      </c>
      <c r="AS272" s="318">
        <f t="shared" si="89"/>
        <v>0</v>
      </c>
      <c r="AT272" s="318">
        <f t="shared" si="89"/>
        <v>0</v>
      </c>
      <c r="AU272" s="318">
        <f t="shared" si="89"/>
        <v>0</v>
      </c>
      <c r="AV272" s="318">
        <f t="shared" si="89"/>
        <v>0</v>
      </c>
      <c r="AW272" s="318">
        <f t="shared" si="89"/>
        <v>0</v>
      </c>
      <c r="AX272" s="318">
        <f t="shared" si="89"/>
        <v>0</v>
      </c>
    </row>
    <row r="273" spans="1:50" s="260" customFormat="1" ht="17.25" customHeight="1">
      <c r="A273" s="318" t="s">
        <v>520</v>
      </c>
      <c r="B273" s="318" t="s">
        <v>273</v>
      </c>
      <c r="C273" s="318">
        <f t="shared" ref="C273:AX273" si="90">C22</f>
        <v>1</v>
      </c>
      <c r="D273" s="318">
        <f t="shared" si="90"/>
        <v>1</v>
      </c>
      <c r="E273" s="318">
        <f t="shared" si="90"/>
        <v>1</v>
      </c>
      <c r="F273" s="318">
        <f t="shared" si="90"/>
        <v>1</v>
      </c>
      <c r="G273" s="318">
        <f t="shared" si="90"/>
        <v>1</v>
      </c>
      <c r="H273" s="318">
        <f t="shared" si="90"/>
        <v>1</v>
      </c>
      <c r="I273" s="318">
        <f t="shared" si="90"/>
        <v>1</v>
      </c>
      <c r="J273" s="318">
        <f t="shared" si="90"/>
        <v>1</v>
      </c>
      <c r="K273" s="318">
        <f t="shared" si="90"/>
        <v>1</v>
      </c>
      <c r="L273" s="318">
        <f t="shared" si="90"/>
        <v>1</v>
      </c>
      <c r="M273" s="318">
        <f t="shared" si="90"/>
        <v>1</v>
      </c>
      <c r="N273" s="318">
        <f t="shared" si="90"/>
        <v>1</v>
      </c>
      <c r="O273" s="318">
        <f t="shared" si="90"/>
        <v>1</v>
      </c>
      <c r="P273" s="318">
        <f t="shared" si="90"/>
        <v>1</v>
      </c>
      <c r="Q273" s="318">
        <f t="shared" si="90"/>
        <v>1</v>
      </c>
      <c r="R273" s="318">
        <f t="shared" si="90"/>
        <v>1</v>
      </c>
      <c r="S273" s="318">
        <f t="shared" si="90"/>
        <v>1</v>
      </c>
      <c r="T273" s="318">
        <f t="shared" si="90"/>
        <v>1</v>
      </c>
      <c r="U273" s="318">
        <f t="shared" si="90"/>
        <v>1</v>
      </c>
      <c r="V273" s="318">
        <f t="shared" si="90"/>
        <v>1</v>
      </c>
      <c r="W273" s="318">
        <f t="shared" si="90"/>
        <v>1</v>
      </c>
      <c r="X273" s="318">
        <f t="shared" si="90"/>
        <v>1</v>
      </c>
      <c r="Y273" s="318">
        <f t="shared" si="90"/>
        <v>1</v>
      </c>
      <c r="Z273" s="318">
        <f t="shared" si="90"/>
        <v>1</v>
      </c>
      <c r="AA273" s="318">
        <f t="shared" si="90"/>
        <v>1</v>
      </c>
      <c r="AB273" s="318">
        <f t="shared" si="90"/>
        <v>1</v>
      </c>
      <c r="AC273" s="318">
        <f t="shared" si="90"/>
        <v>1</v>
      </c>
      <c r="AD273" s="318">
        <f t="shared" si="90"/>
        <v>1</v>
      </c>
      <c r="AE273" s="318">
        <f t="shared" si="90"/>
        <v>1</v>
      </c>
      <c r="AF273" s="318">
        <f t="shared" si="90"/>
        <v>1</v>
      </c>
      <c r="AG273" s="318">
        <f t="shared" si="90"/>
        <v>1</v>
      </c>
      <c r="AH273" s="318">
        <f t="shared" si="90"/>
        <v>1</v>
      </c>
      <c r="AI273" s="318">
        <f t="shared" si="90"/>
        <v>1</v>
      </c>
      <c r="AJ273" s="318">
        <f t="shared" si="90"/>
        <v>1</v>
      </c>
      <c r="AK273" s="318">
        <f t="shared" si="90"/>
        <v>1</v>
      </c>
      <c r="AL273" s="318">
        <f t="shared" si="90"/>
        <v>1</v>
      </c>
      <c r="AM273" s="318">
        <f t="shared" si="90"/>
        <v>1</v>
      </c>
      <c r="AN273" s="318">
        <f t="shared" si="90"/>
        <v>1</v>
      </c>
      <c r="AO273" s="318">
        <f t="shared" si="90"/>
        <v>1</v>
      </c>
      <c r="AP273" s="318">
        <f t="shared" si="90"/>
        <v>1</v>
      </c>
      <c r="AQ273" s="318">
        <f t="shared" si="90"/>
        <v>1</v>
      </c>
      <c r="AR273" s="318">
        <f t="shared" si="90"/>
        <v>1</v>
      </c>
      <c r="AS273" s="318">
        <f t="shared" si="90"/>
        <v>1</v>
      </c>
      <c r="AT273" s="318">
        <f t="shared" si="90"/>
        <v>1</v>
      </c>
      <c r="AU273" s="318">
        <f t="shared" si="90"/>
        <v>1</v>
      </c>
      <c r="AV273" s="318">
        <f t="shared" si="90"/>
        <v>1</v>
      </c>
      <c r="AW273" s="318">
        <f t="shared" si="90"/>
        <v>1</v>
      </c>
      <c r="AX273" s="318">
        <f t="shared" si="90"/>
        <v>1</v>
      </c>
    </row>
    <row r="274" spans="1:50" s="260" customFormat="1" ht="17.25" customHeight="1">
      <c r="A274" s="318" t="s">
        <v>276</v>
      </c>
      <c r="B274" s="318" t="s">
        <v>26</v>
      </c>
      <c r="C274" s="318">
        <f t="shared" ref="C274:AX274" si="91">C23</f>
        <v>24.023736953735352</v>
      </c>
      <c r="D274" s="318">
        <f t="shared" si="91"/>
        <v>24.025444030761719</v>
      </c>
      <c r="E274" s="318">
        <f t="shared" si="91"/>
        <v>24.018754959106445</v>
      </c>
      <c r="F274" s="318">
        <f t="shared" si="91"/>
        <v>24.019721984863281</v>
      </c>
      <c r="G274" s="318">
        <f t="shared" si="91"/>
        <v>24.020559310913086</v>
      </c>
      <c r="H274" s="318">
        <f t="shared" si="91"/>
        <v>24.021263122558594</v>
      </c>
      <c r="I274" s="318">
        <f t="shared" si="91"/>
        <v>24.023715972900391</v>
      </c>
      <c r="J274" s="318">
        <f t="shared" si="91"/>
        <v>24.025453567504883</v>
      </c>
      <c r="K274" s="318">
        <f t="shared" si="91"/>
        <v>24.018777847290039</v>
      </c>
      <c r="L274" s="318">
        <f t="shared" si="91"/>
        <v>24.019783020019531</v>
      </c>
      <c r="M274" s="318">
        <f t="shared" si="91"/>
        <v>24.020631790161133</v>
      </c>
      <c r="N274" s="318">
        <f t="shared" si="91"/>
        <v>24.021335601806641</v>
      </c>
      <c r="O274" s="318">
        <f t="shared" si="91"/>
        <v>24.023687362670898</v>
      </c>
      <c r="P274" s="318">
        <f t="shared" si="91"/>
        <v>24.025455474853516</v>
      </c>
      <c r="Q274" s="318">
        <f t="shared" si="91"/>
        <v>24.018795013427734</v>
      </c>
      <c r="R274" s="318">
        <f t="shared" si="91"/>
        <v>24.019821166992188</v>
      </c>
      <c r="S274" s="318">
        <f t="shared" si="91"/>
        <v>24.020689010620117</v>
      </c>
      <c r="T274" s="318">
        <f t="shared" si="91"/>
        <v>24.021402359008789</v>
      </c>
      <c r="U274" s="318">
        <f t="shared" si="91"/>
        <v>24.023654937744141</v>
      </c>
      <c r="V274" s="318">
        <f t="shared" si="91"/>
        <v>24.017627716064453</v>
      </c>
      <c r="W274" s="318">
        <f t="shared" si="91"/>
        <v>24.01881217956543</v>
      </c>
      <c r="X274" s="318">
        <f t="shared" si="91"/>
        <v>24.019855499267578</v>
      </c>
      <c r="Y274" s="318">
        <f t="shared" si="91"/>
        <v>24.020744323730469</v>
      </c>
      <c r="Z274" s="318">
        <f t="shared" si="91"/>
        <v>24.021465301513672</v>
      </c>
      <c r="AA274" s="318">
        <f t="shared" si="91"/>
        <v>24.023603439331055</v>
      </c>
      <c r="AB274" s="318">
        <f t="shared" si="91"/>
        <v>24.017610549926758</v>
      </c>
      <c r="AC274" s="318">
        <f t="shared" si="91"/>
        <v>24.018817901611328</v>
      </c>
      <c r="AD274" s="318">
        <f t="shared" si="91"/>
        <v>24.019880294799805</v>
      </c>
      <c r="AE274" s="318">
        <f t="shared" si="91"/>
        <v>24.020790100097656</v>
      </c>
      <c r="AF274" s="318">
        <f t="shared" si="91"/>
        <v>24.021518707275391</v>
      </c>
      <c r="AG274" s="318">
        <f t="shared" si="91"/>
        <v>24.023536682128906</v>
      </c>
      <c r="AH274" s="318">
        <f t="shared" si="91"/>
        <v>24.025419235229492</v>
      </c>
      <c r="AI274" s="318">
        <f t="shared" si="91"/>
        <v>24.018817901611328</v>
      </c>
      <c r="AJ274" s="318">
        <f t="shared" si="91"/>
        <v>24.019905090332031</v>
      </c>
      <c r="AK274" s="318">
        <f t="shared" si="91"/>
        <v>24.020822525024414</v>
      </c>
      <c r="AL274" s="318">
        <f t="shared" si="91"/>
        <v>24.021568298339844</v>
      </c>
      <c r="AM274" s="318">
        <f t="shared" si="91"/>
        <v>24.023471832275391</v>
      </c>
      <c r="AN274" s="318">
        <f t="shared" si="91"/>
        <v>24.025394439697266</v>
      </c>
      <c r="AO274" s="318">
        <f t="shared" si="91"/>
        <v>24.018821716308594</v>
      </c>
      <c r="AP274" s="318">
        <f t="shared" si="91"/>
        <v>24.019927978515625</v>
      </c>
      <c r="AQ274" s="318">
        <f t="shared" si="91"/>
        <v>24.020864486694336</v>
      </c>
      <c r="AR274" s="318">
        <f t="shared" si="91"/>
        <v>24.021615982055664</v>
      </c>
      <c r="AS274" s="318">
        <f t="shared" si="91"/>
        <v>24.023780822753906</v>
      </c>
      <c r="AT274" s="318">
        <f t="shared" si="91"/>
        <v>24.017772674560547</v>
      </c>
      <c r="AU274" s="318">
        <f t="shared" si="91"/>
        <v>24.019014358520508</v>
      </c>
      <c r="AV274" s="318">
        <f t="shared" si="91"/>
        <v>24.020105361938477</v>
      </c>
      <c r="AW274" s="318">
        <f t="shared" si="91"/>
        <v>24.021017074584961</v>
      </c>
      <c r="AX274" s="318">
        <f t="shared" si="91"/>
        <v>24.021739959716797</v>
      </c>
    </row>
    <row r="275" spans="1:50" s="260" customFormat="1" ht="17.25" customHeight="1">
      <c r="A275" s="318" t="s">
        <v>277</v>
      </c>
      <c r="B275" s="318" t="s">
        <v>18</v>
      </c>
      <c r="C275" s="318">
        <f t="shared" ref="C275:AX275" si="92">C24</f>
        <v>318.97445678710938</v>
      </c>
      <c r="D275" s="318">
        <f t="shared" si="92"/>
        <v>314.7396240234375</v>
      </c>
      <c r="E275" s="318">
        <f t="shared" si="92"/>
        <v>309.8978271484375</v>
      </c>
      <c r="F275" s="318">
        <f t="shared" si="92"/>
        <v>304.36843872070312</v>
      </c>
      <c r="G275" s="318">
        <f t="shared" si="92"/>
        <v>297.96359252929688</v>
      </c>
      <c r="H275" s="318">
        <f t="shared" si="92"/>
        <v>290.34335327148438</v>
      </c>
      <c r="I275" s="318">
        <f t="shared" si="92"/>
        <v>317.96905517578125</v>
      </c>
      <c r="J275" s="318">
        <f t="shared" si="92"/>
        <v>313.6619873046875</v>
      </c>
      <c r="K275" s="318">
        <f t="shared" si="92"/>
        <v>308.68408203125</v>
      </c>
      <c r="L275" s="318">
        <f t="shared" si="92"/>
        <v>302.92599487304688</v>
      </c>
      <c r="M275" s="318">
        <f t="shared" si="92"/>
        <v>296.19232177734375</v>
      </c>
      <c r="N275" s="318">
        <f t="shared" si="92"/>
        <v>288.14373779296875</v>
      </c>
      <c r="O275" s="318">
        <f t="shared" si="92"/>
        <v>316.957763671875</v>
      </c>
      <c r="P275" s="318">
        <f t="shared" si="92"/>
        <v>312.58343505859375</v>
      </c>
      <c r="Q275" s="318">
        <f t="shared" si="92"/>
        <v>307.48764038085938</v>
      </c>
      <c r="R275" s="318">
        <f t="shared" si="92"/>
        <v>301.52603149414062</v>
      </c>
      <c r="S275" s="318">
        <f t="shared" si="92"/>
        <v>294.462890625</v>
      </c>
      <c r="T275" s="318">
        <f t="shared" si="92"/>
        <v>285.94900512695312</v>
      </c>
      <c r="U275" s="318">
        <f t="shared" si="92"/>
        <v>315.95748901367188</v>
      </c>
      <c r="V275" s="318">
        <f t="shared" si="92"/>
        <v>311.505615234375</v>
      </c>
      <c r="W275" s="318">
        <f t="shared" si="92"/>
        <v>306.30828857421875</v>
      </c>
      <c r="X275" s="318">
        <f t="shared" si="92"/>
        <v>300.15463256835938</v>
      </c>
      <c r="Y275" s="318">
        <f t="shared" si="92"/>
        <v>292.77987670898438</v>
      </c>
      <c r="Z275" s="318">
        <f t="shared" si="92"/>
        <v>283.77993774414062</v>
      </c>
      <c r="AA275" s="318">
        <f t="shared" si="92"/>
        <v>315.0225830078125</v>
      </c>
      <c r="AB275" s="318">
        <f t="shared" si="92"/>
        <v>310.50711059570312</v>
      </c>
      <c r="AC275" s="318">
        <f t="shared" si="92"/>
        <v>305.20147705078125</v>
      </c>
      <c r="AD275" s="318">
        <f t="shared" si="92"/>
        <v>298.8734130859375</v>
      </c>
      <c r="AE275" s="318">
        <f t="shared" si="92"/>
        <v>291.19601440429688</v>
      </c>
      <c r="AF275" s="318">
        <f t="shared" si="92"/>
        <v>281.70166015625</v>
      </c>
      <c r="AG275" s="318">
        <f t="shared" si="92"/>
        <v>314.0836181640625</v>
      </c>
      <c r="AH275" s="318">
        <f t="shared" si="92"/>
        <v>309.513671875</v>
      </c>
      <c r="AI275" s="318">
        <f t="shared" si="92"/>
        <v>304.09490966796875</v>
      </c>
      <c r="AJ275" s="318">
        <f t="shared" si="92"/>
        <v>297.591064453125</v>
      </c>
      <c r="AK275" s="318">
        <f t="shared" si="92"/>
        <v>289.6239013671875</v>
      </c>
      <c r="AL275" s="318">
        <f t="shared" si="92"/>
        <v>279.6290283203125</v>
      </c>
      <c r="AM275" s="318">
        <f t="shared" si="92"/>
        <v>313.13214111328125</v>
      </c>
      <c r="AN275" s="318">
        <f t="shared" si="92"/>
        <v>308.4984130859375</v>
      </c>
      <c r="AO275" s="318">
        <f t="shared" si="92"/>
        <v>302.97421264648438</v>
      </c>
      <c r="AP275" s="318">
        <f t="shared" si="92"/>
        <v>296.296875</v>
      </c>
      <c r="AQ275" s="318">
        <f t="shared" si="92"/>
        <v>288.03485107421875</v>
      </c>
      <c r="AR275" s="318">
        <f t="shared" si="92"/>
        <v>277.53726196289062</v>
      </c>
      <c r="AS275" s="318">
        <f t="shared" si="92"/>
        <v>311.27017211914062</v>
      </c>
      <c r="AT275" s="318">
        <f t="shared" si="92"/>
        <v>306.4989013671875</v>
      </c>
      <c r="AU275" s="318">
        <f t="shared" si="92"/>
        <v>300.80355834960938</v>
      </c>
      <c r="AV275" s="318">
        <f t="shared" si="92"/>
        <v>293.86520385742188</v>
      </c>
      <c r="AW275" s="318">
        <f t="shared" si="92"/>
        <v>285.20779418945312</v>
      </c>
      <c r="AX275" s="318">
        <f t="shared" si="92"/>
        <v>274.07659912109375</v>
      </c>
    </row>
    <row r="276" spans="1:50" s="260" customFormat="1" ht="17.25" customHeight="1">
      <c r="A276" s="318" t="s">
        <v>275</v>
      </c>
      <c r="B276" s="318" t="s">
        <v>273</v>
      </c>
      <c r="C276" s="318">
        <f t="shared" ref="C276:AX276" si="93">C25</f>
        <v>12.772176742553711</v>
      </c>
      <c r="D276" s="318">
        <f t="shared" si="93"/>
        <v>11.325741767883301</v>
      </c>
      <c r="E276" s="318">
        <f t="shared" si="93"/>
        <v>9.9106216430664062</v>
      </c>
      <c r="F276" s="318">
        <f t="shared" si="93"/>
        <v>8.5347499847412109</v>
      </c>
      <c r="G276" s="318">
        <f t="shared" si="93"/>
        <v>7.1948256492614746</v>
      </c>
      <c r="H276" s="318">
        <f t="shared" si="93"/>
        <v>5.8738279342651367</v>
      </c>
      <c r="I276" s="318">
        <f t="shared" si="93"/>
        <v>12.797797203063965</v>
      </c>
      <c r="J276" s="318">
        <f t="shared" si="93"/>
        <v>11.310160636901855</v>
      </c>
      <c r="K276" s="318">
        <f t="shared" si="93"/>
        <v>9.8469734191894531</v>
      </c>
      <c r="L276" s="318">
        <f t="shared" si="93"/>
        <v>8.4162864685058594</v>
      </c>
      <c r="M276" s="318">
        <f t="shared" si="93"/>
        <v>7.0219159126281738</v>
      </c>
      <c r="N276" s="318">
        <f t="shared" si="93"/>
        <v>5.654231071472168</v>
      </c>
      <c r="O276" s="318">
        <f t="shared" si="93"/>
        <v>12.825390815734863</v>
      </c>
      <c r="P276" s="318">
        <f t="shared" si="93"/>
        <v>11.297388076782227</v>
      </c>
      <c r="Q276" s="318">
        <f t="shared" si="93"/>
        <v>9.790252685546875</v>
      </c>
      <c r="R276" s="318">
        <f t="shared" si="93"/>
        <v>8.3095216751098633</v>
      </c>
      <c r="S276" s="318">
        <f t="shared" si="93"/>
        <v>6.8598084449768066</v>
      </c>
      <c r="T276" s="318">
        <f t="shared" si="93"/>
        <v>5.4403457641601562</v>
      </c>
      <c r="U276" s="318">
        <f t="shared" si="93"/>
        <v>12.852175712585449</v>
      </c>
      <c r="V276" s="318">
        <f t="shared" si="93"/>
        <v>11.283312797546387</v>
      </c>
      <c r="W276" s="318">
        <f t="shared" si="93"/>
        <v>9.7342891693115234</v>
      </c>
      <c r="X276" s="318">
        <f t="shared" si="93"/>
        <v>8.2062921524047852</v>
      </c>
      <c r="Y276" s="318">
        <f t="shared" si="93"/>
        <v>6.7051968574523926</v>
      </c>
      <c r="Z276" s="318">
        <f t="shared" si="93"/>
        <v>5.2322044372558594</v>
      </c>
      <c r="AA276" s="318">
        <f t="shared" si="93"/>
        <v>12.907818794250488</v>
      </c>
      <c r="AB276" s="318">
        <f t="shared" si="93"/>
        <v>11.294657707214355</v>
      </c>
      <c r="AC276" s="318">
        <f t="shared" si="93"/>
        <v>9.6997652053833008</v>
      </c>
      <c r="AD276" s="318">
        <f t="shared" si="93"/>
        <v>8.1246881484985352</v>
      </c>
      <c r="AE276" s="318">
        <f t="shared" si="93"/>
        <v>6.5705108642578125</v>
      </c>
      <c r="AF276" s="318">
        <f t="shared" si="93"/>
        <v>5.0409903526306152</v>
      </c>
      <c r="AG276" s="318">
        <f t="shared" si="93"/>
        <v>12.965926170349121</v>
      </c>
      <c r="AH276" s="318">
        <f t="shared" si="93"/>
        <v>11.30696964263916</v>
      </c>
      <c r="AI276" s="318">
        <f t="shared" si="93"/>
        <v>9.6667308807373047</v>
      </c>
      <c r="AJ276" s="318">
        <f t="shared" si="93"/>
        <v>8.0437297821044922</v>
      </c>
      <c r="AK276" s="318">
        <f t="shared" si="93"/>
        <v>6.4392032623291016</v>
      </c>
      <c r="AL276" s="318">
        <f t="shared" si="93"/>
        <v>4.853574275970459</v>
      </c>
      <c r="AM276" s="318">
        <f t="shared" si="93"/>
        <v>13.022479057312012</v>
      </c>
      <c r="AN276" s="318">
        <f t="shared" si="93"/>
        <v>11.317227363586426</v>
      </c>
      <c r="AO276" s="318">
        <f t="shared" si="93"/>
        <v>9.6307573318481445</v>
      </c>
      <c r="AP276" s="318">
        <f t="shared" si="93"/>
        <v>7.9605913162231445</v>
      </c>
      <c r="AQ276" s="318">
        <f t="shared" si="93"/>
        <v>6.305696964263916</v>
      </c>
      <c r="AR276" s="318">
        <f t="shared" si="93"/>
        <v>4.6661224365234375</v>
      </c>
      <c r="AS276" s="318">
        <f t="shared" si="93"/>
        <v>12.717266082763672</v>
      </c>
      <c r="AT276" s="318">
        <f t="shared" si="93"/>
        <v>11.003796577453613</v>
      </c>
      <c r="AU276" s="318">
        <f t="shared" si="93"/>
        <v>9.307551383972168</v>
      </c>
      <c r="AV276" s="318">
        <f t="shared" si="93"/>
        <v>7.6265950202941895</v>
      </c>
      <c r="AW276" s="318">
        <f t="shared" si="93"/>
        <v>5.9582648277282715</v>
      </c>
      <c r="AX276" s="318">
        <f t="shared" si="93"/>
        <v>4.3007616996765137</v>
      </c>
    </row>
    <row r="277" spans="1:50" s="260" customFormat="1" ht="17.25" customHeight="1">
      <c r="A277" s="318" t="s">
        <v>854</v>
      </c>
      <c r="B277" s="318" t="s">
        <v>18</v>
      </c>
      <c r="C277" s="318">
        <f t="shared" ref="C277:AX277" si="94">C26</f>
        <v>167.98942565917969</v>
      </c>
      <c r="D277" s="318">
        <f t="shared" si="94"/>
        <v>175.025146484375</v>
      </c>
      <c r="E277" s="318">
        <f t="shared" si="94"/>
        <v>181.6788330078125</v>
      </c>
      <c r="F277" s="318">
        <f t="shared" si="94"/>
        <v>187.89651489257812</v>
      </c>
      <c r="G277" s="318">
        <f t="shared" si="94"/>
        <v>193.78285217285156</v>
      </c>
      <c r="H277" s="318">
        <f t="shared" si="94"/>
        <v>199.42219543457031</v>
      </c>
      <c r="I277" s="318">
        <f t="shared" si="94"/>
        <v>168.92234802246094</v>
      </c>
      <c r="J277" s="318">
        <f t="shared" si="94"/>
        <v>176.0306396484375</v>
      </c>
      <c r="K277" s="318">
        <f t="shared" si="94"/>
        <v>182.77650451660156</v>
      </c>
      <c r="L277" s="318">
        <f t="shared" si="94"/>
        <v>189.11073303222656</v>
      </c>
      <c r="M277" s="318">
        <f t="shared" si="94"/>
        <v>195.10232543945312</v>
      </c>
      <c r="N277" s="318">
        <f t="shared" si="94"/>
        <v>200.80287170410156</v>
      </c>
      <c r="O277" s="318">
        <f t="shared" si="94"/>
        <v>169.87019348144531</v>
      </c>
      <c r="P277" s="318">
        <f t="shared" si="94"/>
        <v>177.03775024414062</v>
      </c>
      <c r="Q277" s="318">
        <f t="shared" si="94"/>
        <v>183.84730529785156</v>
      </c>
      <c r="R277" s="318">
        <f t="shared" si="94"/>
        <v>190.26631164550781</v>
      </c>
      <c r="S277" s="318">
        <f t="shared" si="94"/>
        <v>196.35560607910156</v>
      </c>
      <c r="T277" s="318">
        <f t="shared" si="94"/>
        <v>202.12818908691406</v>
      </c>
      <c r="U277" s="318">
        <f t="shared" si="94"/>
        <v>170.8194580078125</v>
      </c>
      <c r="V277" s="318">
        <f t="shared" si="94"/>
        <v>178.03387451171875</v>
      </c>
      <c r="W277" s="318">
        <f t="shared" si="94"/>
        <v>184.8994140625</v>
      </c>
      <c r="X277" s="318">
        <f t="shared" si="94"/>
        <v>191.38304138183594</v>
      </c>
      <c r="Y277" s="318">
        <f t="shared" si="94"/>
        <v>197.54508972167969</v>
      </c>
      <c r="Z277" s="318">
        <f t="shared" si="94"/>
        <v>203.38790893554688</v>
      </c>
      <c r="AA277" s="318">
        <f t="shared" si="94"/>
        <v>171.65486145019531</v>
      </c>
      <c r="AB277" s="318">
        <f t="shared" si="94"/>
        <v>178.93489074707031</v>
      </c>
      <c r="AC277" s="318">
        <f t="shared" si="94"/>
        <v>185.86143493652344</v>
      </c>
      <c r="AD277" s="318">
        <f t="shared" si="94"/>
        <v>192.40171813964844</v>
      </c>
      <c r="AE277" s="318">
        <f t="shared" si="94"/>
        <v>198.63446044921875</v>
      </c>
      <c r="AF277" s="318">
        <f t="shared" si="94"/>
        <v>204.54978942871094</v>
      </c>
      <c r="AG277" s="318">
        <f t="shared" si="94"/>
        <v>172.50006103515625</v>
      </c>
      <c r="AH277" s="318">
        <f t="shared" si="94"/>
        <v>179.85197448730469</v>
      </c>
      <c r="AI277" s="318">
        <f t="shared" si="94"/>
        <v>186.81930541992188</v>
      </c>
      <c r="AJ277" s="318">
        <f t="shared" si="94"/>
        <v>193.40974426269531</v>
      </c>
      <c r="AK277" s="318">
        <f t="shared" si="94"/>
        <v>199.69158935546875</v>
      </c>
      <c r="AL277" s="318">
        <f t="shared" si="94"/>
        <v>205.66587829589844</v>
      </c>
      <c r="AM277" s="318">
        <f t="shared" si="94"/>
        <v>173.37037658691406</v>
      </c>
      <c r="AN277" s="318">
        <f t="shared" si="94"/>
        <v>180.7783203125</v>
      </c>
      <c r="AO277" s="318">
        <f t="shared" si="94"/>
        <v>187.78884887695312</v>
      </c>
      <c r="AP277" s="318">
        <f t="shared" si="94"/>
        <v>194.41632080078125</v>
      </c>
      <c r="AQ277" s="318">
        <f t="shared" si="94"/>
        <v>200.73640441894531</v>
      </c>
      <c r="AR277" s="318">
        <f t="shared" si="94"/>
        <v>206.74958801269531</v>
      </c>
      <c r="AS277" s="318">
        <f t="shared" si="94"/>
        <v>175.82107543945312</v>
      </c>
      <c r="AT277" s="318">
        <f t="shared" si="94"/>
        <v>183.05287170410156</v>
      </c>
      <c r="AU277" s="318">
        <f t="shared" si="94"/>
        <v>189.88958740234375</v>
      </c>
      <c r="AV277" s="318">
        <f t="shared" si="94"/>
        <v>196.36317443847656</v>
      </c>
      <c r="AW277" s="318">
        <f t="shared" si="94"/>
        <v>202.53826904296875</v>
      </c>
      <c r="AX277" s="318">
        <f t="shared" si="94"/>
        <v>208.41964721679688</v>
      </c>
    </row>
    <row r="278" spans="1:50" s="260" customFormat="1" ht="17.25" customHeight="1"/>
    <row r="279" spans="1:50" s="260" customFormat="1" ht="17.25" customHeight="1">
      <c r="A279" s="260" t="s">
        <v>154</v>
      </c>
      <c r="C279" s="49"/>
      <c r="D279" s="49"/>
      <c r="E279" s="49"/>
      <c r="K279" s="335"/>
    </row>
    <row r="280" spans="1:50" s="260" customFormat="1" ht="17.25" customHeight="1">
      <c r="A280" s="224" t="s">
        <v>155</v>
      </c>
      <c r="B280" s="66" t="s">
        <v>129</v>
      </c>
      <c r="C280" s="49" t="s">
        <v>130</v>
      </c>
      <c r="D280" s="49"/>
      <c r="E280" s="49"/>
      <c r="F280" s="298"/>
      <c r="G280" s="298"/>
      <c r="H280" s="298"/>
      <c r="I280" s="298"/>
      <c r="J280" s="298"/>
      <c r="K280" s="335"/>
    </row>
    <row r="281" spans="1:50" s="260" customFormat="1" ht="17.25" customHeight="1">
      <c r="A281" s="509">
        <v>25</v>
      </c>
      <c r="B281" s="335">
        <f>COLUMN(C261)</f>
        <v>3</v>
      </c>
      <c r="C281" s="335">
        <f>COLUMN(H261)</f>
        <v>8</v>
      </c>
      <c r="D281" s="298"/>
      <c r="E281" s="298"/>
      <c r="F281" s="298"/>
      <c r="G281" s="298"/>
      <c r="H281" s="298"/>
      <c r="I281" s="298"/>
      <c r="J281" s="298"/>
      <c r="K281" s="335"/>
    </row>
    <row r="282" spans="1:50" s="260" customFormat="1" ht="17.25" customHeight="1">
      <c r="A282" s="509">
        <v>20</v>
      </c>
      <c r="B282" s="335">
        <f>COLUMN(I261)</f>
        <v>9</v>
      </c>
      <c r="C282" s="335">
        <f>COLUMN(N261)</f>
        <v>14</v>
      </c>
      <c r="D282" s="298"/>
      <c r="E282" s="298"/>
      <c r="F282" s="298"/>
      <c r="G282" s="298"/>
      <c r="H282" s="298"/>
      <c r="I282" s="298"/>
      <c r="J282" s="298"/>
      <c r="K282" s="335"/>
    </row>
    <row r="283" spans="1:50" s="260" customFormat="1" ht="17.25" customHeight="1">
      <c r="A283" s="509">
        <v>15</v>
      </c>
      <c r="B283" s="335">
        <f>COLUMN(O261)</f>
        <v>15</v>
      </c>
      <c r="C283" s="335">
        <f>COLUMN(T261)</f>
        <v>20</v>
      </c>
      <c r="D283" s="298"/>
      <c r="E283" s="298"/>
      <c r="F283" s="298"/>
      <c r="G283" s="298"/>
      <c r="H283" s="298"/>
      <c r="I283" s="298"/>
      <c r="J283" s="298"/>
      <c r="K283" s="335"/>
    </row>
    <row r="284" spans="1:50" s="260" customFormat="1" ht="17.25" customHeight="1">
      <c r="A284" s="509">
        <v>10</v>
      </c>
      <c r="B284" s="335">
        <f>COLUMN(U261)</f>
        <v>21</v>
      </c>
      <c r="C284" s="335">
        <f>COLUMN(Z261)</f>
        <v>26</v>
      </c>
      <c r="D284" s="298"/>
      <c r="E284" s="298"/>
      <c r="F284" s="298"/>
      <c r="G284" s="298"/>
      <c r="H284" s="298"/>
      <c r="I284" s="298"/>
      <c r="J284" s="298"/>
      <c r="K284" s="335"/>
    </row>
    <row r="285" spans="1:50" s="260" customFormat="1" ht="17.25" customHeight="1">
      <c r="A285" s="509">
        <v>5</v>
      </c>
      <c r="B285" s="335">
        <f>COLUMN(AA261)</f>
        <v>27</v>
      </c>
      <c r="C285" s="335">
        <f>COLUMN(AF261)</f>
        <v>32</v>
      </c>
      <c r="D285" s="298"/>
      <c r="E285" s="298"/>
      <c r="F285" s="298"/>
      <c r="G285" s="298"/>
      <c r="H285" s="298"/>
      <c r="I285" s="298"/>
      <c r="J285" s="298"/>
      <c r="K285" s="335"/>
    </row>
    <row r="286" spans="1:50" s="260" customFormat="1" ht="17.25" customHeight="1">
      <c r="A286" s="509">
        <v>0</v>
      </c>
      <c r="B286" s="335">
        <f>COLUMN(AG261)</f>
        <v>33</v>
      </c>
      <c r="C286" s="335">
        <f>COLUMN(AL261)</f>
        <v>38</v>
      </c>
      <c r="D286" s="298"/>
      <c r="E286" s="298"/>
      <c r="F286" s="298"/>
      <c r="G286" s="298"/>
      <c r="H286" s="298"/>
      <c r="I286" s="298"/>
      <c r="J286" s="298"/>
      <c r="K286" s="335"/>
    </row>
    <row r="287" spans="1:50" s="260" customFormat="1" ht="17.25" customHeight="1">
      <c r="A287" s="522">
        <v>-5</v>
      </c>
      <c r="B287" s="335">
        <f>COLUMN(AM261)</f>
        <v>39</v>
      </c>
      <c r="C287" s="335">
        <f>COLUMN(AR261)</f>
        <v>44</v>
      </c>
      <c r="D287" s="298"/>
      <c r="E287" s="298"/>
      <c r="F287" s="298"/>
      <c r="G287" s="298"/>
      <c r="H287" s="298"/>
      <c r="I287" s="298"/>
      <c r="J287" s="298"/>
      <c r="K287" s="335"/>
    </row>
    <row r="288" spans="1:50" s="260" customFormat="1" ht="17.25" customHeight="1">
      <c r="A288" s="130"/>
      <c r="B288" s="298"/>
      <c r="C288" s="298"/>
      <c r="D288" s="298"/>
      <c r="E288" s="298"/>
      <c r="F288" s="298"/>
      <c r="G288" s="298"/>
      <c r="H288" s="298"/>
      <c r="I288" s="298"/>
      <c r="J288" s="298"/>
      <c r="K288" s="335"/>
    </row>
    <row r="289" spans="1:11" s="260" customFormat="1" ht="17.25" customHeight="1">
      <c r="B289" s="298"/>
      <c r="C289" s="298"/>
      <c r="D289" s="298"/>
      <c r="E289" s="298"/>
      <c r="F289" s="298"/>
      <c r="G289" s="298"/>
      <c r="H289" s="298"/>
      <c r="I289" s="298"/>
      <c r="J289" s="298"/>
      <c r="K289" s="335"/>
    </row>
    <row r="290" spans="1:11" s="260" customFormat="1" ht="17.25" customHeight="1">
      <c r="A290" s="139" t="s">
        <v>131</v>
      </c>
      <c r="B290" s="524">
        <f>ROW(A266)</f>
        <v>266</v>
      </c>
      <c r="C290" s="298"/>
      <c r="D290" s="298"/>
      <c r="E290" s="298"/>
      <c r="F290" s="298"/>
      <c r="G290" s="298"/>
      <c r="H290" s="298"/>
      <c r="I290" s="298"/>
      <c r="J290" s="298"/>
      <c r="K290" s="335"/>
    </row>
    <row r="291" spans="1:11" s="260" customFormat="1" ht="17.25" customHeight="1">
      <c r="A291" s="260" t="str">
        <f ca="1">CONCATENATE("Correlation for ",INDIRECT(ADDRESS(B290,1))," [",OFFSET(INDIRECT(ADDRESS(B290,1)),0,1),"] ","as a function of Gas Turbine Load [%] and Ambient Temperature [C]")</f>
        <v>Correlation for Plant gross output [kW] as a function of Gas Turbine Load [%] and Ambient Temperature [C]</v>
      </c>
      <c r="B291" s="298"/>
      <c r="C291" s="298"/>
      <c r="D291" s="298"/>
      <c r="E291" s="298"/>
      <c r="F291" s="298"/>
      <c r="G291" s="298"/>
      <c r="H291" s="298"/>
      <c r="I291" s="298"/>
      <c r="J291" s="298"/>
    </row>
    <row r="292" spans="1:11" s="260" customFormat="1" ht="17.25" customHeight="1">
      <c r="A292" s="129" t="s">
        <v>128</v>
      </c>
      <c r="B292" s="134">
        <v>100</v>
      </c>
      <c r="C292" s="134">
        <v>90</v>
      </c>
      <c r="D292" s="134">
        <v>80</v>
      </c>
      <c r="E292" s="134">
        <v>70</v>
      </c>
      <c r="F292" s="134">
        <v>60</v>
      </c>
      <c r="G292" s="134">
        <v>50</v>
      </c>
      <c r="H292" s="40"/>
      <c r="I292" s="298"/>
      <c r="J292" s="298"/>
    </row>
    <row r="293" spans="1:11" s="260" customFormat="1" ht="17.25" customHeight="1">
      <c r="A293" s="129" t="s">
        <v>278</v>
      </c>
      <c r="B293" s="40" t="s">
        <v>279</v>
      </c>
      <c r="C293" s="40" t="str">
        <f>B293</f>
        <v>[%]</v>
      </c>
      <c r="D293" s="40" t="str">
        <f>C293</f>
        <v>[%]</v>
      </c>
      <c r="E293" s="40" t="str">
        <f>D293</f>
        <v>[%]</v>
      </c>
      <c r="F293" s="40" t="str">
        <f>E293</f>
        <v>[%]</v>
      </c>
      <c r="G293" s="40" t="str">
        <f>F293</f>
        <v>[%]</v>
      </c>
      <c r="H293" s="40"/>
      <c r="I293" s="298"/>
      <c r="J293" s="298"/>
    </row>
    <row r="294" spans="1:11" s="260" customFormat="1" ht="17.25" customHeight="1">
      <c r="A294" s="525">
        <v>25</v>
      </c>
      <c r="B294" s="134">
        <f ca="1">INDIRECT(ADDRESS($B$290,$B281+COLUMN(A107)-1))</f>
        <v>5898.2109375</v>
      </c>
      <c r="C294" s="134">
        <f t="shared" ref="C294:G294" ca="1" si="95">INDIRECT(ADDRESS($B$290,$B281+COLUMN(B107)-1))</f>
        <v>5309.56494140625</v>
      </c>
      <c r="D294" s="134">
        <f t="shared" ca="1" si="95"/>
        <v>4720.51513671875</v>
      </c>
      <c r="E294" s="134">
        <f t="shared" ca="1" si="95"/>
        <v>4131.1826171875</v>
      </c>
      <c r="F294" s="134">
        <f t="shared" ca="1" si="95"/>
        <v>3541.650390625</v>
      </c>
      <c r="G294" s="134">
        <f t="shared" ca="1" si="95"/>
        <v>2951.998779296875</v>
      </c>
      <c r="H294" s="134"/>
      <c r="I294" s="298"/>
      <c r="J294" s="298"/>
    </row>
    <row r="295" spans="1:11" s="260" customFormat="1" ht="17.25" customHeight="1">
      <c r="A295" s="525">
        <v>20</v>
      </c>
      <c r="B295" s="134">
        <f t="shared" ref="B295:G300" ca="1" si="96">INDIRECT(ADDRESS($B$290,$B282+COLUMN(A108)-1))</f>
        <v>6089.763671875</v>
      </c>
      <c r="C295" s="134">
        <f t="shared" ca="1" si="96"/>
        <v>5482.1337890625</v>
      </c>
      <c r="D295" s="134">
        <f t="shared" ca="1" si="96"/>
        <v>4873.7138671875</v>
      </c>
      <c r="E295" s="134">
        <f t="shared" ca="1" si="96"/>
        <v>4265.29345703125</v>
      </c>
      <c r="F295" s="134">
        <f t="shared" ca="1" si="96"/>
        <v>3656.665771484375</v>
      </c>
      <c r="G295" s="134">
        <f t="shared" ca="1" si="96"/>
        <v>3047.870361328125</v>
      </c>
      <c r="H295" s="134"/>
      <c r="I295" s="298"/>
      <c r="J295" s="298" t="s">
        <v>114</v>
      </c>
    </row>
    <row r="296" spans="1:11" s="260" customFormat="1" ht="17.25" customHeight="1">
      <c r="A296" s="525">
        <v>15</v>
      </c>
      <c r="B296" s="134">
        <f t="shared" ca="1" si="96"/>
        <v>6287.05029296875</v>
      </c>
      <c r="C296" s="134">
        <f t="shared" ca="1" si="96"/>
        <v>5659.875</v>
      </c>
      <c r="D296" s="134">
        <f t="shared" ca="1" si="96"/>
        <v>5031.76513671875</v>
      </c>
      <c r="E296" s="134">
        <f t="shared" ca="1" si="96"/>
        <v>4403.72021484375</v>
      </c>
      <c r="F296" s="134">
        <f t="shared" ca="1" si="96"/>
        <v>3775.113037109375</v>
      </c>
      <c r="G296" s="134">
        <f t="shared" ca="1" si="96"/>
        <v>3146.6005859375</v>
      </c>
      <c r="H296" s="134"/>
      <c r="I296" s="298"/>
      <c r="J296" s="66" t="str">
        <f>A292</f>
        <v>GT Load [%]</v>
      </c>
      <c r="K296" s="526">
        <v>90</v>
      </c>
    </row>
    <row r="297" spans="1:11" s="260" customFormat="1" ht="17.25" customHeight="1">
      <c r="A297" s="525">
        <v>10</v>
      </c>
      <c r="B297" s="134">
        <f t="shared" ca="1" si="96"/>
        <v>6489.61865234375</v>
      </c>
      <c r="C297" s="134">
        <f t="shared" ca="1" si="96"/>
        <v>5842.0244140625</v>
      </c>
      <c r="D297" s="134">
        <f t="shared" ca="1" si="96"/>
        <v>5194.0693359375</v>
      </c>
      <c r="E297" s="134">
        <f t="shared" ca="1" si="96"/>
        <v>4545.50830078125</v>
      </c>
      <c r="F297" s="134">
        <f t="shared" ca="1" si="96"/>
        <v>3897.064697265625</v>
      </c>
      <c r="G297" s="134">
        <f t="shared" ca="1" si="96"/>
        <v>3248.324951171875</v>
      </c>
      <c r="H297" s="134"/>
      <c r="I297" s="298"/>
      <c r="J297" s="66" t="str">
        <f>A293</f>
        <v>Ambient Temp. [C]</v>
      </c>
      <c r="K297" s="526">
        <v>15</v>
      </c>
    </row>
    <row r="298" spans="1:11" s="260" customFormat="1" ht="17.25" customHeight="1">
      <c r="A298" s="525">
        <v>5</v>
      </c>
      <c r="B298" s="134">
        <f t="shared" ca="1" si="96"/>
        <v>6710.6337890625</v>
      </c>
      <c r="C298" s="134">
        <f t="shared" ca="1" si="96"/>
        <v>6041.0771484375</v>
      </c>
      <c r="D298" s="134">
        <f t="shared" ca="1" si="96"/>
        <v>5370.7998046875</v>
      </c>
      <c r="E298" s="134">
        <f t="shared" ca="1" si="96"/>
        <v>4700.5283203125</v>
      </c>
      <c r="F298" s="134">
        <f t="shared" ca="1" si="96"/>
        <v>4029.727783203125</v>
      </c>
      <c r="G298" s="134">
        <f t="shared" ca="1" si="96"/>
        <v>3358.940673828125</v>
      </c>
      <c r="H298" s="134"/>
      <c r="I298" s="298"/>
      <c r="J298" s="66" t="str">
        <f ca="1">CONCATENATE(INDIRECT(ADDRESS(B290,1))," [",OFFSET(INDIRECT(ADDRESS(B290,1)),0,1),"] ")</f>
        <v xml:space="preserve">Plant gross output [kW] </v>
      </c>
      <c r="K298" s="38">
        <f ca="1">(H301*K296+I301)*K297+K296*H302+I302</f>
        <v>5671.382952673257</v>
      </c>
    </row>
    <row r="299" spans="1:11" s="260" customFormat="1" ht="17.25" customHeight="1">
      <c r="A299" s="525">
        <v>0</v>
      </c>
      <c r="B299" s="134">
        <f t="shared" ca="1" si="96"/>
        <v>6939.685546875</v>
      </c>
      <c r="C299" s="134">
        <f t="shared" ca="1" si="96"/>
        <v>6247.40185546875</v>
      </c>
      <c r="D299" s="134">
        <f t="shared" ca="1" si="96"/>
        <v>5554.275390625</v>
      </c>
      <c r="E299" s="134">
        <f t="shared" ca="1" si="96"/>
        <v>4860.892578125</v>
      </c>
      <c r="F299" s="134">
        <f t="shared" ca="1" si="96"/>
        <v>4167.50244140625</v>
      </c>
      <c r="G299" s="134">
        <f t="shared" ca="1" si="96"/>
        <v>3473.683349609375</v>
      </c>
      <c r="H299" s="134"/>
      <c r="I299" s="298"/>
      <c r="J299" s="298"/>
    </row>
    <row r="300" spans="1:11" s="260" customFormat="1" ht="17.25" customHeight="1">
      <c r="A300" s="525">
        <v>-5</v>
      </c>
      <c r="B300" s="134">
        <f t="shared" ca="1" si="96"/>
        <v>7175.94921875</v>
      </c>
      <c r="C300" s="134">
        <f t="shared" ca="1" si="96"/>
        <v>6460.23681640625</v>
      </c>
      <c r="D300" s="134">
        <f t="shared" ca="1" si="96"/>
        <v>5743.5419921875</v>
      </c>
      <c r="E300" s="134">
        <f t="shared" ca="1" si="96"/>
        <v>5026.56640625</v>
      </c>
      <c r="F300" s="134">
        <f t="shared" ca="1" si="96"/>
        <v>4309.36865234375</v>
      </c>
      <c r="G300" s="134">
        <f t="shared" ca="1" si="96"/>
        <v>3592.14111328125</v>
      </c>
      <c r="H300" s="40" t="s">
        <v>46</v>
      </c>
      <c r="I300" s="40" t="s">
        <v>59</v>
      </c>
      <c r="J300" s="40" t="s">
        <v>144</v>
      </c>
    </row>
    <row r="301" spans="1:11" s="260" customFormat="1" ht="17.25" customHeight="1">
      <c r="A301" s="39" t="s">
        <v>46</v>
      </c>
      <c r="B301" s="134">
        <f t="shared" ref="B301:G301" ca="1" si="97">SLOPE(B294:B300,$A$93:$A$99)</f>
        <v>-42.547443498883929</v>
      </c>
      <c r="C301" s="134">
        <f t="shared" ca="1" si="97"/>
        <v>-38.312527901785714</v>
      </c>
      <c r="D301" s="134">
        <f t="shared" ca="1" si="97"/>
        <v>-34.065987723214285</v>
      </c>
      <c r="E301" s="134">
        <f t="shared" ca="1" si="97"/>
        <v>-29.815412248883927</v>
      </c>
      <c r="F301" s="134">
        <f t="shared" ca="1" si="97"/>
        <v>-25.567449079241072</v>
      </c>
      <c r="G301" s="134">
        <f t="shared" ca="1" si="97"/>
        <v>-21.317093331473213</v>
      </c>
      <c r="H301" s="502">
        <f ca="1">SLOPE(B301:G301,B292:G292)</f>
        <v>-0.42467875079719386</v>
      </c>
      <c r="I301" s="502">
        <f ca="1">INTERCEPT(B301:G301,B292:G292)</f>
        <v>-8.6745987457483409E-2</v>
      </c>
      <c r="J301" s="49">
        <f ca="1">CORREL(B301:G301,B292:G292)^2</f>
        <v>0.99999964451922552</v>
      </c>
    </row>
    <row r="302" spans="1:11" s="260" customFormat="1" ht="17.25" customHeight="1">
      <c r="A302" s="39" t="s">
        <v>45</v>
      </c>
      <c r="B302" s="134">
        <f t="shared" ref="B302:G302" ca="1" si="98">INTERCEPT(B294:B300,$A$93:$A$99)</f>
        <v>6938.4618791852681</v>
      </c>
      <c r="C302" s="134">
        <f t="shared" ca="1" si="98"/>
        <v>6246.31298828125</v>
      </c>
      <c r="D302" s="134">
        <f t="shared" ca="1" si="98"/>
        <v>5553.3285435267862</v>
      </c>
      <c r="E302" s="134">
        <f t="shared" ca="1" si="98"/>
        <v>4860.110107421875</v>
      </c>
      <c r="F302" s="134">
        <f t="shared" ca="1" si="98"/>
        <v>4166.687744140625</v>
      </c>
      <c r="G302" s="134">
        <f t="shared" ca="1" si="98"/>
        <v>3473.1080496651789</v>
      </c>
      <c r="H302" s="502">
        <f ca="1">SLOPE(B302:G302,B292:G292)</f>
        <v>69.311038046077812</v>
      </c>
      <c r="I302" s="502">
        <f ca="1">INTERCEPT(B302:G302,B292:G292)</f>
        <v>8.0070319143278539</v>
      </c>
      <c r="J302" s="49">
        <f ca="1">CORREL(B302:G302,B292:G292)^2</f>
        <v>0.99999987821094882</v>
      </c>
    </row>
    <row r="303" spans="1:11" s="260" customFormat="1" ht="17.25" customHeight="1">
      <c r="A303" s="39" t="s">
        <v>144</v>
      </c>
      <c r="B303" s="136">
        <f t="shared" ref="B303:G303" ca="1" si="99">CORREL(B294:B300,$A$93:$A$99)^2</f>
        <v>0.99833263680992279</v>
      </c>
      <c r="C303" s="136">
        <f t="shared" ca="1" si="99"/>
        <v>0.99832674246851505</v>
      </c>
      <c r="D303" s="136">
        <f t="shared" ca="1" si="99"/>
        <v>0.99832800484440387</v>
      </c>
      <c r="E303" s="136">
        <f t="shared" ca="1" si="99"/>
        <v>0.99833070305127336</v>
      </c>
      <c r="F303" s="136">
        <f t="shared" ca="1" si="99"/>
        <v>0.99832934619705516</v>
      </c>
      <c r="G303" s="136">
        <f t="shared" ca="1" si="99"/>
        <v>0.99832385810502278</v>
      </c>
      <c r="H303" s="298"/>
      <c r="I303" s="298"/>
      <c r="J303" s="298"/>
    </row>
    <row r="304" spans="1:11" s="260" customFormat="1" ht="17.25" customHeight="1">
      <c r="A304" s="139"/>
      <c r="B304" s="57"/>
      <c r="C304" s="298"/>
      <c r="D304" s="298"/>
      <c r="E304" s="298"/>
      <c r="F304" s="298"/>
      <c r="G304" s="298"/>
      <c r="H304" s="335"/>
      <c r="I304" s="298"/>
      <c r="J304" s="298"/>
    </row>
    <row r="305" spans="1:11" s="260" customFormat="1" ht="17.25" customHeight="1">
      <c r="A305" s="139" t="s">
        <v>131</v>
      </c>
      <c r="B305" s="524">
        <f>ROW(C267)</f>
        <v>267</v>
      </c>
      <c r="C305" s="298"/>
      <c r="D305" s="298"/>
      <c r="E305" s="298"/>
      <c r="F305" s="298"/>
      <c r="G305" s="298"/>
      <c r="H305" s="298"/>
      <c r="I305" s="298"/>
      <c r="J305" s="298"/>
    </row>
    <row r="306" spans="1:11" s="260" customFormat="1" ht="17.25" customHeight="1">
      <c r="A306" s="260" t="str">
        <f ca="1">CONCATENATE("Correlation for ",INDIRECT(ADDRESS(B305,1))," [",OFFSET(INDIRECT(ADDRESS(B305,1)),0,1),"] ","as a function of Gas Turbine Load [%] and Ambient Temperature [C]")</f>
        <v>Correlation for Plant net output [kW] as a function of Gas Turbine Load [%] and Ambient Temperature [C]</v>
      </c>
      <c r="B306" s="298"/>
      <c r="C306" s="298"/>
      <c r="D306" s="298"/>
      <c r="E306" s="298"/>
      <c r="F306" s="298"/>
      <c r="G306" s="298"/>
      <c r="H306" s="298"/>
      <c r="I306" s="298"/>
      <c r="J306" s="298"/>
    </row>
    <row r="307" spans="1:11" s="260" customFormat="1" ht="17.25" customHeight="1">
      <c r="A307" s="129" t="s">
        <v>128</v>
      </c>
      <c r="B307" s="134">
        <v>100</v>
      </c>
      <c r="C307" s="134">
        <v>90</v>
      </c>
      <c r="D307" s="134">
        <v>80</v>
      </c>
      <c r="E307" s="134">
        <v>70</v>
      </c>
      <c r="F307" s="134">
        <v>60</v>
      </c>
      <c r="G307" s="134">
        <v>50</v>
      </c>
      <c r="H307" s="40"/>
      <c r="I307" s="298"/>
      <c r="J307" s="298"/>
    </row>
    <row r="308" spans="1:11" s="260" customFormat="1" ht="17.25" customHeight="1">
      <c r="A308" s="129" t="s">
        <v>127</v>
      </c>
      <c r="B308" s="40" t="s">
        <v>280</v>
      </c>
      <c r="C308" s="40" t="str">
        <f>B308</f>
        <v>[kWth]</v>
      </c>
      <c r="D308" s="40" t="str">
        <f>C308</f>
        <v>[kWth]</v>
      </c>
      <c r="E308" s="40" t="str">
        <f>D308</f>
        <v>[kWth]</v>
      </c>
      <c r="F308" s="40" t="str">
        <f>E308</f>
        <v>[kWth]</v>
      </c>
      <c r="G308" s="40" t="str">
        <f>F308</f>
        <v>[kWth]</v>
      </c>
      <c r="H308" s="40"/>
      <c r="I308" s="298"/>
      <c r="J308" s="298"/>
    </row>
    <row r="309" spans="1:11" s="260" customFormat="1" ht="17.25" customHeight="1">
      <c r="A309" s="525">
        <f t="shared" ref="A309:A315" si="100">A294</f>
        <v>25</v>
      </c>
      <c r="B309" s="134">
        <f ca="1">INDIRECT(ADDRESS($B$305,$B281+COLUMN(A107)-1))</f>
        <v>5665.30859375</v>
      </c>
      <c r="C309" s="134">
        <f t="shared" ref="C309:G309" ca="1" si="101">INDIRECT(ADDRESS($B$305,$B281+COLUMN(B107)-1))</f>
        <v>5078.34912109375</v>
      </c>
      <c r="D309" s="134">
        <f t="shared" ca="1" si="101"/>
        <v>4492.15234375</v>
      </c>
      <c r="E309" s="134">
        <f t="shared" ca="1" si="101"/>
        <v>3908.149169921875</v>
      </c>
      <c r="F309" s="134">
        <f t="shared" ca="1" si="101"/>
        <v>3323.864013671875</v>
      </c>
      <c r="G309" s="134">
        <f t="shared" ca="1" si="101"/>
        <v>2739.334228515625</v>
      </c>
      <c r="H309" s="134"/>
      <c r="I309" s="298"/>
      <c r="J309" s="298"/>
    </row>
    <row r="310" spans="1:11" s="260" customFormat="1" ht="17.25" customHeight="1">
      <c r="A310" s="525">
        <f t="shared" si="100"/>
        <v>20</v>
      </c>
      <c r="B310" s="134">
        <f t="shared" ref="B310:G315" ca="1" si="102">INDIRECT(ADDRESS($B$305,$B282+COLUMN(A108)-1))</f>
        <v>5856.74267578125</v>
      </c>
      <c r="C310" s="134">
        <f t="shared" ca="1" si="102"/>
        <v>5250.84814453125</v>
      </c>
      <c r="D310" s="134">
        <f t="shared" ca="1" si="102"/>
        <v>4645.50634765625</v>
      </c>
      <c r="E310" s="134">
        <f t="shared" ca="1" si="102"/>
        <v>4042.63037109375</v>
      </c>
      <c r="F310" s="134">
        <f t="shared" ca="1" si="102"/>
        <v>3439.459716796875</v>
      </c>
      <c r="G310" s="134">
        <f t="shared" ca="1" si="102"/>
        <v>2835.9599609375</v>
      </c>
      <c r="H310" s="134"/>
      <c r="I310" s="298"/>
      <c r="J310" s="298" t="s">
        <v>114</v>
      </c>
    </row>
    <row r="311" spans="1:11" s="260" customFormat="1" ht="17.25" customHeight="1">
      <c r="A311" s="525">
        <f t="shared" si="100"/>
        <v>15</v>
      </c>
      <c r="B311" s="134">
        <f t="shared" ca="1" si="102"/>
        <v>6053.90673828125</v>
      </c>
      <c r="C311" s="134">
        <f t="shared" ca="1" si="102"/>
        <v>5428.51416015625</v>
      </c>
      <c r="D311" s="134">
        <f t="shared" ca="1" si="102"/>
        <v>4803.685546875</v>
      </c>
      <c r="E311" s="134">
        <f t="shared" ca="1" si="102"/>
        <v>4181.38232421875</v>
      </c>
      <c r="F311" s="134">
        <f t="shared" ca="1" si="102"/>
        <v>3558.43896484375</v>
      </c>
      <c r="G311" s="134">
        <f t="shared" ca="1" si="102"/>
        <v>2935.422119140625</v>
      </c>
      <c r="H311" s="134"/>
      <c r="I311" s="298"/>
      <c r="J311" s="66" t="str">
        <f>A307</f>
        <v>GT Load [%]</v>
      </c>
      <c r="K311" s="526">
        <v>100</v>
      </c>
    </row>
    <row r="312" spans="1:11" s="260" customFormat="1" ht="17.25" customHeight="1">
      <c r="A312" s="525">
        <f t="shared" si="100"/>
        <v>10</v>
      </c>
      <c r="B312" s="134">
        <f t="shared" ca="1" si="102"/>
        <v>6256.35009765625</v>
      </c>
      <c r="C312" s="134">
        <f t="shared" ca="1" si="102"/>
        <v>5610.58740234375</v>
      </c>
      <c r="D312" s="134">
        <f t="shared" ca="1" si="102"/>
        <v>4966.1123046875</v>
      </c>
      <c r="E312" s="134">
        <f t="shared" ca="1" si="102"/>
        <v>4323.48095703125</v>
      </c>
      <c r="F312" s="134">
        <f t="shared" ca="1" si="102"/>
        <v>3680.8935546875</v>
      </c>
      <c r="G312" s="134">
        <f t="shared" ca="1" si="102"/>
        <v>3037.85595703125</v>
      </c>
      <c r="H312" s="134"/>
      <c r="I312" s="298"/>
      <c r="J312" s="66" t="str">
        <f>A308</f>
        <v>Ambient Temperature [C]</v>
      </c>
      <c r="K312" s="526">
        <v>8</v>
      </c>
    </row>
    <row r="313" spans="1:11" s="260" customFormat="1" ht="17.25" customHeight="1">
      <c r="A313" s="525">
        <f t="shared" si="100"/>
        <v>5</v>
      </c>
      <c r="B313" s="134">
        <f t="shared" ca="1" si="102"/>
        <v>6477.20556640625</v>
      </c>
      <c r="C313" s="134">
        <f t="shared" ca="1" si="102"/>
        <v>5809.5283203125</v>
      </c>
      <c r="D313" s="134">
        <f t="shared" ca="1" si="102"/>
        <v>5142.880859375</v>
      </c>
      <c r="E313" s="134">
        <f t="shared" ca="1" si="102"/>
        <v>4478.72509765625</v>
      </c>
      <c r="F313" s="134">
        <f t="shared" ca="1" si="102"/>
        <v>3813.981689453125</v>
      </c>
      <c r="G313" s="134">
        <f t="shared" ca="1" si="102"/>
        <v>3149.115234375</v>
      </c>
      <c r="H313" s="134"/>
      <c r="I313" s="298"/>
      <c r="J313" s="66" t="str">
        <f ca="1">CONCATENATE(INDIRECT(ADDRESS(B305,1))," [",OFFSET(INDIRECT(ADDRESS(B305,1)),0,1),"] ")</f>
        <v xml:space="preserve">Plant net output [kW] </v>
      </c>
      <c r="K313" s="38">
        <f ca="1">(H316*K311+I316)*K312+K311*H317+I317</f>
        <v>6363.1550063775512</v>
      </c>
    </row>
    <row r="314" spans="1:11" s="260" customFormat="1" ht="17.25" customHeight="1">
      <c r="A314" s="525">
        <f t="shared" si="100"/>
        <v>0</v>
      </c>
      <c r="B314" s="134">
        <f t="shared" ca="1" si="102"/>
        <v>6706.09228515625</v>
      </c>
      <c r="C314" s="134">
        <f t="shared" ca="1" si="102"/>
        <v>6015.73681640625</v>
      </c>
      <c r="D314" s="134">
        <f t="shared" ca="1" si="102"/>
        <v>5326.384765625</v>
      </c>
      <c r="E314" s="134">
        <f t="shared" ca="1" si="102"/>
        <v>4639.30810546875</v>
      </c>
      <c r="F314" s="134">
        <f t="shared" ca="1" si="102"/>
        <v>3952.16650390625</v>
      </c>
      <c r="G314" s="134">
        <f t="shared" ca="1" si="102"/>
        <v>3264.485595703125</v>
      </c>
      <c r="H314" s="134"/>
      <c r="I314" s="298"/>
      <c r="J314" s="298"/>
    </row>
    <row r="315" spans="1:11" s="260" customFormat="1" ht="17.25" customHeight="1">
      <c r="A315" s="525">
        <f t="shared" si="100"/>
        <v>-5</v>
      </c>
      <c r="B315" s="134">
        <f t="shared" ca="1" si="102"/>
        <v>6942.189453125</v>
      </c>
      <c r="C315" s="134">
        <f t="shared" ca="1" si="102"/>
        <v>6228.455078125</v>
      </c>
      <c r="D315" s="134">
        <f t="shared" ca="1" si="102"/>
        <v>5515.68798828125</v>
      </c>
      <c r="E315" s="134">
        <f t="shared" ca="1" si="102"/>
        <v>4805.2060546875</v>
      </c>
      <c r="F315" s="134">
        <f t="shared" ca="1" si="102"/>
        <v>4094.44873046875</v>
      </c>
      <c r="G315" s="134">
        <f t="shared" ca="1" si="102"/>
        <v>3383.56982421875</v>
      </c>
      <c r="H315" s="40" t="s">
        <v>46</v>
      </c>
      <c r="I315" s="40" t="s">
        <v>59</v>
      </c>
      <c r="J315" s="40" t="s">
        <v>144</v>
      </c>
    </row>
    <row r="316" spans="1:11" s="260" customFormat="1" ht="17.25" customHeight="1">
      <c r="A316" s="39" t="s">
        <v>46</v>
      </c>
      <c r="B316" s="134">
        <f ca="1">SLOPE(B309:B315,$A$201:$A$207)</f>
        <v>-42.51886160714286</v>
      </c>
      <c r="C316" s="134">
        <f t="shared" ref="C316" ca="1" si="103">SLOPE(C309:C315,$A$201:$A$207)</f>
        <v>-38.29363839285714</v>
      </c>
      <c r="D316" s="134">
        <f t="shared" ref="D316" ca="1" si="104">SLOPE(D309:D315,$A$201:$A$207)</f>
        <v>-34.082564871651783</v>
      </c>
      <c r="E316" s="134">
        <f t="shared" ref="E316" ca="1" si="105">SLOPE(E309:E315,$A$201:$A$207)</f>
        <v>-29.870492117745535</v>
      </c>
      <c r="F316" s="134">
        <f t="shared" ref="F316" ca="1" si="106">SLOPE(F309:F315,$A$201:$A$207)</f>
        <v>-25.662217494419643</v>
      </c>
      <c r="G316" s="134">
        <f t="shared" ref="G316" ca="1" si="107">SLOPE(G309:G315,$A$201:$A$207)</f>
        <v>-21.453222656249999</v>
      </c>
      <c r="H316" s="502">
        <f ca="1">SLOPE(B316:G316,B307:G307)</f>
        <v>-0.42124151486766576</v>
      </c>
      <c r="I316" s="502">
        <f ca="1">INTERCEPT(B316:G316,B307:G307)</f>
        <v>-0.3870525749362308</v>
      </c>
      <c r="J316" s="49">
        <f ca="1">CORREL(B316:G316,B307:G307)^2</f>
        <v>0.9999995848744434</v>
      </c>
    </row>
    <row r="317" spans="1:11" s="260" customFormat="1" ht="17.25" customHeight="1">
      <c r="A317" s="39" t="s">
        <v>45</v>
      </c>
      <c r="B317" s="134">
        <f t="shared" ref="B317:G317" ca="1" si="108">INTERCEPT(B309:B315,$A$201:$A$207)</f>
        <v>6704.8736746651784</v>
      </c>
      <c r="C317" s="134">
        <f t="shared" ca="1" si="108"/>
        <v>6014.6533900669647</v>
      </c>
      <c r="D317" s="134">
        <f t="shared" ca="1" si="108"/>
        <v>5325.4556710379466</v>
      </c>
      <c r="E317" s="134">
        <f t="shared" ca="1" si="108"/>
        <v>4638.5452183314737</v>
      </c>
      <c r="F317" s="134">
        <f t="shared" ca="1" si="108"/>
        <v>3951.3726283482142</v>
      </c>
      <c r="G317" s="134">
        <f t="shared" ca="1" si="108"/>
        <v>3263.924072265625</v>
      </c>
      <c r="H317" s="502">
        <f ca="1">SLOPE(B317:G317,B307:G307)</f>
        <v>68.804287856744267</v>
      </c>
      <c r="I317" s="502">
        <f ca="1">INTERCEPT(B317:G317,B307:G307)</f>
        <v>-177.1841468032535</v>
      </c>
      <c r="J317" s="49">
        <f ca="1">CORREL(B317:G317,B307:G307)^2</f>
        <v>0.99999914662725597</v>
      </c>
    </row>
    <row r="318" spans="1:11" s="260" customFormat="1" ht="17.25" customHeight="1">
      <c r="A318" s="39" t="s">
        <v>144</v>
      </c>
      <c r="B318" s="136">
        <f t="shared" ref="B318:G318" ca="1" si="109">CORREL(B309:B315,$A$93:$A$99)^2</f>
        <v>0.99833457897210287</v>
      </c>
      <c r="C318" s="136">
        <f t="shared" ca="1" si="109"/>
        <v>0.99832965425026865</v>
      </c>
      <c r="D318" s="136">
        <f t="shared" ca="1" si="109"/>
        <v>0.99834217340571341</v>
      </c>
      <c r="E318" s="136">
        <f t="shared" ca="1" si="109"/>
        <v>0.99835301011092914</v>
      </c>
      <c r="F318" s="136">
        <f t="shared" ca="1" si="109"/>
        <v>0.99836231569397904</v>
      </c>
      <c r="G318" s="136">
        <f t="shared" ca="1" si="109"/>
        <v>0.99836522973535669</v>
      </c>
      <c r="H318" s="298"/>
      <c r="I318" s="298"/>
      <c r="J318" s="298"/>
    </row>
    <row r="319" spans="1:11" s="260" customFormat="1" ht="17.25" customHeight="1">
      <c r="B319" s="298"/>
      <c r="C319" s="298"/>
      <c r="D319" s="298"/>
      <c r="E319" s="298"/>
      <c r="F319" s="298"/>
      <c r="G319" s="298"/>
      <c r="H319" s="298"/>
      <c r="I319" s="298"/>
      <c r="J319" s="298"/>
      <c r="K319" s="298"/>
    </row>
    <row r="320" spans="1:11" s="260" customFormat="1" ht="17.25" customHeight="1">
      <c r="A320" s="139" t="s">
        <v>131</v>
      </c>
      <c r="B320" s="524">
        <f>ROW(A270)</f>
        <v>270</v>
      </c>
      <c r="C320" s="298"/>
      <c r="D320" s="298"/>
      <c r="E320" s="298"/>
      <c r="F320" s="298"/>
      <c r="G320" s="298"/>
      <c r="H320" s="298"/>
      <c r="I320" s="298"/>
      <c r="J320" s="298"/>
    </row>
    <row r="321" spans="1:12" s="260" customFormat="1" ht="17.25" customHeight="1">
      <c r="A321" s="260" t="str">
        <f ca="1">CONCATENATE("Correlation for ",INDIRECT(ADDRESS(B320,1))," [",OFFSET(INDIRECT(ADDRESS(B320,1)),0,1),"] ","as a function of Gas Turbine Load [%] and Ambient Temperature [C]")</f>
        <v>Correlation for GT fuel HHV chemical energy input (77F/25C) [kW] as a function of Gas Turbine Load [%] and Ambient Temperature [C]</v>
      </c>
      <c r="B321" s="298"/>
      <c r="C321" s="298"/>
      <c r="D321" s="298"/>
      <c r="E321" s="298"/>
      <c r="F321" s="298"/>
      <c r="G321" s="298"/>
      <c r="H321" s="298"/>
      <c r="I321" s="298"/>
      <c r="J321" s="298"/>
    </row>
    <row r="322" spans="1:12" s="260" customFormat="1" ht="17.25" customHeight="1">
      <c r="A322" s="129" t="s">
        <v>128</v>
      </c>
      <c r="B322" s="134">
        <v>100</v>
      </c>
      <c r="C322" s="134">
        <v>90</v>
      </c>
      <c r="D322" s="134">
        <v>80</v>
      </c>
      <c r="E322" s="134">
        <v>70</v>
      </c>
      <c r="F322" s="134">
        <v>60</v>
      </c>
      <c r="G322" s="134">
        <v>50</v>
      </c>
      <c r="H322" s="40"/>
      <c r="I322" s="298"/>
      <c r="J322" s="298"/>
    </row>
    <row r="323" spans="1:12" s="260" customFormat="1" ht="17.25" customHeight="1">
      <c r="A323" s="129" t="s">
        <v>127</v>
      </c>
      <c r="B323" s="40" t="s">
        <v>75</v>
      </c>
      <c r="C323" s="40" t="s">
        <v>75</v>
      </c>
      <c r="D323" s="40" t="s">
        <v>75</v>
      </c>
      <c r="E323" s="40" t="s">
        <v>75</v>
      </c>
      <c r="F323" s="40" t="s">
        <v>75</v>
      </c>
      <c r="G323" s="40" t="s">
        <v>75</v>
      </c>
      <c r="H323" s="40"/>
      <c r="I323" s="298"/>
      <c r="J323" s="298"/>
    </row>
    <row r="324" spans="1:12" s="260" customFormat="1" ht="17.25" customHeight="1">
      <c r="A324" s="525">
        <f t="shared" ref="A324:A330" si="110">A294</f>
        <v>25</v>
      </c>
      <c r="B324" s="134">
        <f ca="1">INDIRECT(ADDRESS($B$320,$B281+COLUMN(A107)-1))</f>
        <v>21960.814453125</v>
      </c>
      <c r="C324" s="134">
        <f t="shared" ref="C324:G324" ca="1" si="111">INDIRECT(ADDRESS($B$320,$B281+COLUMN(B107)-1))</f>
        <v>20281.388671875</v>
      </c>
      <c r="D324" s="134">
        <f t="shared" ca="1" si="111"/>
        <v>18621.091796875</v>
      </c>
      <c r="E324" s="134">
        <f t="shared" ca="1" si="111"/>
        <v>16986.658203125</v>
      </c>
      <c r="F324" s="134">
        <f t="shared" ca="1" si="111"/>
        <v>15376.9091796875</v>
      </c>
      <c r="G324" s="134">
        <f t="shared" ca="1" si="111"/>
        <v>13781.6396484375</v>
      </c>
      <c r="H324" s="134"/>
      <c r="I324" s="298"/>
      <c r="J324" s="298"/>
    </row>
    <row r="325" spans="1:12" s="260" customFormat="1" ht="17.25" customHeight="1">
      <c r="A325" s="525">
        <f t="shared" si="110"/>
        <v>20</v>
      </c>
      <c r="B325" s="134">
        <f t="shared" ref="B325:G330" ca="1" si="112">INDIRECT(ADDRESS($B$320,$B282+COLUMN(A108)-1))</f>
        <v>22443.36328125</v>
      </c>
      <c r="C325" s="134">
        <f t="shared" ca="1" si="112"/>
        <v>20713.9453125</v>
      </c>
      <c r="D325" s="134">
        <f t="shared" ca="1" si="112"/>
        <v>18998.13671875</v>
      </c>
      <c r="E325" s="134">
        <f t="shared" ca="1" si="112"/>
        <v>17303.66796875</v>
      </c>
      <c r="F325" s="134">
        <f t="shared" ca="1" si="112"/>
        <v>15634.12109375</v>
      </c>
      <c r="G325" s="134">
        <f t="shared" ca="1" si="112"/>
        <v>13984.646484375</v>
      </c>
      <c r="H325" s="134"/>
      <c r="I325" s="298"/>
      <c r="J325" s="298" t="s">
        <v>114</v>
      </c>
    </row>
    <row r="326" spans="1:12" s="260" customFormat="1" ht="17.25" customHeight="1">
      <c r="A326" s="525">
        <f t="shared" si="110"/>
        <v>15</v>
      </c>
      <c r="B326" s="134">
        <f t="shared" ca="1" si="112"/>
        <v>22943.625</v>
      </c>
      <c r="C326" s="134">
        <f t="shared" ca="1" si="112"/>
        <v>21163.904296875</v>
      </c>
      <c r="D326" s="134">
        <f t="shared" ca="1" si="112"/>
        <v>19395.015625</v>
      </c>
      <c r="E326" s="134">
        <f t="shared" ca="1" si="112"/>
        <v>17643.16796875</v>
      </c>
      <c r="F326" s="134">
        <f t="shared" ca="1" si="112"/>
        <v>15912.1494140625</v>
      </c>
      <c r="G326" s="134">
        <f t="shared" ca="1" si="112"/>
        <v>14204.26953125</v>
      </c>
      <c r="H326" s="134"/>
      <c r="I326" s="298"/>
      <c r="J326" s="66" t="str">
        <f>A322</f>
        <v>GT Load [%]</v>
      </c>
      <c r="K326" s="526">
        <v>100</v>
      </c>
    </row>
    <row r="327" spans="1:12" s="260" customFormat="1" ht="17.25" customHeight="1">
      <c r="A327" s="525">
        <f t="shared" si="110"/>
        <v>10</v>
      </c>
      <c r="B327" s="134">
        <f t="shared" ca="1" si="112"/>
        <v>23456.619140625</v>
      </c>
      <c r="C327" s="134">
        <f t="shared" ca="1" si="112"/>
        <v>21625.109375</v>
      </c>
      <c r="D327" s="134">
        <f t="shared" ca="1" si="112"/>
        <v>19804.599609375</v>
      </c>
      <c r="E327" s="134">
        <f t="shared" ca="1" si="112"/>
        <v>17996.220703125</v>
      </c>
      <c r="F327" s="134">
        <f t="shared" ca="1" si="112"/>
        <v>16206.619140625</v>
      </c>
      <c r="G327" s="134">
        <f t="shared" ca="1" si="112"/>
        <v>14438.494140625</v>
      </c>
      <c r="H327" s="134"/>
      <c r="I327" s="298"/>
      <c r="J327" s="66" t="str">
        <f>A323</f>
        <v>Ambient Temperature [C]</v>
      </c>
      <c r="K327" s="526">
        <v>5</v>
      </c>
      <c r="L327" s="298"/>
    </row>
    <row r="328" spans="1:12" s="260" customFormat="1" ht="17.25" customHeight="1">
      <c r="A328" s="525">
        <f t="shared" si="110"/>
        <v>5</v>
      </c>
      <c r="B328" s="134">
        <f t="shared" ca="1" si="112"/>
        <v>24020.744140625</v>
      </c>
      <c r="C328" s="134">
        <f t="shared" ca="1" si="112"/>
        <v>22133.5078125</v>
      </c>
      <c r="D328" s="134">
        <f t="shared" ca="1" si="112"/>
        <v>20255.48046875</v>
      </c>
      <c r="E328" s="134">
        <f t="shared" ca="1" si="112"/>
        <v>18389.26171875</v>
      </c>
      <c r="F328" s="134">
        <f t="shared" ca="1" si="112"/>
        <v>16536.890625</v>
      </c>
      <c r="G328" s="134">
        <f t="shared" ca="1" si="112"/>
        <v>14704.306640625</v>
      </c>
      <c r="H328" s="134"/>
      <c r="I328" s="298"/>
      <c r="J328" s="66" t="str">
        <f ca="1">CONCATENATE(INDIRECT(ADDRESS(B320,1))," [",OFFSET(INDIRECT(ADDRESS(B320,1)),0,1),"] ")</f>
        <v xml:space="preserve">GT fuel HHV chemical energy input (77F/25C) [kW] </v>
      </c>
      <c r="K328" s="38">
        <f ca="1">(H331*K326+I331)*K327+K326*H332+I332</f>
        <v>24039.21907884247</v>
      </c>
      <c r="L328" s="298"/>
    </row>
    <row r="329" spans="1:12" s="260" customFormat="1" ht="17.25" customHeight="1">
      <c r="A329" s="525">
        <f t="shared" si="110"/>
        <v>0</v>
      </c>
      <c r="B329" s="134">
        <f t="shared" ca="1" si="112"/>
        <v>24606.048828125</v>
      </c>
      <c r="C329" s="134">
        <f t="shared" ca="1" si="112"/>
        <v>22661.421875</v>
      </c>
      <c r="D329" s="134">
        <f t="shared" ca="1" si="112"/>
        <v>20725.248046875</v>
      </c>
      <c r="E329" s="134">
        <f t="shared" ca="1" si="112"/>
        <v>18798.9296875</v>
      </c>
      <c r="F329" s="134">
        <f t="shared" ca="1" si="112"/>
        <v>16885.365234375</v>
      </c>
      <c r="G329" s="134">
        <f t="shared" ca="1" si="112"/>
        <v>14987.4580078125</v>
      </c>
      <c r="H329" s="134"/>
      <c r="I329" s="298"/>
      <c r="J329" s="298"/>
      <c r="L329" s="298"/>
    </row>
    <row r="330" spans="1:12" s="260" customFormat="1" ht="17.25" customHeight="1">
      <c r="A330" s="525">
        <f t="shared" si="110"/>
        <v>-5</v>
      </c>
      <c r="B330" s="134">
        <f t="shared" ca="1" si="112"/>
        <v>25209.138671875</v>
      </c>
      <c r="C330" s="134">
        <f t="shared" ca="1" si="112"/>
        <v>23205.5546875</v>
      </c>
      <c r="D330" s="134">
        <f t="shared" ca="1" si="112"/>
        <v>21210.00390625</v>
      </c>
      <c r="E330" s="134">
        <f t="shared" ca="1" si="112"/>
        <v>19223.455078125</v>
      </c>
      <c r="F330" s="134">
        <f t="shared" ca="1" si="112"/>
        <v>17247.21484375</v>
      </c>
      <c r="G330" s="134">
        <f t="shared" ca="1" si="112"/>
        <v>15285.0078125</v>
      </c>
      <c r="H330" s="40" t="s">
        <v>46</v>
      </c>
      <c r="I330" s="40" t="s">
        <v>59</v>
      </c>
      <c r="J330" s="40" t="s">
        <v>144</v>
      </c>
      <c r="L330" s="298"/>
    </row>
    <row r="331" spans="1:12" s="260" customFormat="1" ht="17.25" customHeight="1">
      <c r="A331" s="39" t="s">
        <v>46</v>
      </c>
      <c r="B331" s="134">
        <f t="shared" ref="B331:G331" ca="1" si="113">SLOPE(B324:B330,$A$108:$A$114)</f>
        <v>-108.19616350446428</v>
      </c>
      <c r="C331" s="134">
        <f t="shared" ca="1" si="113"/>
        <v>-97.407533482142853</v>
      </c>
      <c r="D331" s="134">
        <f t="shared" ca="1" si="113"/>
        <v>-86.295884486607136</v>
      </c>
      <c r="E331" s="134">
        <f t="shared" ca="1" si="113"/>
        <v>-74.621484374999994</v>
      </c>
      <c r="F331" s="134">
        <f t="shared" ca="1" si="113"/>
        <v>-62.415332031250003</v>
      </c>
      <c r="G331" s="134">
        <f t="shared" ca="1" si="113"/>
        <v>-50.112604631696428</v>
      </c>
      <c r="H331" s="502">
        <f ca="1">SLOPE(B331:G331,B322:G322)</f>
        <v>-1.1630537109374997</v>
      </c>
      <c r="I331" s="502">
        <f ca="1">INTERCEPT(B331:G331,B322:G322)</f>
        <v>7.3875279017857025</v>
      </c>
      <c r="J331" s="49">
        <f ca="1">CORREL(B331:G331,B322:G322)^2</f>
        <v>0.99927212913001906</v>
      </c>
      <c r="L331" s="298"/>
    </row>
    <row r="332" spans="1:12" s="260" customFormat="1" ht="17.25" customHeight="1">
      <c r="A332" s="39" t="s">
        <v>45</v>
      </c>
      <c r="B332" s="134">
        <f t="shared" ref="B332:G332" ca="1" si="114">INTERCEPT(B324:B330,$A$108:$A$114)</f>
        <v>24602.012137276783</v>
      </c>
      <c r="C332" s="134">
        <f t="shared" ca="1" si="114"/>
        <v>22657.622767857141</v>
      </c>
      <c r="D332" s="134">
        <f t="shared" ca="1" si="114"/>
        <v>20721.4697265625</v>
      </c>
      <c r="E332" s="134">
        <f t="shared" ca="1" si="114"/>
        <v>18794.980747767859</v>
      </c>
      <c r="F332" s="134">
        <f t="shared" ca="1" si="114"/>
        <v>16881.191824776786</v>
      </c>
      <c r="G332" s="134">
        <f t="shared" ca="1" si="114"/>
        <v>14984.81494140625</v>
      </c>
      <c r="H332" s="502">
        <f ca="1">SLOPE(B332:G332,B322:G322)</f>
        <v>192.40505082110965</v>
      </c>
      <c r="I332" s="502">
        <f ca="1">INTERCEPT(B332:G332,B322:G322)</f>
        <v>5343.3032126913276</v>
      </c>
      <c r="J332" s="49">
        <f ca="1">CORREL(B332:G332,B322:G322)^2</f>
        <v>0.99997978208133731</v>
      </c>
      <c r="L332" s="298"/>
    </row>
    <row r="333" spans="1:12" s="260" customFormat="1" ht="17.25" customHeight="1">
      <c r="A333" s="39" t="s">
        <v>144</v>
      </c>
      <c r="B333" s="136">
        <f t="shared" ref="B333:G333" ca="1" si="115">CORREL(B324:B330,$A$93:$A$99)^2</f>
        <v>0.99812654761249575</v>
      </c>
      <c r="C333" s="136">
        <f t="shared" ca="1" si="115"/>
        <v>0.99803586218583018</v>
      </c>
      <c r="D333" s="136">
        <f t="shared" ca="1" si="115"/>
        <v>0.99777018332551892</v>
      </c>
      <c r="E333" s="136">
        <f t="shared" ca="1" si="115"/>
        <v>0.99712567760219906</v>
      </c>
      <c r="F333" s="136">
        <f t="shared" ca="1" si="115"/>
        <v>0.99607933432327778</v>
      </c>
      <c r="G333" s="136">
        <f t="shared" ca="1" si="115"/>
        <v>0.99506932725088304</v>
      </c>
      <c r="H333" s="298"/>
      <c r="I333" s="298"/>
      <c r="J333" s="298"/>
    </row>
    <row r="334" spans="1:12" s="260" customFormat="1" ht="17.25" customHeight="1">
      <c r="B334" s="298"/>
      <c r="C334" s="298"/>
      <c r="D334" s="298"/>
      <c r="E334" s="298"/>
      <c r="F334" s="298"/>
      <c r="G334" s="298"/>
      <c r="H334" s="298"/>
      <c r="I334" s="298"/>
      <c r="J334" s="298"/>
    </row>
    <row r="335" spans="1:12" s="260" customFormat="1" ht="17.25" customHeight="1">
      <c r="A335" s="139" t="s">
        <v>131</v>
      </c>
      <c r="B335" s="524">
        <f>ROW(A276)</f>
        <v>276</v>
      </c>
      <c r="C335" s="298"/>
      <c r="D335" s="298"/>
      <c r="E335" s="298"/>
      <c r="F335" s="298"/>
      <c r="G335" s="298"/>
      <c r="H335" s="298"/>
      <c r="I335" s="298"/>
      <c r="J335" s="298"/>
    </row>
    <row r="336" spans="1:12" s="260" customFormat="1" ht="17.25" customHeight="1">
      <c r="A336" s="260" t="str">
        <f ca="1">CONCATENATE("Correlation for ",INDIRECT(ADDRESS(B335,1))," [",OFFSET(INDIRECT(ADDRESS(B335,1)),0,1),"] ","as a function of Gas Turbine Load [%] and Ambient Temperature [C]")</f>
        <v>Correlation for Main IP process mass flow [t/h] as a function of Gas Turbine Load [%] and Ambient Temperature [C]</v>
      </c>
      <c r="B336" s="298"/>
      <c r="C336" s="298"/>
      <c r="D336" s="298"/>
      <c r="E336" s="298"/>
      <c r="F336" s="298"/>
      <c r="G336" s="298"/>
      <c r="H336" s="298"/>
      <c r="I336" s="298"/>
      <c r="J336" s="298"/>
    </row>
    <row r="337" spans="1:11" s="260" customFormat="1" ht="17.25" customHeight="1">
      <c r="A337" s="129" t="s">
        <v>128</v>
      </c>
      <c r="B337" s="134">
        <v>100</v>
      </c>
      <c r="C337" s="134">
        <v>90</v>
      </c>
      <c r="D337" s="134">
        <v>80</v>
      </c>
      <c r="E337" s="134">
        <v>70</v>
      </c>
      <c r="F337" s="134">
        <v>60</v>
      </c>
      <c r="G337" s="134">
        <v>50</v>
      </c>
      <c r="H337" s="40"/>
      <c r="I337" s="298"/>
      <c r="J337" s="298"/>
    </row>
    <row r="338" spans="1:11" s="260" customFormat="1" ht="17.25" customHeight="1">
      <c r="A338" s="129" t="s">
        <v>127</v>
      </c>
      <c r="B338" s="40" t="s">
        <v>75</v>
      </c>
      <c r="C338" s="40" t="s">
        <v>75</v>
      </c>
      <c r="D338" s="40" t="s">
        <v>75</v>
      </c>
      <c r="E338" s="40" t="s">
        <v>75</v>
      </c>
      <c r="F338" s="40" t="s">
        <v>75</v>
      </c>
      <c r="G338" s="40" t="s">
        <v>75</v>
      </c>
      <c r="H338" s="40"/>
      <c r="I338" s="298"/>
      <c r="J338" s="298"/>
    </row>
    <row r="339" spans="1:11" s="260" customFormat="1" ht="17.25" customHeight="1">
      <c r="A339" s="525">
        <f t="shared" ref="A339:A345" si="116">A309</f>
        <v>25</v>
      </c>
      <c r="B339" s="136">
        <f ca="1">INDIRECT(ADDRESS($B$335,$B281+COLUMN(A107)-1))</f>
        <v>12.772176742553711</v>
      </c>
      <c r="C339" s="136">
        <f t="shared" ref="C339:G339" ca="1" si="117">INDIRECT(ADDRESS($B$335,$B281+COLUMN(B107)-1))</f>
        <v>11.325741767883301</v>
      </c>
      <c r="D339" s="136">
        <f t="shared" ca="1" si="117"/>
        <v>9.9106216430664062</v>
      </c>
      <c r="E339" s="136">
        <f t="shared" ca="1" si="117"/>
        <v>8.5347499847412109</v>
      </c>
      <c r="F339" s="136">
        <f t="shared" ca="1" si="117"/>
        <v>7.1948256492614746</v>
      </c>
      <c r="G339" s="136">
        <f t="shared" ca="1" si="117"/>
        <v>5.8738279342651367</v>
      </c>
      <c r="H339" s="134"/>
      <c r="I339" s="298"/>
      <c r="J339" s="298"/>
    </row>
    <row r="340" spans="1:11" s="260" customFormat="1" ht="17.25" customHeight="1">
      <c r="A340" s="525">
        <f t="shared" si="116"/>
        <v>20</v>
      </c>
      <c r="B340" s="136">
        <f t="shared" ref="B340:G345" ca="1" si="118">INDIRECT(ADDRESS($B$335,$B282+COLUMN(A108)-1))</f>
        <v>12.797797203063965</v>
      </c>
      <c r="C340" s="136">
        <f t="shared" ca="1" si="118"/>
        <v>11.310160636901855</v>
      </c>
      <c r="D340" s="136">
        <f t="shared" ca="1" si="118"/>
        <v>9.8469734191894531</v>
      </c>
      <c r="E340" s="136">
        <f t="shared" ca="1" si="118"/>
        <v>8.4162864685058594</v>
      </c>
      <c r="F340" s="136">
        <f t="shared" ca="1" si="118"/>
        <v>7.0219159126281738</v>
      </c>
      <c r="G340" s="136">
        <f t="shared" ca="1" si="118"/>
        <v>5.654231071472168</v>
      </c>
      <c r="H340" s="134"/>
      <c r="I340" s="298"/>
      <c r="J340" s="298" t="s">
        <v>114</v>
      </c>
    </row>
    <row r="341" spans="1:11" s="260" customFormat="1" ht="17.25" customHeight="1">
      <c r="A341" s="525">
        <f t="shared" si="116"/>
        <v>15</v>
      </c>
      <c r="B341" s="136">
        <f t="shared" ca="1" si="118"/>
        <v>12.825390815734863</v>
      </c>
      <c r="C341" s="136">
        <f t="shared" ca="1" si="118"/>
        <v>11.297388076782227</v>
      </c>
      <c r="D341" s="136">
        <f t="shared" ca="1" si="118"/>
        <v>9.790252685546875</v>
      </c>
      <c r="E341" s="136">
        <f t="shared" ca="1" si="118"/>
        <v>8.3095216751098633</v>
      </c>
      <c r="F341" s="136">
        <f t="shared" ca="1" si="118"/>
        <v>6.8598084449768066</v>
      </c>
      <c r="G341" s="136">
        <f t="shared" ca="1" si="118"/>
        <v>5.4403457641601562</v>
      </c>
      <c r="H341" s="134"/>
      <c r="I341" s="298"/>
      <c r="J341" s="66" t="str">
        <f>A337</f>
        <v>GT Load [%]</v>
      </c>
      <c r="K341" s="526">
        <v>100</v>
      </c>
    </row>
    <row r="342" spans="1:11" s="260" customFormat="1" ht="17.25" customHeight="1">
      <c r="A342" s="525">
        <f t="shared" si="116"/>
        <v>10</v>
      </c>
      <c r="B342" s="136">
        <f t="shared" ca="1" si="118"/>
        <v>12.852175712585449</v>
      </c>
      <c r="C342" s="136">
        <f t="shared" ca="1" si="118"/>
        <v>11.283312797546387</v>
      </c>
      <c r="D342" s="136">
        <f t="shared" ca="1" si="118"/>
        <v>9.7342891693115234</v>
      </c>
      <c r="E342" s="136">
        <f t="shared" ca="1" si="118"/>
        <v>8.2062921524047852</v>
      </c>
      <c r="F342" s="136">
        <f t="shared" ca="1" si="118"/>
        <v>6.7051968574523926</v>
      </c>
      <c r="G342" s="136">
        <f t="shared" ca="1" si="118"/>
        <v>5.2322044372558594</v>
      </c>
      <c r="H342" s="134"/>
      <c r="I342" s="298"/>
      <c r="J342" s="66" t="str">
        <f>A338</f>
        <v>Ambient Temperature [C]</v>
      </c>
      <c r="K342" s="526">
        <v>5</v>
      </c>
    </row>
    <row r="343" spans="1:11" s="260" customFormat="1" ht="17.25" customHeight="1">
      <c r="A343" s="525">
        <f t="shared" si="116"/>
        <v>5</v>
      </c>
      <c r="B343" s="136">
        <f t="shared" ca="1" si="118"/>
        <v>12.907818794250488</v>
      </c>
      <c r="C343" s="136">
        <f t="shared" ca="1" si="118"/>
        <v>11.294657707214355</v>
      </c>
      <c r="D343" s="136">
        <f t="shared" ca="1" si="118"/>
        <v>9.6997652053833008</v>
      </c>
      <c r="E343" s="136">
        <f t="shared" ca="1" si="118"/>
        <v>8.1246881484985352</v>
      </c>
      <c r="F343" s="136">
        <f t="shared" ca="1" si="118"/>
        <v>6.5705108642578125</v>
      </c>
      <c r="G343" s="136">
        <f t="shared" ca="1" si="118"/>
        <v>5.0409903526306152</v>
      </c>
      <c r="H343" s="134"/>
      <c r="I343" s="298"/>
      <c r="J343" s="66" t="str">
        <f ca="1">CONCATENATE(INDIRECT(ADDRESS(B335,1))," [",OFFSET(INDIRECT(ADDRESS(B335,1)),0,1),"] ")</f>
        <v xml:space="preserve">Main IP process mass flow [t/h] </v>
      </c>
      <c r="K343" s="38">
        <f ca="1">(H346*K341+I346)*K342+K341*H347+I347</f>
        <v>12.884172549053112</v>
      </c>
    </row>
    <row r="344" spans="1:11" s="260" customFormat="1" ht="17.25" customHeight="1">
      <c r="A344" s="525">
        <f t="shared" si="116"/>
        <v>0</v>
      </c>
      <c r="B344" s="136">
        <f t="shared" ca="1" si="118"/>
        <v>12.965926170349121</v>
      </c>
      <c r="C344" s="136">
        <f t="shared" ca="1" si="118"/>
        <v>11.30696964263916</v>
      </c>
      <c r="D344" s="136">
        <f t="shared" ca="1" si="118"/>
        <v>9.6667308807373047</v>
      </c>
      <c r="E344" s="136">
        <f t="shared" ca="1" si="118"/>
        <v>8.0437297821044922</v>
      </c>
      <c r="F344" s="136">
        <f t="shared" ca="1" si="118"/>
        <v>6.4392032623291016</v>
      </c>
      <c r="G344" s="136">
        <f t="shared" ca="1" si="118"/>
        <v>4.853574275970459</v>
      </c>
      <c r="H344" s="134"/>
      <c r="I344" s="298"/>
      <c r="J344" s="298"/>
    </row>
    <row r="345" spans="1:11" s="260" customFormat="1" ht="17.25" customHeight="1">
      <c r="A345" s="525">
        <f t="shared" si="116"/>
        <v>-5</v>
      </c>
      <c r="B345" s="136">
        <f t="shared" ca="1" si="118"/>
        <v>13.022479057312012</v>
      </c>
      <c r="C345" s="136">
        <f t="shared" ca="1" si="118"/>
        <v>11.317227363586426</v>
      </c>
      <c r="D345" s="136">
        <f t="shared" ca="1" si="118"/>
        <v>9.6307573318481445</v>
      </c>
      <c r="E345" s="136">
        <f t="shared" ca="1" si="118"/>
        <v>7.9605913162231445</v>
      </c>
      <c r="F345" s="136">
        <f t="shared" ca="1" si="118"/>
        <v>6.305696964263916</v>
      </c>
      <c r="G345" s="136">
        <f t="shared" ca="1" si="118"/>
        <v>4.6661224365234375</v>
      </c>
      <c r="H345" s="40" t="s">
        <v>46</v>
      </c>
      <c r="I345" s="40" t="s">
        <v>59</v>
      </c>
      <c r="J345" s="40" t="s">
        <v>144</v>
      </c>
    </row>
    <row r="346" spans="1:11" s="260" customFormat="1" ht="17.25" customHeight="1">
      <c r="A346" s="39" t="s">
        <v>46</v>
      </c>
      <c r="B346" s="134">
        <f t="shared" ref="B346:G346" ca="1" si="119">SLOPE(B339:B345,$A$123:$A$129)</f>
        <v>-8.3542346954345696E-3</v>
      </c>
      <c r="C346" s="134">
        <f t="shared" ca="1" si="119"/>
        <v>2.4753979274204797E-4</v>
      </c>
      <c r="D346" s="134">
        <f t="shared" ca="1" si="119"/>
        <v>9.2183249337332591E-3</v>
      </c>
      <c r="E346" s="134">
        <f t="shared" ca="1" si="119"/>
        <v>1.8945877892630442E-2</v>
      </c>
      <c r="F346" s="134">
        <f t="shared" ca="1" si="119"/>
        <v>2.9443635259355817E-2</v>
      </c>
      <c r="G346" s="134">
        <f t="shared" ca="1" si="119"/>
        <v>4.0169896398271836E-2</v>
      </c>
      <c r="H346" s="502">
        <f ca="1">SLOPE(B346:G346,B337:G337)</f>
        <v>-9.7124712807791574E-4</v>
      </c>
      <c r="I346" s="502">
        <f ca="1">INTERCEPT(B346:G346,B337:G337)</f>
        <v>8.7788707869393481E-2</v>
      </c>
      <c r="J346" s="49">
        <f ca="1">CORREL(B346:G346,B337:G337)^2</f>
        <v>0.99796538982557859</v>
      </c>
    </row>
    <row r="347" spans="1:11" s="260" customFormat="1" ht="17.25" customHeight="1">
      <c r="A347" s="39" t="s">
        <v>45</v>
      </c>
      <c r="B347" s="134">
        <f t="shared" ref="B347:G347" ca="1" si="120">INTERCEPT(B339:B345,$A$123:$A$129)</f>
        <v>12.961222989218575</v>
      </c>
      <c r="C347" s="134">
        <f t="shared" ca="1" si="120"/>
        <v>11.302590029580251</v>
      </c>
      <c r="D347" s="134">
        <f t="shared" ca="1" si="120"/>
        <v>9.6620153699602387</v>
      </c>
      <c r="E347" s="134">
        <f t="shared" ca="1" si="120"/>
        <v>8.0385211535862506</v>
      </c>
      <c r="F347" s="134">
        <f t="shared" ca="1" si="120"/>
        <v>6.4337290695735385</v>
      </c>
      <c r="G347" s="134">
        <f t="shared" ca="1" si="120"/>
        <v>4.8499147891998291</v>
      </c>
      <c r="H347" s="502">
        <f ca="1">SLOPE(B347:G347,B337:G337)</f>
        <v>0.16224748027567959</v>
      </c>
      <c r="I347" s="502">
        <f ca="1">INTERCEPT(B347:G347,B337:G337)</f>
        <v>-3.2938954538228558</v>
      </c>
      <c r="J347" s="49">
        <f ca="1">CORREL(B347:G347,B337:G337)^2</f>
        <v>0.99993081786413029</v>
      </c>
    </row>
    <row r="348" spans="1:11" s="260" customFormat="1" ht="17.25" customHeight="1">
      <c r="A348" s="39" t="s">
        <v>144</v>
      </c>
      <c r="B348" s="136">
        <f t="shared" ref="B348:G348" ca="1" si="121">CORREL(B339:B345,$A$93:$A$99)^2</f>
        <v>0.96629582481524789</v>
      </c>
      <c r="C348" s="136">
        <f t="shared" ca="1" si="121"/>
        <v>3.4439887095623505E-2</v>
      </c>
      <c r="D348" s="136">
        <f t="shared" ca="1" si="121"/>
        <v>0.98121667417791658</v>
      </c>
      <c r="E348" s="136">
        <f t="shared" ca="1" si="121"/>
        <v>0.99391531408543388</v>
      </c>
      <c r="F348" s="136">
        <f t="shared" ca="1" si="121"/>
        <v>0.99687412095694672</v>
      </c>
      <c r="G348" s="136">
        <f t="shared" ca="1" si="121"/>
        <v>0.99884068490966194</v>
      </c>
      <c r="H348" s="298"/>
      <c r="I348" s="298"/>
      <c r="J348" s="298"/>
    </row>
    <row r="349" spans="1:11" s="260" customFormat="1" ht="17.25" customHeight="1"/>
    <row r="350" spans="1:11" s="260" customFormat="1" ht="17.25" customHeight="1">
      <c r="A350" s="139" t="s">
        <v>131</v>
      </c>
      <c r="B350" s="524">
        <f>ROW(A273)</f>
        <v>273</v>
      </c>
      <c r="C350" s="298"/>
      <c r="D350" s="298"/>
      <c r="E350" s="298"/>
      <c r="F350" s="298"/>
      <c r="G350" s="298"/>
      <c r="H350" s="298"/>
      <c r="I350" s="298"/>
      <c r="J350" s="298"/>
    </row>
    <row r="351" spans="1:11" s="260" customFormat="1" ht="17.25" customHeight="1">
      <c r="A351" s="260" t="str">
        <f ca="1">CONCATENATE("Correlation for ",INDIRECT(ADDRESS(B350,1))," [",OFFSET(INDIRECT(ADDRESS(B350,1)),0,1),"] ","as a function of Gas Turbine Load [%] and Ambient Temperature [C]")</f>
        <v>Correlation for Combustor steam injection flow (per GT) [t/h] as a function of Gas Turbine Load [%] and Ambient Temperature [C]</v>
      </c>
      <c r="B351" s="298"/>
      <c r="C351" s="298"/>
      <c r="D351" s="298"/>
      <c r="E351" s="298"/>
      <c r="F351" s="298"/>
      <c r="G351" s="298"/>
      <c r="H351" s="298"/>
      <c r="I351" s="298"/>
      <c r="J351" s="298"/>
    </row>
    <row r="352" spans="1:11" s="260" customFormat="1" ht="17.25" customHeight="1">
      <c r="A352" s="129" t="s">
        <v>128</v>
      </c>
      <c r="B352" s="134">
        <v>100</v>
      </c>
      <c r="C352" s="134">
        <v>90</v>
      </c>
      <c r="D352" s="134">
        <v>80</v>
      </c>
      <c r="E352" s="134">
        <v>70</v>
      </c>
      <c r="F352" s="134">
        <v>60</v>
      </c>
      <c r="G352" s="134">
        <v>50</v>
      </c>
      <c r="H352" s="40"/>
      <c r="I352" s="298"/>
      <c r="J352" s="298"/>
    </row>
    <row r="353" spans="1:50" s="260" customFormat="1" ht="17.25" customHeight="1">
      <c r="A353" s="129" t="s">
        <v>127</v>
      </c>
      <c r="B353" s="40" t="s">
        <v>75</v>
      </c>
      <c r="C353" s="40" t="s">
        <v>75</v>
      </c>
      <c r="D353" s="40" t="s">
        <v>75</v>
      </c>
      <c r="E353" s="40" t="s">
        <v>75</v>
      </c>
      <c r="F353" s="40" t="s">
        <v>75</v>
      </c>
      <c r="G353" s="40" t="s">
        <v>75</v>
      </c>
      <c r="H353" s="40"/>
      <c r="I353" s="298"/>
      <c r="J353" s="298"/>
    </row>
    <row r="354" spans="1:50" s="260" customFormat="1" ht="17.25" customHeight="1">
      <c r="A354" s="525">
        <f t="shared" ref="A354:A360" si="122">A324</f>
        <v>25</v>
      </c>
      <c r="B354" s="136">
        <f ca="1">INDIRECT(ADDRESS($B$350,$B281+COLUMN(A107)-1))</f>
        <v>1</v>
      </c>
      <c r="C354" s="136">
        <f t="shared" ref="C354:G354" ca="1" si="123">INDIRECT(ADDRESS($B$350,$B281+COLUMN(B107)-1))</f>
        <v>1</v>
      </c>
      <c r="D354" s="136">
        <f t="shared" ca="1" si="123"/>
        <v>1</v>
      </c>
      <c r="E354" s="136">
        <f t="shared" ca="1" si="123"/>
        <v>1</v>
      </c>
      <c r="F354" s="136">
        <f t="shared" ca="1" si="123"/>
        <v>1</v>
      </c>
      <c r="G354" s="136">
        <f t="shared" ca="1" si="123"/>
        <v>1</v>
      </c>
      <c r="H354" s="134"/>
      <c r="I354" s="298"/>
      <c r="J354" s="298"/>
    </row>
    <row r="355" spans="1:50" s="260" customFormat="1" ht="17.25" customHeight="1">
      <c r="A355" s="525">
        <f t="shared" si="122"/>
        <v>20</v>
      </c>
      <c r="B355" s="136">
        <f t="shared" ref="B355:G360" ca="1" si="124">INDIRECT(ADDRESS($B$350,$B282+COLUMN(A108)-1))</f>
        <v>1</v>
      </c>
      <c r="C355" s="136">
        <f t="shared" ca="1" si="124"/>
        <v>1</v>
      </c>
      <c r="D355" s="136">
        <f t="shared" ca="1" si="124"/>
        <v>1</v>
      </c>
      <c r="E355" s="136">
        <f t="shared" ca="1" si="124"/>
        <v>1</v>
      </c>
      <c r="F355" s="136">
        <f t="shared" ca="1" si="124"/>
        <v>1</v>
      </c>
      <c r="G355" s="136">
        <f t="shared" ca="1" si="124"/>
        <v>1</v>
      </c>
      <c r="H355" s="134"/>
      <c r="I355" s="298"/>
      <c r="J355" s="298" t="s">
        <v>114</v>
      </c>
    </row>
    <row r="356" spans="1:50" s="260" customFormat="1" ht="17.25" customHeight="1">
      <c r="A356" s="525">
        <f t="shared" si="122"/>
        <v>15</v>
      </c>
      <c r="B356" s="136">
        <f t="shared" ca="1" si="124"/>
        <v>1</v>
      </c>
      <c r="C356" s="136">
        <f t="shared" ca="1" si="124"/>
        <v>1</v>
      </c>
      <c r="D356" s="136">
        <f t="shared" ca="1" si="124"/>
        <v>1</v>
      </c>
      <c r="E356" s="136">
        <f t="shared" ca="1" si="124"/>
        <v>1</v>
      </c>
      <c r="F356" s="136">
        <f t="shared" ca="1" si="124"/>
        <v>1</v>
      </c>
      <c r="G356" s="136">
        <f t="shared" ca="1" si="124"/>
        <v>1</v>
      </c>
      <c r="H356" s="134"/>
      <c r="I356" s="298"/>
      <c r="J356" s="66" t="str">
        <f>A352</f>
        <v>GT Load [%]</v>
      </c>
      <c r="K356" s="526">
        <v>100</v>
      </c>
    </row>
    <row r="357" spans="1:50" s="260" customFormat="1" ht="17.25" customHeight="1">
      <c r="A357" s="525">
        <f t="shared" si="122"/>
        <v>10</v>
      </c>
      <c r="B357" s="136">
        <f t="shared" ca="1" si="124"/>
        <v>1</v>
      </c>
      <c r="C357" s="136">
        <f t="shared" ca="1" si="124"/>
        <v>1</v>
      </c>
      <c r="D357" s="136">
        <f t="shared" ca="1" si="124"/>
        <v>1</v>
      </c>
      <c r="E357" s="136">
        <f t="shared" ca="1" si="124"/>
        <v>1</v>
      </c>
      <c r="F357" s="136">
        <f t="shared" ca="1" si="124"/>
        <v>1</v>
      </c>
      <c r="G357" s="136">
        <f t="shared" ca="1" si="124"/>
        <v>1</v>
      </c>
      <c r="H357" s="134"/>
      <c r="I357" s="298"/>
      <c r="J357" s="66" t="str">
        <f>A353</f>
        <v>Ambient Temperature [C]</v>
      </c>
      <c r="K357" s="526">
        <v>5</v>
      </c>
    </row>
    <row r="358" spans="1:50" s="260" customFormat="1" ht="17.25" customHeight="1">
      <c r="A358" s="525">
        <f t="shared" si="122"/>
        <v>5</v>
      </c>
      <c r="B358" s="136">
        <f t="shared" ca="1" si="124"/>
        <v>1</v>
      </c>
      <c r="C358" s="136">
        <f t="shared" ca="1" si="124"/>
        <v>1</v>
      </c>
      <c r="D358" s="136">
        <f t="shared" ca="1" si="124"/>
        <v>1</v>
      </c>
      <c r="E358" s="136">
        <f t="shared" ca="1" si="124"/>
        <v>1</v>
      </c>
      <c r="F358" s="136">
        <f t="shared" ca="1" si="124"/>
        <v>1</v>
      </c>
      <c r="G358" s="136">
        <f t="shared" ca="1" si="124"/>
        <v>1</v>
      </c>
      <c r="H358" s="134"/>
      <c r="I358" s="298"/>
      <c r="J358" s="66" t="str">
        <f ca="1">CONCATENATE(INDIRECT(ADDRESS(B350,1))," [",OFFSET(INDIRECT(ADDRESS(B350,1)),0,1),"] ")</f>
        <v xml:space="preserve">Combustor steam injection flow (per GT) [t/h] </v>
      </c>
      <c r="K358" s="38">
        <f ca="1">(H361*K356+I361)*K357+K356*H362+I362</f>
        <v>1</v>
      </c>
    </row>
    <row r="359" spans="1:50" s="260" customFormat="1" ht="17.25" customHeight="1">
      <c r="A359" s="525">
        <f t="shared" si="122"/>
        <v>0</v>
      </c>
      <c r="B359" s="136">
        <f t="shared" ca="1" si="124"/>
        <v>1</v>
      </c>
      <c r="C359" s="136">
        <f t="shared" ca="1" si="124"/>
        <v>1</v>
      </c>
      <c r="D359" s="136">
        <f t="shared" ca="1" si="124"/>
        <v>1</v>
      </c>
      <c r="E359" s="136">
        <f t="shared" ca="1" si="124"/>
        <v>1</v>
      </c>
      <c r="F359" s="136">
        <f t="shared" ca="1" si="124"/>
        <v>1</v>
      </c>
      <c r="G359" s="136">
        <f t="shared" ca="1" si="124"/>
        <v>1</v>
      </c>
      <c r="H359" s="134"/>
      <c r="I359" s="298"/>
      <c r="J359" s="298"/>
    </row>
    <row r="360" spans="1:50" s="260" customFormat="1" ht="17.25" customHeight="1">
      <c r="A360" s="525">
        <f t="shared" si="122"/>
        <v>-5</v>
      </c>
      <c r="B360" s="136">
        <f t="shared" ca="1" si="124"/>
        <v>1</v>
      </c>
      <c r="C360" s="136">
        <f t="shared" ca="1" si="124"/>
        <v>1</v>
      </c>
      <c r="D360" s="136">
        <f t="shared" ca="1" si="124"/>
        <v>1</v>
      </c>
      <c r="E360" s="136">
        <f t="shared" ca="1" si="124"/>
        <v>1</v>
      </c>
      <c r="F360" s="136">
        <f t="shared" ca="1" si="124"/>
        <v>1</v>
      </c>
      <c r="G360" s="136">
        <f t="shared" ca="1" si="124"/>
        <v>1</v>
      </c>
      <c r="H360" s="40" t="s">
        <v>46</v>
      </c>
      <c r="I360" s="40" t="s">
        <v>59</v>
      </c>
      <c r="J360" s="40" t="s">
        <v>144</v>
      </c>
    </row>
    <row r="361" spans="1:50" s="260" customFormat="1" ht="17.25" customHeight="1">
      <c r="A361" s="39" t="s">
        <v>46</v>
      </c>
      <c r="B361" s="134">
        <f t="shared" ref="B361:G361" ca="1" si="125">SLOPE(B354:B360,$A$123:$A$129)</f>
        <v>0</v>
      </c>
      <c r="C361" s="134">
        <f t="shared" ca="1" si="125"/>
        <v>0</v>
      </c>
      <c r="D361" s="134">
        <f t="shared" ca="1" si="125"/>
        <v>0</v>
      </c>
      <c r="E361" s="134">
        <f t="shared" ca="1" si="125"/>
        <v>0</v>
      </c>
      <c r="F361" s="134">
        <f t="shared" ca="1" si="125"/>
        <v>0</v>
      </c>
      <c r="G361" s="134">
        <f t="shared" ca="1" si="125"/>
        <v>0</v>
      </c>
      <c r="H361" s="502">
        <f ca="1">SLOPE(B361:G361,B352:G352)</f>
        <v>0</v>
      </c>
      <c r="I361" s="502">
        <f ca="1">INTERCEPT(B361:G361,B352:G352)</f>
        <v>0</v>
      </c>
      <c r="J361" s="49" t="e">
        <f ca="1">CORREL(B361:G361,B352:G352)^2</f>
        <v>#DIV/0!</v>
      </c>
    </row>
    <row r="362" spans="1:50" s="260" customFormat="1" ht="17.25" customHeight="1">
      <c r="A362" s="39" t="s">
        <v>45</v>
      </c>
      <c r="B362" s="134">
        <f t="shared" ref="B362:G362" ca="1" si="126">INTERCEPT(B354:B360,$A$123:$A$129)</f>
        <v>1</v>
      </c>
      <c r="C362" s="134">
        <f t="shared" ca="1" si="126"/>
        <v>1</v>
      </c>
      <c r="D362" s="134">
        <f t="shared" ca="1" si="126"/>
        <v>1</v>
      </c>
      <c r="E362" s="134">
        <f t="shared" ca="1" si="126"/>
        <v>1</v>
      </c>
      <c r="F362" s="134">
        <f t="shared" ca="1" si="126"/>
        <v>1</v>
      </c>
      <c r="G362" s="134">
        <f t="shared" ca="1" si="126"/>
        <v>1</v>
      </c>
      <c r="H362" s="502">
        <f ca="1">SLOPE(B362:G362,B352:G352)</f>
        <v>0</v>
      </c>
      <c r="I362" s="502">
        <f ca="1">INTERCEPT(B362:G362,B352:G352)</f>
        <v>1</v>
      </c>
      <c r="J362" s="49" t="e">
        <f ca="1">CORREL(B362:G362,B352:G352)^2</f>
        <v>#DIV/0!</v>
      </c>
    </row>
    <row r="363" spans="1:50" s="260" customFormat="1" ht="17.25" customHeight="1">
      <c r="A363" s="39" t="s">
        <v>144</v>
      </c>
      <c r="B363" s="136" t="e">
        <f t="shared" ref="B363:G363" ca="1" si="127">CORREL(B354:B360,$A$93:$A$99)^2</f>
        <v>#DIV/0!</v>
      </c>
      <c r="C363" s="136" t="e">
        <f t="shared" ca="1" si="127"/>
        <v>#DIV/0!</v>
      </c>
      <c r="D363" s="136" t="e">
        <f t="shared" ca="1" si="127"/>
        <v>#DIV/0!</v>
      </c>
      <c r="E363" s="136" t="e">
        <f t="shared" ca="1" si="127"/>
        <v>#DIV/0!</v>
      </c>
      <c r="F363" s="136" t="e">
        <f t="shared" ca="1" si="127"/>
        <v>#DIV/0!</v>
      </c>
      <c r="G363" s="136" t="e">
        <f t="shared" ca="1" si="127"/>
        <v>#DIV/0!</v>
      </c>
      <c r="H363" s="298"/>
      <c r="I363" s="298"/>
      <c r="J363" s="298"/>
    </row>
    <row r="364" spans="1:50" s="222" customFormat="1" ht="17.25" customHeight="1"/>
    <row r="365" spans="1:50" s="533" customFormat="1" ht="17.25" customHeight="1" thickBot="1">
      <c r="A365" s="533" t="s">
        <v>527</v>
      </c>
    </row>
    <row r="366" spans="1:50" s="222" customFormat="1" ht="17.25" customHeight="1" thickTop="1">
      <c r="A366" s="78"/>
      <c r="B366" s="78"/>
      <c r="C366" s="78"/>
      <c r="D366" s="78"/>
      <c r="E366" s="78"/>
      <c r="F366" s="78"/>
      <c r="G366" s="78"/>
      <c r="H366" s="78"/>
      <c r="I366" s="78"/>
      <c r="J366" s="78"/>
      <c r="K366" s="78"/>
      <c r="L366" s="78"/>
      <c r="M366" s="78"/>
      <c r="N366" s="78"/>
      <c r="O366" s="78"/>
      <c r="P366" s="78"/>
      <c r="Q366" s="78"/>
      <c r="R366" s="78"/>
      <c r="S366" s="78"/>
      <c r="T366" s="78"/>
      <c r="U366" s="78"/>
      <c r="V366" s="78"/>
      <c r="W366" s="78"/>
      <c r="X366" s="78"/>
      <c r="Y366" s="78"/>
      <c r="Z366" s="78"/>
      <c r="AA366" s="78"/>
      <c r="AB366" s="14"/>
      <c r="AC366" s="14"/>
      <c r="AD366" s="78"/>
      <c r="AE366" s="78"/>
      <c r="AF366" s="78"/>
      <c r="AG366" s="78"/>
      <c r="AH366" s="78"/>
      <c r="AI366" s="314"/>
      <c r="AJ366" s="78"/>
    </row>
    <row r="367" spans="1:50" s="533" customFormat="1" ht="17.25" customHeight="1" thickBot="1">
      <c r="A367" s="533" t="s">
        <v>91</v>
      </c>
    </row>
    <row r="368" spans="1:50" ht="17.25" customHeight="1" thickTop="1">
      <c r="A368" s="33"/>
      <c r="B368" s="78"/>
      <c r="C368" s="28"/>
      <c r="D368" s="28"/>
      <c r="E368" s="28"/>
      <c r="F368" s="28"/>
      <c r="G368" s="28"/>
      <c r="H368" s="28"/>
      <c r="I368" s="28"/>
      <c r="J368" s="28"/>
      <c r="K368" s="28"/>
      <c r="L368" s="28"/>
      <c r="M368" s="28"/>
      <c r="N368" s="28"/>
      <c r="O368" s="78"/>
      <c r="P368" s="78"/>
      <c r="Q368" s="24"/>
      <c r="R368" s="24"/>
      <c r="S368" s="24"/>
      <c r="T368" s="24"/>
      <c r="U368" s="24"/>
      <c r="V368" s="24"/>
      <c r="W368" s="24"/>
      <c r="X368" s="24"/>
      <c r="Y368" s="24"/>
      <c r="Z368" s="24"/>
      <c r="AA368" s="24"/>
      <c r="AB368" s="193"/>
      <c r="AC368" s="14"/>
      <c r="AD368" s="78"/>
      <c r="AE368" s="78"/>
      <c r="AF368" s="78"/>
      <c r="AG368" s="78"/>
      <c r="AH368" s="78"/>
      <c r="AI368" s="314"/>
      <c r="AJ368" s="78"/>
      <c r="AK368" s="222"/>
      <c r="AL368" s="222"/>
      <c r="AM368" s="222"/>
      <c r="AN368" s="222"/>
      <c r="AO368" s="222"/>
      <c r="AP368" s="222"/>
      <c r="AQ368" s="222"/>
      <c r="AR368" s="222"/>
      <c r="AS368" s="222"/>
      <c r="AT368" s="222"/>
      <c r="AU368" s="222"/>
      <c r="AV368" s="222"/>
      <c r="AW368" s="222"/>
      <c r="AX368" s="222"/>
    </row>
    <row r="369" spans="1:50" ht="17.25" customHeight="1">
      <c r="A369" s="33"/>
      <c r="B369" s="78"/>
      <c r="C369" s="28"/>
      <c r="D369" s="28"/>
      <c r="E369" s="28"/>
      <c r="F369" s="28"/>
      <c r="G369" s="28"/>
      <c r="H369" s="28"/>
      <c r="I369" s="28"/>
      <c r="J369" s="28"/>
      <c r="K369" s="28"/>
      <c r="L369" s="28"/>
      <c r="M369" s="28"/>
      <c r="N369" s="28"/>
      <c r="O369" s="78"/>
      <c r="P369" s="78"/>
      <c r="Q369" s="24"/>
      <c r="R369" s="24"/>
      <c r="S369" s="24"/>
      <c r="T369" s="24"/>
      <c r="U369" s="24"/>
      <c r="V369" s="24"/>
      <c r="W369" s="24"/>
      <c r="X369" s="24"/>
      <c r="Y369" s="24"/>
      <c r="Z369" s="24"/>
      <c r="AA369" s="24"/>
      <c r="AB369" s="193"/>
      <c r="AC369" s="14"/>
      <c r="AD369" s="78"/>
      <c r="AE369" s="78"/>
      <c r="AF369" s="78"/>
      <c r="AG369" s="78"/>
      <c r="AH369" s="78"/>
      <c r="AI369" s="314"/>
      <c r="AJ369" s="78"/>
      <c r="AK369" s="222"/>
      <c r="AL369" s="222"/>
      <c r="AM369" s="222"/>
      <c r="AN369" s="222"/>
      <c r="AO369" s="222"/>
      <c r="AP369" s="222"/>
      <c r="AQ369" s="222"/>
      <c r="AR369" s="222"/>
      <c r="AS369" s="222"/>
      <c r="AT369" s="222"/>
      <c r="AU369" s="222"/>
      <c r="AV369" s="222"/>
      <c r="AW369" s="222"/>
      <c r="AX369" s="222"/>
    </row>
    <row r="370" spans="1:50" ht="17.25" customHeight="1">
      <c r="A370" s="33"/>
      <c r="B370" s="78"/>
      <c r="C370" s="28"/>
      <c r="D370" s="28"/>
      <c r="E370" s="28"/>
      <c r="F370" s="28"/>
      <c r="G370" s="28"/>
      <c r="H370" s="28"/>
      <c r="I370" s="28"/>
      <c r="J370" s="28"/>
      <c r="K370" s="28"/>
      <c r="L370" s="28"/>
      <c r="M370" s="28"/>
      <c r="N370" s="28"/>
      <c r="O370" s="78"/>
      <c r="P370" s="78"/>
      <c r="Q370" s="24"/>
      <c r="R370" s="24"/>
      <c r="S370" s="24"/>
      <c r="T370" s="24"/>
      <c r="U370" s="24"/>
      <c r="V370" s="24"/>
      <c r="W370" s="24"/>
      <c r="X370" s="24"/>
      <c r="Y370" s="24"/>
      <c r="Z370" s="24"/>
      <c r="AA370" s="24"/>
      <c r="AB370" s="193"/>
      <c r="AC370" s="14"/>
      <c r="AD370" s="78"/>
      <c r="AE370" s="78"/>
      <c r="AF370" s="78"/>
      <c r="AG370" s="78"/>
      <c r="AH370" s="78"/>
      <c r="AI370" s="314"/>
      <c r="AJ370" s="78"/>
    </row>
    <row r="371" spans="1:50" ht="17.25" customHeight="1">
      <c r="A371" s="33"/>
      <c r="B371" s="78"/>
      <c r="C371" s="28"/>
      <c r="D371" s="28"/>
      <c r="E371" s="28"/>
      <c r="F371" s="28"/>
      <c r="G371" s="28"/>
      <c r="H371" s="28"/>
      <c r="I371" s="28"/>
      <c r="J371" s="28"/>
      <c r="K371" s="28"/>
      <c r="L371" s="28"/>
      <c r="M371" s="28"/>
      <c r="N371" s="28"/>
      <c r="O371" s="78"/>
      <c r="P371" s="78"/>
      <c r="Q371" s="24"/>
      <c r="R371" s="24"/>
      <c r="S371" s="24"/>
      <c r="T371" s="24"/>
      <c r="U371" s="24"/>
      <c r="V371" s="24"/>
      <c r="W371" s="24"/>
      <c r="X371" s="24"/>
      <c r="Y371" s="24"/>
      <c r="Z371" s="24"/>
      <c r="AA371" s="24"/>
      <c r="AB371" s="193"/>
      <c r="AC371" s="14"/>
      <c r="AD371" s="78"/>
      <c r="AE371" s="78"/>
      <c r="AF371" s="78"/>
      <c r="AG371" s="78"/>
      <c r="AH371" s="78"/>
      <c r="AI371" s="314"/>
      <c r="AJ371" s="78"/>
    </row>
    <row r="372" spans="1:50" ht="17.25" customHeight="1">
      <c r="A372" s="33"/>
      <c r="B372" s="78"/>
      <c r="C372" s="28"/>
      <c r="D372" s="28"/>
      <c r="E372" s="28"/>
      <c r="F372" s="28"/>
      <c r="G372" s="28"/>
      <c r="H372" s="28"/>
      <c r="I372" s="28"/>
      <c r="J372" s="28"/>
      <c r="K372" s="28"/>
      <c r="L372" s="28"/>
      <c r="M372" s="28"/>
      <c r="N372" s="28"/>
      <c r="O372" s="78"/>
      <c r="P372" s="78"/>
      <c r="Q372" s="24"/>
      <c r="R372" s="24"/>
      <c r="S372" s="24"/>
      <c r="T372" s="24"/>
      <c r="U372" s="24"/>
      <c r="V372" s="24"/>
      <c r="W372" s="24"/>
      <c r="X372" s="24"/>
      <c r="Y372" s="24"/>
      <c r="Z372" s="24"/>
      <c r="AA372" s="24"/>
      <c r="AB372" s="193"/>
      <c r="AC372" s="14"/>
      <c r="AD372" s="78"/>
      <c r="AE372" s="78"/>
      <c r="AF372" s="78"/>
      <c r="AG372" s="78"/>
      <c r="AH372" s="78"/>
      <c r="AI372" s="314"/>
      <c r="AJ372" s="78"/>
    </row>
    <row r="373" spans="1:50" ht="17.25" customHeight="1">
      <c r="A373" s="33"/>
      <c r="B373" s="78"/>
      <c r="C373" s="28"/>
      <c r="D373" s="28"/>
      <c r="E373" s="28"/>
      <c r="F373" s="28"/>
      <c r="G373" s="28"/>
      <c r="H373" s="28"/>
      <c r="I373" s="28"/>
      <c r="J373" s="28"/>
      <c r="K373" s="28"/>
      <c r="L373" s="28"/>
      <c r="M373" s="28"/>
      <c r="N373" s="28"/>
      <c r="O373" s="78"/>
      <c r="P373" s="78"/>
      <c r="Q373" s="24"/>
      <c r="R373" s="24"/>
      <c r="S373" s="24"/>
      <c r="T373" s="24"/>
      <c r="U373" s="24"/>
      <c r="V373" s="24"/>
      <c r="W373" s="24"/>
      <c r="X373" s="24"/>
      <c r="Y373" s="24"/>
      <c r="Z373" s="24"/>
      <c r="AA373" s="24"/>
      <c r="AB373" s="193"/>
      <c r="AC373" s="14"/>
      <c r="AD373" s="78"/>
      <c r="AE373" s="78"/>
      <c r="AF373" s="78"/>
      <c r="AG373" s="78"/>
      <c r="AH373" s="78"/>
      <c r="AI373" s="314"/>
      <c r="AJ373" s="78"/>
    </row>
    <row r="374" spans="1:50" ht="17.25" customHeight="1">
      <c r="A374" s="33"/>
      <c r="B374" s="78"/>
      <c r="C374" s="28"/>
      <c r="D374" s="28"/>
      <c r="E374" s="28"/>
      <c r="F374" s="28"/>
      <c r="G374" s="28"/>
      <c r="H374" s="28"/>
      <c r="I374" s="28"/>
      <c r="J374" s="28"/>
      <c r="K374" s="28"/>
      <c r="L374" s="28"/>
      <c r="M374" s="28"/>
      <c r="N374" s="28"/>
      <c r="O374" s="78"/>
      <c r="P374" s="78"/>
      <c r="Q374" s="24"/>
      <c r="R374" s="24"/>
      <c r="S374" s="24"/>
      <c r="T374" s="24"/>
      <c r="U374" s="24"/>
      <c r="V374" s="24"/>
      <c r="W374" s="24"/>
      <c r="X374" s="24"/>
      <c r="Y374" s="24"/>
      <c r="Z374" s="24"/>
      <c r="AA374" s="24"/>
      <c r="AB374" s="193"/>
      <c r="AC374" s="14"/>
      <c r="AD374" s="78"/>
      <c r="AE374" s="78"/>
      <c r="AF374" s="78"/>
      <c r="AG374" s="78"/>
      <c r="AH374" s="78"/>
      <c r="AI374" s="314"/>
      <c r="AJ374" s="78"/>
    </row>
    <row r="375" spans="1:50" ht="17.25" customHeight="1">
      <c r="A375" s="33"/>
      <c r="B375" s="78"/>
      <c r="C375" s="28"/>
      <c r="D375" s="28"/>
      <c r="E375" s="28"/>
      <c r="F375" s="28"/>
      <c r="G375" s="28"/>
      <c r="H375" s="28"/>
      <c r="I375" s="28"/>
      <c r="J375" s="28"/>
      <c r="K375" s="28"/>
      <c r="L375" s="28"/>
      <c r="M375" s="28"/>
      <c r="N375" s="28"/>
      <c r="O375" s="78"/>
      <c r="P375" s="78"/>
      <c r="Q375" s="24"/>
      <c r="R375" s="24"/>
      <c r="S375" s="24"/>
      <c r="T375" s="24"/>
      <c r="U375" s="24"/>
      <c r="V375" s="24"/>
      <c r="W375" s="24"/>
      <c r="X375" s="24"/>
      <c r="Y375" s="24"/>
      <c r="Z375" s="24"/>
      <c r="AA375" s="24"/>
      <c r="AB375" s="193"/>
      <c r="AC375" s="14"/>
      <c r="AD375" s="78"/>
      <c r="AE375" s="78"/>
      <c r="AF375" s="78"/>
      <c r="AG375" s="78"/>
      <c r="AH375" s="78"/>
      <c r="AI375" s="314"/>
      <c r="AJ375" s="78"/>
    </row>
    <row r="376" spans="1:50" ht="17.25" customHeight="1">
      <c r="A376" s="33"/>
      <c r="B376" s="78"/>
      <c r="C376" s="28"/>
      <c r="D376" s="28"/>
      <c r="E376" s="28"/>
      <c r="F376" s="28"/>
      <c r="G376" s="28"/>
      <c r="H376" s="28"/>
      <c r="I376" s="28"/>
      <c r="J376" s="28"/>
      <c r="K376" s="28"/>
      <c r="L376" s="28"/>
      <c r="M376" s="28"/>
      <c r="N376" s="28"/>
      <c r="O376" s="78"/>
      <c r="P376" s="78"/>
      <c r="Q376" s="24"/>
      <c r="R376" s="24"/>
      <c r="S376" s="24"/>
      <c r="T376" s="24"/>
      <c r="U376" s="24"/>
      <c r="V376" s="24"/>
      <c r="W376" s="24"/>
      <c r="X376" s="24"/>
      <c r="Y376" s="24"/>
      <c r="Z376" s="24"/>
      <c r="AA376" s="24"/>
      <c r="AB376" s="193"/>
      <c r="AC376" s="14"/>
      <c r="AD376" s="78"/>
      <c r="AE376" s="78"/>
      <c r="AF376" s="78"/>
      <c r="AG376" s="78"/>
      <c r="AH376" s="78"/>
      <c r="AI376" s="314"/>
      <c r="AJ376" s="78"/>
    </row>
    <row r="377" spans="1:50" ht="17.25" customHeight="1">
      <c r="A377" s="33"/>
      <c r="B377" s="78"/>
      <c r="C377" s="28"/>
      <c r="D377" s="28"/>
      <c r="E377" s="28"/>
      <c r="F377" s="28"/>
      <c r="G377" s="28"/>
      <c r="H377" s="28"/>
      <c r="I377" s="28"/>
      <c r="J377" s="28"/>
      <c r="K377" s="28"/>
      <c r="L377" s="28"/>
      <c r="M377" s="28"/>
      <c r="N377" s="28"/>
      <c r="O377" s="78"/>
      <c r="P377" s="78"/>
      <c r="Q377" s="24"/>
      <c r="R377" s="24"/>
      <c r="S377" s="24"/>
      <c r="T377" s="24"/>
      <c r="U377" s="24"/>
      <c r="V377" s="24"/>
      <c r="W377" s="24"/>
      <c r="X377" s="24"/>
      <c r="Y377" s="24"/>
      <c r="Z377" s="24"/>
      <c r="AA377" s="24"/>
      <c r="AB377" s="193"/>
      <c r="AC377" s="14"/>
      <c r="AD377" s="78"/>
      <c r="AE377" s="78"/>
      <c r="AF377" s="78"/>
      <c r="AG377" s="78"/>
      <c r="AH377" s="78"/>
      <c r="AI377" s="314"/>
      <c r="AJ377" s="78"/>
    </row>
    <row r="378" spans="1:50" ht="17.25" customHeight="1">
      <c r="A378" s="33"/>
      <c r="B378" s="78"/>
      <c r="C378" s="28"/>
      <c r="D378" s="28"/>
      <c r="E378" s="28"/>
      <c r="F378" s="28"/>
      <c r="G378" s="28"/>
      <c r="H378" s="28"/>
      <c r="I378" s="28"/>
      <c r="J378" s="28"/>
      <c r="K378" s="28"/>
      <c r="L378" s="28"/>
      <c r="M378" s="28"/>
      <c r="N378" s="28"/>
      <c r="O378" s="78"/>
      <c r="P378" s="78"/>
      <c r="Q378" s="24"/>
      <c r="R378" s="24"/>
      <c r="S378" s="24"/>
      <c r="T378" s="24"/>
      <c r="U378" s="24"/>
      <c r="V378" s="24"/>
      <c r="W378" s="24"/>
      <c r="X378" s="24"/>
      <c r="Y378" s="24"/>
      <c r="Z378" s="24"/>
      <c r="AA378" s="24"/>
      <c r="AB378" s="193"/>
      <c r="AC378" s="14"/>
      <c r="AD378" s="78"/>
      <c r="AE378" s="78"/>
      <c r="AF378" s="78"/>
      <c r="AG378" s="78"/>
      <c r="AH378" s="78"/>
      <c r="AI378" s="314"/>
      <c r="AJ378" s="78"/>
    </row>
    <row r="379" spans="1:50" ht="17.25" customHeight="1">
      <c r="A379" s="33"/>
      <c r="B379" s="78"/>
      <c r="C379" s="28"/>
      <c r="D379" s="28"/>
      <c r="E379" s="28"/>
      <c r="F379" s="28"/>
      <c r="G379" s="28"/>
      <c r="H379" s="28"/>
      <c r="I379" s="28"/>
      <c r="J379" s="28"/>
      <c r="K379" s="28"/>
      <c r="L379" s="28"/>
      <c r="M379" s="28"/>
      <c r="N379" s="28"/>
      <c r="O379" s="78"/>
      <c r="P379" s="78"/>
      <c r="Q379" s="24"/>
      <c r="R379" s="24"/>
      <c r="S379" s="24"/>
      <c r="T379" s="24"/>
      <c r="U379" s="24"/>
      <c r="V379" s="24"/>
      <c r="W379" s="24"/>
      <c r="X379" s="24"/>
      <c r="Y379" s="24"/>
      <c r="Z379" s="24"/>
      <c r="AA379" s="24"/>
      <c r="AB379" s="193"/>
      <c r="AC379" s="14"/>
      <c r="AD379" s="78"/>
      <c r="AE379" s="78"/>
      <c r="AF379" s="78"/>
      <c r="AG379" s="78"/>
      <c r="AH379" s="78"/>
      <c r="AI379" s="314"/>
      <c r="AJ379" s="78"/>
    </row>
    <row r="380" spans="1:50" ht="17.25" customHeight="1">
      <c r="A380" s="33"/>
      <c r="B380" s="78"/>
      <c r="C380" s="28"/>
      <c r="D380" s="28"/>
      <c r="E380" s="28"/>
      <c r="F380" s="28"/>
      <c r="G380" s="28"/>
      <c r="H380" s="28"/>
      <c r="I380" s="28"/>
      <c r="J380" s="28"/>
      <c r="K380" s="28"/>
      <c r="L380" s="28"/>
      <c r="M380" s="28"/>
      <c r="N380" s="28"/>
      <c r="O380" s="78"/>
      <c r="P380" s="78"/>
      <c r="Q380" s="24"/>
      <c r="R380" s="24"/>
      <c r="S380" s="24"/>
      <c r="T380" s="24"/>
      <c r="U380" s="24"/>
      <c r="V380" s="24"/>
      <c r="W380" s="24"/>
      <c r="X380" s="24"/>
      <c r="Y380" s="24"/>
      <c r="Z380" s="24"/>
      <c r="AA380" s="24"/>
      <c r="AB380" s="193"/>
      <c r="AC380" s="14"/>
      <c r="AD380" s="78"/>
      <c r="AE380" s="78"/>
      <c r="AF380" s="78"/>
      <c r="AG380" s="78"/>
      <c r="AH380" s="78"/>
      <c r="AI380" s="314"/>
      <c r="AJ380" s="78"/>
    </row>
    <row r="381" spans="1:50" ht="17.25" customHeight="1">
      <c r="A381" s="33"/>
      <c r="B381" s="78"/>
      <c r="C381" s="28"/>
      <c r="D381" s="28"/>
      <c r="E381" s="28"/>
      <c r="F381" s="28"/>
      <c r="G381" s="28"/>
      <c r="H381" s="28"/>
      <c r="I381" s="28"/>
      <c r="J381" s="28"/>
      <c r="K381" s="28"/>
      <c r="L381" s="28"/>
      <c r="M381" s="28"/>
      <c r="N381" s="28"/>
      <c r="O381" s="78"/>
      <c r="P381" s="78"/>
      <c r="Q381" s="24"/>
      <c r="R381" s="24"/>
      <c r="S381" s="24"/>
      <c r="T381" s="24"/>
      <c r="U381" s="24"/>
      <c r="V381" s="24"/>
      <c r="W381" s="24"/>
      <c r="X381" s="24"/>
      <c r="Y381" s="24"/>
      <c r="Z381" s="24"/>
      <c r="AA381" s="24"/>
      <c r="AB381" s="193"/>
      <c r="AC381" s="14"/>
      <c r="AD381" s="78"/>
      <c r="AE381" s="78"/>
      <c r="AF381" s="78"/>
      <c r="AG381" s="78"/>
      <c r="AH381" s="78"/>
      <c r="AI381" s="314"/>
      <c r="AJ381" s="78"/>
    </row>
    <row r="382" spans="1:50" ht="17.25" customHeight="1">
      <c r="A382" s="33"/>
      <c r="B382" s="78"/>
      <c r="C382" s="28"/>
      <c r="D382" s="28"/>
      <c r="E382" s="28"/>
      <c r="F382" s="28"/>
      <c r="G382" s="28"/>
      <c r="H382" s="28"/>
      <c r="I382" s="28"/>
      <c r="J382" s="28"/>
      <c r="K382" s="28"/>
      <c r="L382" s="28"/>
      <c r="M382" s="28"/>
      <c r="N382" s="28"/>
      <c r="O382" s="78"/>
      <c r="P382" s="78"/>
      <c r="Q382" s="24"/>
      <c r="R382" s="24"/>
      <c r="S382" s="24"/>
      <c r="T382" s="24"/>
      <c r="U382" s="24"/>
      <c r="V382" s="24"/>
      <c r="W382" s="24"/>
      <c r="X382" s="24"/>
      <c r="Y382" s="24"/>
      <c r="Z382" s="24"/>
      <c r="AA382" s="24"/>
      <c r="AB382" s="193"/>
      <c r="AC382" s="14"/>
      <c r="AD382" s="78"/>
      <c r="AE382" s="78"/>
      <c r="AF382" s="78"/>
      <c r="AG382" s="78"/>
      <c r="AH382" s="78"/>
      <c r="AI382" s="314"/>
      <c r="AJ382" s="78"/>
    </row>
    <row r="383" spans="1:50" ht="17.25" customHeight="1">
      <c r="A383" s="33"/>
      <c r="B383" s="78"/>
      <c r="C383" s="28"/>
      <c r="D383" s="28"/>
      <c r="E383" s="28"/>
      <c r="F383" s="28"/>
      <c r="G383" s="28"/>
      <c r="H383" s="28"/>
      <c r="I383" s="28"/>
      <c r="J383" s="28"/>
      <c r="K383" s="28"/>
      <c r="L383" s="28"/>
      <c r="M383" s="28"/>
      <c r="N383" s="28"/>
      <c r="O383" s="78"/>
      <c r="P383" s="78"/>
      <c r="Q383" s="24"/>
      <c r="R383" s="24"/>
      <c r="S383" s="24"/>
      <c r="T383" s="24"/>
      <c r="U383" s="24"/>
      <c r="V383" s="24"/>
      <c r="W383" s="24"/>
      <c r="X383" s="24"/>
      <c r="Y383" s="24"/>
      <c r="Z383" s="24"/>
      <c r="AA383" s="24"/>
      <c r="AB383" s="193"/>
      <c r="AC383" s="14"/>
      <c r="AD383" s="78"/>
      <c r="AE383" s="78"/>
      <c r="AF383" s="78"/>
      <c r="AG383" s="78"/>
      <c r="AH383" s="78"/>
      <c r="AI383" s="314"/>
      <c r="AJ383" s="78"/>
    </row>
    <row r="384" spans="1:50" ht="17.25" customHeight="1">
      <c r="A384" s="33"/>
      <c r="B384" s="78"/>
      <c r="C384" s="28"/>
      <c r="D384" s="28"/>
      <c r="E384" s="28"/>
      <c r="F384" s="28"/>
      <c r="G384" s="28"/>
      <c r="H384" s="28"/>
      <c r="I384" s="28"/>
      <c r="J384" s="28"/>
      <c r="K384" s="28"/>
      <c r="L384" s="28"/>
      <c r="M384" s="28"/>
      <c r="N384" s="28"/>
      <c r="O384" s="78"/>
      <c r="P384" s="78"/>
      <c r="Q384" s="24"/>
      <c r="R384" s="24"/>
      <c r="S384" s="24"/>
      <c r="T384" s="24"/>
      <c r="U384" s="24"/>
      <c r="V384" s="24"/>
      <c r="W384" s="24"/>
      <c r="X384" s="24"/>
      <c r="Y384" s="24"/>
      <c r="Z384" s="24"/>
      <c r="AA384" s="24"/>
      <c r="AB384" s="193"/>
      <c r="AC384" s="14"/>
      <c r="AD384" s="78"/>
      <c r="AE384" s="78"/>
      <c r="AF384" s="78"/>
      <c r="AG384" s="78"/>
      <c r="AH384" s="78"/>
      <c r="AI384" s="314"/>
      <c r="AJ384" s="78"/>
    </row>
    <row r="385" spans="1:36" ht="17.25" customHeight="1">
      <c r="A385" s="33"/>
      <c r="B385" s="78"/>
      <c r="C385" s="28"/>
      <c r="D385" s="28"/>
      <c r="E385" s="28"/>
      <c r="F385" s="28"/>
      <c r="G385" s="28"/>
      <c r="H385" s="28"/>
      <c r="I385" s="28"/>
      <c r="J385" s="28"/>
      <c r="K385" s="28"/>
      <c r="L385" s="28"/>
      <c r="M385" s="28"/>
      <c r="N385" s="28"/>
      <c r="O385" s="78"/>
      <c r="P385" s="78"/>
      <c r="Q385" s="24"/>
      <c r="R385" s="24"/>
      <c r="S385" s="24"/>
      <c r="T385" s="24"/>
      <c r="U385" s="24"/>
      <c r="V385" s="24"/>
      <c r="W385" s="24"/>
      <c r="X385" s="24"/>
      <c r="Y385" s="24"/>
      <c r="Z385" s="24"/>
      <c r="AA385" s="24"/>
      <c r="AB385" s="193"/>
      <c r="AC385" s="14"/>
      <c r="AD385" s="78"/>
      <c r="AE385" s="78"/>
      <c r="AF385" s="78"/>
      <c r="AG385" s="78"/>
      <c r="AH385" s="78"/>
      <c r="AI385" s="314"/>
      <c r="AJ385" s="78"/>
    </row>
    <row r="386" spans="1:36" ht="17.25" customHeight="1">
      <c r="A386" s="33"/>
      <c r="B386" s="78"/>
      <c r="C386" s="28"/>
      <c r="D386" s="28"/>
      <c r="E386" s="28"/>
      <c r="F386" s="28"/>
      <c r="G386" s="28"/>
      <c r="H386" s="28"/>
      <c r="I386" s="28"/>
      <c r="J386" s="28"/>
      <c r="K386" s="28"/>
      <c r="L386" s="28"/>
      <c r="M386" s="28"/>
      <c r="N386" s="28"/>
      <c r="O386" s="78"/>
      <c r="P386" s="78"/>
      <c r="Q386" s="24"/>
      <c r="R386" s="24"/>
      <c r="S386" s="24"/>
      <c r="T386" s="24"/>
      <c r="U386" s="24"/>
      <c r="V386" s="24"/>
      <c r="W386" s="24"/>
      <c r="X386" s="24"/>
      <c r="Y386" s="24"/>
      <c r="Z386" s="24"/>
      <c r="AA386" s="24"/>
      <c r="AB386" s="193"/>
      <c r="AC386" s="14"/>
      <c r="AD386" s="78"/>
      <c r="AE386" s="78"/>
      <c r="AF386" s="78"/>
      <c r="AG386" s="78"/>
      <c r="AH386" s="78"/>
      <c r="AI386" s="314"/>
      <c r="AJ386" s="78"/>
    </row>
    <row r="387" spans="1:36" ht="17.25" customHeight="1">
      <c r="A387" s="33"/>
      <c r="B387" s="78"/>
      <c r="C387" s="28"/>
      <c r="D387" s="28"/>
      <c r="E387" s="28"/>
      <c r="F387" s="28"/>
      <c r="G387" s="28"/>
      <c r="H387" s="28"/>
      <c r="I387" s="28"/>
      <c r="J387" s="28"/>
      <c r="K387" s="28"/>
      <c r="L387" s="28"/>
      <c r="M387" s="28"/>
      <c r="N387" s="28"/>
      <c r="O387" s="78"/>
      <c r="P387" s="78"/>
      <c r="Q387" s="24"/>
      <c r="R387" s="24"/>
      <c r="S387" s="24"/>
      <c r="T387" s="24"/>
      <c r="U387" s="24"/>
      <c r="V387" s="24"/>
      <c r="W387" s="24"/>
      <c r="X387" s="24"/>
      <c r="Y387" s="24"/>
      <c r="Z387" s="24"/>
      <c r="AA387" s="24"/>
      <c r="AB387" s="193"/>
      <c r="AC387" s="14"/>
      <c r="AD387" s="78"/>
      <c r="AE387" s="78"/>
      <c r="AF387" s="78"/>
      <c r="AG387" s="78"/>
      <c r="AH387" s="78"/>
      <c r="AI387" s="314"/>
      <c r="AJ387" s="78"/>
    </row>
    <row r="388" spans="1:36" ht="17.25" customHeight="1">
      <c r="A388" s="33"/>
      <c r="B388" s="78"/>
      <c r="C388" s="28"/>
      <c r="D388" s="28"/>
      <c r="E388" s="28"/>
      <c r="F388" s="28"/>
      <c r="G388" s="28"/>
      <c r="H388" s="28"/>
      <c r="I388" s="28"/>
      <c r="J388" s="28"/>
      <c r="K388" s="28"/>
      <c r="L388" s="28"/>
      <c r="M388" s="28"/>
      <c r="N388" s="28"/>
      <c r="O388" s="78"/>
      <c r="P388" s="78"/>
      <c r="Q388" s="24"/>
      <c r="R388" s="24"/>
      <c r="S388" s="24"/>
      <c r="T388" s="24"/>
      <c r="U388" s="24"/>
      <c r="V388" s="24"/>
      <c r="W388" s="24"/>
      <c r="X388" s="24"/>
      <c r="Y388" s="24"/>
      <c r="Z388" s="24"/>
      <c r="AA388" s="24"/>
      <c r="AB388" s="193"/>
      <c r="AC388" s="14"/>
      <c r="AD388" s="78"/>
      <c r="AE388" s="78"/>
      <c r="AF388" s="78"/>
      <c r="AG388" s="78"/>
      <c r="AH388" s="78"/>
      <c r="AI388" s="314"/>
      <c r="AJ388" s="78"/>
    </row>
    <row r="389" spans="1:36" ht="17.25" customHeight="1">
      <c r="A389" s="33"/>
      <c r="B389" s="78"/>
      <c r="C389" s="28"/>
      <c r="D389" s="28"/>
      <c r="E389" s="28"/>
      <c r="F389" s="28"/>
      <c r="G389" s="28"/>
      <c r="H389" s="28"/>
      <c r="I389" s="28"/>
      <c r="J389" s="28"/>
      <c r="K389" s="28"/>
      <c r="L389" s="28"/>
      <c r="M389" s="28"/>
      <c r="N389" s="28"/>
      <c r="O389" s="78"/>
      <c r="P389" s="78"/>
      <c r="Q389" s="24"/>
      <c r="R389" s="24"/>
      <c r="S389" s="24"/>
      <c r="T389" s="24"/>
      <c r="U389" s="24"/>
      <c r="V389" s="24"/>
      <c r="W389" s="24"/>
      <c r="X389" s="24"/>
      <c r="Y389" s="24"/>
      <c r="Z389" s="24"/>
      <c r="AA389" s="24"/>
      <c r="AB389" s="193"/>
      <c r="AC389" s="14"/>
      <c r="AD389" s="78"/>
      <c r="AE389" s="78"/>
      <c r="AF389" s="78"/>
      <c r="AG389" s="78"/>
      <c r="AH389" s="78"/>
      <c r="AI389" s="314"/>
      <c r="AJ389" s="78"/>
    </row>
    <row r="390" spans="1:36" ht="17.25" customHeight="1">
      <c r="A390" s="33"/>
      <c r="B390" s="78"/>
      <c r="C390" s="28"/>
      <c r="D390" s="28"/>
      <c r="E390" s="28"/>
      <c r="F390" s="28"/>
      <c r="G390" s="28"/>
      <c r="H390" s="28"/>
      <c r="I390" s="28"/>
      <c r="J390" s="28"/>
      <c r="K390" s="28"/>
      <c r="L390" s="28"/>
      <c r="M390" s="28"/>
      <c r="N390" s="28"/>
      <c r="O390" s="78"/>
      <c r="P390" s="78"/>
      <c r="Q390" s="24"/>
      <c r="R390" s="24"/>
      <c r="S390" s="24"/>
      <c r="T390" s="24"/>
      <c r="U390" s="24"/>
      <c r="V390" s="24"/>
      <c r="W390" s="24"/>
      <c r="X390" s="24"/>
      <c r="Y390" s="24"/>
      <c r="Z390" s="24"/>
      <c r="AA390" s="24"/>
      <c r="AB390" s="193"/>
      <c r="AC390" s="14"/>
      <c r="AD390" s="78"/>
      <c r="AE390" s="78"/>
      <c r="AF390" s="78"/>
      <c r="AG390" s="188"/>
      <c r="AH390" s="188"/>
      <c r="AI390" s="314"/>
      <c r="AJ390" s="188"/>
    </row>
    <row r="391" spans="1:36" ht="17.25" customHeight="1">
      <c r="A391" s="135"/>
      <c r="B391" s="177" t="s">
        <v>74</v>
      </c>
      <c r="C391" s="126">
        <v>0</v>
      </c>
      <c r="D391" s="126">
        <v>10000</v>
      </c>
      <c r="E391" s="126">
        <v>20000</v>
      </c>
      <c r="F391" s="126">
        <v>30000</v>
      </c>
      <c r="G391" s="126">
        <v>40000</v>
      </c>
      <c r="H391" s="126">
        <v>50000</v>
      </c>
      <c r="I391" s="126">
        <v>60000</v>
      </c>
      <c r="J391" s="126">
        <v>70000</v>
      </c>
      <c r="K391" s="126">
        <v>80000</v>
      </c>
      <c r="L391" s="4"/>
      <c r="M391" s="4"/>
      <c r="N391" s="4"/>
      <c r="O391" s="27"/>
      <c r="P391" s="53" t="s">
        <v>408</v>
      </c>
      <c r="Q391" s="27"/>
      <c r="R391" s="70"/>
      <c r="S391" s="27"/>
      <c r="T391" s="27"/>
      <c r="U391" s="27"/>
      <c r="V391" s="27"/>
      <c r="W391" s="27"/>
      <c r="X391" s="27"/>
      <c r="Y391" s="27"/>
      <c r="Z391" s="27"/>
      <c r="AA391" s="27"/>
      <c r="AB391" s="14"/>
      <c r="AC391" s="14"/>
      <c r="AD391" s="27"/>
      <c r="AE391" s="27"/>
      <c r="AF391" s="27"/>
      <c r="AG391" s="188"/>
      <c r="AH391" s="188"/>
      <c r="AI391" s="314"/>
      <c r="AJ391" s="188"/>
    </row>
    <row r="392" spans="1:36" ht="17.25" customHeight="1">
      <c r="A392" s="135"/>
      <c r="B392" s="177" t="s">
        <v>143</v>
      </c>
      <c r="C392" s="17">
        <f t="shared" ref="C392:K392" si="128">C391*0.0004535924</f>
        <v>0</v>
      </c>
      <c r="D392" s="17">
        <f t="shared" si="128"/>
        <v>4.5359239999999996</v>
      </c>
      <c r="E392" s="17">
        <f t="shared" si="128"/>
        <v>9.0718479999999992</v>
      </c>
      <c r="F392" s="17">
        <f t="shared" si="128"/>
        <v>13.607771999999999</v>
      </c>
      <c r="G392" s="17">
        <f t="shared" si="128"/>
        <v>18.143695999999998</v>
      </c>
      <c r="H392" s="17">
        <f t="shared" si="128"/>
        <v>22.67962</v>
      </c>
      <c r="I392" s="17">
        <f t="shared" si="128"/>
        <v>27.215543999999998</v>
      </c>
      <c r="J392" s="17">
        <f t="shared" si="128"/>
        <v>31.751467999999999</v>
      </c>
      <c r="K392" s="17">
        <f t="shared" si="128"/>
        <v>36.287391999999997</v>
      </c>
      <c r="L392" s="4"/>
      <c r="M392" s="17"/>
      <c r="N392" s="4"/>
      <c r="O392" s="27"/>
      <c r="P392" s="188" t="s">
        <v>396</v>
      </c>
      <c r="Q392" s="27"/>
      <c r="R392" s="27"/>
      <c r="S392" s="27"/>
      <c r="T392" s="27"/>
      <c r="U392" s="27"/>
      <c r="V392" s="27"/>
      <c r="W392" s="27"/>
      <c r="X392" s="27"/>
      <c r="Y392" s="27"/>
      <c r="Z392" s="27"/>
      <c r="AA392" s="27"/>
      <c r="AB392" s="14"/>
      <c r="AC392" s="14"/>
      <c r="AD392" s="27"/>
      <c r="AE392" s="27"/>
      <c r="AF392" s="27"/>
      <c r="AG392" s="188"/>
      <c r="AH392" s="188"/>
      <c r="AI392" s="314"/>
      <c r="AJ392" s="188"/>
    </row>
    <row r="393" spans="1:36" ht="17.25" customHeight="1">
      <c r="A393" s="177" t="s">
        <v>153</v>
      </c>
      <c r="B393" s="177" t="s">
        <v>143</v>
      </c>
      <c r="C393" s="4" t="s">
        <v>75</v>
      </c>
      <c r="D393" s="4" t="str">
        <f t="shared" ref="D393:J393" si="129">C393</f>
        <v>[kW]</v>
      </c>
      <c r="E393" s="4" t="str">
        <f t="shared" si="129"/>
        <v>[kW]</v>
      </c>
      <c r="F393" s="4" t="str">
        <f t="shared" si="129"/>
        <v>[kW]</v>
      </c>
      <c r="G393" s="4" t="str">
        <f t="shared" si="129"/>
        <v>[kW]</v>
      </c>
      <c r="H393" s="4" t="str">
        <f t="shared" si="129"/>
        <v>[kW]</v>
      </c>
      <c r="I393" s="4" t="str">
        <f t="shared" si="129"/>
        <v>[kW]</v>
      </c>
      <c r="J393" s="4" t="str">
        <f t="shared" si="129"/>
        <v>[kW]</v>
      </c>
      <c r="K393" s="4"/>
      <c r="L393" s="4"/>
      <c r="M393" s="4"/>
      <c r="N393" s="4"/>
      <c r="O393" s="27"/>
      <c r="P393" s="188" t="s">
        <v>409</v>
      </c>
      <c r="Q393" s="27"/>
      <c r="R393" s="27"/>
      <c r="S393" s="27"/>
      <c r="T393" s="27"/>
      <c r="U393" s="27"/>
      <c r="V393" s="27"/>
      <c r="W393" s="27"/>
      <c r="X393" s="27"/>
      <c r="Y393" s="27"/>
      <c r="Z393" s="27"/>
      <c r="AA393" s="27"/>
      <c r="AB393" s="14"/>
      <c r="AC393" s="14"/>
      <c r="AD393" s="27"/>
      <c r="AE393" s="27"/>
      <c r="AF393" s="27"/>
      <c r="AG393" s="188"/>
      <c r="AH393" s="188"/>
      <c r="AI393" s="314"/>
      <c r="AJ393" s="188"/>
    </row>
    <row r="394" spans="1:36" ht="17.25" customHeight="1">
      <c r="A394" s="126">
        <v>9500</v>
      </c>
      <c r="B394" s="213">
        <f t="shared" ref="B394:B409" si="130">A394*0.0004535924</f>
        <v>4.3091277999999997</v>
      </c>
      <c r="C394" s="250">
        <v>416.66666666666703</v>
      </c>
      <c r="D394" s="250"/>
      <c r="E394" s="250"/>
      <c r="F394" s="250"/>
      <c r="G394" s="250"/>
      <c r="H394" s="250"/>
      <c r="I394" s="250"/>
      <c r="J394" s="250"/>
      <c r="K394" s="250"/>
      <c r="L394" s="4"/>
      <c r="M394" s="4"/>
      <c r="N394" s="4"/>
      <c r="O394" s="27"/>
      <c r="P394" s="188"/>
      <c r="Q394" s="27"/>
      <c r="R394" s="27"/>
      <c r="S394" s="27"/>
      <c r="T394" s="27"/>
      <c r="U394" s="27"/>
      <c r="V394" s="27"/>
      <c r="W394" s="27"/>
      <c r="X394" s="27"/>
      <c r="Y394" s="27"/>
      <c r="Z394" s="27"/>
      <c r="AA394" s="27"/>
      <c r="AB394" s="14"/>
      <c r="AC394" s="14"/>
      <c r="AD394" s="27"/>
      <c r="AE394" s="27"/>
      <c r="AF394" s="27"/>
      <c r="AG394" s="27"/>
      <c r="AH394" s="27"/>
      <c r="AI394" s="314"/>
      <c r="AJ394" s="27"/>
    </row>
    <row r="395" spans="1:36" ht="17.25" customHeight="1">
      <c r="A395" s="126">
        <v>27500</v>
      </c>
      <c r="B395" s="213">
        <f t="shared" si="130"/>
        <v>12.473790999999999</v>
      </c>
      <c r="C395" s="250">
        <v>2500</v>
      </c>
      <c r="D395" s="250"/>
      <c r="E395" s="250"/>
      <c r="F395" s="250"/>
      <c r="G395" s="250"/>
      <c r="H395" s="250"/>
      <c r="I395" s="250"/>
      <c r="J395" s="250"/>
      <c r="K395" s="250"/>
      <c r="L395" s="4"/>
      <c r="M395" s="4"/>
      <c r="N395" s="4"/>
      <c r="O395" s="27"/>
      <c r="P395" s="188" t="s">
        <v>410</v>
      </c>
      <c r="Q395" s="27"/>
      <c r="R395" s="27"/>
      <c r="S395" s="27"/>
      <c r="T395" s="27"/>
      <c r="U395" s="27"/>
      <c r="V395" s="27"/>
      <c r="W395" s="27"/>
      <c r="X395" s="27"/>
      <c r="Y395" s="27"/>
      <c r="Z395" s="27"/>
      <c r="AA395" s="27"/>
      <c r="AB395" s="14"/>
      <c r="AC395" s="14"/>
      <c r="AD395" s="27"/>
      <c r="AE395" s="27"/>
      <c r="AF395" s="27"/>
      <c r="AG395" s="27"/>
      <c r="AH395" s="27"/>
      <c r="AI395" s="314"/>
      <c r="AJ395" s="27"/>
    </row>
    <row r="396" spans="1:36" ht="17.25" customHeight="1">
      <c r="A396" s="126">
        <v>15000</v>
      </c>
      <c r="B396" s="213">
        <f t="shared" si="130"/>
        <v>6.8038859999999994</v>
      </c>
      <c r="C396" s="250"/>
      <c r="D396" s="250">
        <v>416.66666666666663</v>
      </c>
      <c r="E396" s="250"/>
      <c r="F396" s="250"/>
      <c r="G396" s="250"/>
      <c r="H396" s="250"/>
      <c r="I396" s="250"/>
      <c r="J396" s="250"/>
      <c r="K396" s="250"/>
      <c r="L396" s="4"/>
      <c r="M396" s="4"/>
      <c r="N396" s="4"/>
      <c r="O396" s="27"/>
      <c r="P396" s="27"/>
      <c r="Q396" s="27"/>
      <c r="R396" s="27"/>
      <c r="S396" s="27"/>
      <c r="T396" s="27"/>
      <c r="U396" s="27"/>
      <c r="V396" s="27"/>
      <c r="W396" s="27"/>
      <c r="X396" s="27"/>
      <c r="Y396" s="27"/>
      <c r="Z396" s="27"/>
      <c r="AA396" s="27"/>
      <c r="AB396" s="14"/>
      <c r="AC396" s="14"/>
      <c r="AD396" s="27"/>
      <c r="AE396" s="27"/>
      <c r="AF396" s="27"/>
      <c r="AG396" s="27"/>
      <c r="AH396" s="27"/>
      <c r="AI396" s="314"/>
      <c r="AJ396" s="27"/>
    </row>
    <row r="397" spans="1:36" ht="17.25" customHeight="1">
      <c r="A397" s="126">
        <v>37500</v>
      </c>
      <c r="B397" s="213">
        <f t="shared" si="130"/>
        <v>17.009715</v>
      </c>
      <c r="C397" s="250"/>
      <c r="D397" s="250">
        <v>3000</v>
      </c>
      <c r="E397" s="250"/>
      <c r="F397" s="250"/>
      <c r="G397" s="250"/>
      <c r="H397" s="250"/>
      <c r="I397" s="250"/>
      <c r="J397" s="250"/>
      <c r="K397" s="250"/>
      <c r="L397" s="186"/>
      <c r="M397" s="186"/>
      <c r="N397" s="186"/>
      <c r="O397" s="27">
        <v>1</v>
      </c>
      <c r="P397" s="71" t="s">
        <v>380</v>
      </c>
      <c r="Q397" s="46">
        <f>B394</f>
        <v>4.3091277999999997</v>
      </c>
      <c r="R397" s="79">
        <f>B411</f>
        <v>39.008946399999999</v>
      </c>
      <c r="S397" s="321">
        <f>SLOPE(Q398:R398,Q397:R397)</f>
        <v>1.0457516339869279</v>
      </c>
      <c r="T397" s="321">
        <f>INTERCEPT(Q398:R398,Q397:R397)</f>
        <v>-4.5062774379084942</v>
      </c>
      <c r="U397" s="27"/>
      <c r="V397" s="27"/>
      <c r="W397" s="27"/>
      <c r="X397" s="27"/>
      <c r="Y397" s="27"/>
      <c r="Z397" s="27"/>
      <c r="AA397" s="27"/>
      <c r="AB397" s="14"/>
      <c r="AC397" s="14"/>
      <c r="AD397" s="27"/>
      <c r="AE397" s="27"/>
      <c r="AF397" s="27"/>
      <c r="AG397" s="27"/>
      <c r="AH397" s="27"/>
      <c r="AI397" s="314"/>
      <c r="AJ397" s="27"/>
    </row>
    <row r="398" spans="1:36" ht="17.25" customHeight="1">
      <c r="A398" s="126">
        <v>23500</v>
      </c>
      <c r="B398" s="213">
        <f t="shared" si="130"/>
        <v>10.659421399999999</v>
      </c>
      <c r="C398" s="250"/>
      <c r="D398" s="250"/>
      <c r="E398" s="250">
        <v>750</v>
      </c>
      <c r="F398" s="250"/>
      <c r="G398" s="250"/>
      <c r="H398" s="250"/>
      <c r="I398" s="250"/>
      <c r="J398" s="250"/>
      <c r="K398" s="250"/>
      <c r="L398" s="186"/>
      <c r="M398" s="186"/>
      <c r="N398" s="186"/>
      <c r="O398" s="27"/>
      <c r="P398" s="71" t="s">
        <v>381</v>
      </c>
      <c r="Q398" s="27">
        <v>0</v>
      </c>
      <c r="R398" s="47">
        <f>K392</f>
        <v>36.287391999999997</v>
      </c>
      <c r="S398" s="321"/>
      <c r="T398" s="321"/>
      <c r="U398" s="27"/>
      <c r="V398" s="27"/>
      <c r="W398" s="27"/>
      <c r="X398" s="27"/>
      <c r="Y398" s="27"/>
      <c r="Z398" s="27"/>
      <c r="AA398" s="27"/>
      <c r="AB398" s="14"/>
      <c r="AC398" s="14"/>
      <c r="AD398" s="27"/>
      <c r="AE398" s="27"/>
      <c r="AF398" s="27"/>
      <c r="AG398" s="27"/>
      <c r="AH398" s="27"/>
      <c r="AI398" s="314"/>
      <c r="AJ398" s="27"/>
    </row>
    <row r="399" spans="1:36" ht="17.25" customHeight="1">
      <c r="A399" s="112">
        <v>47500</v>
      </c>
      <c r="B399" s="120">
        <f t="shared" si="130"/>
        <v>21.545638999999998</v>
      </c>
      <c r="C399" s="114"/>
      <c r="D399" s="114"/>
      <c r="E399" s="114">
        <v>3500</v>
      </c>
      <c r="F399" s="114"/>
      <c r="G399" s="114"/>
      <c r="H399" s="114"/>
      <c r="I399" s="114"/>
      <c r="J399" s="114"/>
      <c r="K399" s="114"/>
      <c r="L399" s="30"/>
      <c r="M399" s="30"/>
      <c r="N399" s="30"/>
      <c r="O399" s="27"/>
      <c r="P399" s="71"/>
      <c r="Q399" s="27"/>
      <c r="R399" s="71"/>
      <c r="S399" s="321"/>
      <c r="T399" s="321"/>
      <c r="U399" s="27"/>
      <c r="V399" s="27"/>
      <c r="W399" s="27"/>
      <c r="X399" s="27"/>
      <c r="Y399" s="27"/>
      <c r="Z399" s="27"/>
      <c r="AA399" s="27"/>
      <c r="AB399" s="14"/>
      <c r="AC399" s="14"/>
      <c r="AD399" s="27"/>
      <c r="AE399" s="27"/>
      <c r="AF399" s="27"/>
      <c r="AG399" s="27"/>
      <c r="AH399" s="27"/>
      <c r="AI399" s="314"/>
      <c r="AJ399" s="27"/>
    </row>
    <row r="400" spans="1:36" ht="17.25" customHeight="1">
      <c r="A400" s="112">
        <v>33500</v>
      </c>
      <c r="B400" s="120">
        <f t="shared" si="130"/>
        <v>15.195345399999999</v>
      </c>
      <c r="C400" s="114"/>
      <c r="D400" s="114"/>
      <c r="E400" s="114"/>
      <c r="F400" s="114">
        <v>1250</v>
      </c>
      <c r="G400" s="114"/>
      <c r="H400" s="114"/>
      <c r="I400" s="114"/>
      <c r="J400" s="114"/>
      <c r="K400" s="114"/>
      <c r="L400" s="30"/>
      <c r="M400" s="30"/>
      <c r="N400" s="30"/>
      <c r="O400" s="27">
        <v>2</v>
      </c>
      <c r="P400" s="71" t="s">
        <v>380</v>
      </c>
      <c r="Q400" s="46">
        <f>B411</f>
        <v>39.008946399999999</v>
      </c>
      <c r="R400" s="67">
        <f>B401</f>
        <v>26.081562999999999</v>
      </c>
      <c r="S400" s="321">
        <f>SLOPE(Q401:R401,Q400:R400)</f>
        <v>1.7543859649122802</v>
      </c>
      <c r="T400" s="321">
        <f>INTERCEPT(Q401:R401,Q400:R400)</f>
        <v>-32.149356070175429</v>
      </c>
      <c r="U400" s="27"/>
      <c r="V400" s="27"/>
      <c r="W400" s="27"/>
      <c r="X400" s="27"/>
      <c r="Y400" s="27"/>
      <c r="Z400" s="27"/>
      <c r="AA400" s="27"/>
      <c r="AB400" s="14"/>
      <c r="AC400" s="14"/>
      <c r="AD400" s="27"/>
      <c r="AE400" s="27"/>
      <c r="AF400" s="27"/>
      <c r="AG400" s="27"/>
      <c r="AH400" s="27"/>
      <c r="AI400" s="314"/>
      <c r="AJ400" s="27"/>
    </row>
    <row r="401" spans="1:36" ht="17.25" customHeight="1">
      <c r="A401" s="112">
        <v>57500</v>
      </c>
      <c r="B401" s="120">
        <f t="shared" si="130"/>
        <v>26.081562999999999</v>
      </c>
      <c r="C401" s="114"/>
      <c r="D401" s="114"/>
      <c r="E401" s="114"/>
      <c r="F401" s="114">
        <v>4000</v>
      </c>
      <c r="G401" s="114"/>
      <c r="H401" s="114"/>
      <c r="I401" s="114"/>
      <c r="J401" s="114"/>
      <c r="K401" s="114"/>
      <c r="L401" s="30"/>
      <c r="M401" s="30"/>
      <c r="N401" s="30"/>
      <c r="O401" s="27"/>
      <c r="P401" s="71" t="s">
        <v>381</v>
      </c>
      <c r="Q401" s="69">
        <f>K392</f>
        <v>36.287391999999997</v>
      </c>
      <c r="R401" s="67">
        <f>F392</f>
        <v>13.607771999999999</v>
      </c>
      <c r="S401" s="321"/>
      <c r="T401" s="321"/>
      <c r="U401" s="27"/>
      <c r="V401" s="27"/>
      <c r="W401" s="27"/>
      <c r="X401" s="27"/>
      <c r="Y401" s="27"/>
      <c r="Z401" s="27"/>
      <c r="AA401" s="27"/>
      <c r="AB401" s="14"/>
      <c r="AC401" s="14"/>
      <c r="AD401" s="27"/>
      <c r="AE401" s="27"/>
      <c r="AF401" s="27"/>
      <c r="AG401" s="27"/>
      <c r="AH401" s="27"/>
      <c r="AI401" s="314"/>
      <c r="AJ401" s="27"/>
    </row>
    <row r="402" spans="1:36" ht="17.25" customHeight="1">
      <c r="A402" s="112">
        <v>44000</v>
      </c>
      <c r="B402" s="120">
        <f t="shared" si="130"/>
        <v>19.958065599999998</v>
      </c>
      <c r="C402" s="114"/>
      <c r="D402" s="114"/>
      <c r="E402" s="114"/>
      <c r="F402" s="114"/>
      <c r="G402" s="114">
        <v>1750</v>
      </c>
      <c r="H402" s="114"/>
      <c r="I402" s="114"/>
      <c r="J402" s="114"/>
      <c r="K402" s="114"/>
      <c r="L402" s="30"/>
      <c r="M402" s="30"/>
      <c r="N402" s="30"/>
      <c r="O402" s="27"/>
      <c r="P402" s="27"/>
      <c r="Q402" s="27"/>
      <c r="R402" s="27"/>
      <c r="S402" s="321"/>
      <c r="T402" s="321"/>
      <c r="U402" s="27"/>
      <c r="V402" s="27"/>
      <c r="W402" s="27"/>
      <c r="X402" s="27"/>
      <c r="Y402" s="27"/>
      <c r="Z402" s="27"/>
      <c r="AA402" s="27"/>
      <c r="AB402" s="14"/>
      <c r="AC402" s="14"/>
      <c r="AD402" s="27"/>
      <c r="AE402" s="27"/>
      <c r="AF402" s="27"/>
      <c r="AG402" s="27"/>
      <c r="AH402" s="27"/>
      <c r="AI402" s="314"/>
      <c r="AJ402" s="27"/>
    </row>
    <row r="403" spans="1:36" ht="17.25" customHeight="1">
      <c r="A403" s="112">
        <v>63500</v>
      </c>
      <c r="B403" s="120">
        <f t="shared" si="130"/>
        <v>28.803117399999998</v>
      </c>
      <c r="C403" s="114"/>
      <c r="D403" s="114"/>
      <c r="E403" s="114"/>
      <c r="F403" s="114"/>
      <c r="G403" s="114">
        <v>4000</v>
      </c>
      <c r="H403" s="114"/>
      <c r="I403" s="114"/>
      <c r="J403" s="114"/>
      <c r="K403" s="114"/>
      <c r="L403" s="197"/>
      <c r="M403" s="197"/>
      <c r="N403" s="197"/>
      <c r="O403" s="27">
        <v>3</v>
      </c>
      <c r="P403" s="192" t="s">
        <v>380</v>
      </c>
      <c r="Q403" s="46">
        <f>B401</f>
        <v>26.081562999999999</v>
      </c>
      <c r="R403" s="46">
        <f>B395</f>
        <v>12.473790999999999</v>
      </c>
      <c r="S403" s="321">
        <f>SLOPE(Q404:R404,Q403:R403)</f>
        <v>0.99999999999999989</v>
      </c>
      <c r="T403" s="321">
        <f>INTERCEPT(Q404:R404,Q403:R403)</f>
        <v>-12.473790999999995</v>
      </c>
      <c r="U403" s="27"/>
      <c r="V403" s="27"/>
      <c r="W403" s="27"/>
      <c r="X403" s="27"/>
      <c r="Y403" s="27"/>
      <c r="Z403" s="27"/>
      <c r="AA403" s="27"/>
      <c r="AB403" s="14"/>
      <c r="AC403" s="14"/>
      <c r="AD403" s="27"/>
      <c r="AE403" s="27"/>
      <c r="AF403" s="27"/>
      <c r="AG403" s="27"/>
      <c r="AH403" s="27"/>
      <c r="AI403" s="314"/>
      <c r="AJ403" s="27"/>
    </row>
    <row r="404" spans="1:36" ht="17.25" customHeight="1">
      <c r="A404" s="112">
        <v>54500</v>
      </c>
      <c r="B404" s="120">
        <f t="shared" si="130"/>
        <v>24.720785799999998</v>
      </c>
      <c r="C404" s="114"/>
      <c r="D404" s="114"/>
      <c r="E404" s="114"/>
      <c r="F404" s="114"/>
      <c r="G404" s="114"/>
      <c r="H404" s="114">
        <v>2325</v>
      </c>
      <c r="I404" s="114"/>
      <c r="J404" s="114"/>
      <c r="K404" s="114"/>
      <c r="L404" s="197"/>
      <c r="M404" s="197"/>
      <c r="N404" s="197"/>
      <c r="O404" s="27"/>
      <c r="P404" s="192" t="s">
        <v>381</v>
      </c>
      <c r="Q404" s="67">
        <f>F392</f>
        <v>13.607771999999999</v>
      </c>
      <c r="R404" s="27">
        <v>0</v>
      </c>
      <c r="S404" s="321"/>
      <c r="T404" s="321"/>
      <c r="U404" s="27"/>
      <c r="V404" s="27"/>
      <c r="W404" s="27"/>
      <c r="X404" s="27"/>
      <c r="Y404" s="27"/>
      <c r="Z404" s="27"/>
      <c r="AA404" s="27"/>
      <c r="AB404" s="14"/>
      <c r="AC404" s="14"/>
      <c r="AD404" s="27"/>
      <c r="AE404" s="27"/>
      <c r="AF404" s="27"/>
      <c r="AG404" s="27"/>
      <c r="AH404" s="27"/>
      <c r="AI404" s="314"/>
      <c r="AJ404" s="27"/>
    </row>
    <row r="405" spans="1:36" ht="17.25" customHeight="1">
      <c r="A405" s="112">
        <v>69000</v>
      </c>
      <c r="B405" s="120">
        <f t="shared" si="130"/>
        <v>31.297875599999998</v>
      </c>
      <c r="C405" s="114"/>
      <c r="D405" s="114"/>
      <c r="E405" s="114"/>
      <c r="F405" s="114"/>
      <c r="G405" s="114"/>
      <c r="H405" s="114">
        <v>4000</v>
      </c>
      <c r="I405" s="114"/>
      <c r="J405" s="114"/>
      <c r="K405" s="114"/>
      <c r="L405" s="197"/>
      <c r="M405" s="197"/>
      <c r="N405" s="197"/>
      <c r="O405" s="27"/>
      <c r="P405" s="16"/>
      <c r="Q405" s="27"/>
      <c r="R405" s="27"/>
      <c r="S405" s="321"/>
      <c r="T405" s="321"/>
      <c r="U405" s="27"/>
      <c r="V405" s="27"/>
      <c r="W405" s="27"/>
      <c r="X405" s="27"/>
      <c r="Y405" s="27"/>
      <c r="Z405" s="27"/>
      <c r="AA405" s="27"/>
      <c r="AB405" s="14"/>
      <c r="AC405" s="14"/>
      <c r="AD405" s="27"/>
      <c r="AE405" s="27"/>
      <c r="AF405" s="27"/>
      <c r="AG405" s="27"/>
      <c r="AH405" s="27"/>
      <c r="AI405" s="314"/>
      <c r="AJ405" s="27"/>
    </row>
    <row r="406" spans="1:36" ht="17.25" customHeight="1">
      <c r="A406" s="112">
        <v>64000</v>
      </c>
      <c r="B406" s="120">
        <f t="shared" si="130"/>
        <v>29.029913599999997</v>
      </c>
      <c r="C406" s="114"/>
      <c r="D406" s="114"/>
      <c r="E406" s="114"/>
      <c r="F406" s="114"/>
      <c r="G406" s="114"/>
      <c r="H406" s="114"/>
      <c r="I406" s="114">
        <v>2833.333333333333</v>
      </c>
      <c r="J406" s="114"/>
      <c r="K406" s="114"/>
      <c r="L406" s="197"/>
      <c r="M406" s="197"/>
      <c r="N406" s="197"/>
      <c r="O406" s="27">
        <v>4</v>
      </c>
      <c r="P406" s="192" t="s">
        <v>380</v>
      </c>
      <c r="Q406" s="46">
        <f>B394</f>
        <v>4.3091277999999997</v>
      </c>
      <c r="R406" s="46">
        <f>B395</f>
        <v>12.473790999999999</v>
      </c>
      <c r="S406" s="321">
        <f>SLOPE(Q407:R407,Q406:R406)</f>
        <v>0</v>
      </c>
      <c r="T406" s="321">
        <f>INTERCEPT(Q407:R407,Q406:R406)</f>
        <v>0</v>
      </c>
      <c r="U406" s="27"/>
      <c r="V406" s="27"/>
      <c r="W406" s="27"/>
      <c r="X406" s="27"/>
      <c r="Y406" s="27"/>
      <c r="Z406" s="27"/>
      <c r="AA406" s="27"/>
      <c r="AB406" s="14"/>
      <c r="AC406" s="14"/>
      <c r="AD406" s="27"/>
      <c r="AE406" s="27"/>
      <c r="AF406" s="27"/>
      <c r="AG406" s="27"/>
      <c r="AH406" s="27"/>
      <c r="AI406" s="314"/>
      <c r="AJ406" s="27"/>
    </row>
    <row r="407" spans="1:36" ht="17.25" customHeight="1">
      <c r="A407" s="112">
        <v>74000</v>
      </c>
      <c r="B407" s="120">
        <f t="shared" si="130"/>
        <v>33.565837600000002</v>
      </c>
      <c r="C407" s="114"/>
      <c r="D407" s="114"/>
      <c r="E407" s="114"/>
      <c r="F407" s="114"/>
      <c r="G407" s="114"/>
      <c r="H407" s="114"/>
      <c r="I407" s="114">
        <v>4000</v>
      </c>
      <c r="J407" s="114"/>
      <c r="K407" s="114"/>
      <c r="L407" s="197"/>
      <c r="M407" s="197"/>
      <c r="N407" s="197"/>
      <c r="O407" s="27"/>
      <c r="P407" s="192" t="s">
        <v>381</v>
      </c>
      <c r="Q407" s="27">
        <v>0</v>
      </c>
      <c r="R407" s="27">
        <v>0</v>
      </c>
      <c r="S407" s="27"/>
      <c r="T407" s="27"/>
      <c r="U407" s="27"/>
      <c r="V407" s="27"/>
      <c r="W407" s="27"/>
      <c r="X407" s="27"/>
      <c r="Y407" s="27"/>
      <c r="Z407" s="27"/>
      <c r="AA407" s="27"/>
      <c r="AB407" s="14"/>
      <c r="AC407" s="14"/>
      <c r="AD407" s="27"/>
      <c r="AE407" s="27"/>
      <c r="AF407" s="27"/>
      <c r="AG407" s="27"/>
      <c r="AH407" s="27"/>
      <c r="AI407" s="314"/>
      <c r="AJ407" s="27"/>
    </row>
    <row r="408" spans="1:36" ht="17.25" customHeight="1">
      <c r="A408" s="112">
        <f>A407</f>
        <v>74000</v>
      </c>
      <c r="B408" s="120">
        <f t="shared" si="130"/>
        <v>33.565837600000002</v>
      </c>
      <c r="C408" s="114"/>
      <c r="D408" s="114"/>
      <c r="E408" s="114"/>
      <c r="F408" s="114"/>
      <c r="G408" s="114"/>
      <c r="H408" s="114"/>
      <c r="I408" s="114"/>
      <c r="J408" s="114">
        <v>3300</v>
      </c>
      <c r="K408" s="114"/>
      <c r="L408" s="131"/>
      <c r="M408" s="131"/>
      <c r="N408" s="197"/>
      <c r="O408" s="27"/>
      <c r="P408" s="188"/>
      <c r="Q408" s="27"/>
      <c r="R408" s="27"/>
      <c r="S408" s="27"/>
      <c r="T408" s="27"/>
      <c r="U408" s="27"/>
      <c r="V408" s="27"/>
      <c r="W408" s="27"/>
      <c r="X408" s="27"/>
      <c r="Y408" s="27"/>
      <c r="Z408" s="27"/>
      <c r="AA408" s="27"/>
      <c r="AB408" s="14"/>
      <c r="AC408" s="14"/>
      <c r="AD408" s="27"/>
      <c r="AE408" s="27"/>
      <c r="AF408" s="27"/>
      <c r="AG408" s="27"/>
      <c r="AH408" s="27"/>
      <c r="AI408" s="314"/>
      <c r="AJ408" s="27"/>
    </row>
    <row r="409" spans="1:36" ht="17.25" customHeight="1">
      <c r="A409" s="112">
        <v>80000</v>
      </c>
      <c r="B409" s="120">
        <f t="shared" si="130"/>
        <v>36.287391999999997</v>
      </c>
      <c r="C409" s="114"/>
      <c r="D409" s="114"/>
      <c r="E409" s="114"/>
      <c r="F409" s="114"/>
      <c r="G409" s="114"/>
      <c r="H409" s="114"/>
      <c r="I409" s="114"/>
      <c r="J409" s="114">
        <v>4000</v>
      </c>
      <c r="K409" s="114"/>
      <c r="L409" s="131"/>
      <c r="M409" s="131"/>
      <c r="N409" s="197"/>
      <c r="O409" s="27"/>
      <c r="P409" s="27"/>
      <c r="Q409" s="27"/>
      <c r="R409" s="27"/>
      <c r="S409" s="27"/>
      <c r="T409" s="27"/>
      <c r="U409" s="27"/>
      <c r="V409" s="27"/>
      <c r="W409" s="27"/>
      <c r="X409" s="27"/>
      <c r="Y409" s="27"/>
      <c r="Z409" s="27"/>
      <c r="AA409" s="27"/>
      <c r="AB409" s="14"/>
      <c r="AC409" s="14"/>
      <c r="AD409" s="27"/>
      <c r="AE409" s="27"/>
      <c r="AF409" s="27"/>
      <c r="AG409" s="27"/>
      <c r="AH409" s="27"/>
      <c r="AI409" s="314"/>
      <c r="AJ409" s="27"/>
    </row>
    <row r="410" spans="1:36" ht="17.25" customHeight="1">
      <c r="A410" s="112">
        <v>84000</v>
      </c>
      <c r="B410" s="120">
        <v>38</v>
      </c>
      <c r="C410" s="114"/>
      <c r="D410" s="114"/>
      <c r="E410" s="114"/>
      <c r="F410" s="114"/>
      <c r="G410" s="114"/>
      <c r="H410" s="114"/>
      <c r="I410" s="114"/>
      <c r="J410" s="114"/>
      <c r="K410" s="114">
        <v>3750</v>
      </c>
      <c r="L410" s="197"/>
      <c r="M410" s="197"/>
      <c r="N410" s="197"/>
      <c r="O410" s="27"/>
      <c r="P410" s="188" t="s">
        <v>399</v>
      </c>
      <c r="Q410" s="27"/>
      <c r="R410" s="27"/>
      <c r="S410" s="27"/>
      <c r="T410" s="27"/>
      <c r="U410" s="27"/>
      <c r="V410" s="27"/>
      <c r="W410" s="27"/>
      <c r="X410" s="27"/>
      <c r="Y410" s="27"/>
      <c r="Z410" s="27"/>
      <c r="AA410" s="27"/>
      <c r="AB410" s="14"/>
      <c r="AC410" s="14"/>
      <c r="AD410" s="27"/>
      <c r="AE410" s="27"/>
      <c r="AF410" s="27"/>
      <c r="AG410" s="27"/>
      <c r="AH410" s="27"/>
      <c r="AI410" s="314"/>
      <c r="AJ410" s="27"/>
    </row>
    <row r="411" spans="1:36" ht="17.25" customHeight="1">
      <c r="A411" s="112">
        <v>86000</v>
      </c>
      <c r="B411" s="120">
        <f>A411*0.0004535924</f>
        <v>39.008946399999999</v>
      </c>
      <c r="C411" s="114"/>
      <c r="D411" s="114"/>
      <c r="E411" s="114"/>
      <c r="F411" s="114"/>
      <c r="G411" s="114"/>
      <c r="H411" s="114"/>
      <c r="I411" s="114"/>
      <c r="J411" s="114"/>
      <c r="K411" s="114">
        <v>4000</v>
      </c>
      <c r="L411" s="62" t="s">
        <v>46</v>
      </c>
      <c r="M411" s="62" t="s">
        <v>145</v>
      </c>
      <c r="N411" s="62" t="s">
        <v>144</v>
      </c>
      <c r="O411" s="27"/>
      <c r="P411" s="188" t="s">
        <v>400</v>
      </c>
      <c r="Q411" s="27"/>
      <c r="R411" s="27"/>
      <c r="S411" s="27"/>
      <c r="T411" s="27"/>
      <c r="U411" s="27"/>
      <c r="V411" s="27"/>
      <c r="W411" s="27"/>
      <c r="X411" s="27"/>
      <c r="Y411" s="27"/>
      <c r="Z411" s="27"/>
      <c r="AA411" s="27"/>
      <c r="AB411" s="14"/>
      <c r="AC411" s="14"/>
      <c r="AD411" s="27"/>
      <c r="AE411" s="27"/>
      <c r="AF411" s="27"/>
      <c r="AG411" s="27"/>
      <c r="AH411" s="27"/>
      <c r="AI411" s="314"/>
      <c r="AJ411" s="27"/>
    </row>
    <row r="412" spans="1:36" ht="17.25" customHeight="1">
      <c r="A412" s="197"/>
      <c r="B412" s="201" t="s">
        <v>46</v>
      </c>
      <c r="C412" s="214">
        <f>SLOPE(C394:C395,B394:B395)</f>
        <v>255.16463843031929</v>
      </c>
      <c r="D412" s="214">
        <f>SLOPE(D396:D397,B396:B397)</f>
        <v>253.12332132287668</v>
      </c>
      <c r="E412" s="214">
        <f>SLOPE(E398:E399,B398:B399)</f>
        <v>252.6129920460161</v>
      </c>
      <c r="F412" s="214">
        <f>SLOPE(F400:F401,B400:B401)</f>
        <v>252.61299204601607</v>
      </c>
      <c r="G412" s="214">
        <f>SLOPE(G402:G403,B402:B403)</f>
        <v>254.37951646591821</v>
      </c>
      <c r="H412" s="214">
        <f>SLOPE(H404:H405,B404:B405)</f>
        <v>254.67190671472966</v>
      </c>
      <c r="I412" s="214">
        <f>SLOPE(I406:I407,B406:B407)</f>
        <v>257.20595553776161</v>
      </c>
      <c r="J412" s="214">
        <f>SLOPE(J408:J409,B408:B409)</f>
        <v>257.20595553776224</v>
      </c>
      <c r="K412" s="214">
        <f>SLOPE(K410:K411,B410:B411)</f>
        <v>247.78323209240867</v>
      </c>
      <c r="L412" s="82">
        <f>SLOPE(C412:K412,C392:K392)</f>
        <v>-2.2167041947723704E-2</v>
      </c>
      <c r="M412" s="82">
        <f>INTERCEPT(C412:K412,C392:K392)</f>
        <v>254.26447098074189</v>
      </c>
      <c r="N412" s="82">
        <f>CORREL(C412:K412,C392:K392)^2</f>
        <v>9.2466063307661307E-3</v>
      </c>
      <c r="O412" s="27"/>
      <c r="P412" s="188" t="s">
        <v>401</v>
      </c>
      <c r="Q412" s="27"/>
      <c r="R412" s="27"/>
      <c r="S412" s="27"/>
      <c r="T412" s="27"/>
      <c r="U412" s="27"/>
      <c r="V412" s="27"/>
      <c r="W412" s="27"/>
      <c r="X412" s="27"/>
      <c r="Y412" s="27"/>
      <c r="Z412" s="27"/>
      <c r="AA412" s="27"/>
      <c r="AB412" s="14"/>
      <c r="AC412" s="14"/>
      <c r="AD412" s="27"/>
      <c r="AE412" s="27"/>
      <c r="AF412" s="27"/>
      <c r="AG412" s="27"/>
      <c r="AH412" s="27"/>
      <c r="AI412" s="314"/>
      <c r="AJ412" s="27"/>
    </row>
    <row r="413" spans="1:36" ht="17.25" customHeight="1">
      <c r="A413" s="197"/>
      <c r="B413" s="201" t="s">
        <v>145</v>
      </c>
      <c r="C413" s="214">
        <f>INTERCEPT(C394:C395,B394:B395)</f>
        <v>-682.87037037036998</v>
      </c>
      <c r="D413" s="214">
        <f>INTERCEPT(D396:D397,B396:B397)</f>
        <v>-1305.5555555555554</v>
      </c>
      <c r="E413" s="214">
        <f>INTERCEPT(E398:E399,B398:B399)</f>
        <v>-1942.7083333333335</v>
      </c>
      <c r="F413" s="214">
        <f>INTERCEPT(F400:F401,B400:B401)</f>
        <v>-2588.541666666667</v>
      </c>
      <c r="G413" s="214">
        <f>INTERCEPT(G402:G403,B402:B403)</f>
        <v>-3326.9230769230753</v>
      </c>
      <c r="H413" s="214">
        <f>INTERCEPT(H404:H405,B404:B405)</f>
        <v>-3970.689655172413</v>
      </c>
      <c r="I413" s="214">
        <f>INTERCEPT(I406:I407,B406:B407)</f>
        <v>-4633.3333333333267</v>
      </c>
      <c r="J413" s="214">
        <f>INTERCEPT(J408:J409,B408:B409)</f>
        <v>-5333.3333333333467</v>
      </c>
      <c r="K413" s="214">
        <f>INTERCEPT(K410:K411,B410:B411)</f>
        <v>-5665.7628195115285</v>
      </c>
      <c r="L413" s="82">
        <f>SLOPE(C413:K413,C392:K392)</f>
        <v>-142.48585704700133</v>
      </c>
      <c r="M413" s="82">
        <f>INTERCEPT(C413:K413,C392:K392)</f>
        <v>-686.97083035081869</v>
      </c>
      <c r="N413" s="82">
        <f>CORREL(C413:K413,C392:K392)^2</f>
        <v>0.99738841842598291</v>
      </c>
      <c r="O413" s="27"/>
      <c r="P413" s="188" t="s">
        <v>382</v>
      </c>
      <c r="Q413" s="27"/>
      <c r="R413" s="27"/>
      <c r="S413" s="27"/>
      <c r="T413" s="27"/>
      <c r="U413" s="27"/>
      <c r="V413" s="27"/>
      <c r="W413" s="27"/>
      <c r="X413" s="27"/>
      <c r="Y413" s="27"/>
      <c r="Z413" s="27"/>
      <c r="AA413" s="27"/>
      <c r="AB413" s="14"/>
      <c r="AC413" s="14"/>
      <c r="AD413" s="27"/>
      <c r="AE413" s="27"/>
      <c r="AF413" s="27"/>
      <c r="AG413" s="27"/>
      <c r="AH413" s="27"/>
      <c r="AI413" s="314"/>
      <c r="AJ413" s="27"/>
    </row>
    <row r="414" spans="1:36" ht="17.25" customHeight="1">
      <c r="A414" s="197"/>
      <c r="B414" s="201" t="s">
        <v>144</v>
      </c>
      <c r="C414" s="215">
        <f>CORREL(C394:C395,B394:B395)</f>
        <v>1.0000000000000002</v>
      </c>
      <c r="D414" s="215">
        <f>CORREL(D396:D397,B396:B397)</f>
        <v>1</v>
      </c>
      <c r="E414" s="215">
        <f>CORREL(E398:E399,B398:B399)</f>
        <v>1</v>
      </c>
      <c r="F414" s="215">
        <f>CORREL(F400:F401,B400:B401)</f>
        <v>1.0000000000000002</v>
      </c>
      <c r="G414" s="215">
        <f>CORREL(G402:G403,B402:B403)</f>
        <v>1</v>
      </c>
      <c r="H414" s="215">
        <f>CORREL(H404:H405,B404:B405)</f>
        <v>1</v>
      </c>
      <c r="I414" s="75">
        <f>CORREL(I406:I407,B406:B407)</f>
        <v>1</v>
      </c>
      <c r="J414" s="75">
        <f>CORREL(J408:J409,B408:B409)</f>
        <v>1</v>
      </c>
      <c r="K414" s="75">
        <f>CORREL(K410:K411,B410:B411)</f>
        <v>1</v>
      </c>
      <c r="L414" s="80"/>
      <c r="M414" s="80"/>
      <c r="N414" s="80"/>
      <c r="O414" s="27"/>
      <c r="P414" s="27"/>
      <c r="Q414" s="188" t="s">
        <v>385</v>
      </c>
      <c r="R414" s="27"/>
      <c r="S414" s="27"/>
      <c r="T414" s="27"/>
      <c r="U414" s="27"/>
      <c r="V414" s="27"/>
      <c r="W414" s="27"/>
      <c r="X414" s="27"/>
      <c r="Y414" s="27"/>
      <c r="Z414" s="27"/>
      <c r="AA414" s="27"/>
      <c r="AB414" s="14"/>
      <c r="AC414" s="14"/>
      <c r="AD414" s="27"/>
      <c r="AE414" s="27"/>
      <c r="AF414" s="27"/>
      <c r="AG414" s="27"/>
      <c r="AH414" s="27"/>
      <c r="AI414" s="314"/>
      <c r="AJ414" s="27"/>
    </row>
    <row r="415" spans="1:36" ht="17.25" customHeight="1">
      <c r="A415" s="12"/>
      <c r="B415" s="12"/>
      <c r="C415" s="12"/>
      <c r="D415" s="12"/>
      <c r="E415" s="12"/>
      <c r="F415" s="12"/>
      <c r="G415" s="12"/>
      <c r="H415" s="12"/>
      <c r="I415" s="12"/>
      <c r="J415" s="12"/>
      <c r="K415" s="12"/>
      <c r="L415" s="31"/>
      <c r="M415" s="32"/>
      <c r="N415" s="12"/>
      <c r="O415" s="27"/>
      <c r="P415" s="27"/>
      <c r="Q415" s="27"/>
      <c r="R415" s="27"/>
      <c r="S415" s="27"/>
      <c r="T415" s="27"/>
      <c r="U415" s="27"/>
      <c r="V415" s="27"/>
      <c r="W415" s="27"/>
      <c r="X415" s="27"/>
      <c r="Y415" s="27"/>
      <c r="Z415" s="27"/>
      <c r="AA415" s="27"/>
      <c r="AB415" s="14"/>
      <c r="AC415" s="14"/>
      <c r="AD415" s="27"/>
      <c r="AE415" s="27"/>
      <c r="AF415" s="27"/>
      <c r="AG415" s="27"/>
      <c r="AH415" s="27"/>
      <c r="AI415" s="314"/>
      <c r="AJ415" s="27"/>
    </row>
    <row r="416" spans="1:36" ht="17.25" customHeight="1">
      <c r="A416" s="198" t="s">
        <v>147</v>
      </c>
      <c r="B416" s="198"/>
      <c r="C416" s="198"/>
      <c r="D416" s="141"/>
      <c r="E416" s="141"/>
      <c r="F416" s="141"/>
      <c r="G416" s="141"/>
      <c r="H416" s="141"/>
      <c r="I416" s="141"/>
      <c r="J416" s="141"/>
      <c r="K416" s="27"/>
      <c r="L416" s="22"/>
      <c r="M416" s="15"/>
      <c r="N416" s="27"/>
      <c r="O416" s="27"/>
      <c r="P416" s="71"/>
      <c r="Q416" s="71" t="s">
        <v>383</v>
      </c>
      <c r="R416" s="71" t="s">
        <v>384</v>
      </c>
      <c r="S416" s="71" t="s">
        <v>373</v>
      </c>
      <c r="T416" s="71"/>
      <c r="U416" s="71" t="s">
        <v>386</v>
      </c>
      <c r="V416" s="71" t="s">
        <v>387</v>
      </c>
      <c r="W416" s="27"/>
      <c r="X416" s="188"/>
      <c r="Y416" s="188"/>
      <c r="Z416" s="27"/>
      <c r="AA416" s="27"/>
      <c r="AB416" s="14"/>
      <c r="AC416" s="14"/>
      <c r="AD416" s="27"/>
      <c r="AE416" s="27"/>
      <c r="AF416" s="27"/>
      <c r="AG416" s="27"/>
      <c r="AH416" s="27"/>
      <c r="AI416" s="314"/>
      <c r="AJ416" s="27"/>
    </row>
    <row r="417" spans="1:36" ht="17.25" customHeight="1">
      <c r="A417" s="141" t="s">
        <v>69</v>
      </c>
      <c r="B417" s="141" t="s">
        <v>12</v>
      </c>
      <c r="C417" s="199">
        <v>0</v>
      </c>
      <c r="D417" s="141"/>
      <c r="E417" s="141"/>
      <c r="F417" s="141"/>
      <c r="G417" s="141"/>
      <c r="H417" s="141"/>
      <c r="I417" s="141"/>
      <c r="J417" s="141"/>
      <c r="K417" s="27"/>
      <c r="L417" s="22"/>
      <c r="M417" s="15"/>
      <c r="N417" s="27"/>
      <c r="O417" s="27"/>
      <c r="P417" s="27">
        <v>1</v>
      </c>
      <c r="Q417" s="322">
        <v>1</v>
      </c>
      <c r="R417" s="46">
        <f>-S397</f>
        <v>-1.0457516339869279</v>
      </c>
      <c r="S417" s="321">
        <f>T397</f>
        <v>-4.5062774379084942</v>
      </c>
      <c r="T417" s="27"/>
      <c r="U417" s="189">
        <f>S417*-1</f>
        <v>4.5062774379084942</v>
      </c>
      <c r="V417" s="189">
        <f>(Q417*$Q$422+R417*$Q$423)</f>
        <v>-11.372549019607838</v>
      </c>
      <c r="W417" s="368"/>
      <c r="X417" s="14">
        <f>IF(U417&lt;=V417,1,0)</f>
        <v>0</v>
      </c>
      <c r="Y417" s="14">
        <f>IF(U417&gt;=V417,1,0)</f>
        <v>1</v>
      </c>
      <c r="Z417" s="27"/>
      <c r="AA417" s="188"/>
      <c r="AB417" s="317">
        <f>IF(U417&lt;=V417,1,0)</f>
        <v>0</v>
      </c>
      <c r="AC417" s="14"/>
      <c r="AD417" s="27"/>
      <c r="AE417" s="27"/>
      <c r="AF417" s="27"/>
      <c r="AG417" s="27"/>
      <c r="AH417" s="27"/>
      <c r="AI417" s="314"/>
      <c r="AJ417" s="27"/>
    </row>
    <row r="418" spans="1:36" ht="17.25" customHeight="1">
      <c r="A418" s="141" t="s">
        <v>76</v>
      </c>
      <c r="B418" s="141" t="s">
        <v>12</v>
      </c>
      <c r="C418" s="13">
        <v>12.4</v>
      </c>
      <c r="D418" s="141"/>
      <c r="E418" s="141"/>
      <c r="F418" s="141"/>
      <c r="G418" s="141"/>
      <c r="H418" s="141"/>
      <c r="I418" s="141"/>
      <c r="J418" s="141"/>
      <c r="K418" s="27"/>
      <c r="L418" s="22"/>
      <c r="M418" s="15"/>
      <c r="N418" s="27"/>
      <c r="O418" s="27"/>
      <c r="P418" s="27">
        <v>2</v>
      </c>
      <c r="Q418" s="322">
        <v>1</v>
      </c>
      <c r="R418" s="322">
        <f>-S400</f>
        <v>-1.7543859649122802</v>
      </c>
      <c r="S418" s="321">
        <f>T400</f>
        <v>-32.149356070175429</v>
      </c>
      <c r="T418" s="27"/>
      <c r="U418" s="189">
        <f>(Q418*$Q$422+R418*$Q$423)</f>
        <v>-32.631578947368403</v>
      </c>
      <c r="V418" s="189">
        <f>S418*-1</f>
        <v>32.149356070175429</v>
      </c>
      <c r="W418" s="27"/>
      <c r="X418" s="14">
        <f>IF(U418&lt;=V418,1,0)</f>
        <v>1</v>
      </c>
      <c r="Y418" s="14">
        <f>IF(U418&gt;=V418,1,0)</f>
        <v>0</v>
      </c>
      <c r="Z418" s="27"/>
      <c r="AA418" s="27"/>
      <c r="AB418" s="317">
        <f>IF(U418&lt;=V418,1,0)</f>
        <v>1</v>
      </c>
      <c r="AC418" s="14"/>
      <c r="AD418" s="27"/>
      <c r="AE418" s="27"/>
      <c r="AF418" s="27"/>
      <c r="AG418" s="27"/>
      <c r="AH418" s="27"/>
      <c r="AI418" s="314"/>
      <c r="AJ418" s="27"/>
    </row>
    <row r="419" spans="1:36" ht="17.25" customHeight="1">
      <c r="A419" s="141" t="s">
        <v>73</v>
      </c>
      <c r="B419" s="141" t="s">
        <v>8</v>
      </c>
      <c r="C419" s="200">
        <f>(L412*C417+M412)*C418+(L413*C417+M413)</f>
        <v>2465.9086098103808</v>
      </c>
      <c r="D419" s="141"/>
      <c r="E419" s="141"/>
      <c r="F419" s="141"/>
      <c r="G419" s="141"/>
      <c r="H419" s="141"/>
      <c r="I419" s="141"/>
      <c r="J419" s="141"/>
      <c r="K419" s="27"/>
      <c r="L419" s="22"/>
      <c r="M419" s="15"/>
      <c r="N419" s="27"/>
      <c r="O419" s="27"/>
      <c r="P419" s="27">
        <v>3</v>
      </c>
      <c r="Q419" s="322">
        <v>1</v>
      </c>
      <c r="R419" s="322">
        <f>-S403</f>
        <v>-0.99999999999999989</v>
      </c>
      <c r="S419" s="321">
        <f>T403</f>
        <v>-12.473790999999995</v>
      </c>
      <c r="T419" s="27"/>
      <c r="U419" s="189">
        <f>(Q419*$Q$422+R419*$Q$423)</f>
        <v>-9.9999999999999964</v>
      </c>
      <c r="V419" s="189">
        <f>S419*-1</f>
        <v>12.473790999999995</v>
      </c>
      <c r="W419" s="27"/>
      <c r="X419" s="14">
        <f>IF(U419&lt;=V419,1,0)</f>
        <v>1</v>
      </c>
      <c r="Y419" s="14">
        <f>IF(U419&gt;=V419,1,0)</f>
        <v>0</v>
      </c>
      <c r="Z419" s="27"/>
      <c r="AA419" s="27"/>
      <c r="AB419" s="317">
        <f>IF(U419&lt;=V419,1,0)</f>
        <v>1</v>
      </c>
      <c r="AC419" s="14"/>
      <c r="AD419" s="27"/>
      <c r="AE419" s="27"/>
      <c r="AF419" s="27"/>
      <c r="AG419" s="27"/>
      <c r="AH419" s="27"/>
      <c r="AI419" s="314"/>
      <c r="AJ419" s="27"/>
    </row>
    <row r="420" spans="1:36" ht="17.25" customHeight="1">
      <c r="A420" s="141"/>
      <c r="B420" s="141"/>
      <c r="C420" s="141"/>
      <c r="D420" s="141"/>
      <c r="E420" s="170"/>
      <c r="F420" s="141"/>
      <c r="G420" s="141"/>
      <c r="H420" s="141"/>
      <c r="I420" s="141"/>
      <c r="J420" s="141"/>
      <c r="K420" s="27"/>
      <c r="L420" s="22"/>
      <c r="M420" s="15"/>
      <c r="N420" s="27"/>
      <c r="O420" s="27"/>
      <c r="P420" s="27">
        <v>4</v>
      </c>
      <c r="Q420" s="322">
        <v>1</v>
      </c>
      <c r="R420" s="322">
        <f>-S406</f>
        <v>0</v>
      </c>
      <c r="S420" s="321">
        <f>T406</f>
        <v>0</v>
      </c>
      <c r="T420" s="27"/>
      <c r="U420" s="189">
        <f>S420*-1</f>
        <v>0</v>
      </c>
      <c r="V420" s="189">
        <f>(Q420*$Q$422+R420*$Q$423)</f>
        <v>20</v>
      </c>
      <c r="W420" s="27"/>
      <c r="X420" s="14">
        <f>IF(U420&lt;=V420,1,0)</f>
        <v>1</v>
      </c>
      <c r="Y420" s="14">
        <f>IF(U420&gt;=V420,1,0)</f>
        <v>0</v>
      </c>
      <c r="Z420" s="27"/>
      <c r="AA420" s="27"/>
      <c r="AB420" s="317">
        <f>IF(U420&lt;=V420,1,0)</f>
        <v>1</v>
      </c>
      <c r="AC420" s="14"/>
      <c r="AD420" s="27"/>
      <c r="AE420" s="27"/>
      <c r="AF420" s="27"/>
      <c r="AG420" s="27"/>
      <c r="AH420" s="27"/>
      <c r="AI420" s="314"/>
      <c r="AJ420" s="27"/>
    </row>
    <row r="421" spans="1:36" ht="17.25" customHeight="1">
      <c r="A421" s="141" t="s">
        <v>148</v>
      </c>
      <c r="B421" s="141"/>
      <c r="C421" s="141"/>
      <c r="D421" s="141"/>
      <c r="E421" s="33"/>
      <c r="F421" s="141"/>
      <c r="G421" s="141"/>
      <c r="H421" s="141"/>
      <c r="I421" s="141"/>
      <c r="J421" s="141"/>
      <c r="K421" s="27"/>
      <c r="L421" s="27"/>
      <c r="M421" s="15"/>
      <c r="N421" s="69"/>
      <c r="O421" s="27"/>
      <c r="P421" s="27"/>
      <c r="Q421" s="27"/>
      <c r="R421" s="27"/>
      <c r="S421" s="27"/>
      <c r="T421" s="27"/>
      <c r="U421" s="27"/>
      <c r="V421" s="27"/>
      <c r="W421" s="27"/>
      <c r="X421" s="14"/>
      <c r="Y421" s="14"/>
      <c r="Z421" s="27"/>
      <c r="AA421" s="27"/>
      <c r="AB421" s="14"/>
      <c r="AC421" s="14"/>
      <c r="AD421" s="27"/>
      <c r="AE421" s="27"/>
      <c r="AF421" s="27"/>
      <c r="AG421" s="27"/>
      <c r="AH421" s="27"/>
      <c r="AI421" s="314"/>
      <c r="AJ421" s="27"/>
    </row>
    <row r="422" spans="1:36" ht="17.25" customHeight="1">
      <c r="A422" s="141"/>
      <c r="B422" s="141"/>
      <c r="C422" s="141"/>
      <c r="D422" s="141"/>
      <c r="E422" s="141"/>
      <c r="F422" s="141"/>
      <c r="G422" s="141"/>
      <c r="H422" s="141"/>
      <c r="I422" s="141"/>
      <c r="J422" s="141"/>
      <c r="K422" s="27"/>
      <c r="L422" s="27"/>
      <c r="M422" s="67"/>
      <c r="N422" s="69"/>
      <c r="O422" s="27"/>
      <c r="P422" s="71" t="s">
        <v>411</v>
      </c>
      <c r="Q422" s="203">
        <v>20</v>
      </c>
      <c r="R422" s="27"/>
      <c r="S422" s="27"/>
      <c r="T422" s="27"/>
      <c r="U422" s="27"/>
      <c r="V422" s="27"/>
      <c r="W422" s="27"/>
      <c r="X422" s="14"/>
      <c r="Y422" s="14"/>
      <c r="Z422" s="27"/>
      <c r="AA422" s="27"/>
      <c r="AB422" s="14"/>
      <c r="AC422" s="14"/>
      <c r="AD422" s="27"/>
      <c r="AE422" s="27"/>
      <c r="AF422" s="27"/>
      <c r="AG422" s="27"/>
      <c r="AH422" s="27"/>
      <c r="AI422" s="314"/>
      <c r="AJ422" s="27"/>
    </row>
    <row r="423" spans="1:36" ht="17.25" customHeight="1">
      <c r="A423" s="196"/>
      <c r="B423" s="196"/>
      <c r="C423" s="196"/>
      <c r="D423" s="196"/>
      <c r="E423" s="196"/>
      <c r="F423" s="62" t="s">
        <v>46</v>
      </c>
      <c r="G423" s="39" t="s">
        <v>145</v>
      </c>
      <c r="H423" s="201" t="s">
        <v>144</v>
      </c>
      <c r="I423" s="141"/>
      <c r="J423" s="141"/>
      <c r="K423" s="27"/>
      <c r="L423" s="23"/>
      <c r="M423" s="15"/>
      <c r="N423" s="27"/>
      <c r="O423" s="27"/>
      <c r="P423" s="71" t="s">
        <v>412</v>
      </c>
      <c r="Q423" s="203">
        <v>30</v>
      </c>
      <c r="R423" s="27"/>
      <c r="S423" s="188"/>
      <c r="T423" s="27"/>
      <c r="U423" s="27"/>
      <c r="V423" s="27"/>
      <c r="W423" s="27"/>
      <c r="X423" s="14"/>
      <c r="Y423" s="14"/>
      <c r="Z423" s="27"/>
      <c r="AA423" s="27"/>
      <c r="AB423" s="14"/>
      <c r="AC423" s="14"/>
      <c r="AD423" s="27"/>
      <c r="AE423" s="27"/>
      <c r="AF423" s="27"/>
      <c r="AG423" s="27"/>
      <c r="AH423" s="27"/>
      <c r="AI423" s="314"/>
      <c r="AJ423" s="27"/>
    </row>
    <row r="424" spans="1:36" ht="17.25" customHeight="1">
      <c r="A424" s="72" t="s">
        <v>69</v>
      </c>
      <c r="B424" s="196" t="s">
        <v>12</v>
      </c>
      <c r="C424" s="120">
        <f>C392</f>
        <v>0</v>
      </c>
      <c r="D424" s="120">
        <f>G392</f>
        <v>18.143695999999998</v>
      </c>
      <c r="E424" s="120">
        <f>H392</f>
        <v>22.67962</v>
      </c>
      <c r="F424" s="189">
        <f>SLOPE(C425:E425,C424:E424)</f>
        <v>0.88928571428571423</v>
      </c>
      <c r="G424" s="189">
        <f>INTERCEPT(C425:E425,C424:E424)</f>
        <v>4.2281291571428579</v>
      </c>
      <c r="H424" s="189">
        <f>CORREL(C425:E425,C424:E424)^2</f>
        <v>0.99879180359559228</v>
      </c>
      <c r="I424" s="141"/>
      <c r="J424" s="141"/>
      <c r="K424" s="27"/>
      <c r="L424" s="18"/>
      <c r="M424" s="15"/>
      <c r="N424" s="27"/>
      <c r="O424" s="27"/>
      <c r="P424" s="27"/>
      <c r="Q424" s="27"/>
      <c r="R424" s="27"/>
      <c r="S424" s="27"/>
      <c r="T424" s="27"/>
      <c r="U424" s="27"/>
      <c r="V424" s="27"/>
      <c r="W424" s="27"/>
      <c r="X424" s="14"/>
      <c r="Y424" s="14"/>
      <c r="Z424" s="27"/>
      <c r="AA424" s="27"/>
      <c r="AB424" s="14"/>
      <c r="AC424" s="14"/>
      <c r="AD424" s="27"/>
      <c r="AE424" s="27"/>
      <c r="AF424" s="27"/>
      <c r="AG424" s="27"/>
      <c r="AH424" s="27"/>
      <c r="AI424" s="314"/>
      <c r="AJ424" s="27"/>
    </row>
    <row r="425" spans="1:36" ht="17.25" customHeight="1">
      <c r="A425" s="72" t="s">
        <v>146</v>
      </c>
      <c r="B425" s="202" t="s">
        <v>12</v>
      </c>
      <c r="C425" s="120">
        <f>B394</f>
        <v>4.3091277999999997</v>
      </c>
      <c r="D425" s="120">
        <f>B402</f>
        <v>19.958065599999998</v>
      </c>
      <c r="E425" s="120">
        <f>B404</f>
        <v>24.720785799999998</v>
      </c>
      <c r="F425" s="30"/>
      <c r="G425" s="30"/>
      <c r="H425" s="30"/>
      <c r="I425" s="141"/>
      <c r="J425" s="141"/>
      <c r="K425" s="15"/>
      <c r="L425" s="18"/>
      <c r="M425" s="27"/>
      <c r="N425" s="27"/>
      <c r="O425" s="27"/>
      <c r="P425" s="27"/>
      <c r="Q425" s="27"/>
      <c r="R425" s="27"/>
      <c r="S425" s="46"/>
      <c r="T425" s="27"/>
      <c r="U425" s="27"/>
      <c r="V425" s="27"/>
      <c r="W425" s="27"/>
      <c r="X425" s="14"/>
      <c r="Y425" s="14"/>
      <c r="Z425" s="27"/>
      <c r="AA425" s="27"/>
      <c r="AB425" s="14"/>
      <c r="AC425" s="14"/>
      <c r="AD425" s="27"/>
      <c r="AE425" s="27"/>
      <c r="AF425" s="27"/>
      <c r="AG425" s="27"/>
      <c r="AH425" s="27"/>
      <c r="AI425" s="314"/>
      <c r="AJ425" s="27"/>
    </row>
    <row r="426" spans="1:36" ht="17.25" customHeight="1">
      <c r="A426" s="70"/>
      <c r="B426" s="141"/>
      <c r="C426" s="141"/>
      <c r="D426" s="141"/>
      <c r="E426" s="141"/>
      <c r="F426" s="141"/>
      <c r="G426" s="141"/>
      <c r="H426" s="141"/>
      <c r="I426" s="141"/>
      <c r="J426" s="141"/>
      <c r="K426" s="27"/>
      <c r="L426" s="18"/>
      <c r="M426" s="27"/>
      <c r="N426" s="27"/>
      <c r="O426" s="27"/>
      <c r="P426" s="27"/>
      <c r="Q426" s="27"/>
      <c r="R426" s="27"/>
      <c r="S426" s="46"/>
      <c r="T426" s="27"/>
      <c r="U426" s="27"/>
      <c r="V426" s="27"/>
      <c r="W426" s="27"/>
      <c r="X426" s="14"/>
      <c r="Y426" s="14"/>
      <c r="Z426" s="27"/>
      <c r="AA426" s="27"/>
      <c r="AB426" s="14"/>
      <c r="AC426" s="14"/>
      <c r="AD426" s="27"/>
      <c r="AE426" s="27"/>
      <c r="AF426" s="27"/>
      <c r="AG426" s="27"/>
      <c r="AH426" s="27"/>
      <c r="AI426" s="314"/>
      <c r="AJ426" s="27"/>
    </row>
    <row r="427" spans="1:36" ht="17.25" customHeight="1">
      <c r="A427" s="70" t="s">
        <v>116</v>
      </c>
      <c r="B427" s="70"/>
      <c r="C427" s="141"/>
      <c r="D427" s="141"/>
      <c r="E427" s="141"/>
      <c r="F427" s="141"/>
      <c r="G427" s="141"/>
      <c r="H427" s="141"/>
      <c r="I427" s="141"/>
      <c r="J427" s="141"/>
      <c r="K427" s="27"/>
      <c r="L427" s="27"/>
      <c r="M427" s="27"/>
      <c r="N427" s="27"/>
      <c r="O427" s="27"/>
      <c r="P427" s="27"/>
      <c r="Q427" s="27"/>
      <c r="R427" s="27"/>
      <c r="S427" s="27"/>
      <c r="T427" s="27"/>
      <c r="U427" s="27"/>
      <c r="V427" s="27"/>
      <c r="W427" s="27"/>
      <c r="X427" s="27"/>
      <c r="Y427" s="27"/>
      <c r="Z427" s="27"/>
      <c r="AA427" s="27"/>
      <c r="AB427" s="14"/>
      <c r="AC427" s="14"/>
      <c r="AD427" s="27"/>
      <c r="AE427" s="27"/>
      <c r="AF427" s="27"/>
      <c r="AG427" s="27"/>
      <c r="AH427" s="27"/>
      <c r="AI427" s="314"/>
      <c r="AJ427" s="27"/>
    </row>
    <row r="428" spans="1:36" ht="17.25" customHeight="1">
      <c r="A428" s="141"/>
      <c r="B428" s="70"/>
      <c r="C428" s="141"/>
      <c r="D428" s="141"/>
      <c r="E428" s="141"/>
      <c r="F428" s="141"/>
      <c r="G428" s="141"/>
      <c r="H428" s="141"/>
      <c r="I428" s="141"/>
      <c r="J428" s="141"/>
      <c r="K428" s="27"/>
      <c r="L428" s="27"/>
      <c r="M428" s="27"/>
      <c r="N428" s="27"/>
      <c r="O428" s="27"/>
      <c r="P428" s="27"/>
      <c r="Q428" s="27"/>
      <c r="R428" s="27"/>
      <c r="S428" s="27"/>
      <c r="T428" s="27"/>
      <c r="U428" s="27"/>
      <c r="V428" s="27"/>
      <c r="W428" s="27"/>
      <c r="X428" s="27"/>
      <c r="Y428" s="27"/>
      <c r="Z428" s="27"/>
      <c r="AA428" s="27"/>
      <c r="AB428" s="14"/>
      <c r="AC428" s="14"/>
      <c r="AD428" s="27"/>
      <c r="AE428" s="27"/>
      <c r="AF428" s="27"/>
      <c r="AG428" s="27"/>
      <c r="AH428" s="27"/>
      <c r="AI428" s="314"/>
      <c r="AJ428" s="27"/>
    </row>
    <row r="429" spans="1:36" ht="17.25" customHeight="1">
      <c r="A429" s="70" t="s">
        <v>117</v>
      </c>
      <c r="B429" s="141"/>
      <c r="C429" s="141"/>
      <c r="D429" s="141"/>
      <c r="E429" s="141"/>
      <c r="F429" s="141"/>
      <c r="G429" s="141"/>
      <c r="H429" s="141"/>
      <c r="I429" s="141"/>
      <c r="J429" s="141"/>
      <c r="K429" s="27"/>
      <c r="L429" s="27"/>
      <c r="M429" s="27"/>
      <c r="N429" s="27"/>
      <c r="O429" s="27"/>
      <c r="P429" s="27"/>
      <c r="Q429" s="27"/>
      <c r="R429" s="27"/>
      <c r="S429" s="27"/>
      <c r="T429" s="27"/>
      <c r="U429" s="27"/>
      <c r="V429" s="27"/>
      <c r="W429" s="27"/>
      <c r="X429" s="27"/>
      <c r="Y429" s="27"/>
      <c r="Z429" s="27"/>
      <c r="AA429" s="27"/>
      <c r="AB429" s="14"/>
      <c r="AC429" s="14"/>
      <c r="AD429" s="27"/>
      <c r="AE429" s="27"/>
      <c r="AF429" s="27"/>
      <c r="AG429" s="27"/>
      <c r="AH429" s="27"/>
      <c r="AI429" s="314"/>
      <c r="AJ429" s="27"/>
    </row>
    <row r="430" spans="1:36" ht="17.25" customHeight="1">
      <c r="A430" s="196"/>
      <c r="B430" s="196"/>
      <c r="C430" s="196"/>
      <c r="D430" s="196"/>
      <c r="E430" s="196"/>
      <c r="F430" s="62" t="s">
        <v>46</v>
      </c>
      <c r="G430" s="39" t="s">
        <v>145</v>
      </c>
      <c r="H430" s="201" t="s">
        <v>144</v>
      </c>
      <c r="I430" s="141"/>
      <c r="J430" s="141"/>
      <c r="K430" s="27"/>
      <c r="L430" s="27"/>
      <c r="M430" s="27"/>
      <c r="N430" s="27"/>
      <c r="O430" s="27"/>
      <c r="P430" s="27"/>
      <c r="Q430" s="27"/>
      <c r="R430" s="27"/>
      <c r="S430" s="27"/>
      <c r="T430" s="27"/>
      <c r="U430" s="27"/>
      <c r="V430" s="27"/>
      <c r="W430" s="27"/>
      <c r="X430" s="27"/>
      <c r="Y430" s="27"/>
      <c r="Z430" s="27"/>
      <c r="AA430" s="27"/>
      <c r="AB430" s="14"/>
      <c r="AC430" s="14"/>
      <c r="AD430" s="27"/>
      <c r="AE430" s="27"/>
      <c r="AF430" s="27"/>
      <c r="AG430" s="27"/>
      <c r="AH430" s="27"/>
      <c r="AI430" s="314"/>
      <c r="AJ430" s="27"/>
    </row>
    <row r="431" spans="1:36" ht="17.25" customHeight="1">
      <c r="A431" s="72" t="s">
        <v>69</v>
      </c>
      <c r="B431" s="196" t="s">
        <v>12</v>
      </c>
      <c r="C431" s="30">
        <f>C392</f>
        <v>0</v>
      </c>
      <c r="D431" s="30">
        <f>D392</f>
        <v>4.5359239999999996</v>
      </c>
      <c r="E431" s="30">
        <f>K392</f>
        <v>36.287391999999997</v>
      </c>
      <c r="F431" s="189">
        <f>SLOPE(C432:E432,C431:E431)</f>
        <v>0.7171052631578948</v>
      </c>
      <c r="G431" s="189">
        <f>INTERCEPT(C432:E432,C431:E431)</f>
        <v>13.07261254561403</v>
      </c>
      <c r="H431" s="189">
        <f>CORREL(C432:E432,C431:E431)^2</f>
        <v>0.99792927505588402</v>
      </c>
      <c r="I431" s="70"/>
      <c r="J431" s="70"/>
      <c r="K431" s="16"/>
      <c r="L431" s="16"/>
      <c r="M431" s="16"/>
      <c r="N431" s="16"/>
      <c r="O431" s="27"/>
      <c r="P431" s="27"/>
      <c r="Q431" s="27"/>
      <c r="R431" s="27"/>
      <c r="S431" s="27"/>
      <c r="T431" s="27"/>
      <c r="U431" s="27"/>
      <c r="V431" s="27"/>
      <c r="W431" s="27"/>
      <c r="X431" s="27"/>
      <c r="Y431" s="27"/>
      <c r="Z431" s="27"/>
      <c r="AA431" s="27"/>
      <c r="AB431" s="14"/>
      <c r="AC431" s="14"/>
      <c r="AD431" s="27"/>
      <c r="AE431" s="27"/>
      <c r="AF431" s="27"/>
      <c r="AG431" s="27"/>
      <c r="AH431" s="27"/>
      <c r="AI431" s="314"/>
      <c r="AJ431" s="27"/>
    </row>
    <row r="432" spans="1:36" ht="17.25" customHeight="1">
      <c r="A432" s="72" t="s">
        <v>149</v>
      </c>
      <c r="B432" s="202" t="s">
        <v>12</v>
      </c>
      <c r="C432" s="30">
        <f>B395</f>
        <v>12.473790999999999</v>
      </c>
      <c r="D432" s="30">
        <f>B397</f>
        <v>17.009715</v>
      </c>
      <c r="E432" s="30">
        <f>B411</f>
        <v>39.008946399999999</v>
      </c>
      <c r="F432" s="30"/>
      <c r="G432" s="30"/>
      <c r="H432" s="30"/>
      <c r="I432" s="141"/>
      <c r="J432" s="141"/>
      <c r="K432" s="27"/>
      <c r="L432" s="16"/>
      <c r="M432" s="16"/>
      <c r="N432" s="20"/>
      <c r="O432" s="27"/>
      <c r="P432" s="27"/>
      <c r="Q432" s="27"/>
      <c r="R432" s="27"/>
      <c r="S432" s="27"/>
      <c r="T432" s="27"/>
      <c r="U432" s="27"/>
      <c r="V432" s="27"/>
      <c r="W432" s="27"/>
      <c r="X432" s="27"/>
      <c r="Y432" s="27"/>
      <c r="Z432" s="27"/>
      <c r="AA432" s="27"/>
      <c r="AB432" s="14"/>
      <c r="AC432" s="14"/>
      <c r="AD432" s="27"/>
      <c r="AE432" s="27"/>
      <c r="AF432" s="27"/>
      <c r="AG432" s="27"/>
      <c r="AH432" s="27"/>
      <c r="AI432" s="314"/>
      <c r="AJ432" s="27"/>
    </row>
    <row r="433" spans="1:36" ht="17.25" customHeight="1">
      <c r="A433" s="27"/>
      <c r="B433" s="27"/>
      <c r="C433" s="27"/>
      <c r="D433" s="27"/>
      <c r="E433" s="27"/>
      <c r="F433" s="27"/>
      <c r="G433" s="27"/>
      <c r="H433" s="27"/>
      <c r="I433" s="16"/>
      <c r="J433" s="16"/>
      <c r="K433" s="11"/>
      <c r="L433" s="16"/>
      <c r="M433" s="16"/>
      <c r="N433" s="21"/>
      <c r="O433" s="27"/>
      <c r="P433" s="27"/>
      <c r="Q433" s="27"/>
      <c r="R433" s="27"/>
      <c r="S433" s="27"/>
      <c r="T433" s="27"/>
      <c r="U433" s="27"/>
      <c r="V433" s="27"/>
      <c r="W433" s="27"/>
      <c r="X433" s="27"/>
      <c r="Y433" s="27"/>
      <c r="Z433" s="27"/>
      <c r="AA433" s="27"/>
      <c r="AB433" s="14"/>
      <c r="AC433" s="14"/>
      <c r="AD433" s="27"/>
      <c r="AE433" s="27"/>
      <c r="AF433" s="27"/>
      <c r="AG433" s="27"/>
      <c r="AH433" s="27"/>
      <c r="AI433" s="314"/>
      <c r="AJ433" s="27"/>
    </row>
    <row r="434" spans="1:36" s="533" customFormat="1" ht="17.25" customHeight="1" thickBot="1">
      <c r="A434" s="533" t="s">
        <v>92</v>
      </c>
    </row>
    <row r="435" spans="1:36" ht="17.25" customHeight="1" thickTop="1">
      <c r="A435" s="33"/>
      <c r="B435" s="78"/>
      <c r="C435" s="29"/>
      <c r="D435" s="29"/>
      <c r="E435" s="29"/>
      <c r="F435" s="29"/>
      <c r="G435" s="29"/>
      <c r="H435" s="29"/>
      <c r="I435" s="78"/>
      <c r="J435" s="78"/>
      <c r="K435" s="78"/>
      <c r="L435" s="78"/>
      <c r="M435" s="78"/>
      <c r="N435" s="78"/>
      <c r="O435" s="78"/>
      <c r="P435" s="78"/>
      <c r="Q435" s="78"/>
      <c r="R435" s="78"/>
      <c r="S435" s="78"/>
      <c r="T435" s="78"/>
      <c r="U435" s="78"/>
      <c r="V435" s="78"/>
      <c r="W435" s="78"/>
      <c r="X435" s="78"/>
      <c r="Y435" s="78"/>
      <c r="Z435" s="78"/>
      <c r="AA435" s="78"/>
      <c r="AB435" s="14"/>
      <c r="AC435" s="14"/>
      <c r="AD435" s="78"/>
      <c r="AE435" s="78"/>
      <c r="AF435" s="78"/>
      <c r="AG435" s="78"/>
      <c r="AH435" s="78"/>
      <c r="AI435" s="314"/>
      <c r="AJ435" s="78"/>
    </row>
    <row r="436" spans="1:36" ht="17.25" customHeight="1">
      <c r="A436" s="33"/>
      <c r="B436" s="78"/>
      <c r="C436" s="29"/>
      <c r="D436" s="29"/>
      <c r="E436" s="29"/>
      <c r="F436" s="29"/>
      <c r="G436" s="29"/>
      <c r="H436" s="29"/>
      <c r="I436" s="78"/>
      <c r="J436" s="78"/>
      <c r="K436" s="78"/>
      <c r="L436" s="78"/>
      <c r="M436" s="78"/>
      <c r="N436" s="78"/>
      <c r="O436" s="78"/>
      <c r="P436" s="78"/>
      <c r="Q436" s="78"/>
      <c r="R436" s="78"/>
      <c r="S436" s="78"/>
      <c r="T436" s="78"/>
      <c r="U436" s="78"/>
      <c r="V436" s="78"/>
      <c r="W436" s="78"/>
      <c r="X436" s="78"/>
      <c r="Y436" s="78"/>
      <c r="Z436" s="78"/>
      <c r="AA436" s="78"/>
      <c r="AB436" s="14"/>
      <c r="AC436" s="14"/>
      <c r="AD436" s="78"/>
      <c r="AE436" s="78"/>
      <c r="AF436" s="78"/>
      <c r="AG436" s="78"/>
      <c r="AH436" s="78"/>
      <c r="AI436" s="314"/>
      <c r="AJ436" s="78"/>
    </row>
    <row r="437" spans="1:36" ht="17.25" customHeight="1">
      <c r="A437" s="33"/>
      <c r="B437" s="78"/>
      <c r="C437" s="29"/>
      <c r="D437" s="29"/>
      <c r="E437" s="29"/>
      <c r="F437" s="29"/>
      <c r="G437" s="29"/>
      <c r="H437" s="29"/>
      <c r="I437" s="78"/>
      <c r="J437" s="78"/>
      <c r="K437" s="78"/>
      <c r="L437" s="78"/>
      <c r="M437" s="78"/>
      <c r="N437" s="78"/>
      <c r="O437" s="78"/>
      <c r="P437" s="78"/>
      <c r="Q437" s="78"/>
      <c r="R437" s="78"/>
      <c r="S437" s="78"/>
      <c r="T437" s="78"/>
      <c r="U437" s="78"/>
      <c r="V437" s="78"/>
      <c r="W437" s="78"/>
      <c r="X437" s="78"/>
      <c r="Y437" s="78"/>
      <c r="Z437" s="78"/>
      <c r="AA437" s="78"/>
      <c r="AB437" s="14"/>
      <c r="AC437" s="14"/>
      <c r="AD437" s="78"/>
      <c r="AE437" s="78"/>
      <c r="AF437" s="78"/>
      <c r="AG437" s="78"/>
      <c r="AH437" s="78"/>
      <c r="AI437" s="314"/>
      <c r="AJ437" s="78"/>
    </row>
    <row r="438" spans="1:36" ht="17.25" customHeight="1">
      <c r="A438" s="33"/>
      <c r="B438" s="78"/>
      <c r="C438" s="29"/>
      <c r="D438" s="29"/>
      <c r="E438" s="29"/>
      <c r="F438" s="29"/>
      <c r="G438" s="29"/>
      <c r="H438" s="29"/>
      <c r="I438" s="78"/>
      <c r="J438" s="78"/>
      <c r="K438" s="78"/>
      <c r="L438" s="78"/>
      <c r="M438" s="78"/>
      <c r="N438" s="78"/>
      <c r="O438" s="78"/>
      <c r="P438" s="78"/>
      <c r="Q438" s="78"/>
      <c r="R438" s="78"/>
      <c r="S438" s="78"/>
      <c r="T438" s="78"/>
      <c r="U438" s="78"/>
      <c r="V438" s="78"/>
      <c r="W438" s="78"/>
      <c r="X438" s="78"/>
      <c r="Y438" s="78"/>
      <c r="Z438" s="78"/>
      <c r="AA438" s="78"/>
      <c r="AB438" s="14"/>
      <c r="AC438" s="14"/>
      <c r="AD438" s="78"/>
      <c r="AE438" s="78"/>
      <c r="AF438" s="78"/>
      <c r="AG438" s="78"/>
      <c r="AH438" s="78"/>
      <c r="AI438" s="314"/>
      <c r="AJ438" s="78"/>
    </row>
    <row r="439" spans="1:36" ht="17.25" customHeight="1">
      <c r="A439" s="33"/>
      <c r="B439" s="78"/>
      <c r="C439" s="29"/>
      <c r="D439" s="29"/>
      <c r="E439" s="29"/>
      <c r="F439" s="29"/>
      <c r="G439" s="29"/>
      <c r="H439" s="29"/>
      <c r="I439" s="78"/>
      <c r="J439" s="78"/>
      <c r="K439" s="78"/>
      <c r="L439" s="78"/>
      <c r="M439" s="78"/>
      <c r="N439" s="78"/>
      <c r="O439" s="78"/>
      <c r="P439" s="78"/>
      <c r="Q439" s="78"/>
      <c r="R439" s="78"/>
      <c r="S439" s="78"/>
      <c r="T439" s="78"/>
      <c r="U439" s="78"/>
      <c r="V439" s="78"/>
      <c r="W439" s="78"/>
      <c r="X439" s="78"/>
      <c r="Y439" s="78"/>
      <c r="Z439" s="78"/>
      <c r="AA439" s="78"/>
      <c r="AB439" s="14"/>
      <c r="AC439" s="14"/>
      <c r="AD439" s="78"/>
      <c r="AE439" s="78"/>
      <c r="AF439" s="78"/>
      <c r="AG439" s="78"/>
      <c r="AH439" s="78"/>
      <c r="AI439" s="314"/>
      <c r="AJ439" s="78"/>
    </row>
    <row r="440" spans="1:36" ht="17.25" customHeight="1">
      <c r="A440" s="33"/>
      <c r="B440" s="78"/>
      <c r="C440" s="29"/>
      <c r="D440" s="29"/>
      <c r="E440" s="29"/>
      <c r="F440" s="29"/>
      <c r="G440" s="29"/>
      <c r="H440" s="29"/>
      <c r="I440" s="78"/>
      <c r="J440" s="78"/>
      <c r="K440" s="78"/>
      <c r="L440" s="78"/>
      <c r="M440" s="78"/>
      <c r="N440" s="78"/>
      <c r="O440" s="78"/>
      <c r="P440" s="78"/>
      <c r="Q440" s="78"/>
      <c r="R440" s="78"/>
      <c r="S440" s="78"/>
      <c r="T440" s="78"/>
      <c r="U440" s="78"/>
      <c r="V440" s="78"/>
      <c r="W440" s="78"/>
      <c r="X440" s="78"/>
      <c r="Y440" s="78"/>
      <c r="Z440" s="78"/>
      <c r="AA440" s="78"/>
      <c r="AB440" s="14"/>
      <c r="AC440" s="14"/>
      <c r="AD440" s="78"/>
      <c r="AE440" s="78"/>
      <c r="AF440" s="78"/>
      <c r="AG440" s="78"/>
      <c r="AH440" s="78"/>
      <c r="AI440" s="314"/>
      <c r="AJ440" s="78"/>
    </row>
    <row r="441" spans="1:36" ht="17.25" customHeight="1">
      <c r="A441" s="33"/>
      <c r="B441" s="78"/>
      <c r="C441" s="29"/>
      <c r="D441" s="29"/>
      <c r="E441" s="29"/>
      <c r="F441" s="29"/>
      <c r="G441" s="29"/>
      <c r="H441" s="29"/>
      <c r="I441" s="78"/>
      <c r="J441" s="78"/>
      <c r="K441" s="78"/>
      <c r="L441" s="78"/>
      <c r="M441" s="78"/>
      <c r="N441" s="78"/>
      <c r="O441" s="78"/>
      <c r="P441" s="78"/>
      <c r="Q441" s="78"/>
      <c r="R441" s="78"/>
      <c r="S441" s="78"/>
      <c r="T441" s="78"/>
      <c r="U441" s="78"/>
      <c r="V441" s="78"/>
      <c r="W441" s="78"/>
      <c r="X441" s="78"/>
      <c r="Y441" s="78"/>
      <c r="Z441" s="78"/>
      <c r="AA441" s="78"/>
      <c r="AB441" s="14"/>
      <c r="AC441" s="14"/>
      <c r="AD441" s="78"/>
      <c r="AE441" s="78"/>
      <c r="AF441" s="78"/>
      <c r="AG441" s="78"/>
      <c r="AH441" s="78"/>
      <c r="AI441" s="314"/>
      <c r="AJ441" s="78"/>
    </row>
    <row r="442" spans="1:36" ht="17.25" customHeight="1">
      <c r="A442" s="33"/>
      <c r="B442" s="78"/>
      <c r="C442" s="29"/>
      <c r="D442" s="29"/>
      <c r="E442" s="29"/>
      <c r="F442" s="29"/>
      <c r="G442" s="29"/>
      <c r="H442" s="29"/>
      <c r="I442" s="78"/>
      <c r="J442" s="78"/>
      <c r="K442" s="78"/>
      <c r="L442" s="78"/>
      <c r="M442" s="78"/>
      <c r="N442" s="78"/>
      <c r="O442" s="78"/>
      <c r="P442" s="78"/>
      <c r="Q442" s="78"/>
      <c r="R442" s="78"/>
      <c r="S442" s="78"/>
      <c r="T442" s="78"/>
      <c r="U442" s="78"/>
      <c r="V442" s="78"/>
      <c r="W442" s="78"/>
      <c r="X442" s="78"/>
      <c r="Y442" s="78"/>
      <c r="Z442" s="78"/>
      <c r="AA442" s="78"/>
      <c r="AB442" s="14"/>
      <c r="AC442" s="14"/>
      <c r="AD442" s="78"/>
      <c r="AE442" s="78"/>
      <c r="AF442" s="78"/>
      <c r="AG442" s="78"/>
      <c r="AH442" s="78"/>
      <c r="AI442" s="314"/>
      <c r="AJ442" s="78"/>
    </row>
    <row r="443" spans="1:36" ht="17.25" customHeight="1">
      <c r="A443" s="33"/>
      <c r="B443" s="78"/>
      <c r="C443" s="29"/>
      <c r="D443" s="29"/>
      <c r="E443" s="29"/>
      <c r="F443" s="29"/>
      <c r="G443" s="29"/>
      <c r="H443" s="29"/>
      <c r="I443" s="78"/>
      <c r="J443" s="78"/>
      <c r="K443" s="78"/>
      <c r="L443" s="78"/>
      <c r="M443" s="78"/>
      <c r="N443" s="78"/>
      <c r="O443" s="78"/>
      <c r="P443" s="78"/>
      <c r="Q443" s="78"/>
      <c r="R443" s="78"/>
      <c r="S443" s="78"/>
      <c r="T443" s="78"/>
      <c r="U443" s="78"/>
      <c r="V443" s="78"/>
      <c r="W443" s="78"/>
      <c r="X443" s="78"/>
      <c r="Y443" s="78"/>
      <c r="Z443" s="78"/>
      <c r="AA443" s="78"/>
      <c r="AB443" s="14"/>
      <c r="AC443" s="14"/>
      <c r="AD443" s="78"/>
      <c r="AE443" s="78"/>
      <c r="AF443" s="78"/>
      <c r="AG443" s="78"/>
      <c r="AH443" s="78"/>
      <c r="AI443" s="314"/>
      <c r="AJ443" s="78"/>
    </row>
    <row r="444" spans="1:36" ht="17.25" customHeight="1">
      <c r="A444" s="33"/>
      <c r="B444" s="78"/>
      <c r="C444" s="29"/>
      <c r="D444" s="29"/>
      <c r="E444" s="29"/>
      <c r="F444" s="29"/>
      <c r="G444" s="29"/>
      <c r="H444" s="29"/>
      <c r="I444" s="78"/>
      <c r="J444" s="78"/>
      <c r="K444" s="78"/>
      <c r="L444" s="78"/>
      <c r="M444" s="78"/>
      <c r="N444" s="78"/>
      <c r="O444" s="78"/>
      <c r="P444" s="78"/>
      <c r="Q444" s="78"/>
      <c r="R444" s="78"/>
      <c r="S444" s="78"/>
      <c r="T444" s="78"/>
      <c r="U444" s="78"/>
      <c r="V444" s="78"/>
      <c r="W444" s="78"/>
      <c r="X444" s="78"/>
      <c r="Y444" s="78"/>
      <c r="Z444" s="78"/>
      <c r="AA444" s="78"/>
      <c r="AB444" s="14"/>
      <c r="AC444" s="14"/>
      <c r="AD444" s="78"/>
      <c r="AE444" s="78"/>
      <c r="AF444" s="78"/>
      <c r="AG444" s="78"/>
      <c r="AH444" s="78"/>
      <c r="AI444" s="314"/>
      <c r="AJ444" s="78"/>
    </row>
    <row r="445" spans="1:36" ht="17.25" customHeight="1">
      <c r="A445" s="33"/>
      <c r="B445" s="78"/>
      <c r="C445" s="29"/>
      <c r="D445" s="29"/>
      <c r="E445" s="29"/>
      <c r="F445" s="29"/>
      <c r="G445" s="29"/>
      <c r="H445" s="29"/>
      <c r="I445" s="78"/>
      <c r="J445" s="78"/>
      <c r="K445" s="78"/>
      <c r="L445" s="78"/>
      <c r="M445" s="78"/>
      <c r="N445" s="78"/>
      <c r="O445" s="78"/>
      <c r="P445" s="78"/>
      <c r="Q445" s="78"/>
      <c r="R445" s="78"/>
      <c r="S445" s="78"/>
      <c r="T445" s="78"/>
      <c r="U445" s="78"/>
      <c r="V445" s="78"/>
      <c r="W445" s="78"/>
      <c r="X445" s="78"/>
      <c r="Y445" s="78"/>
      <c r="Z445" s="78"/>
      <c r="AA445" s="78"/>
      <c r="AB445" s="14"/>
      <c r="AC445" s="14"/>
      <c r="AD445" s="78"/>
      <c r="AE445" s="78"/>
      <c r="AF445" s="78"/>
      <c r="AG445" s="78"/>
      <c r="AH445" s="78"/>
      <c r="AI445" s="314"/>
      <c r="AJ445" s="78"/>
    </row>
    <row r="446" spans="1:36" ht="17.25" customHeight="1">
      <c r="A446" s="33"/>
      <c r="B446" s="78"/>
      <c r="C446" s="29"/>
      <c r="D446" s="29"/>
      <c r="E446" s="29"/>
      <c r="F446" s="29"/>
      <c r="G446" s="29"/>
      <c r="H446" s="29"/>
      <c r="I446" s="78"/>
      <c r="J446" s="78"/>
      <c r="K446" s="78"/>
      <c r="L446" s="78"/>
      <c r="M446" s="78"/>
      <c r="N446" s="78"/>
      <c r="O446" s="78"/>
      <c r="P446" s="78"/>
      <c r="Q446" s="78"/>
      <c r="R446" s="78"/>
      <c r="S446" s="78"/>
      <c r="T446" s="78"/>
      <c r="U446" s="78"/>
      <c r="V446" s="78"/>
      <c r="W446" s="78"/>
      <c r="X446" s="78"/>
      <c r="Y446" s="78"/>
      <c r="Z446" s="78"/>
      <c r="AA446" s="78"/>
      <c r="AB446" s="14"/>
      <c r="AC446" s="14"/>
      <c r="AD446" s="78"/>
      <c r="AE446" s="78"/>
      <c r="AF446" s="78"/>
      <c r="AG446" s="78"/>
      <c r="AH446" s="78"/>
      <c r="AI446" s="314"/>
      <c r="AJ446" s="78"/>
    </row>
    <row r="447" spans="1:36" ht="17.25" customHeight="1">
      <c r="A447" s="33"/>
      <c r="B447" s="78"/>
      <c r="C447" s="29"/>
      <c r="D447" s="29"/>
      <c r="E447" s="29"/>
      <c r="F447" s="29"/>
      <c r="G447" s="29"/>
      <c r="H447" s="29"/>
      <c r="I447" s="78"/>
      <c r="J447" s="78"/>
      <c r="K447" s="78"/>
      <c r="L447" s="78"/>
      <c r="M447" s="78"/>
      <c r="N447" s="78"/>
      <c r="O447" s="78"/>
      <c r="P447" s="78"/>
      <c r="Q447" s="78"/>
      <c r="R447" s="78"/>
      <c r="S447" s="78"/>
      <c r="T447" s="78"/>
      <c r="U447" s="78"/>
      <c r="V447" s="78"/>
      <c r="W447" s="78"/>
      <c r="X447" s="78"/>
      <c r="Y447" s="78"/>
      <c r="Z447" s="78"/>
      <c r="AA447" s="78"/>
      <c r="AB447" s="14"/>
      <c r="AC447" s="14"/>
      <c r="AD447" s="78"/>
      <c r="AE447" s="78"/>
      <c r="AF447" s="78"/>
      <c r="AG447" s="78"/>
      <c r="AH447" s="78"/>
      <c r="AI447" s="314"/>
      <c r="AJ447" s="78"/>
    </row>
    <row r="448" spans="1:36" ht="17.25" customHeight="1">
      <c r="A448" s="33"/>
      <c r="B448" s="78"/>
      <c r="C448" s="29"/>
      <c r="D448" s="29"/>
      <c r="E448" s="29"/>
      <c r="F448" s="29"/>
      <c r="G448" s="29"/>
      <c r="H448" s="29"/>
      <c r="I448" s="78"/>
      <c r="J448" s="78"/>
      <c r="K448" s="78"/>
      <c r="L448" s="78"/>
      <c r="M448" s="78"/>
      <c r="N448" s="78"/>
      <c r="O448" s="78"/>
      <c r="P448" s="78"/>
      <c r="Q448" s="78"/>
      <c r="R448" s="78"/>
      <c r="S448" s="78"/>
      <c r="T448" s="78"/>
      <c r="U448" s="78"/>
      <c r="V448" s="78"/>
      <c r="W448" s="78"/>
      <c r="X448" s="78"/>
      <c r="Y448" s="78"/>
      <c r="Z448" s="78"/>
      <c r="AA448" s="78"/>
      <c r="AB448" s="14"/>
      <c r="AC448" s="14"/>
      <c r="AD448" s="78"/>
      <c r="AE448" s="78"/>
      <c r="AF448" s="78"/>
      <c r="AG448" s="78"/>
      <c r="AH448" s="78"/>
      <c r="AI448" s="314"/>
      <c r="AJ448" s="78"/>
    </row>
    <row r="449" spans="1:36" ht="17.25" customHeight="1">
      <c r="A449" s="33"/>
      <c r="B449" s="78"/>
      <c r="C449" s="29"/>
      <c r="D449" s="29"/>
      <c r="E449" s="29"/>
      <c r="F449" s="29"/>
      <c r="G449" s="29"/>
      <c r="H449" s="29"/>
      <c r="I449" s="78"/>
      <c r="J449" s="78"/>
      <c r="K449" s="78"/>
      <c r="L449" s="78"/>
      <c r="M449" s="78"/>
      <c r="N449" s="78"/>
      <c r="O449" s="78"/>
      <c r="P449" s="78"/>
      <c r="Q449" s="78"/>
      <c r="R449" s="78"/>
      <c r="S449" s="78"/>
      <c r="T449" s="78"/>
      <c r="U449" s="78"/>
      <c r="V449" s="78"/>
      <c r="W449" s="78"/>
      <c r="X449" s="78"/>
      <c r="Y449" s="78"/>
      <c r="Z449" s="78"/>
      <c r="AA449" s="78"/>
      <c r="AB449" s="14"/>
      <c r="AC449" s="14"/>
      <c r="AD449" s="78"/>
      <c r="AE449" s="78"/>
      <c r="AF449" s="78"/>
      <c r="AG449" s="78"/>
      <c r="AH449" s="78"/>
      <c r="AI449" s="314"/>
      <c r="AJ449" s="78"/>
    </row>
    <row r="450" spans="1:36" ht="17.25" customHeight="1">
      <c r="A450" s="33"/>
      <c r="B450" s="78"/>
      <c r="C450" s="29"/>
      <c r="D450" s="29"/>
      <c r="E450" s="29"/>
      <c r="F450" s="29"/>
      <c r="G450" s="29"/>
      <c r="H450" s="29"/>
      <c r="I450" s="78"/>
      <c r="J450" s="78"/>
      <c r="K450" s="78"/>
      <c r="L450" s="78"/>
      <c r="M450" s="78"/>
      <c r="N450" s="78"/>
      <c r="O450" s="78"/>
      <c r="P450" s="78"/>
      <c r="Q450" s="78"/>
      <c r="R450" s="78"/>
      <c r="S450" s="78"/>
      <c r="T450" s="78"/>
      <c r="U450" s="78"/>
      <c r="V450" s="78"/>
      <c r="W450" s="78"/>
      <c r="X450" s="78"/>
      <c r="Y450" s="78"/>
      <c r="Z450" s="78"/>
      <c r="AA450" s="78"/>
      <c r="AB450" s="14"/>
      <c r="AC450" s="14"/>
      <c r="AD450" s="78"/>
      <c r="AE450" s="78"/>
      <c r="AF450" s="78"/>
      <c r="AG450" s="78"/>
      <c r="AH450" s="78"/>
      <c r="AI450" s="314"/>
      <c r="AJ450" s="78"/>
    </row>
    <row r="451" spans="1:36" ht="17.25" customHeight="1">
      <c r="A451" s="33"/>
      <c r="B451" s="78"/>
      <c r="C451" s="29"/>
      <c r="D451" s="29"/>
      <c r="E451" s="29"/>
      <c r="F451" s="29"/>
      <c r="G451" s="29"/>
      <c r="H451" s="29"/>
      <c r="I451" s="78"/>
      <c r="J451" s="78"/>
      <c r="K451" s="78"/>
      <c r="L451" s="78"/>
      <c r="M451" s="78"/>
      <c r="N451" s="78"/>
      <c r="O451" s="78"/>
      <c r="P451" s="78"/>
      <c r="Q451" s="78"/>
      <c r="R451" s="78"/>
      <c r="S451" s="78"/>
      <c r="T451" s="78"/>
      <c r="U451" s="78"/>
      <c r="V451" s="78"/>
      <c r="W451" s="78"/>
      <c r="X451" s="78"/>
      <c r="Y451" s="78"/>
      <c r="Z451" s="78"/>
      <c r="AA451" s="78"/>
      <c r="AB451" s="14"/>
      <c r="AC451" s="14"/>
      <c r="AD451" s="78"/>
      <c r="AE451" s="78"/>
      <c r="AF451" s="78"/>
      <c r="AG451" s="78"/>
      <c r="AH451" s="78"/>
      <c r="AI451" s="314"/>
      <c r="AJ451" s="78"/>
    </row>
    <row r="452" spans="1:36" ht="17.25" customHeight="1">
      <c r="A452" s="33"/>
      <c r="B452" s="78"/>
      <c r="C452" s="29"/>
      <c r="D452" s="29"/>
      <c r="E452" s="29"/>
      <c r="F452" s="29"/>
      <c r="G452" s="29"/>
      <c r="H452" s="29"/>
      <c r="I452" s="78"/>
      <c r="J452" s="78"/>
      <c r="K452" s="78"/>
      <c r="L452" s="78"/>
      <c r="M452" s="78"/>
      <c r="N452" s="78"/>
      <c r="O452" s="78"/>
      <c r="P452" s="78"/>
      <c r="Q452" s="78"/>
      <c r="R452" s="78"/>
      <c r="S452" s="78"/>
      <c r="T452" s="78"/>
      <c r="U452" s="78"/>
      <c r="V452" s="78"/>
      <c r="W452" s="78"/>
      <c r="X452" s="78"/>
      <c r="Y452" s="78"/>
      <c r="Z452" s="78"/>
      <c r="AA452" s="78"/>
      <c r="AB452" s="14"/>
      <c r="AC452" s="14"/>
      <c r="AD452" s="78"/>
      <c r="AE452" s="78"/>
      <c r="AF452" s="78"/>
      <c r="AG452" s="78"/>
      <c r="AH452" s="78"/>
      <c r="AI452" s="314"/>
      <c r="AJ452" s="78"/>
    </row>
    <row r="453" spans="1:36" ht="17.25" customHeight="1">
      <c r="A453" s="33"/>
      <c r="B453" s="78"/>
      <c r="C453" s="29"/>
      <c r="D453" s="29"/>
      <c r="E453" s="29"/>
      <c r="F453" s="29"/>
      <c r="G453" s="29"/>
      <c r="H453" s="29"/>
      <c r="I453" s="78"/>
      <c r="J453" s="78"/>
      <c r="K453" s="78"/>
      <c r="L453" s="78"/>
      <c r="M453" s="78"/>
      <c r="N453" s="78"/>
      <c r="O453" s="78"/>
      <c r="P453" s="78"/>
      <c r="Q453" s="78"/>
      <c r="R453" s="78"/>
      <c r="S453" s="78"/>
      <c r="T453" s="78"/>
      <c r="U453" s="78"/>
      <c r="V453" s="78"/>
      <c r="W453" s="78"/>
      <c r="X453" s="78"/>
      <c r="Y453" s="78"/>
      <c r="Z453" s="78"/>
      <c r="AA453" s="78"/>
      <c r="AB453" s="14"/>
      <c r="AC453" s="14"/>
      <c r="AD453" s="78"/>
      <c r="AE453" s="78"/>
      <c r="AF453" s="78"/>
      <c r="AG453" s="78"/>
      <c r="AH453" s="78"/>
      <c r="AI453" s="314"/>
      <c r="AJ453" s="78"/>
    </row>
    <row r="454" spans="1:36" ht="17.25" customHeight="1">
      <c r="A454" s="33"/>
      <c r="B454" s="78"/>
      <c r="C454" s="29"/>
      <c r="D454" s="29"/>
      <c r="E454" s="29"/>
      <c r="F454" s="29"/>
      <c r="G454" s="29"/>
      <c r="H454" s="29"/>
      <c r="I454" s="78"/>
      <c r="J454" s="78"/>
      <c r="K454" s="78"/>
      <c r="L454" s="78"/>
      <c r="M454" s="78"/>
      <c r="N454" s="78"/>
      <c r="O454" s="78"/>
      <c r="P454" s="78"/>
      <c r="Q454" s="78"/>
      <c r="R454" s="78"/>
      <c r="S454" s="78"/>
      <c r="T454" s="78"/>
      <c r="U454" s="78"/>
      <c r="V454" s="78"/>
      <c r="W454" s="78"/>
      <c r="X454" s="78"/>
      <c r="Y454" s="78"/>
      <c r="Z454" s="78"/>
      <c r="AA454" s="78"/>
      <c r="AB454" s="14"/>
      <c r="AC454" s="14"/>
      <c r="AD454" s="78"/>
      <c r="AE454" s="78"/>
      <c r="AF454" s="78"/>
      <c r="AG454" s="78"/>
      <c r="AH454" s="78"/>
      <c r="AI454" s="314"/>
      <c r="AJ454" s="78"/>
    </row>
    <row r="455" spans="1:36" ht="17.25" customHeight="1">
      <c r="A455" s="33"/>
      <c r="B455" s="78"/>
      <c r="C455" s="29"/>
      <c r="D455" s="29"/>
      <c r="E455" s="29"/>
      <c r="F455" s="29"/>
      <c r="G455" s="29"/>
      <c r="H455" s="29"/>
      <c r="I455" s="78"/>
      <c r="J455" s="78"/>
      <c r="K455" s="78"/>
      <c r="L455" s="78"/>
      <c r="M455" s="78"/>
      <c r="N455" s="78"/>
      <c r="O455" s="78"/>
      <c r="P455" s="78"/>
      <c r="Q455" s="78"/>
      <c r="R455" s="78"/>
      <c r="S455" s="78"/>
      <c r="T455" s="78"/>
      <c r="U455" s="78"/>
      <c r="V455" s="78"/>
      <c r="W455" s="78"/>
      <c r="X455" s="78"/>
      <c r="Y455" s="78"/>
      <c r="Z455" s="78"/>
      <c r="AA455" s="78"/>
      <c r="AB455" s="14"/>
      <c r="AC455" s="14"/>
      <c r="AD455" s="78"/>
      <c r="AE455" s="78"/>
      <c r="AF455" s="78"/>
      <c r="AG455" s="78"/>
      <c r="AH455" s="78"/>
      <c r="AI455" s="314"/>
      <c r="AJ455" s="78"/>
    </row>
    <row r="456" spans="1:36" ht="17.25" customHeight="1">
      <c r="A456" s="33"/>
      <c r="B456" s="78"/>
      <c r="C456" s="29"/>
      <c r="D456" s="29"/>
      <c r="E456" s="29"/>
      <c r="F456" s="29"/>
      <c r="G456" s="29"/>
      <c r="H456" s="29"/>
      <c r="I456" s="78"/>
      <c r="J456" s="78"/>
      <c r="K456" s="78"/>
      <c r="L456" s="78"/>
      <c r="M456" s="78"/>
      <c r="N456" s="78"/>
      <c r="O456" s="78"/>
      <c r="P456" s="78"/>
      <c r="Q456" s="78"/>
      <c r="R456" s="78"/>
      <c r="S456" s="78"/>
      <c r="T456" s="78"/>
      <c r="U456" s="78"/>
      <c r="V456" s="78"/>
      <c r="W456" s="78"/>
      <c r="X456" s="78"/>
      <c r="Y456" s="78"/>
      <c r="Z456" s="78"/>
      <c r="AA456" s="78"/>
      <c r="AB456" s="14"/>
      <c r="AC456" s="14"/>
      <c r="AD456" s="78"/>
      <c r="AE456" s="78"/>
      <c r="AF456" s="78"/>
      <c r="AG456" s="78"/>
      <c r="AH456" s="78"/>
      <c r="AI456" s="314"/>
      <c r="AJ456" s="78"/>
    </row>
    <row r="457" spans="1:36" ht="17.25" customHeight="1">
      <c r="A457" s="33"/>
      <c r="B457" s="78"/>
      <c r="C457" s="29"/>
      <c r="D457" s="29"/>
      <c r="E457" s="29"/>
      <c r="F457" s="29"/>
      <c r="G457" s="29"/>
      <c r="H457" s="29"/>
      <c r="I457" s="78"/>
      <c r="J457" s="78"/>
      <c r="K457" s="78"/>
      <c r="L457" s="78"/>
      <c r="M457" s="78"/>
      <c r="N457" s="78"/>
      <c r="O457" s="78"/>
      <c r="P457" s="78"/>
      <c r="Q457" s="78"/>
      <c r="R457" s="78"/>
      <c r="S457" s="78"/>
      <c r="T457" s="78"/>
      <c r="U457" s="78"/>
      <c r="V457" s="78"/>
      <c r="W457" s="78"/>
      <c r="X457" s="78"/>
      <c r="Y457" s="78"/>
      <c r="Z457" s="78"/>
      <c r="AA457" s="78"/>
      <c r="AB457" s="14"/>
      <c r="AC457" s="14"/>
      <c r="AD457" s="78"/>
      <c r="AE457" s="78"/>
      <c r="AF457" s="78"/>
      <c r="AG457" s="78"/>
      <c r="AH457" s="78"/>
      <c r="AI457" s="314"/>
      <c r="AJ457" s="78"/>
    </row>
    <row r="458" spans="1:36" ht="17.25" customHeight="1">
      <c r="A458" s="33"/>
      <c r="B458" s="78"/>
      <c r="C458" s="29"/>
      <c r="D458" s="29"/>
      <c r="E458" s="29"/>
      <c r="F458" s="29"/>
      <c r="G458" s="29"/>
      <c r="H458" s="29"/>
      <c r="I458" s="78"/>
      <c r="J458" s="78"/>
      <c r="K458" s="78"/>
      <c r="L458" s="78"/>
      <c r="M458" s="78"/>
      <c r="N458" s="78"/>
      <c r="O458" s="78"/>
      <c r="P458" s="78"/>
      <c r="Q458" s="78"/>
      <c r="R458" s="78"/>
      <c r="S458" s="78"/>
      <c r="T458" s="78"/>
      <c r="U458" s="78"/>
      <c r="V458" s="78"/>
      <c r="W458" s="78"/>
      <c r="X458" s="78"/>
      <c r="Y458" s="78"/>
      <c r="Z458" s="78"/>
      <c r="AA458" s="78"/>
      <c r="AB458" s="14"/>
      <c r="AC458" s="14"/>
      <c r="AD458" s="78"/>
      <c r="AE458" s="78"/>
      <c r="AF458" s="78"/>
      <c r="AG458" s="78"/>
      <c r="AH458" s="78"/>
      <c r="AI458" s="314"/>
      <c r="AJ458" s="78"/>
    </row>
    <row r="459" spans="1:36" ht="17.25" customHeight="1">
      <c r="A459" s="33"/>
      <c r="B459" s="78"/>
      <c r="C459" s="29"/>
      <c r="D459" s="29"/>
      <c r="E459" s="29"/>
      <c r="F459" s="29"/>
      <c r="G459" s="29"/>
      <c r="H459" s="29"/>
      <c r="I459" s="78"/>
      <c r="J459" s="78"/>
      <c r="K459" s="78"/>
      <c r="L459" s="78"/>
      <c r="M459" s="78"/>
      <c r="N459" s="78"/>
      <c r="O459" s="78"/>
      <c r="P459" s="78"/>
      <c r="Q459" s="78"/>
      <c r="R459" s="78"/>
      <c r="S459" s="78"/>
      <c r="T459" s="78"/>
      <c r="U459" s="78"/>
      <c r="V459" s="78"/>
      <c r="W459" s="78"/>
      <c r="X459" s="78"/>
      <c r="Y459" s="78"/>
      <c r="Z459" s="78"/>
      <c r="AA459" s="78"/>
      <c r="AB459" s="14"/>
      <c r="AC459" s="14"/>
      <c r="AD459" s="78"/>
      <c r="AE459" s="78"/>
      <c r="AF459" s="78"/>
      <c r="AG459" s="78"/>
      <c r="AH459" s="78"/>
      <c r="AI459" s="314"/>
      <c r="AJ459" s="78"/>
    </row>
    <row r="460" spans="1:36" ht="17.25" customHeight="1">
      <c r="A460" s="33"/>
      <c r="B460" s="78"/>
      <c r="C460" s="29"/>
      <c r="D460" s="29"/>
      <c r="E460" s="29"/>
      <c r="F460" s="29"/>
      <c r="G460" s="29"/>
      <c r="H460" s="29"/>
      <c r="I460" s="78"/>
      <c r="J460" s="78"/>
      <c r="K460" s="78"/>
      <c r="L460" s="78"/>
      <c r="M460" s="78"/>
      <c r="N460" s="78"/>
      <c r="O460" s="78"/>
      <c r="P460" s="78"/>
      <c r="Q460" s="78"/>
      <c r="R460" s="78"/>
      <c r="S460" s="78"/>
      <c r="T460" s="78"/>
      <c r="U460" s="78"/>
      <c r="V460" s="78"/>
      <c r="W460" s="78"/>
      <c r="X460" s="78"/>
      <c r="Y460" s="78"/>
      <c r="Z460" s="78"/>
      <c r="AA460" s="78"/>
      <c r="AB460" s="14"/>
      <c r="AC460" s="14"/>
      <c r="AD460" s="78"/>
      <c r="AE460" s="78"/>
      <c r="AF460" s="78"/>
      <c r="AG460" s="78"/>
      <c r="AH460" s="78"/>
      <c r="AI460" s="314"/>
      <c r="AJ460" s="78"/>
    </row>
    <row r="461" spans="1:36" ht="17.25" customHeight="1">
      <c r="A461" s="460"/>
      <c r="B461" s="460" t="s">
        <v>71</v>
      </c>
      <c r="C461" s="460">
        <v>0</v>
      </c>
      <c r="D461" s="460">
        <v>5</v>
      </c>
      <c r="E461" s="460">
        <v>10</v>
      </c>
      <c r="F461" s="460">
        <v>15</v>
      </c>
      <c r="G461" s="460">
        <v>20</v>
      </c>
      <c r="H461" s="460">
        <v>22.68</v>
      </c>
      <c r="I461" s="318"/>
      <c r="J461" s="318"/>
      <c r="K461" s="318"/>
      <c r="L461" s="321"/>
      <c r="M461" s="321" t="s">
        <v>296</v>
      </c>
      <c r="N461" s="321"/>
      <c r="O461" s="321"/>
      <c r="P461" s="321"/>
      <c r="Q461" s="27"/>
      <c r="R461" s="27"/>
      <c r="S461" s="53" t="s">
        <v>391</v>
      </c>
      <c r="T461" s="27"/>
      <c r="U461" s="27"/>
      <c r="V461" s="27"/>
      <c r="W461" s="27"/>
      <c r="X461" s="27"/>
      <c r="Y461" s="27"/>
      <c r="Z461" s="27"/>
      <c r="AA461" s="27"/>
      <c r="AB461" s="14"/>
      <c r="AC461" s="14"/>
      <c r="AD461" s="27"/>
      <c r="AE461" s="27"/>
      <c r="AF461" s="27"/>
      <c r="AG461" s="27"/>
      <c r="AH461" s="27"/>
      <c r="AI461" s="314"/>
      <c r="AJ461" s="27"/>
    </row>
    <row r="462" spans="1:36" ht="17.25" customHeight="1">
      <c r="A462" s="460" t="s">
        <v>152</v>
      </c>
      <c r="B462" s="460" t="s">
        <v>150</v>
      </c>
      <c r="C462" s="460" t="s">
        <v>70</v>
      </c>
      <c r="D462" s="460" t="str">
        <f>C462</f>
        <v>[MW]</v>
      </c>
      <c r="E462" s="460" t="str">
        <f>D462</f>
        <v>[MW]</v>
      </c>
      <c r="F462" s="460" t="str">
        <f>E462</f>
        <v>[MW]</v>
      </c>
      <c r="G462" s="460" t="str">
        <f>F462</f>
        <v>[MW]</v>
      </c>
      <c r="H462" s="460" t="str">
        <f>G462</f>
        <v>[MW]</v>
      </c>
      <c r="I462" s="318"/>
      <c r="J462" s="318"/>
      <c r="K462" s="318"/>
      <c r="L462" s="321"/>
      <c r="M462" s="321" t="s">
        <v>289</v>
      </c>
      <c r="N462" s="321">
        <f>B463</f>
        <v>12.75</v>
      </c>
      <c r="O462" s="321">
        <f>B464</f>
        <v>52</v>
      </c>
      <c r="P462" s="321"/>
      <c r="Q462" s="27"/>
      <c r="R462" s="27"/>
      <c r="S462" s="188" t="s">
        <v>396</v>
      </c>
      <c r="T462" s="27"/>
      <c r="U462" s="27"/>
      <c r="V462" s="27"/>
      <c r="W462" s="27"/>
      <c r="X462" s="27"/>
      <c r="Y462" s="27"/>
      <c r="Z462" s="27"/>
      <c r="AA462" s="27"/>
      <c r="AB462" s="14"/>
      <c r="AC462" s="14"/>
      <c r="AD462" s="27"/>
      <c r="AE462" s="27"/>
      <c r="AF462" s="27"/>
      <c r="AG462" s="27"/>
      <c r="AH462" s="27"/>
      <c r="AI462" s="314"/>
      <c r="AJ462" s="27"/>
    </row>
    <row r="463" spans="1:36" ht="17.25" customHeight="1">
      <c r="A463" s="333">
        <v>12750</v>
      </c>
      <c r="B463" s="318">
        <f>A463/1000</f>
        <v>12.75</v>
      </c>
      <c r="C463" s="460">
        <v>1</v>
      </c>
      <c r="D463" s="460"/>
      <c r="E463" s="460"/>
      <c r="F463" s="460"/>
      <c r="G463" s="460"/>
      <c r="H463" s="460"/>
      <c r="I463" s="318"/>
      <c r="J463" s="318"/>
      <c r="K463" s="318"/>
      <c r="L463" s="321"/>
      <c r="M463" s="321" t="s">
        <v>290</v>
      </c>
      <c r="N463" s="321">
        <f>C463</f>
        <v>1</v>
      </c>
      <c r="O463" s="321">
        <f>C464</f>
        <v>8.1999999999999993</v>
      </c>
      <c r="P463" s="321"/>
      <c r="Q463" s="27"/>
      <c r="R463" s="27"/>
      <c r="S463" s="188" t="s">
        <v>397</v>
      </c>
      <c r="T463" s="27"/>
      <c r="U463" s="27"/>
      <c r="V463" s="27"/>
      <c r="W463" s="27"/>
      <c r="X463" s="27"/>
      <c r="Y463" s="27"/>
      <c r="Z463" s="27"/>
      <c r="AA463" s="27"/>
      <c r="AB463" s="14"/>
      <c r="AC463" s="14"/>
      <c r="AD463" s="27"/>
      <c r="AE463" s="27"/>
      <c r="AF463" s="27"/>
      <c r="AG463" s="27"/>
      <c r="AH463" s="27"/>
      <c r="AI463" s="314"/>
      <c r="AJ463" s="27"/>
    </row>
    <row r="464" spans="1:36" ht="17.25" customHeight="1">
      <c r="A464" s="333">
        <v>52000</v>
      </c>
      <c r="B464" s="318">
        <f>A464/1000+C461</f>
        <v>52</v>
      </c>
      <c r="C464" s="460">
        <v>8.1999999999999993</v>
      </c>
      <c r="D464" s="460"/>
      <c r="E464" s="460"/>
      <c r="F464" s="460"/>
      <c r="G464" s="460"/>
      <c r="H464" s="460"/>
      <c r="I464" s="318"/>
      <c r="J464" s="318"/>
      <c r="K464" s="318"/>
      <c r="L464" s="321"/>
      <c r="M464" s="321" t="s">
        <v>46</v>
      </c>
      <c r="N464" s="321">
        <f>SLOPE(N463:O463,N462:O462)</f>
        <v>0.18343949044585986</v>
      </c>
      <c r="O464" s="321"/>
      <c r="P464" s="321"/>
      <c r="Q464" s="27"/>
      <c r="R464" s="27"/>
      <c r="S464" s="27"/>
      <c r="T464" s="27"/>
      <c r="U464" s="27"/>
      <c r="V464" s="27"/>
      <c r="W464" s="27"/>
      <c r="X464" s="27"/>
      <c r="Y464" s="27"/>
      <c r="Z464" s="27"/>
      <c r="AA464" s="27"/>
      <c r="AB464" s="14"/>
      <c r="AC464" s="14"/>
      <c r="AD464" s="27"/>
      <c r="AE464" s="27"/>
      <c r="AF464" s="27"/>
      <c r="AG464" s="27"/>
      <c r="AH464" s="27"/>
      <c r="AI464" s="314"/>
      <c r="AJ464" s="27"/>
    </row>
    <row r="465" spans="1:36" ht="17.25" customHeight="1">
      <c r="A465" s="333">
        <v>10250</v>
      </c>
      <c r="B465" s="318">
        <f>A465/1000+D461</f>
        <v>15.25</v>
      </c>
      <c r="C465" s="460"/>
      <c r="D465" s="460">
        <v>1</v>
      </c>
      <c r="E465" s="460"/>
      <c r="F465" s="460"/>
      <c r="G465" s="460"/>
      <c r="H465" s="460"/>
      <c r="I465" s="318"/>
      <c r="J465" s="318"/>
      <c r="K465" s="318"/>
      <c r="L465" s="321"/>
      <c r="M465" s="321" t="s">
        <v>297</v>
      </c>
      <c r="N465" s="321">
        <f>INTERCEPT(N463:O463,N462:O462)</f>
        <v>-1.3388535031847137</v>
      </c>
      <c r="O465" s="321"/>
      <c r="P465" s="321"/>
      <c r="Q465" s="27"/>
      <c r="R465" s="27"/>
      <c r="S465" s="188" t="s">
        <v>398</v>
      </c>
      <c r="T465" s="27"/>
      <c r="U465" s="27"/>
      <c r="V465" s="27"/>
      <c r="W465" s="27"/>
      <c r="X465" s="27"/>
      <c r="Y465" s="27"/>
      <c r="Z465" s="27"/>
      <c r="AA465" s="27"/>
      <c r="AB465" s="14"/>
      <c r="AC465" s="14"/>
      <c r="AD465" s="27"/>
      <c r="AE465" s="27"/>
      <c r="AF465" s="27"/>
      <c r="AG465" s="27"/>
      <c r="AH465" s="27"/>
      <c r="AI465" s="314"/>
      <c r="AJ465" s="27"/>
    </row>
    <row r="466" spans="1:36" ht="17.25" customHeight="1">
      <c r="A466" s="333">
        <v>47000</v>
      </c>
      <c r="B466" s="318">
        <f>A466/1000+D461</f>
        <v>52</v>
      </c>
      <c r="C466" s="460"/>
      <c r="D466" s="460">
        <v>7.75</v>
      </c>
      <c r="E466" s="460"/>
      <c r="F466" s="460"/>
      <c r="G466" s="460"/>
      <c r="H466" s="460"/>
      <c r="I466" s="318"/>
      <c r="J466" s="318"/>
      <c r="K466" s="318"/>
      <c r="L466" s="321"/>
      <c r="M466" s="321"/>
      <c r="N466" s="321"/>
      <c r="O466" s="321"/>
      <c r="P466" s="321"/>
      <c r="Q466" s="27"/>
      <c r="R466" s="27"/>
      <c r="S466" s="188">
        <v>1</v>
      </c>
      <c r="T466" s="71" t="s">
        <v>380</v>
      </c>
      <c r="U466" s="324">
        <f>B473</f>
        <v>25.18</v>
      </c>
      <c r="V466" s="324">
        <f>B474</f>
        <v>52.18</v>
      </c>
      <c r="W466" s="324">
        <f>SLOPE(U467:V467,U466:V466)</f>
        <v>0</v>
      </c>
      <c r="X466" s="324">
        <f>INTERCEPT(U467:V467,U466:V466)</f>
        <v>22.68</v>
      </c>
      <c r="Y466" s="27"/>
      <c r="Z466" s="27"/>
      <c r="AA466" s="27"/>
      <c r="AB466" s="14"/>
      <c r="AC466" s="14"/>
      <c r="AD466" s="27"/>
      <c r="AE466" s="27"/>
      <c r="AF466" s="27"/>
      <c r="AG466" s="27"/>
      <c r="AH466" s="27"/>
      <c r="AI466" s="314"/>
      <c r="AJ466" s="27"/>
    </row>
    <row r="467" spans="1:36" ht="17.25" customHeight="1">
      <c r="A467" s="333">
        <v>8000</v>
      </c>
      <c r="B467" s="318">
        <f>A467/1000+E461</f>
        <v>18</v>
      </c>
      <c r="C467" s="460"/>
      <c r="D467" s="460"/>
      <c r="E467" s="460">
        <v>1</v>
      </c>
      <c r="F467" s="460"/>
      <c r="G467" s="460"/>
      <c r="H467" s="460"/>
      <c r="I467" s="318"/>
      <c r="J467" s="318"/>
      <c r="K467" s="318"/>
      <c r="L467" s="321"/>
      <c r="M467" s="321"/>
      <c r="N467" s="321"/>
      <c r="O467" s="321"/>
      <c r="P467" s="321"/>
      <c r="Q467" s="27"/>
      <c r="R467" s="27"/>
      <c r="S467" s="188"/>
      <c r="T467" s="71" t="s">
        <v>381</v>
      </c>
      <c r="U467" s="324">
        <f>H461</f>
        <v>22.68</v>
      </c>
      <c r="V467" s="324">
        <f>H461</f>
        <v>22.68</v>
      </c>
      <c r="W467" s="324"/>
      <c r="X467" s="324"/>
      <c r="Y467" s="27"/>
      <c r="Z467" s="27"/>
      <c r="AA467" s="27"/>
      <c r="AB467" s="14"/>
      <c r="AC467" s="14"/>
      <c r="AD467" s="27"/>
      <c r="AE467" s="27"/>
      <c r="AF467" s="27"/>
      <c r="AG467" s="27"/>
      <c r="AH467" s="27"/>
      <c r="AI467" s="314"/>
      <c r="AJ467" s="27"/>
    </row>
    <row r="468" spans="1:36" ht="17.25" customHeight="1">
      <c r="A468" s="333">
        <v>41750</v>
      </c>
      <c r="B468" s="318">
        <f>A468/1000+E461</f>
        <v>51.75</v>
      </c>
      <c r="C468" s="460"/>
      <c r="D468" s="460"/>
      <c r="E468" s="460">
        <v>7.2</v>
      </c>
      <c r="F468" s="460"/>
      <c r="G468" s="460"/>
      <c r="H468" s="460"/>
      <c r="I468" s="318"/>
      <c r="J468" s="318"/>
      <c r="K468" s="318"/>
      <c r="L468" s="321"/>
      <c r="M468" s="321"/>
      <c r="N468" s="321"/>
      <c r="O468" s="321"/>
      <c r="P468" s="321"/>
      <c r="Q468" s="27"/>
      <c r="R468" s="189"/>
      <c r="S468" s="188"/>
      <c r="T468" s="71"/>
      <c r="U468" s="324"/>
      <c r="V468" s="324"/>
      <c r="W468" s="324"/>
      <c r="X468" s="324"/>
      <c r="Y468" s="27"/>
      <c r="Z468" s="27"/>
      <c r="AA468" s="27"/>
      <c r="AB468" s="14"/>
      <c r="AC468" s="14"/>
      <c r="AD468" s="27"/>
      <c r="AE468" s="27"/>
      <c r="AF468" s="27"/>
      <c r="AG468" s="27"/>
      <c r="AH468" s="27"/>
      <c r="AI468" s="314"/>
      <c r="AJ468" s="27"/>
    </row>
    <row r="469" spans="1:36" ht="17.25" customHeight="1">
      <c r="A469" s="333">
        <v>5000</v>
      </c>
      <c r="B469" s="318">
        <f>A469/1000+F461</f>
        <v>20</v>
      </c>
      <c r="C469" s="460"/>
      <c r="D469" s="460"/>
      <c r="E469" s="460"/>
      <c r="F469" s="460">
        <v>1</v>
      </c>
      <c r="G469" s="460"/>
      <c r="H469" s="460"/>
      <c r="I469" s="318"/>
      <c r="J469" s="318"/>
      <c r="K469" s="318"/>
      <c r="L469" s="321"/>
      <c r="M469" s="321"/>
      <c r="N469" s="321"/>
      <c r="O469" s="321"/>
      <c r="P469" s="321"/>
      <c r="Q469" s="27"/>
      <c r="R469" s="189"/>
      <c r="S469" s="188">
        <v>2</v>
      </c>
      <c r="T469" s="71" t="s">
        <v>380</v>
      </c>
      <c r="U469" s="324">
        <f>V466</f>
        <v>52.18</v>
      </c>
      <c r="V469" s="324">
        <f>B464</f>
        <v>52</v>
      </c>
      <c r="W469" s="324">
        <f>SLOPE(U470:V470,U469:V469)</f>
        <v>126.00000000000016</v>
      </c>
      <c r="X469" s="324">
        <f>INTERCEPT(U470:V470,U469:V469)</f>
        <v>-6552.0000000000082</v>
      </c>
      <c r="Y469" s="27"/>
      <c r="Z469" s="27"/>
      <c r="AA469" s="27"/>
      <c r="AB469" s="14"/>
      <c r="AC469" s="14"/>
      <c r="AD469" s="27"/>
      <c r="AE469" s="27"/>
      <c r="AF469" s="27"/>
      <c r="AG469" s="27"/>
      <c r="AH469" s="27"/>
      <c r="AI469" s="314"/>
      <c r="AJ469" s="27"/>
    </row>
    <row r="470" spans="1:36" ht="17.25" customHeight="1">
      <c r="A470" s="333">
        <v>37000</v>
      </c>
      <c r="B470" s="318">
        <f>A470/1000+F461</f>
        <v>52</v>
      </c>
      <c r="C470" s="460"/>
      <c r="D470" s="460"/>
      <c r="E470" s="460"/>
      <c r="F470" s="460">
        <v>6.9</v>
      </c>
      <c r="G470" s="460"/>
      <c r="H470" s="460"/>
      <c r="I470" s="318"/>
      <c r="J470" s="318"/>
      <c r="K470" s="318"/>
      <c r="L470" s="321"/>
      <c r="M470" s="321"/>
      <c r="N470" s="321"/>
      <c r="O470" s="321"/>
      <c r="P470" s="321"/>
      <c r="Q470" s="27"/>
      <c r="R470" s="27"/>
      <c r="S470" s="188"/>
      <c r="T470" s="71" t="s">
        <v>381</v>
      </c>
      <c r="U470" s="324">
        <f>V467</f>
        <v>22.68</v>
      </c>
      <c r="V470" s="324">
        <v>0</v>
      </c>
      <c r="W470" s="324"/>
      <c r="X470" s="324"/>
      <c r="Y470" s="27"/>
      <c r="Z470" s="27"/>
      <c r="AA470" s="27"/>
      <c r="AB470" s="14"/>
      <c r="AC470" s="14"/>
      <c r="AD470" s="27"/>
      <c r="AE470" s="27"/>
      <c r="AF470" s="27"/>
      <c r="AG470" s="27"/>
      <c r="AH470" s="27"/>
      <c r="AI470" s="314"/>
      <c r="AJ470" s="27"/>
    </row>
    <row r="471" spans="1:36" ht="17.25" customHeight="1">
      <c r="A471" s="333">
        <v>3000</v>
      </c>
      <c r="B471" s="318">
        <f>A471/1000+G461</f>
        <v>23</v>
      </c>
      <c r="C471" s="460"/>
      <c r="D471" s="460"/>
      <c r="E471" s="460"/>
      <c r="F471" s="460"/>
      <c r="G471" s="460">
        <v>1</v>
      </c>
      <c r="H471" s="460"/>
      <c r="I471" s="318"/>
      <c r="J471" s="318"/>
      <c r="K471" s="318"/>
      <c r="L471" s="321"/>
      <c r="M471" s="321"/>
      <c r="N471" s="321"/>
      <c r="O471" s="321"/>
      <c r="P471" s="321"/>
      <c r="Q471" s="27"/>
      <c r="R471" s="27"/>
      <c r="S471" s="188"/>
      <c r="T471" s="188"/>
      <c r="U471" s="324"/>
      <c r="V471" s="324"/>
      <c r="W471" s="324"/>
      <c r="X471" s="324"/>
      <c r="Y471" s="27"/>
      <c r="Z471" s="27"/>
      <c r="AA471" s="27"/>
      <c r="AB471" s="14"/>
      <c r="AC471" s="14"/>
      <c r="AD471" s="27"/>
      <c r="AE471" s="27"/>
      <c r="AF471" s="27"/>
      <c r="AG471" s="27"/>
      <c r="AH471" s="27"/>
      <c r="AI471" s="314"/>
      <c r="AJ471" s="27"/>
    </row>
    <row r="472" spans="1:36" ht="17.25" customHeight="1">
      <c r="A472" s="333">
        <v>32000</v>
      </c>
      <c r="B472" s="318">
        <f>A472/1000+G461</f>
        <v>52</v>
      </c>
      <c r="C472" s="460"/>
      <c r="D472" s="460"/>
      <c r="E472" s="460"/>
      <c r="F472" s="460"/>
      <c r="G472" s="460">
        <v>6.4</v>
      </c>
      <c r="H472" s="460"/>
      <c r="I472" s="318"/>
      <c r="J472" s="318"/>
      <c r="K472" s="318"/>
      <c r="L472" s="321"/>
      <c r="M472" s="321"/>
      <c r="N472" s="321"/>
      <c r="O472" s="321"/>
      <c r="P472" s="321"/>
      <c r="Q472" s="27"/>
      <c r="R472" s="27"/>
      <c r="S472" s="188">
        <v>3</v>
      </c>
      <c r="T472" s="192" t="s">
        <v>380</v>
      </c>
      <c r="U472" s="324">
        <f>V469</f>
        <v>52</v>
      </c>
      <c r="V472" s="324">
        <f>B463</f>
        <v>12.75</v>
      </c>
      <c r="W472" s="324">
        <f>SLOPE(U473:V473,U472:V472)</f>
        <v>0</v>
      </c>
      <c r="X472" s="324">
        <f>INTERCEPT(U473:V473,U472:V472)</f>
        <v>0</v>
      </c>
      <c r="Y472" s="27"/>
      <c r="Z472" s="27"/>
      <c r="AA472" s="27"/>
      <c r="AB472" s="14"/>
      <c r="AC472" s="14"/>
      <c r="AD472" s="27"/>
      <c r="AE472" s="27"/>
      <c r="AF472" s="27"/>
      <c r="AG472" s="27"/>
      <c r="AH472" s="27"/>
      <c r="AI472" s="314"/>
      <c r="AJ472" s="27"/>
    </row>
    <row r="473" spans="1:36" ht="17.25" customHeight="1">
      <c r="A473" s="333">
        <v>2500</v>
      </c>
      <c r="B473" s="318">
        <f>A473/1000+H461</f>
        <v>25.18</v>
      </c>
      <c r="C473" s="460"/>
      <c r="D473" s="460"/>
      <c r="E473" s="460"/>
      <c r="F473" s="460"/>
      <c r="G473" s="460"/>
      <c r="H473" s="460">
        <v>1.2</v>
      </c>
      <c r="I473" s="318"/>
      <c r="J473" s="318"/>
      <c r="K473" s="318"/>
      <c r="L473" s="321"/>
      <c r="M473" s="321"/>
      <c r="N473" s="321"/>
      <c r="O473" s="321"/>
      <c r="P473" s="321"/>
      <c r="Q473" s="27"/>
      <c r="R473" s="27"/>
      <c r="S473" s="188"/>
      <c r="T473" s="192" t="s">
        <v>381</v>
      </c>
      <c r="U473" s="324">
        <f>V470</f>
        <v>0</v>
      </c>
      <c r="V473" s="324">
        <f>U473</f>
        <v>0</v>
      </c>
      <c r="W473" s="324"/>
      <c r="X473" s="324"/>
      <c r="Y473" s="27"/>
      <c r="Z473" s="27"/>
      <c r="AA473" s="27"/>
      <c r="AB473" s="14"/>
      <c r="AC473" s="14"/>
      <c r="AD473" s="27"/>
      <c r="AE473" s="27"/>
      <c r="AF473" s="27"/>
      <c r="AG473" s="27"/>
      <c r="AH473" s="27"/>
      <c r="AI473" s="314"/>
      <c r="AJ473" s="27"/>
    </row>
    <row r="474" spans="1:36" ht="17.25" customHeight="1">
      <c r="A474" s="333">
        <v>29500</v>
      </c>
      <c r="B474" s="318">
        <f>A474/1000+H461</f>
        <v>52.18</v>
      </c>
      <c r="C474" s="460"/>
      <c r="D474" s="460"/>
      <c r="E474" s="460"/>
      <c r="F474" s="460"/>
      <c r="G474" s="460"/>
      <c r="H474" s="460">
        <v>6.2</v>
      </c>
      <c r="I474" s="460" t="s">
        <v>46</v>
      </c>
      <c r="J474" s="460" t="s">
        <v>59</v>
      </c>
      <c r="K474" s="460" t="s">
        <v>144</v>
      </c>
      <c r="L474" s="321"/>
      <c r="M474" s="321"/>
      <c r="N474" s="321"/>
      <c r="O474" s="321"/>
      <c r="P474" s="321"/>
      <c r="Q474" s="27"/>
      <c r="R474" s="27"/>
      <c r="S474" s="188"/>
      <c r="U474" s="361"/>
      <c r="V474" s="361"/>
      <c r="W474" s="324"/>
      <c r="X474" s="324"/>
      <c r="Y474" s="27"/>
      <c r="Z474" s="27"/>
      <c r="AA474" s="27"/>
      <c r="AB474" s="14"/>
      <c r="AC474" s="14"/>
      <c r="AD474" s="27"/>
      <c r="AE474" s="27"/>
      <c r="AF474" s="27"/>
      <c r="AG474" s="27"/>
      <c r="AH474" s="27"/>
      <c r="AI474" s="314"/>
      <c r="AJ474" s="27"/>
    </row>
    <row r="475" spans="1:36" ht="17.25" customHeight="1">
      <c r="A475" s="318"/>
      <c r="B475" s="527" t="s">
        <v>46</v>
      </c>
      <c r="C475" s="216">
        <f>SLOPE(C463:C464,B463:B464)</f>
        <v>0.18343949044585986</v>
      </c>
      <c r="D475" s="216">
        <f>SLOPE(D465:D466,B465:B466)</f>
        <v>0.18367346938775511</v>
      </c>
      <c r="E475" s="216">
        <f>SLOPE(E467:E468,B467:B468)</f>
        <v>0.1837037037037037</v>
      </c>
      <c r="F475" s="216">
        <f>SLOPE(F469:F470,B469:B470)</f>
        <v>0.18437500000000001</v>
      </c>
      <c r="G475" s="216">
        <f>SLOPE(G471:G472,B471:B472)</f>
        <v>0.18620689655172418</v>
      </c>
      <c r="H475" s="216">
        <f>SLOPE(H473:H474,B473:B474)</f>
        <v>0.18518518518518517</v>
      </c>
      <c r="I475" s="335">
        <f>SLOPE(C475:H475,C461:H461)</f>
        <v>1.0612266593988079E-4</v>
      </c>
      <c r="J475" s="335">
        <f>INTERCEPT(C475:H475,C461:H461)</f>
        <v>0.18314512498561958</v>
      </c>
      <c r="K475" s="335">
        <f>CORREL(C475:H475,C461:H461)^2</f>
        <v>0.74410124421025947</v>
      </c>
      <c r="L475" s="435"/>
      <c r="M475" s="321"/>
      <c r="N475" s="321"/>
      <c r="O475" s="321"/>
      <c r="P475" s="321"/>
      <c r="Q475" s="27"/>
      <c r="R475" s="27"/>
      <c r="S475" s="188">
        <v>4</v>
      </c>
      <c r="T475" s="192" t="s">
        <v>380</v>
      </c>
      <c r="U475" s="324">
        <f>V472</f>
        <v>12.75</v>
      </c>
      <c r="V475" s="324">
        <f>B471</f>
        <v>23</v>
      </c>
      <c r="W475" s="324">
        <f>SLOPE(U476:V476,U475:V475)</f>
        <v>1.9512195121951219</v>
      </c>
      <c r="X475" s="324">
        <f>INTERCEPT(U476:V476,U475:V475)</f>
        <v>-24.878048780487802</v>
      </c>
      <c r="Y475" s="27"/>
      <c r="Z475" s="27"/>
      <c r="AA475" s="27"/>
      <c r="AB475" s="14"/>
      <c r="AC475" s="14"/>
      <c r="AD475" s="27"/>
      <c r="AE475" s="27"/>
      <c r="AF475" s="27"/>
      <c r="AG475" s="27"/>
      <c r="AH475" s="27"/>
      <c r="AI475" s="314"/>
      <c r="AJ475" s="27"/>
    </row>
    <row r="476" spans="1:36" ht="17.25" customHeight="1">
      <c r="A476" s="318"/>
      <c r="B476" s="527" t="s">
        <v>45</v>
      </c>
      <c r="C476" s="216">
        <f>INTERCEPT(C463:C464,B463:B464)</f>
        <v>-1.3388535031847137</v>
      </c>
      <c r="D476" s="216">
        <f>INTERCEPT(D465:D466,B465:B466)</f>
        <v>-1.8010204081632653</v>
      </c>
      <c r="E476" s="216">
        <f>INTERCEPT(E467:E468,B467:B468)</f>
        <v>-2.3066666666666666</v>
      </c>
      <c r="F476" s="216">
        <f>INTERCEPT(F469:F470,B469:B470)</f>
        <v>-2.6875</v>
      </c>
      <c r="G476" s="216">
        <f>INTERCEPT(G471:G472,B471:B472)</f>
        <v>-3.2827586206896564</v>
      </c>
      <c r="H476" s="216">
        <f>INTERCEPT(H473:H474,B473:B474)</f>
        <v>-3.4629629629629619</v>
      </c>
      <c r="I476" s="335">
        <f>SLOPE(C476:H476,C461:H461)</f>
        <v>-9.4628411509502047E-2</v>
      </c>
      <c r="J476" s="335">
        <f>INTERCEPT(C476:H476,C461:H461)</f>
        <v>-1.3336948688594421</v>
      </c>
      <c r="K476" s="335">
        <f>CORREL(C476:H476,C461:H461)^2</f>
        <v>0.99751773202975902</v>
      </c>
      <c r="L476" s="435"/>
      <c r="M476" s="321"/>
      <c r="N476" s="321"/>
      <c r="O476" s="321"/>
      <c r="P476" s="321"/>
      <c r="Q476" s="27"/>
      <c r="R476" s="27"/>
      <c r="S476" s="188"/>
      <c r="T476" s="192" t="s">
        <v>381</v>
      </c>
      <c r="U476" s="324">
        <f>V473</f>
        <v>0</v>
      </c>
      <c r="V476" s="324">
        <f>G461</f>
        <v>20</v>
      </c>
      <c r="W476" s="324"/>
      <c r="X476" s="324"/>
      <c r="Y476" s="27"/>
      <c r="Z476" s="27"/>
      <c r="AA476" s="27"/>
      <c r="AB476" s="14"/>
      <c r="AC476" s="14"/>
      <c r="AD476" s="27"/>
      <c r="AE476" s="27"/>
      <c r="AF476" s="27"/>
      <c r="AG476" s="27"/>
      <c r="AH476" s="27"/>
      <c r="AI476" s="314"/>
      <c r="AJ476" s="27"/>
    </row>
    <row r="477" spans="1:36" ht="17.25" customHeight="1">
      <c r="A477" s="318"/>
      <c r="B477" s="527" t="s">
        <v>72</v>
      </c>
      <c r="C477" s="216">
        <f>CORREL(B463:B464,C463:C464)^2</f>
        <v>1</v>
      </c>
      <c r="D477" s="216">
        <f>CORREL(B465:B466,D465:D466)^2</f>
        <v>1</v>
      </c>
      <c r="E477" s="216">
        <f>CORREL(B467:B468,E467:E468)^2</f>
        <v>1</v>
      </c>
      <c r="F477" s="216">
        <f>CORREL(B469:B470,F469:F470)^2</f>
        <v>1</v>
      </c>
      <c r="G477" s="216">
        <f>CORREL(B471:B472,G471:G472)^2</f>
        <v>1</v>
      </c>
      <c r="H477" s="216">
        <f>CORREL(B473:B474,H473:H474)^2</f>
        <v>1</v>
      </c>
      <c r="I477" s="335"/>
      <c r="J477" s="335"/>
      <c r="K477" s="335"/>
      <c r="L477" s="435"/>
      <c r="M477" s="321"/>
      <c r="N477" s="321"/>
      <c r="O477" s="321"/>
      <c r="P477" s="321"/>
      <c r="Q477" s="27"/>
      <c r="R477" s="27"/>
      <c r="S477" s="27"/>
      <c r="T477" s="27"/>
      <c r="U477" s="324"/>
      <c r="V477" s="324"/>
      <c r="W477" s="324"/>
      <c r="X477" s="324"/>
      <c r="Y477" s="27"/>
      <c r="Z477" s="27"/>
      <c r="AA477" s="27"/>
      <c r="AB477" s="14"/>
      <c r="AC477" s="14"/>
      <c r="AD477" s="27"/>
      <c r="AE477" s="27"/>
      <c r="AF477" s="27"/>
      <c r="AG477" s="27"/>
      <c r="AH477" s="27"/>
      <c r="AI477" s="314"/>
      <c r="AJ477" s="27"/>
    </row>
    <row r="478" spans="1:36" ht="17.25" customHeight="1">
      <c r="A478" s="318"/>
      <c r="B478" s="318"/>
      <c r="C478" s="318"/>
      <c r="D478" s="318"/>
      <c r="E478" s="318"/>
      <c r="F478" s="318"/>
      <c r="G478" s="318"/>
      <c r="H478" s="318"/>
      <c r="I478" s="318"/>
      <c r="J478" s="318"/>
      <c r="K478" s="318"/>
      <c r="L478" s="321"/>
      <c r="M478" s="321"/>
      <c r="N478" s="321"/>
      <c r="O478" s="321"/>
      <c r="P478" s="321"/>
      <c r="Q478" s="27"/>
      <c r="R478" s="27"/>
      <c r="S478" s="188">
        <v>5</v>
      </c>
      <c r="T478" s="192" t="s">
        <v>380</v>
      </c>
      <c r="U478" s="324">
        <f>V475</f>
        <v>23</v>
      </c>
      <c r="V478" s="324">
        <f>U466</f>
        <v>25.18</v>
      </c>
      <c r="W478" s="324">
        <f>SLOPE(U479:V479,U478:V478)</f>
        <v>1.2293577981651376</v>
      </c>
      <c r="X478" s="324">
        <f>INTERCEPT(U479:V479,U478:V478)</f>
        <v>-8.2752293577981639</v>
      </c>
      <c r="Y478" s="27"/>
      <c r="Z478" s="27"/>
      <c r="AA478" s="27"/>
      <c r="AB478" s="14"/>
      <c r="AC478" s="14"/>
      <c r="AD478" s="27"/>
      <c r="AE478" s="27"/>
      <c r="AF478" s="27"/>
      <c r="AG478" s="27"/>
      <c r="AH478" s="27"/>
      <c r="AI478" s="314"/>
      <c r="AJ478" s="27"/>
    </row>
    <row r="479" spans="1:36" ht="17.25" customHeight="1">
      <c r="A479" s="70" t="s">
        <v>151</v>
      </c>
      <c r="B479" s="70"/>
      <c r="C479" s="70"/>
      <c r="D479" s="70"/>
      <c r="E479" s="70"/>
      <c r="F479" s="70"/>
      <c r="G479" s="70"/>
      <c r="H479" s="70"/>
      <c r="I479" s="70"/>
      <c r="J479" s="70"/>
      <c r="K479" s="70"/>
      <c r="L479" s="70"/>
      <c r="M479" s="70"/>
      <c r="N479" s="25"/>
      <c r="O479" s="25"/>
      <c r="P479" s="25"/>
      <c r="Q479" s="25"/>
      <c r="R479" s="25"/>
      <c r="S479" s="188"/>
      <c r="T479" s="192" t="s">
        <v>381</v>
      </c>
      <c r="U479" s="324">
        <f>V476</f>
        <v>20</v>
      </c>
      <c r="V479" s="324">
        <f>U467</f>
        <v>22.68</v>
      </c>
      <c r="W479" s="324"/>
      <c r="X479" s="324"/>
      <c r="Y479" s="27"/>
      <c r="Z479" s="27"/>
      <c r="AA479" s="27"/>
      <c r="AB479" s="14"/>
      <c r="AC479" s="14"/>
      <c r="AD479" s="27"/>
      <c r="AE479" s="27"/>
      <c r="AF479" s="25"/>
      <c r="AG479" s="25"/>
      <c r="AH479" s="25"/>
      <c r="AI479" s="314"/>
      <c r="AJ479" s="25"/>
    </row>
    <row r="480" spans="1:36" ht="17.25" customHeight="1">
      <c r="A480" s="70" t="s">
        <v>69</v>
      </c>
      <c r="B480" s="70" t="s">
        <v>12</v>
      </c>
      <c r="C480" s="335">
        <v>15</v>
      </c>
      <c r="D480" s="335"/>
      <c r="E480" s="335"/>
      <c r="F480" s="335"/>
      <c r="G480" s="335"/>
      <c r="H480" s="335"/>
      <c r="I480" s="335"/>
      <c r="J480" s="335"/>
      <c r="K480" s="335"/>
      <c r="L480" s="70"/>
      <c r="M480" s="70"/>
      <c r="N480" s="25"/>
      <c r="O480" s="25"/>
      <c r="P480" s="25"/>
      <c r="Q480" s="25"/>
      <c r="R480" s="25"/>
      <c r="S480" s="27"/>
      <c r="T480" s="27"/>
      <c r="U480" s="27"/>
      <c r="V480" s="27"/>
      <c r="W480" s="27"/>
      <c r="X480" s="27"/>
      <c r="Y480" s="27"/>
      <c r="Z480" s="27"/>
      <c r="AA480" s="27"/>
      <c r="AB480" s="14"/>
      <c r="AC480" s="14"/>
      <c r="AD480" s="27"/>
      <c r="AE480" s="27"/>
      <c r="AF480" s="25"/>
      <c r="AG480" s="25"/>
      <c r="AH480" s="25"/>
      <c r="AI480" s="314"/>
      <c r="AJ480" s="25"/>
    </row>
    <row r="481" spans="1:36" ht="17.25" customHeight="1">
      <c r="A481" s="70" t="s">
        <v>51</v>
      </c>
      <c r="B481" s="70" t="s">
        <v>12</v>
      </c>
      <c r="C481" s="335">
        <f>24.75+15</f>
        <v>39.75</v>
      </c>
      <c r="D481" s="335"/>
      <c r="E481" s="335"/>
      <c r="F481" s="335"/>
      <c r="G481" s="335"/>
      <c r="H481" s="335"/>
      <c r="I481" s="335"/>
      <c r="J481" s="335"/>
      <c r="K481" s="335"/>
      <c r="L481" s="70"/>
      <c r="M481" s="70"/>
      <c r="N481" s="25"/>
      <c r="O481" s="25"/>
      <c r="P481" s="25"/>
      <c r="Q481" s="25"/>
      <c r="R481" s="25"/>
      <c r="S481" s="25"/>
      <c r="T481" s="25"/>
      <c r="U481" s="25"/>
      <c r="V481" s="25"/>
      <c r="W481" s="25"/>
      <c r="X481" s="25"/>
      <c r="Y481" s="25"/>
      <c r="Z481" s="25"/>
      <c r="AA481" s="25"/>
      <c r="AB481" s="14"/>
      <c r="AC481" s="14"/>
      <c r="AD481" s="25"/>
      <c r="AE481" s="25"/>
      <c r="AF481" s="25"/>
      <c r="AG481" s="25"/>
      <c r="AH481" s="25"/>
      <c r="AI481" s="314"/>
      <c r="AJ481" s="25"/>
    </row>
    <row r="482" spans="1:36" ht="17.25" customHeight="1">
      <c r="A482" s="70" t="s">
        <v>73</v>
      </c>
      <c r="B482" s="70" t="s">
        <v>36</v>
      </c>
      <c r="C482" s="335">
        <f>(I475*C480+J475)*C481+(I476*C480+J476)</f>
        <v>4.5901733162430594</v>
      </c>
      <c r="D482" s="528"/>
      <c r="E482" s="335"/>
      <c r="F482" s="335"/>
      <c r="G482" s="335"/>
      <c r="H482" s="335"/>
      <c r="I482" s="335"/>
      <c r="J482" s="335"/>
      <c r="K482" s="335"/>
      <c r="L482" s="70"/>
      <c r="M482" s="70"/>
      <c r="N482" s="25"/>
      <c r="O482" s="25"/>
      <c r="P482" s="25"/>
      <c r="Q482" s="25"/>
      <c r="R482" s="25"/>
      <c r="S482" s="188"/>
      <c r="T482" s="188" t="s">
        <v>382</v>
      </c>
      <c r="U482" s="188"/>
      <c r="V482" s="188"/>
      <c r="W482" s="188"/>
      <c r="X482" s="188"/>
      <c r="Y482" s="188"/>
      <c r="Z482" s="188"/>
      <c r="AA482" s="188"/>
      <c r="AB482" s="14"/>
      <c r="AC482" s="14"/>
      <c r="AD482" s="25"/>
      <c r="AE482" s="25"/>
      <c r="AF482" s="25"/>
      <c r="AG482" s="25"/>
      <c r="AH482" s="25"/>
      <c r="AI482" s="314"/>
      <c r="AJ482" s="25"/>
    </row>
    <row r="483" spans="1:36" ht="17.25" customHeight="1">
      <c r="A483" s="70"/>
      <c r="B483" s="70"/>
      <c r="C483" s="335"/>
      <c r="D483" s="335"/>
      <c r="E483" s="335"/>
      <c r="F483" s="335"/>
      <c r="G483" s="335"/>
      <c r="H483" s="335"/>
      <c r="I483" s="335"/>
      <c r="J483" s="335"/>
      <c r="K483" s="335"/>
      <c r="L483" s="70"/>
      <c r="M483" s="70"/>
      <c r="N483" s="25"/>
      <c r="O483" s="25"/>
      <c r="P483" s="25"/>
      <c r="Q483" s="25"/>
      <c r="R483" s="25"/>
      <c r="S483" s="188"/>
      <c r="T483" s="188"/>
      <c r="U483" s="188" t="s">
        <v>385</v>
      </c>
      <c r="V483" s="188"/>
      <c r="W483" s="188"/>
      <c r="X483" s="188"/>
      <c r="Y483" s="188"/>
      <c r="Z483" s="188"/>
      <c r="AA483" s="188"/>
      <c r="AB483" s="14"/>
      <c r="AC483" s="14"/>
      <c r="AD483" s="25"/>
      <c r="AE483" s="25"/>
      <c r="AF483" s="25"/>
      <c r="AG483" s="25"/>
      <c r="AH483" s="25"/>
      <c r="AI483" s="314"/>
      <c r="AJ483" s="25"/>
    </row>
    <row r="484" spans="1:36" ht="17.25" customHeight="1">
      <c r="A484" s="70" t="s">
        <v>77</v>
      </c>
      <c r="B484" s="70"/>
      <c r="C484" s="335"/>
      <c r="D484" s="335"/>
      <c r="E484" s="335"/>
      <c r="F484" s="335"/>
      <c r="G484" s="335"/>
      <c r="H484" s="335"/>
      <c r="I484" s="335"/>
      <c r="J484" s="335"/>
      <c r="K484" s="335"/>
      <c r="L484" s="70"/>
      <c r="M484" s="70"/>
      <c r="N484" s="27"/>
      <c r="O484" s="27"/>
      <c r="P484" s="27"/>
      <c r="Q484" s="27"/>
      <c r="R484" s="27"/>
      <c r="S484" s="188"/>
      <c r="T484" s="27"/>
      <c r="U484" s="27"/>
      <c r="V484" s="27"/>
      <c r="W484" s="27"/>
      <c r="X484" s="27"/>
      <c r="Y484" s="27"/>
      <c r="Z484" s="27"/>
      <c r="AA484" s="27"/>
      <c r="AB484" s="14"/>
      <c r="AC484" s="14"/>
      <c r="AD484" s="25"/>
      <c r="AE484" s="25"/>
      <c r="AF484" s="27"/>
      <c r="AG484" s="27"/>
      <c r="AH484" s="27"/>
      <c r="AI484" s="314"/>
      <c r="AJ484" s="27"/>
    </row>
    <row r="485" spans="1:36" ht="17.25" customHeight="1">
      <c r="A485" s="70"/>
      <c r="B485" s="70"/>
      <c r="C485" s="335"/>
      <c r="D485" s="335"/>
      <c r="E485" s="335"/>
      <c r="F485" s="335"/>
      <c r="G485" s="335"/>
      <c r="H485" s="335"/>
      <c r="I485" s="335"/>
      <c r="J485" s="335"/>
      <c r="K485" s="335"/>
      <c r="L485" s="70"/>
      <c r="M485" s="70"/>
      <c r="N485" s="27"/>
      <c r="O485" s="27"/>
      <c r="P485" s="27"/>
      <c r="Q485" s="27"/>
      <c r="R485" s="27"/>
      <c r="S485" s="188"/>
      <c r="T485" s="188" t="s">
        <v>399</v>
      </c>
      <c r="U485" s="188"/>
      <c r="V485" s="188"/>
      <c r="W485" s="188"/>
      <c r="X485" s="188"/>
      <c r="Y485" s="188"/>
      <c r="Z485" s="188"/>
      <c r="AA485" s="188"/>
      <c r="AB485" s="14"/>
      <c r="AC485" s="14"/>
      <c r="AD485" s="25"/>
      <c r="AE485" s="25"/>
      <c r="AF485" s="27"/>
      <c r="AG485" s="27"/>
      <c r="AH485" s="27"/>
      <c r="AI485" s="314"/>
      <c r="AJ485" s="27"/>
    </row>
    <row r="486" spans="1:36" ht="17.25" customHeight="1">
      <c r="A486" s="70" t="s">
        <v>118</v>
      </c>
      <c r="B486" s="70"/>
      <c r="C486" s="335"/>
      <c r="D486" s="335"/>
      <c r="E486" s="335"/>
      <c r="F486" s="335"/>
      <c r="G486" s="335"/>
      <c r="H486" s="335"/>
      <c r="I486" s="335"/>
      <c r="J486" s="335"/>
      <c r="K486" s="335"/>
      <c r="L486" s="70"/>
      <c r="M486" s="70"/>
      <c r="N486" s="27"/>
      <c r="O486" s="27"/>
      <c r="P486" s="27"/>
      <c r="Q486" s="27"/>
      <c r="R486" s="27"/>
      <c r="S486" s="188"/>
      <c r="T486" s="188" t="s">
        <v>400</v>
      </c>
      <c r="U486" s="27"/>
      <c r="V486" s="27"/>
      <c r="W486" s="27"/>
      <c r="X486" s="27"/>
      <c r="Y486" s="27"/>
      <c r="Z486" s="27"/>
      <c r="AA486" s="27"/>
      <c r="AB486" s="14"/>
      <c r="AC486" s="14"/>
      <c r="AD486" s="27"/>
      <c r="AE486" s="27"/>
      <c r="AF486" s="27"/>
      <c r="AG486" s="27"/>
      <c r="AH486" s="27"/>
      <c r="AI486" s="314"/>
      <c r="AJ486" s="27"/>
    </row>
    <row r="487" spans="1:36" ht="17.25" customHeight="1">
      <c r="A487" s="70" t="s">
        <v>69</v>
      </c>
      <c r="B487" s="70" t="s">
        <v>12</v>
      </c>
      <c r="C487" s="335">
        <f>C461</f>
        <v>0</v>
      </c>
      <c r="D487" s="335">
        <f>D461</f>
        <v>5</v>
      </c>
      <c r="E487" s="335">
        <f>H461</f>
        <v>22.68</v>
      </c>
      <c r="F487" s="335"/>
      <c r="G487" s="335"/>
      <c r="H487" s="335"/>
      <c r="I487" s="335"/>
      <c r="J487" s="335"/>
      <c r="K487" s="335"/>
      <c r="L487" s="70"/>
      <c r="M487" s="70"/>
      <c r="N487" s="27"/>
      <c r="O487" s="27"/>
      <c r="P487" s="27"/>
      <c r="Q487" s="27"/>
      <c r="R487" s="27"/>
      <c r="S487" s="188"/>
      <c r="T487" s="188" t="s">
        <v>401</v>
      </c>
      <c r="U487" s="27"/>
      <c r="V487" s="27"/>
      <c r="W487" s="27"/>
      <c r="X487" s="27"/>
      <c r="Y487" s="27"/>
      <c r="Z487" s="27"/>
      <c r="AA487" s="27"/>
      <c r="AB487" s="14"/>
      <c r="AC487" s="14"/>
      <c r="AD487" s="27"/>
      <c r="AE487" s="27"/>
      <c r="AF487" s="27"/>
      <c r="AG487" s="27"/>
      <c r="AH487" s="27"/>
      <c r="AI487" s="314"/>
      <c r="AJ487" s="27"/>
    </row>
    <row r="488" spans="1:36" ht="17.25" customHeight="1">
      <c r="A488" s="70" t="s">
        <v>115</v>
      </c>
      <c r="B488" s="70" t="s">
        <v>12</v>
      </c>
      <c r="C488" s="335">
        <f>B464</f>
        <v>52</v>
      </c>
      <c r="D488" s="335">
        <f>B466</f>
        <v>52</v>
      </c>
      <c r="E488" s="335">
        <f>B474</f>
        <v>52.18</v>
      </c>
      <c r="F488" s="335"/>
      <c r="G488" s="335"/>
      <c r="H488" s="335"/>
      <c r="I488" s="335"/>
      <c r="J488" s="335"/>
      <c r="K488" s="335"/>
      <c r="L488" s="70"/>
      <c r="M488" s="70"/>
      <c r="N488" s="27"/>
      <c r="O488" s="27"/>
      <c r="P488" s="27"/>
      <c r="Q488" s="27"/>
      <c r="R488" s="27"/>
      <c r="S488" s="188"/>
      <c r="T488" s="188"/>
      <c r="U488" s="319" t="s">
        <v>383</v>
      </c>
      <c r="V488" s="319" t="s">
        <v>384</v>
      </c>
      <c r="W488" s="319" t="s">
        <v>373</v>
      </c>
      <c r="X488" s="319"/>
      <c r="Y488" s="319" t="s">
        <v>386</v>
      </c>
      <c r="Z488" s="319" t="s">
        <v>387</v>
      </c>
      <c r="AA488" s="319"/>
      <c r="AB488" s="31"/>
      <c r="AC488" s="14"/>
      <c r="AD488" s="27"/>
      <c r="AE488" s="27"/>
      <c r="AF488" s="27"/>
      <c r="AG488" s="27"/>
      <c r="AH488" s="27"/>
      <c r="AI488" s="314"/>
      <c r="AJ488" s="27"/>
    </row>
    <row r="489" spans="1:36" ht="17.25" customHeight="1">
      <c r="A489" s="70" t="s">
        <v>119</v>
      </c>
      <c r="B489" s="70"/>
      <c r="C489" s="335"/>
      <c r="D489" s="335"/>
      <c r="E489" s="335"/>
      <c r="F489" s="335"/>
      <c r="G489" s="335"/>
      <c r="H489" s="335"/>
      <c r="I489" s="335"/>
      <c r="J489" s="335"/>
      <c r="K489" s="335"/>
      <c r="L489" s="70"/>
      <c r="M489" s="70"/>
      <c r="N489" s="27"/>
      <c r="O489" s="27"/>
      <c r="P489" s="27"/>
      <c r="Q489" s="27"/>
      <c r="R489" s="27"/>
      <c r="S489" s="188"/>
      <c r="T489" s="188">
        <v>1</v>
      </c>
      <c r="U489" s="324">
        <f>-W466</f>
        <v>0</v>
      </c>
      <c r="V489" s="46">
        <v>1</v>
      </c>
      <c r="W489" s="225">
        <f>X466</f>
        <v>22.68</v>
      </c>
      <c r="X489" s="188"/>
      <c r="Y489" s="189">
        <f>-W489</f>
        <v>-22.68</v>
      </c>
      <c r="Z489" s="189">
        <f>U489*$U$495+V489*$U$496</f>
        <v>0</v>
      </c>
      <c r="AA489" s="27"/>
      <c r="AB489" s="14">
        <f>IF(Y489&lt;=Z489,1,0)</f>
        <v>1</v>
      </c>
      <c r="AC489" s="14"/>
      <c r="AD489" s="27"/>
      <c r="AE489" s="27"/>
      <c r="AF489" s="27"/>
      <c r="AG489" s="27"/>
      <c r="AH489" s="27"/>
      <c r="AI489" s="314"/>
      <c r="AJ489" s="27"/>
    </row>
    <row r="490" spans="1:36" ht="17.25" customHeight="1">
      <c r="A490" s="70"/>
      <c r="B490" s="70"/>
      <c r="C490" s="335"/>
      <c r="D490" s="335"/>
      <c r="E490" s="335"/>
      <c r="F490" s="335"/>
      <c r="G490" s="335"/>
      <c r="H490" s="335"/>
      <c r="I490" s="335"/>
      <c r="J490" s="335"/>
      <c r="K490" s="335"/>
      <c r="L490" s="70"/>
      <c r="M490" s="70"/>
      <c r="N490" s="27"/>
      <c r="O490" s="27"/>
      <c r="P490" s="27"/>
      <c r="Q490" s="27"/>
      <c r="R490" s="27"/>
      <c r="S490" s="188"/>
      <c r="T490" s="188">
        <v>2</v>
      </c>
      <c r="U490" s="324">
        <f>-W469</f>
        <v>-126.00000000000016</v>
      </c>
      <c r="V490" s="322">
        <v>1</v>
      </c>
      <c r="W490" s="225">
        <f>X469</f>
        <v>-6552.0000000000082</v>
      </c>
      <c r="X490" s="188"/>
      <c r="Y490" s="189">
        <f>U490*$U$495+V490*$U$496</f>
        <v>-1890.0000000000023</v>
      </c>
      <c r="Z490" s="189">
        <f>-W490</f>
        <v>6552.0000000000082</v>
      </c>
      <c r="AA490" s="27"/>
      <c r="AB490" s="14">
        <f>IF(Y490&lt;=Z490,1,0)</f>
        <v>1</v>
      </c>
      <c r="AC490" s="14"/>
      <c r="AD490" s="27"/>
      <c r="AE490" s="27"/>
      <c r="AF490" s="27"/>
      <c r="AG490" s="27"/>
      <c r="AH490" s="27"/>
      <c r="AI490" s="314"/>
      <c r="AJ490" s="27"/>
    </row>
    <row r="491" spans="1:36" ht="17.25" customHeight="1">
      <c r="A491" s="70"/>
      <c r="B491" s="70"/>
      <c r="C491" s="335"/>
      <c r="D491" s="335"/>
      <c r="E491" s="335"/>
      <c r="F491" s="335"/>
      <c r="G491" s="335"/>
      <c r="H491" s="335"/>
      <c r="I491" s="335"/>
      <c r="J491" s="335"/>
      <c r="K491" s="335"/>
      <c r="L491" s="70"/>
      <c r="M491" s="70"/>
      <c r="N491" s="27"/>
      <c r="O491" s="27"/>
      <c r="P491" s="27"/>
      <c r="Q491" s="27"/>
      <c r="R491" s="27"/>
      <c r="S491" s="188"/>
      <c r="T491" s="188">
        <v>3</v>
      </c>
      <c r="U491" s="324">
        <f>-W472</f>
        <v>0</v>
      </c>
      <c r="V491" s="322">
        <v>1</v>
      </c>
      <c r="W491" s="225">
        <f>X472</f>
        <v>0</v>
      </c>
      <c r="X491" s="188"/>
      <c r="Y491" s="189">
        <f>-W491</f>
        <v>0</v>
      </c>
      <c r="Z491" s="189">
        <f>U491*$U$495+V491*$U$496</f>
        <v>0</v>
      </c>
      <c r="AA491" s="27"/>
      <c r="AB491" s="14">
        <f>IF(Y491&lt;=Z491,1,0)</f>
        <v>1</v>
      </c>
      <c r="AC491" s="14"/>
      <c r="AD491" s="27"/>
      <c r="AE491" s="27"/>
      <c r="AF491" s="27"/>
      <c r="AG491" s="27"/>
      <c r="AH491" s="27"/>
      <c r="AI491" s="314"/>
      <c r="AJ491" s="27"/>
    </row>
    <row r="492" spans="1:36" ht="17.25" customHeight="1">
      <c r="A492" s="25"/>
      <c r="B492" s="70"/>
      <c r="C492" s="335"/>
      <c r="D492" s="335"/>
      <c r="E492" s="335"/>
      <c r="F492" s="335"/>
      <c r="G492" s="335"/>
      <c r="H492" s="335"/>
      <c r="I492" s="335"/>
      <c r="J492" s="335"/>
      <c r="K492" s="335"/>
      <c r="L492" s="70"/>
      <c r="M492" s="70"/>
      <c r="N492" s="25"/>
      <c r="O492" s="25"/>
      <c r="P492" s="25"/>
      <c r="Q492" s="25"/>
      <c r="R492" s="25"/>
      <c r="S492" s="188"/>
      <c r="T492" s="188">
        <v>4</v>
      </c>
      <c r="U492" s="324">
        <f>-W475</f>
        <v>-1.9512195121951219</v>
      </c>
      <c r="V492" s="322">
        <v>1</v>
      </c>
      <c r="W492" s="225">
        <f>X475</f>
        <v>-24.878048780487802</v>
      </c>
      <c r="X492" s="188"/>
      <c r="Y492" s="321">
        <f>U492*$U$495+V492*$U$496</f>
        <v>-29.268292682926827</v>
      </c>
      <c r="Z492" s="189">
        <f>-W492</f>
        <v>24.878048780487802</v>
      </c>
      <c r="AA492" s="27"/>
      <c r="AB492" s="14">
        <f>IF(Y492&lt;=Z492,1,0)</f>
        <v>1</v>
      </c>
      <c r="AC492" s="14"/>
      <c r="AD492" s="27"/>
      <c r="AE492" s="27"/>
      <c r="AF492" s="25"/>
      <c r="AG492" s="25"/>
      <c r="AH492" s="25"/>
      <c r="AI492" s="314"/>
      <c r="AJ492" s="25"/>
    </row>
    <row r="493" spans="1:36" ht="17.25" customHeight="1">
      <c r="A493" s="70" t="s">
        <v>120</v>
      </c>
      <c r="B493" s="70"/>
      <c r="C493" s="335"/>
      <c r="D493" s="335"/>
      <c r="E493" s="335"/>
      <c r="F493" s="335"/>
      <c r="G493" s="335"/>
      <c r="H493" s="335"/>
      <c r="I493" s="335" t="s">
        <v>46</v>
      </c>
      <c r="J493" s="335" t="s">
        <v>145</v>
      </c>
      <c r="K493" s="343" t="s">
        <v>144</v>
      </c>
      <c r="L493" s="70"/>
      <c r="M493" s="70"/>
      <c r="N493" s="25"/>
      <c r="O493" s="25"/>
      <c r="P493" s="25"/>
      <c r="Q493" s="25"/>
      <c r="R493" s="25"/>
      <c r="S493" s="188"/>
      <c r="T493" s="188">
        <v>5</v>
      </c>
      <c r="U493" s="324">
        <f>-W478</f>
        <v>-1.2293577981651376</v>
      </c>
      <c r="V493" s="322">
        <v>1</v>
      </c>
      <c r="W493" s="225">
        <f>X478</f>
        <v>-8.2752293577981639</v>
      </c>
      <c r="X493" s="188"/>
      <c r="Y493" s="189">
        <f>U493*$U$495+V493*$U$496</f>
        <v>-18.440366972477065</v>
      </c>
      <c r="Z493" s="189">
        <f>-W493</f>
        <v>8.2752293577981639</v>
      </c>
      <c r="AA493" s="222"/>
      <c r="AB493" s="317">
        <f>IF(Y493&lt;=Z493,1,0)</f>
        <v>1</v>
      </c>
      <c r="AC493" s="14"/>
      <c r="AD493" s="27"/>
      <c r="AE493" s="27"/>
      <c r="AF493" s="25"/>
      <c r="AG493" s="25"/>
      <c r="AH493" s="25"/>
      <c r="AI493" s="314"/>
      <c r="AJ493" s="25"/>
    </row>
    <row r="494" spans="1:36" ht="17.25" customHeight="1">
      <c r="A494" s="70" t="str">
        <f>A487</f>
        <v>Extraction Flow</v>
      </c>
      <c r="B494" s="70" t="s">
        <v>12</v>
      </c>
      <c r="C494" s="335">
        <f t="shared" ref="C494:H494" si="131">C461</f>
        <v>0</v>
      </c>
      <c r="D494" s="335">
        <f t="shared" si="131"/>
        <v>5</v>
      </c>
      <c r="E494" s="335">
        <f t="shared" si="131"/>
        <v>10</v>
      </c>
      <c r="F494" s="335">
        <f t="shared" si="131"/>
        <v>15</v>
      </c>
      <c r="G494" s="335">
        <f t="shared" si="131"/>
        <v>20</v>
      </c>
      <c r="H494" s="335">
        <f t="shared" si="131"/>
        <v>22.68</v>
      </c>
      <c r="I494" s="335">
        <f>SLOPE(C495:H495,C494:H494)</f>
        <v>0.53187448131699466</v>
      </c>
      <c r="J494" s="335">
        <f>INTERCEPT(C495:H495,C494:H494)</f>
        <v>12.587227116313471</v>
      </c>
      <c r="K494" s="335">
        <f>CORREL(C495:H495,C494:H494)^2</f>
        <v>0.99372245561633155</v>
      </c>
      <c r="L494" s="70"/>
      <c r="M494" s="70"/>
      <c r="N494" s="27"/>
      <c r="O494" s="27"/>
      <c r="P494" s="27"/>
      <c r="Q494" s="27"/>
      <c r="R494" s="27"/>
      <c r="S494" s="25"/>
      <c r="T494" s="71"/>
      <c r="U494" s="188"/>
      <c r="V494" s="188"/>
      <c r="W494" s="188"/>
      <c r="X494" s="188"/>
      <c r="Y494" s="188"/>
      <c r="Z494" s="188"/>
      <c r="AA494" s="188"/>
      <c r="AB494" s="317"/>
      <c r="AC494" s="14"/>
      <c r="AD494" s="25"/>
      <c r="AE494" s="25"/>
      <c r="AF494" s="27"/>
      <c r="AG494" s="27"/>
      <c r="AH494" s="27"/>
      <c r="AI494" s="314"/>
      <c r="AJ494" s="27"/>
    </row>
    <row r="495" spans="1:36" ht="17.25" customHeight="1">
      <c r="A495" s="70" t="s">
        <v>113</v>
      </c>
      <c r="B495" s="70" t="s">
        <v>12</v>
      </c>
      <c r="C495" s="335">
        <f>B463</f>
        <v>12.75</v>
      </c>
      <c r="D495" s="335">
        <f>B465</f>
        <v>15.25</v>
      </c>
      <c r="E495" s="335">
        <f>B467</f>
        <v>18</v>
      </c>
      <c r="F495" s="335">
        <f>B469</f>
        <v>20</v>
      </c>
      <c r="G495" s="335">
        <f>B471</f>
        <v>23</v>
      </c>
      <c r="H495" s="335">
        <f>B473</f>
        <v>25.18</v>
      </c>
      <c r="I495" s="335"/>
      <c r="J495" s="335"/>
      <c r="K495" s="335"/>
      <c r="L495" s="70"/>
      <c r="M495" s="70"/>
      <c r="N495" s="27"/>
      <c r="O495" s="27"/>
      <c r="P495" s="27"/>
      <c r="Q495" s="27"/>
      <c r="R495" s="27"/>
      <c r="S495" s="25"/>
      <c r="T495" s="71" t="s">
        <v>402</v>
      </c>
      <c r="U495" s="203">
        <v>15</v>
      </c>
      <c r="V495" s="188"/>
      <c r="W495" s="188"/>
      <c r="X495" s="188"/>
      <c r="Y495" s="188"/>
      <c r="Z495" s="188"/>
      <c r="AA495" s="188"/>
      <c r="AB495" s="14"/>
      <c r="AC495" s="14"/>
      <c r="AD495" s="25"/>
      <c r="AE495" s="25"/>
      <c r="AF495" s="27"/>
      <c r="AG495" s="27"/>
      <c r="AH495" s="27"/>
      <c r="AI495" s="314"/>
      <c r="AJ495" s="27"/>
    </row>
    <row r="496" spans="1:36" ht="17.25" customHeight="1">
      <c r="A496" s="70"/>
      <c r="B496" s="70"/>
      <c r="C496" s="70"/>
      <c r="D496" s="70"/>
      <c r="E496" s="70"/>
      <c r="F496" s="70"/>
      <c r="G496" s="70"/>
      <c r="H496" s="70"/>
      <c r="I496" s="70"/>
      <c r="J496" s="70"/>
      <c r="K496" s="70"/>
      <c r="L496" s="70"/>
      <c r="M496" s="70"/>
      <c r="N496" s="27"/>
      <c r="O496" s="27"/>
      <c r="P496" s="27"/>
      <c r="Q496" s="27"/>
      <c r="R496" s="27"/>
      <c r="S496" s="27"/>
      <c r="T496" s="71" t="s">
        <v>403</v>
      </c>
      <c r="U496" s="321">
        <v>0</v>
      </c>
      <c r="V496" s="188"/>
      <c r="W496" s="188"/>
      <c r="X496" s="188"/>
      <c r="Y496" s="188"/>
      <c r="Z496" s="188"/>
      <c r="AA496" s="188"/>
      <c r="AB496" s="14"/>
      <c r="AC496" s="14"/>
      <c r="AD496" s="27"/>
      <c r="AE496" s="27"/>
      <c r="AF496" s="27"/>
      <c r="AG496" s="27"/>
      <c r="AH496" s="27"/>
      <c r="AI496" s="314"/>
      <c r="AJ496" s="27"/>
    </row>
    <row r="497" spans="1:36" s="533" customFormat="1" ht="17.25" customHeight="1" thickBot="1">
      <c r="A497" s="533" t="s">
        <v>93</v>
      </c>
    </row>
    <row r="498" spans="1:36" ht="17.25" customHeight="1" thickTop="1">
      <c r="A498" s="27"/>
      <c r="B498" s="27"/>
      <c r="C498" s="27"/>
      <c r="D498" s="27"/>
      <c r="E498" s="27"/>
      <c r="F498" s="27"/>
      <c r="G498" s="27"/>
      <c r="H498" s="27"/>
      <c r="I498" s="27"/>
      <c r="J498" s="27"/>
      <c r="K498" s="27"/>
      <c r="L498" s="27"/>
      <c r="M498" s="27"/>
      <c r="N498" s="27"/>
      <c r="O498" s="27"/>
      <c r="P498" s="27"/>
      <c r="Q498" s="27"/>
      <c r="R498" s="27"/>
      <c r="S498" s="27"/>
      <c r="T498" s="27"/>
      <c r="U498" s="27"/>
      <c r="V498" s="27"/>
      <c r="W498" s="27"/>
      <c r="X498" s="27"/>
      <c r="Y498" s="27"/>
      <c r="Z498" s="27"/>
      <c r="AA498" s="27"/>
      <c r="AB498" s="14"/>
      <c r="AC498" s="14"/>
      <c r="AD498" s="27"/>
      <c r="AE498" s="27"/>
      <c r="AF498" s="27"/>
      <c r="AG498" s="27"/>
      <c r="AH498" s="27"/>
      <c r="AI498" s="314"/>
      <c r="AJ498" s="27"/>
    </row>
    <row r="499" spans="1:36" ht="17.25" customHeight="1">
      <c r="A499" s="27"/>
      <c r="B499" s="27"/>
      <c r="C499" s="27"/>
      <c r="D499" s="27"/>
      <c r="E499" s="27"/>
      <c r="F499" s="27"/>
      <c r="G499" s="27"/>
      <c r="H499" s="27"/>
      <c r="I499" s="27"/>
      <c r="J499" s="27"/>
      <c r="K499" s="27"/>
      <c r="L499" s="27"/>
      <c r="M499" s="27"/>
      <c r="N499" s="27"/>
      <c r="O499" s="27"/>
      <c r="P499" s="27"/>
      <c r="Q499" s="27"/>
      <c r="R499" s="27"/>
      <c r="S499" s="27"/>
      <c r="T499" s="27"/>
      <c r="U499" s="27"/>
      <c r="V499" s="27"/>
      <c r="W499" s="27"/>
      <c r="X499" s="27"/>
      <c r="Y499" s="27"/>
      <c r="Z499" s="27"/>
      <c r="AA499" s="27"/>
      <c r="AB499" s="14"/>
      <c r="AC499" s="14"/>
      <c r="AD499" s="27"/>
      <c r="AE499" s="27"/>
      <c r="AF499" s="27"/>
      <c r="AG499" s="27"/>
      <c r="AH499" s="27"/>
      <c r="AI499" s="314"/>
      <c r="AJ499" s="27"/>
    </row>
    <row r="500" spans="1:36" ht="17.25" customHeight="1">
      <c r="A500" s="27"/>
      <c r="B500" s="27"/>
      <c r="C500" s="27"/>
      <c r="D500" s="27"/>
      <c r="E500" s="27"/>
      <c r="F500" s="27"/>
      <c r="G500" s="27"/>
      <c r="H500" s="27"/>
      <c r="I500" s="27"/>
      <c r="J500" s="27"/>
      <c r="K500" s="27"/>
      <c r="L500" s="27"/>
      <c r="M500" s="27"/>
      <c r="N500" s="27"/>
      <c r="O500" s="27"/>
      <c r="P500" s="27"/>
      <c r="Q500" s="27"/>
      <c r="R500" s="27"/>
      <c r="S500" s="27"/>
      <c r="T500" s="27"/>
      <c r="U500" s="27"/>
      <c r="V500" s="27"/>
      <c r="W500" s="27"/>
      <c r="X500" s="27"/>
      <c r="Y500" s="27"/>
      <c r="Z500" s="27"/>
      <c r="AA500" s="27"/>
      <c r="AB500" s="14"/>
      <c r="AC500" s="14"/>
      <c r="AD500" s="27"/>
      <c r="AE500" s="27"/>
      <c r="AF500" s="27"/>
      <c r="AG500" s="27"/>
      <c r="AH500" s="27"/>
      <c r="AI500" s="314"/>
      <c r="AJ500" s="27"/>
    </row>
    <row r="501" spans="1:36" ht="17.25" customHeight="1">
      <c r="A501" s="27"/>
      <c r="B501" s="27"/>
      <c r="C501" s="27"/>
      <c r="D501" s="27"/>
      <c r="E501" s="27"/>
      <c r="F501" s="27"/>
      <c r="G501" s="27"/>
      <c r="H501" s="27"/>
      <c r="I501" s="27"/>
      <c r="J501" s="27"/>
      <c r="K501" s="27"/>
      <c r="L501" s="27"/>
      <c r="M501" s="27"/>
      <c r="N501" s="27"/>
      <c r="O501" s="27"/>
      <c r="P501" s="27"/>
      <c r="Q501" s="27"/>
      <c r="R501" s="27"/>
      <c r="S501" s="27"/>
      <c r="T501" s="27"/>
      <c r="U501" s="27"/>
      <c r="V501" s="27"/>
      <c r="W501" s="27"/>
      <c r="X501" s="27"/>
      <c r="Y501" s="27"/>
      <c r="Z501" s="27"/>
      <c r="AA501" s="27"/>
      <c r="AB501" s="14"/>
      <c r="AC501" s="14"/>
      <c r="AD501" s="27"/>
      <c r="AE501" s="27"/>
      <c r="AF501" s="27"/>
      <c r="AG501" s="27"/>
      <c r="AH501" s="27"/>
      <c r="AI501" s="314"/>
      <c r="AJ501" s="27"/>
    </row>
    <row r="502" spans="1:36" ht="17.25" customHeight="1">
      <c r="A502" s="27"/>
      <c r="B502" s="27"/>
      <c r="C502" s="27"/>
      <c r="D502" s="27"/>
      <c r="E502" s="27"/>
      <c r="F502" s="27"/>
      <c r="G502" s="27"/>
      <c r="H502" s="27"/>
      <c r="I502" s="27"/>
      <c r="J502" s="27"/>
      <c r="K502" s="27"/>
      <c r="L502" s="27"/>
      <c r="M502" s="27"/>
      <c r="N502" s="27"/>
      <c r="O502" s="27"/>
      <c r="P502" s="27"/>
      <c r="Q502" s="27"/>
      <c r="R502" s="27"/>
      <c r="S502" s="27"/>
      <c r="T502" s="27"/>
      <c r="U502" s="27"/>
      <c r="V502" s="27"/>
      <c r="W502" s="27"/>
      <c r="X502" s="27"/>
      <c r="Y502" s="27"/>
      <c r="Z502" s="27"/>
      <c r="AA502" s="27"/>
      <c r="AB502" s="14"/>
      <c r="AC502" s="14"/>
      <c r="AD502" s="27"/>
      <c r="AE502" s="27"/>
      <c r="AF502" s="27"/>
      <c r="AG502" s="27"/>
      <c r="AH502" s="27"/>
      <c r="AI502" s="314"/>
      <c r="AJ502" s="27"/>
    </row>
    <row r="503" spans="1:36" ht="17.25" customHeight="1">
      <c r="A503" s="27"/>
      <c r="B503" s="27"/>
      <c r="C503" s="27"/>
      <c r="D503" s="27"/>
      <c r="E503" s="27"/>
      <c r="F503" s="27"/>
      <c r="G503" s="27"/>
      <c r="H503" s="27"/>
      <c r="I503" s="27"/>
      <c r="J503" s="27"/>
      <c r="K503" s="27"/>
      <c r="L503" s="27"/>
      <c r="M503" s="27"/>
      <c r="N503" s="27"/>
      <c r="O503" s="27"/>
      <c r="P503" s="27"/>
      <c r="Q503" s="27"/>
      <c r="R503" s="27"/>
      <c r="S503" s="27"/>
      <c r="T503" s="27"/>
      <c r="U503" s="27"/>
      <c r="V503" s="27"/>
      <c r="W503" s="27"/>
      <c r="X503" s="27"/>
      <c r="Y503" s="27"/>
      <c r="Z503" s="27"/>
      <c r="AA503" s="27"/>
      <c r="AB503" s="14"/>
      <c r="AC503" s="14"/>
      <c r="AD503" s="27"/>
      <c r="AE503" s="27"/>
      <c r="AF503" s="27"/>
      <c r="AG503" s="27"/>
      <c r="AH503" s="27"/>
      <c r="AI503" s="314"/>
      <c r="AJ503" s="27"/>
    </row>
    <row r="504" spans="1:36" ht="17.25" customHeight="1">
      <c r="A504" s="27"/>
      <c r="B504" s="27"/>
      <c r="C504" s="27"/>
      <c r="D504" s="27"/>
      <c r="E504" s="27"/>
      <c r="F504" s="27"/>
      <c r="G504" s="27"/>
      <c r="H504" s="27"/>
      <c r="I504" s="27"/>
      <c r="J504" s="27"/>
      <c r="K504" s="27"/>
      <c r="L504" s="27"/>
      <c r="M504" s="27"/>
      <c r="N504" s="27"/>
      <c r="O504" s="27"/>
      <c r="P504" s="27"/>
      <c r="Q504" s="27"/>
      <c r="R504" s="27"/>
      <c r="S504" s="27"/>
      <c r="T504" s="27"/>
      <c r="U504" s="27"/>
      <c r="V504" s="27"/>
      <c r="W504" s="27"/>
      <c r="X504" s="27"/>
      <c r="Y504" s="27"/>
      <c r="Z504" s="27"/>
      <c r="AA504" s="27"/>
      <c r="AB504" s="14"/>
      <c r="AC504" s="14"/>
      <c r="AD504" s="27"/>
      <c r="AE504" s="27"/>
      <c r="AF504" s="27"/>
      <c r="AG504" s="27"/>
      <c r="AH504" s="27"/>
      <c r="AI504" s="314"/>
      <c r="AJ504" s="27"/>
    </row>
    <row r="505" spans="1:36" ht="17.25" customHeight="1">
      <c r="A505" s="78"/>
      <c r="B505" s="78"/>
      <c r="C505" s="78"/>
      <c r="D505" s="78"/>
      <c r="E505" s="78"/>
      <c r="F505" s="78"/>
      <c r="G505" s="78"/>
      <c r="H505" s="78"/>
      <c r="I505" s="78"/>
      <c r="J505" s="78"/>
      <c r="K505" s="78"/>
      <c r="L505" s="78"/>
      <c r="M505" s="78"/>
      <c r="N505" s="78"/>
      <c r="O505" s="78"/>
      <c r="P505" s="78"/>
      <c r="Q505" s="78"/>
      <c r="R505" s="78"/>
      <c r="S505" s="78"/>
      <c r="T505" s="78"/>
      <c r="U505" s="78"/>
      <c r="V505" s="78"/>
      <c r="W505" s="78"/>
      <c r="X505" s="78"/>
      <c r="Y505" s="78"/>
      <c r="Z505" s="78"/>
      <c r="AA505" s="78"/>
      <c r="AB505" s="14"/>
      <c r="AC505" s="14"/>
      <c r="AD505" s="78"/>
      <c r="AE505" s="78"/>
      <c r="AF505" s="78"/>
      <c r="AG505" s="78"/>
      <c r="AH505" s="78"/>
      <c r="AI505" s="314"/>
      <c r="AJ505" s="78"/>
    </row>
    <row r="506" spans="1:36" ht="17.25" customHeight="1">
      <c r="A506" s="78"/>
      <c r="B506" s="78"/>
      <c r="C506" s="78"/>
      <c r="D506" s="78"/>
      <c r="E506" s="78"/>
      <c r="F506" s="78"/>
      <c r="G506" s="78"/>
      <c r="H506" s="78"/>
      <c r="I506" s="78"/>
      <c r="J506" s="78"/>
      <c r="K506" s="78"/>
      <c r="L506" s="78"/>
      <c r="M506" s="78"/>
      <c r="N506" s="78"/>
      <c r="O506" s="78"/>
      <c r="P506" s="78"/>
      <c r="Q506" s="78"/>
      <c r="R506" s="78"/>
      <c r="S506" s="78"/>
      <c r="T506" s="78"/>
      <c r="U506" s="78"/>
      <c r="V506" s="78"/>
      <c r="W506" s="78"/>
      <c r="X506" s="78"/>
      <c r="Y506" s="78"/>
      <c r="Z506" s="78"/>
      <c r="AA506" s="78"/>
      <c r="AB506" s="14"/>
      <c r="AC506" s="14"/>
      <c r="AD506" s="78"/>
      <c r="AE506" s="78"/>
      <c r="AF506" s="78"/>
      <c r="AG506" s="78"/>
      <c r="AH506" s="78"/>
      <c r="AI506" s="314"/>
      <c r="AJ506" s="78"/>
    </row>
    <row r="507" spans="1:36" ht="17.25" customHeight="1">
      <c r="A507" s="78"/>
      <c r="B507" s="78"/>
      <c r="C507" s="78"/>
      <c r="D507" s="78"/>
      <c r="E507" s="78"/>
      <c r="F507" s="78"/>
      <c r="G507" s="78"/>
      <c r="H507" s="78"/>
      <c r="I507" s="78"/>
      <c r="J507" s="78"/>
      <c r="K507" s="78"/>
      <c r="L507" s="78"/>
      <c r="M507" s="78"/>
      <c r="N507" s="78"/>
      <c r="O507" s="78"/>
      <c r="P507" s="78"/>
      <c r="Q507" s="78"/>
      <c r="R507" s="78"/>
      <c r="S507" s="78"/>
      <c r="T507" s="78"/>
      <c r="U507" s="78"/>
      <c r="V507" s="78"/>
      <c r="W507" s="78"/>
      <c r="X507" s="78"/>
      <c r="Y507" s="78"/>
      <c r="Z507" s="78"/>
      <c r="AA507" s="78"/>
      <c r="AB507" s="14"/>
      <c r="AC507" s="14"/>
      <c r="AD507" s="78"/>
      <c r="AE507" s="78"/>
      <c r="AF507" s="78"/>
      <c r="AG507" s="78"/>
      <c r="AH507" s="78"/>
      <c r="AI507" s="314"/>
      <c r="AJ507" s="78"/>
    </row>
    <row r="508" spans="1:36" ht="17.25" customHeight="1">
      <c r="A508" s="78"/>
      <c r="B508" s="78"/>
      <c r="C508" s="78"/>
      <c r="D508" s="78"/>
      <c r="E508" s="78"/>
      <c r="F508" s="78"/>
      <c r="G508" s="78"/>
      <c r="H508" s="78"/>
      <c r="I508" s="78"/>
      <c r="J508" s="78"/>
      <c r="K508" s="78"/>
      <c r="L508" s="78"/>
      <c r="M508" s="78"/>
      <c r="N508" s="78"/>
      <c r="O508" s="78"/>
      <c r="P508" s="78"/>
      <c r="Q508" s="78"/>
      <c r="R508" s="78"/>
      <c r="S508" s="78"/>
      <c r="T508" s="78"/>
      <c r="U508" s="78"/>
      <c r="V508" s="78"/>
      <c r="W508" s="78"/>
      <c r="X508" s="78"/>
      <c r="Y508" s="78"/>
      <c r="Z508" s="78"/>
      <c r="AA508" s="78"/>
      <c r="AB508" s="14"/>
      <c r="AC508" s="14"/>
      <c r="AD508" s="78"/>
      <c r="AE508" s="78"/>
      <c r="AF508" s="78"/>
      <c r="AG508" s="78"/>
      <c r="AH508" s="78"/>
      <c r="AI508" s="314"/>
      <c r="AJ508" s="78"/>
    </row>
    <row r="509" spans="1:36" ht="17.25" customHeight="1">
      <c r="A509" s="78"/>
      <c r="B509" s="78"/>
      <c r="C509" s="78"/>
      <c r="D509" s="78"/>
      <c r="E509" s="78"/>
      <c r="F509" s="78"/>
      <c r="G509" s="78"/>
      <c r="H509" s="78"/>
      <c r="I509" s="78"/>
      <c r="J509" s="78"/>
      <c r="K509" s="78"/>
      <c r="L509" s="78"/>
      <c r="M509" s="78"/>
      <c r="N509" s="78"/>
      <c r="O509" s="78"/>
      <c r="P509" s="78"/>
      <c r="Q509" s="78"/>
      <c r="R509" s="78"/>
      <c r="S509" s="78"/>
      <c r="T509" s="78"/>
      <c r="U509" s="78"/>
      <c r="V509" s="78"/>
      <c r="W509" s="78"/>
      <c r="X509" s="78"/>
      <c r="Y509" s="78"/>
      <c r="Z509" s="78"/>
      <c r="AA509" s="78"/>
      <c r="AB509" s="14"/>
      <c r="AC509" s="14"/>
      <c r="AD509" s="78"/>
      <c r="AE509" s="78"/>
      <c r="AF509" s="78"/>
      <c r="AG509" s="78"/>
      <c r="AH509" s="78"/>
      <c r="AI509" s="314"/>
      <c r="AJ509" s="78"/>
    </row>
    <row r="510" spans="1:36" ht="17.25" customHeight="1">
      <c r="A510" s="78"/>
      <c r="B510" s="78"/>
      <c r="C510" s="78"/>
      <c r="D510" s="78"/>
      <c r="E510" s="78"/>
      <c r="F510" s="78"/>
      <c r="G510" s="78"/>
      <c r="H510" s="78"/>
      <c r="I510" s="78"/>
      <c r="J510" s="78"/>
      <c r="K510" s="78"/>
      <c r="L510" s="78"/>
      <c r="M510" s="78"/>
      <c r="N510" s="78"/>
      <c r="O510" s="78"/>
      <c r="P510" s="78"/>
      <c r="Q510" s="78"/>
      <c r="R510" s="78"/>
      <c r="S510" s="78"/>
      <c r="T510" s="78"/>
      <c r="U510" s="78"/>
      <c r="V510" s="78"/>
      <c r="W510" s="78"/>
      <c r="X510" s="78"/>
      <c r="Y510" s="78"/>
      <c r="Z510" s="78"/>
      <c r="AA510" s="78"/>
      <c r="AB510" s="14"/>
      <c r="AC510" s="14"/>
      <c r="AD510" s="78"/>
      <c r="AE510" s="78"/>
      <c r="AF510" s="78"/>
      <c r="AG510" s="78"/>
      <c r="AH510" s="78"/>
      <c r="AI510" s="314"/>
      <c r="AJ510" s="78"/>
    </row>
    <row r="511" spans="1:36" ht="17.25" customHeight="1">
      <c r="A511" s="78"/>
      <c r="B511" s="78"/>
      <c r="C511" s="78"/>
      <c r="D511" s="78"/>
      <c r="E511" s="78"/>
      <c r="F511" s="78"/>
      <c r="G511" s="78"/>
      <c r="H511" s="78"/>
      <c r="I511" s="78"/>
      <c r="J511" s="78"/>
      <c r="K511" s="78"/>
      <c r="L511" s="78"/>
      <c r="M511" s="78"/>
      <c r="N511" s="78"/>
      <c r="O511" s="78"/>
      <c r="P511" s="78"/>
      <c r="Q511" s="78"/>
      <c r="R511" s="78"/>
      <c r="S511" s="78"/>
      <c r="T511" s="78"/>
      <c r="U511" s="78"/>
      <c r="V511" s="78"/>
      <c r="W511" s="78"/>
      <c r="X511" s="78"/>
      <c r="Y511" s="78"/>
      <c r="Z511" s="78"/>
      <c r="AA511" s="78"/>
      <c r="AB511" s="14"/>
      <c r="AC511" s="14"/>
      <c r="AD511" s="78"/>
      <c r="AE511" s="78"/>
      <c r="AF511" s="78"/>
      <c r="AG511" s="78"/>
      <c r="AH511" s="78"/>
      <c r="AI511" s="314"/>
      <c r="AJ511" s="78"/>
    </row>
    <row r="512" spans="1:36" ht="17.25" customHeight="1">
      <c r="A512" s="78"/>
      <c r="B512" s="78"/>
      <c r="C512" s="78"/>
      <c r="D512" s="78"/>
      <c r="E512" s="78"/>
      <c r="F512" s="78"/>
      <c r="G512" s="78"/>
      <c r="H512" s="78"/>
      <c r="I512" s="78"/>
      <c r="J512" s="78"/>
      <c r="K512" s="78"/>
      <c r="L512" s="78"/>
      <c r="M512" s="78"/>
      <c r="N512" s="78"/>
      <c r="O512" s="78"/>
      <c r="P512" s="78"/>
      <c r="Q512" s="78"/>
      <c r="R512" s="78"/>
      <c r="S512" s="78"/>
      <c r="T512" s="78"/>
      <c r="U512" s="78"/>
      <c r="V512" s="78"/>
      <c r="W512" s="78"/>
      <c r="X512" s="78"/>
      <c r="Y512" s="78"/>
      <c r="Z512" s="78"/>
      <c r="AA512" s="78"/>
      <c r="AB512" s="14"/>
      <c r="AC512" s="14"/>
      <c r="AD512" s="78"/>
      <c r="AE512" s="78"/>
      <c r="AF512" s="78"/>
      <c r="AG512" s="78"/>
      <c r="AH512" s="78"/>
      <c r="AI512" s="314"/>
      <c r="AJ512" s="78"/>
    </row>
    <row r="513" spans="1:36" ht="17.25" customHeight="1">
      <c r="A513" s="78"/>
      <c r="B513" s="78"/>
      <c r="C513" s="78"/>
      <c r="D513" s="78"/>
      <c r="E513" s="78"/>
      <c r="F513" s="78"/>
      <c r="G513" s="78"/>
      <c r="H513" s="78"/>
      <c r="I513" s="78"/>
      <c r="J513" s="78"/>
      <c r="K513" s="78"/>
      <c r="L513" s="78"/>
      <c r="M513" s="78"/>
      <c r="N513" s="78"/>
      <c r="O513" s="78"/>
      <c r="P513" s="78"/>
      <c r="Q513" s="78"/>
      <c r="R513" s="78"/>
      <c r="S513" s="78"/>
      <c r="T513" s="78"/>
      <c r="U513" s="78"/>
      <c r="V513" s="78"/>
      <c r="W513" s="78"/>
      <c r="X513" s="78"/>
      <c r="Y513" s="78"/>
      <c r="Z513" s="78"/>
      <c r="AA513" s="78"/>
      <c r="AB513" s="14"/>
      <c r="AC513" s="14"/>
      <c r="AD513" s="78"/>
      <c r="AE513" s="78"/>
      <c r="AF513" s="78"/>
      <c r="AG513" s="78"/>
      <c r="AH513" s="78"/>
      <c r="AI513" s="314"/>
      <c r="AJ513" s="78"/>
    </row>
    <row r="514" spans="1:36" ht="17.25" customHeight="1">
      <c r="A514" s="78"/>
      <c r="B514" s="78"/>
      <c r="C514" s="78"/>
      <c r="D514" s="78"/>
      <c r="E514" s="78"/>
      <c r="F514" s="78"/>
      <c r="G514" s="78"/>
      <c r="H514" s="78"/>
      <c r="I514" s="78"/>
      <c r="J514" s="78"/>
      <c r="K514" s="78"/>
      <c r="L514" s="78"/>
      <c r="M514" s="78"/>
      <c r="N514" s="78"/>
      <c r="O514" s="78"/>
      <c r="P514" s="78"/>
      <c r="Q514" s="78"/>
      <c r="R514" s="78"/>
      <c r="S514" s="78"/>
      <c r="T514" s="78"/>
      <c r="U514" s="78"/>
      <c r="V514" s="78"/>
      <c r="W514" s="78"/>
      <c r="X514" s="78"/>
      <c r="Y514" s="78"/>
      <c r="Z514" s="78"/>
      <c r="AA514" s="78"/>
      <c r="AB514" s="14"/>
      <c r="AC514" s="14"/>
      <c r="AD514" s="78"/>
      <c r="AE514" s="78"/>
      <c r="AF514" s="78"/>
      <c r="AG514" s="78"/>
      <c r="AH514" s="78"/>
      <c r="AI514" s="314"/>
      <c r="AJ514" s="78"/>
    </row>
    <row r="515" spans="1:36" ht="17.25" customHeight="1">
      <c r="A515" s="78"/>
      <c r="B515" s="78"/>
      <c r="C515" s="78"/>
      <c r="D515" s="78"/>
      <c r="E515" s="78"/>
      <c r="F515" s="78"/>
      <c r="G515" s="78"/>
      <c r="H515" s="78"/>
      <c r="I515" s="78"/>
      <c r="J515" s="78"/>
      <c r="K515" s="78"/>
      <c r="L515" s="78"/>
      <c r="M515" s="78"/>
      <c r="N515" s="78"/>
      <c r="O515" s="78"/>
      <c r="P515" s="78"/>
      <c r="Q515" s="78"/>
      <c r="R515" s="78"/>
      <c r="S515" s="78"/>
      <c r="T515" s="78"/>
      <c r="U515" s="78"/>
      <c r="V515" s="78"/>
      <c r="W515" s="78"/>
      <c r="X515" s="78"/>
      <c r="Y515" s="78"/>
      <c r="Z515" s="78"/>
      <c r="AA515" s="78"/>
      <c r="AB515" s="14"/>
      <c r="AC515" s="14"/>
      <c r="AD515" s="78"/>
      <c r="AE515" s="78"/>
      <c r="AF515" s="78"/>
      <c r="AG515" s="78"/>
      <c r="AH515" s="78"/>
      <c r="AI515" s="314"/>
      <c r="AJ515" s="78"/>
    </row>
    <row r="516" spans="1:36" ht="17.25" customHeight="1">
      <c r="A516" s="78"/>
      <c r="B516" s="78"/>
      <c r="C516" s="78"/>
      <c r="D516" s="78"/>
      <c r="E516" s="78"/>
      <c r="F516" s="78"/>
      <c r="G516" s="78"/>
      <c r="H516" s="78"/>
      <c r="I516" s="78"/>
      <c r="J516" s="78"/>
      <c r="K516" s="78"/>
      <c r="L516" s="78"/>
      <c r="M516" s="78"/>
      <c r="N516" s="78"/>
      <c r="O516" s="78"/>
      <c r="P516" s="78"/>
      <c r="Q516" s="78"/>
      <c r="R516" s="78"/>
      <c r="S516" s="78"/>
      <c r="T516" s="78"/>
      <c r="U516" s="78"/>
      <c r="V516" s="78"/>
      <c r="W516" s="78"/>
      <c r="X516" s="78"/>
      <c r="Y516" s="78"/>
      <c r="Z516" s="78"/>
      <c r="AA516" s="78"/>
      <c r="AB516" s="14"/>
      <c r="AC516" s="14"/>
      <c r="AD516" s="78"/>
      <c r="AE516" s="78"/>
      <c r="AF516" s="78"/>
      <c r="AG516" s="78"/>
      <c r="AH516" s="78"/>
      <c r="AI516" s="314"/>
      <c r="AJ516" s="78"/>
    </row>
    <row r="517" spans="1:36" ht="17.25" customHeight="1">
      <c r="A517" s="78"/>
      <c r="B517" s="78"/>
      <c r="C517" s="78"/>
      <c r="D517" s="78"/>
      <c r="E517" s="78"/>
      <c r="F517" s="78"/>
      <c r="G517" s="78"/>
      <c r="H517" s="78"/>
      <c r="I517" s="78"/>
      <c r="J517" s="78"/>
      <c r="K517" s="78"/>
      <c r="L517" s="78"/>
      <c r="M517" s="78"/>
      <c r="N517" s="78"/>
      <c r="O517" s="78"/>
      <c r="P517" s="78"/>
      <c r="Q517" s="78"/>
      <c r="R517" s="78"/>
      <c r="S517" s="78"/>
      <c r="T517" s="78"/>
      <c r="U517" s="78"/>
      <c r="V517" s="78"/>
      <c r="W517" s="78"/>
      <c r="X517" s="78"/>
      <c r="Y517" s="78"/>
      <c r="Z517" s="78"/>
      <c r="AA517" s="78"/>
      <c r="AB517" s="14"/>
      <c r="AC517" s="14"/>
      <c r="AD517" s="78"/>
      <c r="AE517" s="78"/>
      <c r="AF517" s="78"/>
      <c r="AG517" s="78"/>
      <c r="AH517" s="78"/>
      <c r="AI517" s="314"/>
      <c r="AJ517" s="78"/>
    </row>
    <row r="518" spans="1:36" ht="17.25" customHeight="1">
      <c r="A518" s="78"/>
      <c r="B518" s="78"/>
      <c r="C518" s="78"/>
      <c r="D518" s="78"/>
      <c r="E518" s="78"/>
      <c r="F518" s="78"/>
      <c r="G518" s="78"/>
      <c r="H518" s="78"/>
      <c r="I518" s="78"/>
      <c r="J518" s="78"/>
      <c r="K518" s="78"/>
      <c r="L518" s="78"/>
      <c r="M518" s="78"/>
      <c r="N518" s="78"/>
      <c r="O518" s="78"/>
      <c r="P518" s="78"/>
      <c r="Q518" s="78"/>
      <c r="R518" s="78"/>
      <c r="S518" s="78"/>
      <c r="T518" s="78"/>
      <c r="U518" s="78"/>
      <c r="V518" s="78"/>
      <c r="W518" s="78"/>
      <c r="X518" s="78"/>
      <c r="Y518" s="78"/>
      <c r="Z518" s="78"/>
      <c r="AA518" s="78"/>
      <c r="AB518" s="14"/>
      <c r="AC518" s="14"/>
      <c r="AD518" s="78"/>
      <c r="AE518" s="78"/>
      <c r="AF518" s="78"/>
      <c r="AG518" s="78"/>
      <c r="AH518" s="78"/>
      <c r="AI518" s="314"/>
      <c r="AJ518" s="78"/>
    </row>
    <row r="519" spans="1:36" ht="17.25" customHeight="1">
      <c r="A519" s="78"/>
      <c r="B519" s="78"/>
      <c r="C519" s="78"/>
      <c r="D519" s="78"/>
      <c r="E519" s="78"/>
      <c r="F519" s="78"/>
      <c r="G519" s="78"/>
      <c r="H519" s="78"/>
      <c r="I519" s="78"/>
      <c r="J519" s="78"/>
      <c r="K519" s="78"/>
      <c r="L519" s="78"/>
      <c r="M519" s="78"/>
      <c r="N519" s="78"/>
      <c r="O519" s="78"/>
      <c r="P519" s="78"/>
      <c r="Q519" s="78"/>
      <c r="R519" s="78"/>
      <c r="S519" s="78"/>
      <c r="T519" s="78"/>
      <c r="U519" s="78"/>
      <c r="V519" s="78"/>
      <c r="W519" s="78"/>
      <c r="X519" s="78"/>
      <c r="Y519" s="78"/>
      <c r="Z519" s="78"/>
      <c r="AA519" s="78"/>
      <c r="AB519" s="14"/>
      <c r="AC519" s="14"/>
      <c r="AD519" s="78"/>
      <c r="AE519" s="78"/>
      <c r="AF519" s="78"/>
      <c r="AG519" s="78"/>
      <c r="AH519" s="78"/>
      <c r="AI519" s="314"/>
      <c r="AJ519" s="78"/>
    </row>
    <row r="520" spans="1:36" ht="17.25" customHeight="1">
      <c r="A520" s="78"/>
      <c r="B520" s="78"/>
      <c r="C520" s="78"/>
      <c r="D520" s="78"/>
      <c r="E520" s="78"/>
      <c r="F520" s="78"/>
      <c r="G520" s="78"/>
      <c r="H520" s="78"/>
      <c r="I520" s="78"/>
      <c r="J520" s="78"/>
      <c r="K520" s="78"/>
      <c r="L520" s="78"/>
      <c r="M520" s="78"/>
      <c r="N520" s="78"/>
      <c r="O520" s="78"/>
      <c r="P520" s="78"/>
      <c r="Q520" s="78"/>
      <c r="R520" s="78"/>
      <c r="S520" s="78"/>
      <c r="T520" s="78"/>
      <c r="U520" s="78"/>
      <c r="V520" s="78"/>
      <c r="W520" s="78"/>
      <c r="X520" s="78"/>
      <c r="Y520" s="78"/>
      <c r="Z520" s="78"/>
      <c r="AA520" s="78"/>
      <c r="AB520" s="14"/>
      <c r="AC520" s="14"/>
      <c r="AD520" s="78"/>
      <c r="AE520" s="78"/>
      <c r="AF520" s="78"/>
      <c r="AG520" s="78"/>
      <c r="AH520" s="78"/>
      <c r="AI520" s="314"/>
      <c r="AJ520" s="78"/>
    </row>
    <row r="521" spans="1:36" ht="17.25" customHeight="1">
      <c r="A521" s="78"/>
      <c r="B521" s="78"/>
      <c r="C521" s="78"/>
      <c r="D521" s="78"/>
      <c r="E521" s="78"/>
      <c r="F521" s="78"/>
      <c r="G521" s="78"/>
      <c r="H521" s="78"/>
      <c r="I521" s="78"/>
      <c r="J521" s="78"/>
      <c r="K521" s="78"/>
      <c r="L521" s="78"/>
      <c r="M521" s="78"/>
      <c r="N521" s="78"/>
      <c r="O521" s="78"/>
      <c r="P521" s="78"/>
      <c r="Q521" s="78"/>
      <c r="R521" s="78"/>
      <c r="S521" s="78"/>
      <c r="T521" s="78"/>
      <c r="U521" s="78"/>
      <c r="V521" s="78"/>
      <c r="W521" s="78"/>
      <c r="X521" s="78"/>
      <c r="Y521" s="78"/>
      <c r="Z521" s="78"/>
      <c r="AA521" s="78"/>
      <c r="AB521" s="14"/>
      <c r="AC521" s="14"/>
      <c r="AD521" s="78"/>
      <c r="AE521" s="78"/>
      <c r="AF521" s="78"/>
      <c r="AG521" s="78"/>
      <c r="AH521" s="78"/>
      <c r="AI521" s="314"/>
      <c r="AJ521" s="78"/>
    </row>
    <row r="522" spans="1:36" ht="17.25" customHeight="1">
      <c r="A522" s="78"/>
      <c r="B522" s="78"/>
      <c r="C522" s="78"/>
      <c r="D522" s="78"/>
      <c r="E522" s="78"/>
      <c r="F522" s="78"/>
      <c r="G522" s="78"/>
      <c r="H522" s="78"/>
      <c r="I522" s="78"/>
      <c r="J522" s="78"/>
      <c r="K522" s="78"/>
      <c r="L522" s="78"/>
      <c r="M522" s="78"/>
      <c r="N522" s="78"/>
      <c r="O522" s="78"/>
      <c r="P522" s="78"/>
      <c r="Q522" s="78"/>
      <c r="R522" s="78"/>
      <c r="S522" s="78"/>
      <c r="T522" s="78"/>
      <c r="U522" s="78"/>
      <c r="V522" s="78"/>
      <c r="W522" s="78"/>
      <c r="X522" s="78"/>
      <c r="Y522" s="78"/>
      <c r="Z522" s="78"/>
      <c r="AA522" s="78"/>
      <c r="AB522" s="14"/>
      <c r="AC522" s="14"/>
      <c r="AD522" s="78"/>
      <c r="AE522" s="78"/>
      <c r="AF522" s="78"/>
      <c r="AG522" s="78"/>
      <c r="AH522" s="78"/>
      <c r="AI522" s="314"/>
      <c r="AJ522" s="78"/>
    </row>
    <row r="523" spans="1:36" ht="17.25" customHeight="1">
      <c r="A523" s="78"/>
      <c r="B523" s="78"/>
      <c r="C523" s="78"/>
      <c r="D523" s="78"/>
      <c r="E523" s="78"/>
      <c r="F523" s="78"/>
      <c r="G523" s="78"/>
      <c r="H523" s="78"/>
      <c r="I523" s="78"/>
      <c r="J523" s="78"/>
      <c r="K523" s="78"/>
      <c r="L523" s="78"/>
      <c r="M523" s="78"/>
      <c r="N523" s="78"/>
      <c r="O523" s="78"/>
      <c r="P523" s="78"/>
      <c r="Q523" s="78"/>
      <c r="R523" s="78"/>
      <c r="S523" s="78"/>
      <c r="T523" s="78"/>
      <c r="U523" s="78"/>
      <c r="V523" s="78"/>
      <c r="W523" s="78"/>
      <c r="X523" s="78"/>
      <c r="Y523" s="78"/>
      <c r="Z523" s="78"/>
      <c r="AA523" s="78"/>
      <c r="AB523" s="14"/>
      <c r="AC523" s="14"/>
      <c r="AD523" s="78"/>
      <c r="AE523" s="78"/>
      <c r="AF523" s="78"/>
      <c r="AG523" s="78"/>
      <c r="AH523" s="78"/>
      <c r="AI523" s="314"/>
      <c r="AJ523" s="78"/>
    </row>
    <row r="524" spans="1:36" ht="17.25" customHeight="1">
      <c r="A524" s="78"/>
      <c r="B524" s="78"/>
      <c r="C524" s="78"/>
      <c r="D524" s="78"/>
      <c r="E524" s="78"/>
      <c r="F524" s="78"/>
      <c r="G524" s="78"/>
      <c r="H524" s="78"/>
      <c r="I524" s="78"/>
      <c r="J524" s="78"/>
      <c r="K524" s="78"/>
      <c r="L524" s="78"/>
      <c r="M524" s="78"/>
      <c r="N524" s="78"/>
      <c r="O524" s="78"/>
      <c r="P524" s="78"/>
      <c r="Q524" s="78"/>
      <c r="R524" s="78"/>
      <c r="S524" s="78"/>
      <c r="T524" s="78"/>
      <c r="U524" s="78"/>
      <c r="V524" s="78"/>
      <c r="W524" s="78"/>
      <c r="X524" s="78"/>
      <c r="Y524" s="78"/>
      <c r="Z524" s="78"/>
      <c r="AA524" s="78"/>
      <c r="AB524" s="14"/>
      <c r="AC524" s="14"/>
      <c r="AD524" s="78"/>
      <c r="AE524" s="78"/>
      <c r="AF524" s="78"/>
      <c r="AG524" s="78"/>
      <c r="AH524" s="78"/>
      <c r="AI524" s="314"/>
      <c r="AJ524" s="78"/>
    </row>
    <row r="525" spans="1:36" ht="17.25" customHeight="1">
      <c r="A525" s="78"/>
      <c r="B525" s="78"/>
      <c r="C525" s="78"/>
      <c r="D525" s="78"/>
      <c r="E525" s="78"/>
      <c r="F525" s="78"/>
      <c r="G525" s="78"/>
      <c r="H525" s="78"/>
      <c r="I525" s="78"/>
      <c r="J525" s="78"/>
      <c r="K525" s="78"/>
      <c r="L525" s="78"/>
      <c r="M525" s="78"/>
      <c r="N525" s="78"/>
      <c r="O525" s="78"/>
      <c r="P525" s="78"/>
      <c r="Q525" s="78"/>
      <c r="R525" s="78"/>
      <c r="S525" s="78"/>
      <c r="T525" s="78"/>
      <c r="U525" s="78"/>
      <c r="V525" s="78"/>
      <c r="W525" s="78"/>
      <c r="X525" s="78"/>
      <c r="Y525" s="78"/>
      <c r="Z525" s="78"/>
      <c r="AA525" s="78"/>
      <c r="AB525" s="14"/>
      <c r="AC525" s="14"/>
      <c r="AD525" s="78"/>
      <c r="AE525" s="78"/>
      <c r="AF525" s="78"/>
      <c r="AG525" s="78"/>
      <c r="AH525" s="78"/>
      <c r="AI525" s="314"/>
      <c r="AJ525" s="78"/>
    </row>
    <row r="526" spans="1:36" ht="17.25" customHeight="1">
      <c r="A526" s="27"/>
      <c r="B526" s="27"/>
      <c r="C526" s="27"/>
      <c r="D526" s="27"/>
      <c r="E526" s="27"/>
      <c r="F526" s="27"/>
      <c r="G526" s="27"/>
      <c r="H526" s="27"/>
      <c r="I526" s="27"/>
      <c r="J526" s="27"/>
      <c r="K526" s="78"/>
      <c r="L526" s="78"/>
      <c r="M526" s="78"/>
      <c r="N526" s="78"/>
      <c r="O526" s="78"/>
      <c r="P526" s="78"/>
      <c r="Q526" s="78"/>
      <c r="R526" s="78"/>
      <c r="S526" s="78"/>
      <c r="T526" s="78"/>
      <c r="U526" s="78"/>
      <c r="V526" s="78"/>
      <c r="W526" s="78"/>
      <c r="X526" s="78"/>
      <c r="Y526" s="78"/>
      <c r="Z526" s="78"/>
      <c r="AA526" s="78"/>
      <c r="AB526" s="14"/>
      <c r="AC526" s="14"/>
      <c r="AD526" s="78"/>
      <c r="AE526" s="78"/>
      <c r="AF526" s="78"/>
      <c r="AG526" s="78"/>
      <c r="AH526" s="78"/>
      <c r="AI526" s="314"/>
      <c r="AJ526" s="78"/>
    </row>
    <row r="527" spans="1:36" ht="17.25" customHeight="1">
      <c r="A527" s="27" t="s">
        <v>52</v>
      </c>
      <c r="B527" s="27"/>
      <c r="C527" s="27"/>
      <c r="D527" s="27"/>
      <c r="E527" s="27"/>
      <c r="F527" s="27"/>
      <c r="G527" s="27"/>
      <c r="H527" s="27"/>
      <c r="I527" s="27"/>
      <c r="J527" s="27"/>
      <c r="K527" s="78"/>
      <c r="L527" s="27"/>
      <c r="M527" s="27"/>
      <c r="N527" s="27"/>
      <c r="O527" s="27"/>
      <c r="P527" s="27"/>
      <c r="Q527" s="27"/>
      <c r="R527" s="27"/>
      <c r="S527" s="78"/>
      <c r="T527" s="78"/>
      <c r="U527" s="78"/>
      <c r="V527" s="78"/>
      <c r="W527" s="78"/>
      <c r="X527" s="78"/>
      <c r="Y527" s="78"/>
      <c r="Z527" s="78"/>
      <c r="AA527" s="78"/>
      <c r="AB527" s="14"/>
      <c r="AC527" s="14"/>
      <c r="AD527" s="78"/>
      <c r="AE527" s="78"/>
      <c r="AF527" s="78"/>
      <c r="AG527" s="78"/>
      <c r="AH527" s="78"/>
      <c r="AI527" s="314"/>
      <c r="AJ527" s="78"/>
    </row>
    <row r="528" spans="1:36" ht="17.25" customHeight="1">
      <c r="A528" s="27" t="s">
        <v>53</v>
      </c>
      <c r="B528" s="27"/>
      <c r="C528" s="27"/>
      <c r="D528" s="27"/>
      <c r="E528" s="27"/>
      <c r="F528" s="27"/>
      <c r="G528" s="27"/>
      <c r="H528" s="27"/>
      <c r="I528" s="27"/>
      <c r="J528" s="27"/>
      <c r="K528" s="78"/>
      <c r="L528" s="78" t="s">
        <v>332</v>
      </c>
      <c r="M528" s="27"/>
      <c r="N528" s="27"/>
      <c r="O528" s="27"/>
      <c r="P528" s="27"/>
      <c r="Q528" s="27"/>
      <c r="R528" s="27"/>
      <c r="S528" s="78"/>
      <c r="T528" s="78"/>
      <c r="U528" s="78"/>
      <c r="V528" s="78"/>
      <c r="W528" s="78"/>
      <c r="X528" s="78"/>
      <c r="Y528" s="78"/>
      <c r="Z528" s="78"/>
      <c r="AA528" s="78"/>
      <c r="AB528" s="14"/>
      <c r="AC528" s="14"/>
      <c r="AD528" s="78"/>
      <c r="AE528" s="78"/>
      <c r="AF528" s="78"/>
      <c r="AG528" s="78"/>
      <c r="AH528" s="78"/>
      <c r="AI528" s="314"/>
      <c r="AJ528" s="78"/>
    </row>
    <row r="529" spans="1:36" ht="17.25" customHeight="1">
      <c r="A529" s="27"/>
      <c r="B529" s="27"/>
      <c r="C529" s="27"/>
      <c r="D529" s="27"/>
      <c r="E529" s="27"/>
      <c r="F529" s="27"/>
      <c r="G529" s="27"/>
      <c r="H529" s="27"/>
      <c r="I529" s="27"/>
      <c r="J529" s="27"/>
      <c r="K529" s="63"/>
      <c r="L529" s="27"/>
      <c r="M529" s="27"/>
      <c r="N529" s="27"/>
      <c r="O529" s="27"/>
      <c r="P529" s="27"/>
      <c r="Q529" s="27"/>
      <c r="R529" s="27"/>
      <c r="S529" s="63"/>
      <c r="T529" s="63"/>
      <c r="U529" s="63"/>
      <c r="V529" s="63"/>
      <c r="W529" s="63"/>
      <c r="X529" s="63"/>
      <c r="Y529" s="63"/>
      <c r="Z529" s="63"/>
      <c r="AA529" s="63"/>
      <c r="AB529" s="14"/>
      <c r="AC529" s="14"/>
      <c r="AD529" s="63"/>
      <c r="AE529" s="63"/>
      <c r="AF529" s="63"/>
      <c r="AG529" s="63"/>
      <c r="AH529" s="63"/>
      <c r="AI529" s="314"/>
      <c r="AJ529" s="63"/>
    </row>
    <row r="530" spans="1:36" ht="17.25" customHeight="1">
      <c r="A530" s="66" t="s">
        <v>54</v>
      </c>
      <c r="B530" s="66"/>
      <c r="C530" s="66" t="s">
        <v>55</v>
      </c>
      <c r="D530" s="66"/>
      <c r="E530" s="70"/>
      <c r="F530" s="70"/>
      <c r="G530" s="70"/>
      <c r="H530" s="27"/>
      <c r="I530" s="27"/>
      <c r="J530" s="27"/>
      <c r="K530" s="63"/>
      <c r="L530" s="27"/>
      <c r="M530" s="27"/>
      <c r="N530" s="27"/>
      <c r="O530" s="27"/>
      <c r="P530" s="27"/>
      <c r="Q530" s="27"/>
      <c r="R530" s="27"/>
      <c r="S530" s="63"/>
      <c r="T530" s="63"/>
      <c r="U530" s="63"/>
      <c r="V530" s="63"/>
      <c r="W530" s="63"/>
      <c r="X530" s="63"/>
      <c r="Y530" s="63"/>
      <c r="Z530" s="63"/>
      <c r="AA530" s="63"/>
      <c r="AB530" s="14"/>
      <c r="AC530" s="14"/>
      <c r="AD530" s="63"/>
      <c r="AE530" s="63"/>
      <c r="AF530" s="63"/>
      <c r="AG530" s="63"/>
      <c r="AH530" s="63"/>
      <c r="AI530" s="314"/>
      <c r="AJ530" s="63"/>
    </row>
    <row r="531" spans="1:36" ht="17.25" customHeight="1">
      <c r="A531" s="66" t="s">
        <v>50</v>
      </c>
      <c r="B531" s="66" t="s">
        <v>12</v>
      </c>
      <c r="C531" s="66" t="s">
        <v>36</v>
      </c>
      <c r="D531" s="66" t="s">
        <v>8</v>
      </c>
      <c r="E531" s="66" t="s">
        <v>46</v>
      </c>
      <c r="F531" s="66" t="s">
        <v>45</v>
      </c>
      <c r="G531" s="66" t="s">
        <v>144</v>
      </c>
      <c r="H531" s="27"/>
      <c r="I531" s="27"/>
      <c r="J531" s="27"/>
      <c r="K531" s="63"/>
      <c r="L531" s="27"/>
      <c r="M531" s="27"/>
      <c r="N531" s="27"/>
      <c r="O531" s="27"/>
      <c r="P531" s="27"/>
      <c r="Q531" s="27"/>
      <c r="R531" s="27"/>
      <c r="S531" s="63"/>
      <c r="T531" s="63"/>
      <c r="U531" s="63"/>
      <c r="V531" s="63"/>
      <c r="W531" s="63"/>
      <c r="X531" s="63"/>
      <c r="Y531" s="63"/>
      <c r="Z531" s="63"/>
      <c r="AA531" s="63"/>
      <c r="AB531" s="14"/>
      <c r="AC531" s="14"/>
      <c r="AD531" s="63"/>
      <c r="AE531" s="63"/>
      <c r="AF531" s="63"/>
      <c r="AG531" s="63"/>
      <c r="AH531" s="63"/>
      <c r="AI531" s="314"/>
      <c r="AJ531" s="63"/>
    </row>
    <row r="532" spans="1:36" ht="17.25" customHeight="1">
      <c r="A532" s="217">
        <v>30000</v>
      </c>
      <c r="B532" s="343">
        <f>CONVERT(A532,"lbm","g")/(1000*1000)</f>
        <v>13.607771099999999</v>
      </c>
      <c r="C532" s="66">
        <v>0</v>
      </c>
      <c r="D532" s="66">
        <f>C532*1000</f>
        <v>0</v>
      </c>
      <c r="E532" s="177">
        <f>SLOPE(C532:C533,B532:B533)</f>
        <v>0.1486262441695804</v>
      </c>
      <c r="F532" s="218">
        <f>INTERCEPT(C532:C533,B532:B533)</f>
        <v>-2.02247191011236</v>
      </c>
      <c r="G532" s="218">
        <f>CORREL(C532:C533,B532:B533)</f>
        <v>1</v>
      </c>
      <c r="H532" s="27"/>
      <c r="I532" s="296"/>
      <c r="J532" s="27"/>
      <c r="K532" s="63"/>
      <c r="L532" s="71" t="s">
        <v>333</v>
      </c>
      <c r="M532" s="78" t="s">
        <v>12</v>
      </c>
      <c r="N532" s="27">
        <v>20</v>
      </c>
      <c r="O532" s="27">
        <v>24</v>
      </c>
      <c r="P532" s="27">
        <v>26</v>
      </c>
      <c r="Q532" s="27">
        <v>33</v>
      </c>
      <c r="R532" s="27">
        <v>33</v>
      </c>
      <c r="S532" s="63"/>
      <c r="T532" s="63"/>
      <c r="U532" s="63"/>
      <c r="V532" s="63"/>
      <c r="W532" s="63"/>
      <c r="X532" s="63"/>
      <c r="Y532" s="63"/>
      <c r="Z532" s="63"/>
      <c r="AA532" s="63"/>
      <c r="AB532" s="14"/>
      <c r="AC532" s="14"/>
      <c r="AD532" s="63"/>
      <c r="AE532" s="63"/>
      <c r="AF532" s="63"/>
      <c r="AG532" s="63"/>
      <c r="AH532" s="63"/>
      <c r="AI532" s="314"/>
      <c r="AJ532" s="63"/>
    </row>
    <row r="533" spans="1:36" ht="17.25" customHeight="1">
      <c r="A533" s="217">
        <v>119000</v>
      </c>
      <c r="B533" s="343">
        <f>CONVERT(A533,"lbm","g")/(1000*1000)</f>
        <v>53.977492030000001</v>
      </c>
      <c r="C533" s="66">
        <v>6</v>
      </c>
      <c r="D533" s="66">
        <f>C533*1000</f>
        <v>6000</v>
      </c>
      <c r="E533" s="66"/>
      <c r="F533" s="66"/>
      <c r="G533" s="66"/>
      <c r="H533" s="28"/>
      <c r="I533" s="27"/>
      <c r="J533" s="27"/>
      <c r="K533" s="63"/>
      <c r="L533" s="71" t="s">
        <v>334</v>
      </c>
      <c r="M533" s="78" t="s">
        <v>36</v>
      </c>
      <c r="N533" s="27">
        <v>1.5</v>
      </c>
      <c r="O533" s="27">
        <v>1.8</v>
      </c>
      <c r="P533" s="27">
        <v>2</v>
      </c>
      <c r="Q533" s="27">
        <v>2.5</v>
      </c>
      <c r="R533" s="27">
        <v>2.75</v>
      </c>
      <c r="S533" s="63"/>
      <c r="T533" s="63"/>
      <c r="U533" s="63"/>
      <c r="V533" s="63"/>
      <c r="W533" s="63"/>
      <c r="X533" s="63"/>
      <c r="Y533" s="63"/>
      <c r="Z533" s="63"/>
      <c r="AA533" s="63"/>
      <c r="AB533" s="14"/>
      <c r="AC533" s="14"/>
      <c r="AD533" s="63"/>
      <c r="AE533" s="63"/>
      <c r="AF533" s="63"/>
      <c r="AG533" s="63"/>
      <c r="AH533" s="63"/>
      <c r="AI533" s="314"/>
      <c r="AJ533" s="63"/>
    </row>
    <row r="534" spans="1:36" ht="17.25" customHeight="1">
      <c r="A534" s="27"/>
      <c r="B534" s="27"/>
      <c r="C534" s="27"/>
      <c r="D534" s="27"/>
      <c r="E534" s="27"/>
      <c r="F534" s="27"/>
      <c r="G534" s="27"/>
      <c r="H534" s="27"/>
      <c r="I534" s="27"/>
      <c r="J534" s="27"/>
      <c r="K534" s="63"/>
      <c r="L534" s="63"/>
      <c r="M534" s="63"/>
      <c r="N534" s="63"/>
      <c r="O534" s="63"/>
      <c r="P534" s="63"/>
      <c r="Q534" s="63"/>
      <c r="R534" s="63"/>
      <c r="S534" s="63"/>
      <c r="T534" s="63"/>
      <c r="U534" s="63"/>
      <c r="V534" s="63"/>
      <c r="W534" s="63"/>
      <c r="X534" s="63"/>
      <c r="Y534" s="63"/>
      <c r="Z534" s="63"/>
      <c r="AA534" s="63"/>
      <c r="AB534" s="14"/>
      <c r="AC534" s="14"/>
      <c r="AD534" s="63"/>
      <c r="AE534" s="63"/>
      <c r="AF534" s="63"/>
      <c r="AG534" s="63"/>
      <c r="AH534" s="63"/>
      <c r="AI534" s="314"/>
      <c r="AJ534" s="63"/>
    </row>
    <row r="535" spans="1:36" s="533" customFormat="1" ht="17.25" customHeight="1" thickBot="1">
      <c r="A535" s="533" t="s">
        <v>124</v>
      </c>
    </row>
    <row r="536" spans="1:36" ht="17.25" customHeight="1" thickTop="1">
      <c r="A536" s="212"/>
      <c r="B536" s="28"/>
      <c r="C536" s="28"/>
      <c r="D536" s="28"/>
      <c r="E536" s="28"/>
      <c r="F536" s="28"/>
      <c r="G536" s="28"/>
      <c r="H536" s="3"/>
      <c r="I536" s="3"/>
      <c r="J536" s="3"/>
      <c r="K536" s="3"/>
      <c r="L536" s="3"/>
      <c r="M536" s="3"/>
      <c r="N536" s="3"/>
      <c r="O536" s="3"/>
      <c r="P536" s="3"/>
      <c r="Q536" s="3"/>
      <c r="R536" s="3"/>
      <c r="S536" s="3"/>
      <c r="T536" s="3"/>
      <c r="U536" s="3"/>
      <c r="V536" s="3"/>
      <c r="W536" s="3"/>
      <c r="X536" s="3"/>
      <c r="Y536" s="3"/>
      <c r="Z536" s="3"/>
      <c r="AA536" s="3"/>
      <c r="AB536" s="14"/>
      <c r="AC536" s="14"/>
      <c r="AD536" s="3"/>
      <c r="AE536" s="3"/>
      <c r="AF536" s="3"/>
      <c r="AG536" s="3"/>
      <c r="AH536" s="3"/>
      <c r="AI536" s="314"/>
      <c r="AJ536" s="3"/>
    </row>
    <row r="537" spans="1:36" ht="17.25" customHeight="1">
      <c r="A537" s="307" t="s">
        <v>421</v>
      </c>
      <c r="B537" s="28"/>
      <c r="C537" s="28"/>
      <c r="D537" s="28"/>
      <c r="E537" s="28"/>
      <c r="F537" s="28"/>
      <c r="G537" s="28"/>
      <c r="H537" s="3"/>
      <c r="I537" s="3"/>
      <c r="J537" s="3"/>
      <c r="K537" s="3"/>
      <c r="L537" s="3"/>
      <c r="M537" s="3"/>
      <c r="N537" s="3"/>
      <c r="O537" s="3"/>
      <c r="P537" s="3"/>
      <c r="Q537" s="3"/>
      <c r="R537" s="3"/>
      <c r="S537" s="3"/>
      <c r="T537" s="3"/>
      <c r="U537" s="3"/>
      <c r="V537" s="3"/>
      <c r="W537" s="3"/>
      <c r="X537" s="3"/>
      <c r="Y537" s="3"/>
      <c r="Z537" s="3"/>
      <c r="AA537" s="3"/>
      <c r="AB537" s="14"/>
      <c r="AC537" s="14"/>
      <c r="AD537" s="3"/>
      <c r="AE537" s="3"/>
      <c r="AF537" s="3"/>
      <c r="AG537" s="3"/>
      <c r="AH537" s="3"/>
      <c r="AI537" s="314"/>
      <c r="AJ537" s="3"/>
    </row>
    <row r="538" spans="1:36" ht="17.25" customHeight="1">
      <c r="A538" s="27"/>
      <c r="B538" s="27"/>
      <c r="C538" s="27"/>
      <c r="D538" s="27"/>
      <c r="E538" s="27"/>
      <c r="F538" s="27"/>
      <c r="G538" s="27"/>
      <c r="H538" s="27"/>
      <c r="I538" s="27"/>
      <c r="J538" s="27"/>
      <c r="K538" s="27"/>
      <c r="L538" s="27"/>
      <c r="M538" s="27"/>
      <c r="N538" s="27"/>
      <c r="O538" s="27"/>
      <c r="P538" s="27"/>
      <c r="Q538" s="27"/>
      <c r="R538" s="27"/>
      <c r="S538" s="27"/>
      <c r="T538" s="27"/>
      <c r="U538" s="27"/>
      <c r="V538" s="27"/>
      <c r="W538" s="27"/>
      <c r="X538" s="27"/>
      <c r="Y538" s="27"/>
      <c r="Z538" s="27"/>
      <c r="AA538" s="27"/>
      <c r="AB538" s="14"/>
      <c r="AC538" s="14"/>
      <c r="AD538" s="27"/>
      <c r="AE538" s="27"/>
      <c r="AF538" s="27"/>
      <c r="AG538" s="27"/>
      <c r="AH538" s="27"/>
      <c r="AI538" s="314"/>
      <c r="AJ538" s="27"/>
    </row>
    <row r="539" spans="1:36" ht="17.25" customHeight="1">
      <c r="A539" s="27"/>
      <c r="B539" s="27"/>
      <c r="C539" s="27"/>
      <c r="D539" s="27"/>
      <c r="E539" s="27"/>
      <c r="F539" s="27"/>
      <c r="G539" s="27"/>
      <c r="H539" s="27"/>
      <c r="I539" s="27"/>
      <c r="J539" s="27"/>
      <c r="K539" s="27"/>
      <c r="L539" s="27"/>
      <c r="M539" s="27"/>
      <c r="N539" s="27"/>
      <c r="O539" s="27"/>
      <c r="P539" s="27"/>
      <c r="Q539" s="27"/>
      <c r="R539" s="27"/>
      <c r="S539" s="27"/>
      <c r="T539" s="27"/>
      <c r="U539" s="27"/>
      <c r="V539" s="27"/>
      <c r="W539" s="27"/>
      <c r="X539" s="27"/>
      <c r="Y539" s="27"/>
      <c r="Z539" s="27"/>
      <c r="AA539" s="27"/>
      <c r="AB539" s="14"/>
      <c r="AC539" s="14"/>
      <c r="AD539" s="27"/>
      <c r="AE539" s="27"/>
      <c r="AF539" s="27"/>
      <c r="AG539" s="27"/>
      <c r="AH539" s="27"/>
      <c r="AI539" s="314"/>
      <c r="AJ539" s="27"/>
    </row>
    <row r="540" spans="1:36" ht="17.25" customHeight="1">
      <c r="A540" s="27"/>
      <c r="B540" s="27"/>
      <c r="C540" s="27"/>
      <c r="D540" s="27"/>
      <c r="E540" s="27"/>
      <c r="F540" s="27"/>
      <c r="G540" s="27"/>
      <c r="H540" s="27"/>
      <c r="I540" s="27"/>
      <c r="J540" s="27"/>
      <c r="K540" s="27"/>
      <c r="L540" s="27"/>
      <c r="M540" s="27"/>
      <c r="N540" s="27"/>
      <c r="O540" s="27"/>
      <c r="P540" s="27"/>
      <c r="Q540" s="27"/>
      <c r="R540" s="27"/>
      <c r="S540" s="27"/>
      <c r="T540" s="27"/>
      <c r="U540" s="27"/>
      <c r="V540" s="27"/>
      <c r="W540" s="27"/>
      <c r="X540" s="27"/>
      <c r="Y540" s="27"/>
      <c r="Z540" s="27"/>
      <c r="AA540" s="27"/>
      <c r="AB540" s="14"/>
      <c r="AC540" s="14"/>
      <c r="AD540" s="27"/>
      <c r="AE540" s="27"/>
      <c r="AF540" s="27"/>
      <c r="AG540" s="27"/>
      <c r="AH540" s="27"/>
      <c r="AI540" s="314"/>
      <c r="AJ540" s="27"/>
    </row>
    <row r="541" spans="1:36" ht="17.25" customHeight="1">
      <c r="A541" s="27"/>
      <c r="B541" s="27"/>
      <c r="C541" s="27"/>
      <c r="D541" s="27"/>
      <c r="E541" s="27"/>
      <c r="F541" s="27"/>
      <c r="G541" s="27"/>
      <c r="H541" s="27"/>
      <c r="I541" s="27"/>
      <c r="J541" s="27"/>
      <c r="K541" s="27"/>
      <c r="L541" s="27"/>
      <c r="M541" s="27"/>
      <c r="N541" s="27"/>
      <c r="O541" s="27"/>
      <c r="P541" s="27"/>
      <c r="Q541" s="27"/>
      <c r="R541" s="27"/>
      <c r="S541" s="27"/>
      <c r="T541" s="27"/>
      <c r="U541" s="27"/>
      <c r="V541" s="27"/>
      <c r="W541" s="27"/>
      <c r="X541" s="27"/>
      <c r="Y541" s="27"/>
      <c r="Z541" s="27"/>
      <c r="AA541" s="27"/>
      <c r="AB541" s="14"/>
      <c r="AC541" s="14"/>
      <c r="AD541" s="27"/>
      <c r="AE541" s="27"/>
      <c r="AF541" s="27"/>
      <c r="AG541" s="27"/>
      <c r="AH541" s="27"/>
      <c r="AI541" s="314"/>
      <c r="AJ541" s="27"/>
    </row>
    <row r="542" spans="1:36" ht="17.25" customHeight="1">
      <c r="A542" s="27"/>
      <c r="B542" s="27"/>
      <c r="C542" s="27"/>
      <c r="D542" s="27"/>
      <c r="E542" s="27"/>
      <c r="F542" s="27"/>
      <c r="G542" s="27"/>
      <c r="H542" s="27"/>
      <c r="I542" s="27"/>
      <c r="J542" s="27"/>
      <c r="K542" s="27"/>
      <c r="L542" s="27"/>
      <c r="M542" s="27"/>
      <c r="N542" s="27"/>
      <c r="O542" s="27"/>
      <c r="P542" s="27"/>
      <c r="Q542" s="27"/>
      <c r="R542" s="27"/>
      <c r="S542" s="27"/>
      <c r="T542" s="27"/>
      <c r="U542" s="27"/>
      <c r="V542" s="27"/>
      <c r="W542" s="27"/>
      <c r="X542" s="27"/>
      <c r="Y542" s="27"/>
      <c r="Z542" s="27"/>
      <c r="AA542" s="27"/>
      <c r="AB542" s="14"/>
      <c r="AC542" s="14"/>
      <c r="AD542" s="27"/>
      <c r="AE542" s="27"/>
      <c r="AF542" s="27"/>
      <c r="AG542" s="27"/>
      <c r="AH542" s="27"/>
      <c r="AI542" s="314"/>
      <c r="AJ542" s="27"/>
    </row>
    <row r="543" spans="1:36" ht="17.25" customHeight="1">
      <c r="A543" s="27"/>
      <c r="B543" s="27"/>
      <c r="C543" s="27"/>
      <c r="D543" s="27"/>
      <c r="E543" s="27"/>
      <c r="F543" s="27"/>
      <c r="G543" s="27"/>
      <c r="H543" s="27"/>
      <c r="I543" s="27"/>
      <c r="J543" s="27"/>
      <c r="K543" s="27"/>
      <c r="L543" s="27"/>
      <c r="M543" s="27"/>
      <c r="N543" s="27"/>
      <c r="O543" s="27"/>
      <c r="P543" s="27"/>
      <c r="Q543" s="27"/>
      <c r="R543" s="27"/>
      <c r="S543" s="27"/>
      <c r="T543" s="27"/>
      <c r="U543" s="27"/>
      <c r="V543" s="27"/>
      <c r="W543" s="27"/>
      <c r="X543" s="27"/>
      <c r="Y543" s="27"/>
      <c r="Z543" s="27"/>
      <c r="AA543" s="27"/>
      <c r="AB543" s="14"/>
      <c r="AC543" s="14"/>
      <c r="AD543" s="27"/>
      <c r="AE543" s="27"/>
      <c r="AF543" s="27"/>
      <c r="AG543" s="27"/>
      <c r="AH543" s="27"/>
      <c r="AI543" s="314"/>
      <c r="AJ543" s="27"/>
    </row>
    <row r="544" spans="1:36" ht="17.25" customHeight="1">
      <c r="A544" s="27"/>
      <c r="B544" s="27"/>
      <c r="C544" s="27"/>
      <c r="D544" s="27"/>
      <c r="E544" s="27"/>
      <c r="F544" s="27"/>
      <c r="G544" s="27"/>
      <c r="H544" s="27"/>
      <c r="I544" s="27"/>
      <c r="J544" s="27"/>
      <c r="K544" s="27"/>
      <c r="L544" s="27"/>
      <c r="M544" s="27"/>
      <c r="N544" s="27"/>
      <c r="O544" s="27"/>
      <c r="P544" s="27"/>
      <c r="Q544" s="27"/>
      <c r="R544" s="27"/>
      <c r="S544" s="27"/>
      <c r="T544" s="27"/>
      <c r="U544" s="27"/>
      <c r="V544" s="27"/>
      <c r="W544" s="27"/>
      <c r="X544" s="27"/>
      <c r="Y544" s="27"/>
      <c r="Z544" s="27"/>
      <c r="AA544" s="27"/>
      <c r="AB544" s="14"/>
      <c r="AC544" s="14"/>
      <c r="AD544" s="27"/>
      <c r="AE544" s="27"/>
      <c r="AF544" s="27"/>
      <c r="AG544" s="27"/>
      <c r="AH544" s="27"/>
      <c r="AI544" s="314"/>
      <c r="AJ544" s="27"/>
    </row>
    <row r="545" spans="1:36" ht="17.25" customHeight="1">
      <c r="A545" s="27"/>
      <c r="B545" s="27"/>
      <c r="C545" s="27"/>
      <c r="D545" s="27"/>
      <c r="E545" s="27"/>
      <c r="F545" s="27"/>
      <c r="G545" s="27"/>
      <c r="H545" s="27"/>
      <c r="I545" s="27"/>
      <c r="J545" s="27"/>
      <c r="K545" s="27"/>
      <c r="L545" s="27"/>
      <c r="M545" s="27"/>
      <c r="N545" s="27"/>
      <c r="O545" s="27"/>
      <c r="P545" s="27"/>
      <c r="Q545" s="27"/>
      <c r="R545" s="27"/>
      <c r="S545" s="27"/>
      <c r="T545" s="27"/>
      <c r="U545" s="27"/>
      <c r="V545" s="27"/>
      <c r="W545" s="27"/>
      <c r="X545" s="27"/>
      <c r="Y545" s="27"/>
      <c r="Z545" s="27"/>
      <c r="AA545" s="27"/>
      <c r="AB545" s="14"/>
      <c r="AC545" s="14"/>
      <c r="AD545" s="27"/>
      <c r="AE545" s="27"/>
      <c r="AF545" s="27"/>
      <c r="AG545" s="27"/>
      <c r="AH545" s="27"/>
      <c r="AI545" s="314"/>
      <c r="AJ545" s="27"/>
    </row>
    <row r="546" spans="1:36" ht="17.25" customHeight="1">
      <c r="A546" s="27"/>
      <c r="B546" s="27"/>
      <c r="C546" s="27"/>
      <c r="D546" s="27"/>
      <c r="E546" s="27"/>
      <c r="F546" s="27"/>
      <c r="G546" s="27"/>
      <c r="H546" s="27"/>
      <c r="I546" s="27"/>
      <c r="J546" s="27"/>
      <c r="K546" s="27"/>
      <c r="L546" s="27"/>
      <c r="M546" s="27"/>
      <c r="N546" s="27"/>
      <c r="O546" s="27"/>
      <c r="P546" s="27"/>
      <c r="Q546" s="27"/>
      <c r="R546" s="27"/>
      <c r="S546" s="27"/>
      <c r="T546" s="27"/>
      <c r="U546" s="27"/>
      <c r="V546" s="27"/>
      <c r="W546" s="27"/>
      <c r="X546" s="27"/>
      <c r="Y546" s="27"/>
      <c r="Z546" s="27"/>
      <c r="AA546" s="27"/>
      <c r="AB546" s="14"/>
      <c r="AC546" s="14"/>
      <c r="AD546" s="27"/>
      <c r="AE546" s="27"/>
      <c r="AF546" s="27"/>
      <c r="AG546" s="27"/>
      <c r="AH546" s="27"/>
      <c r="AI546" s="314"/>
      <c r="AJ546" s="27"/>
    </row>
    <row r="547" spans="1:36" ht="17.25" customHeight="1">
      <c r="A547" s="27"/>
      <c r="B547" s="27"/>
      <c r="C547" s="27"/>
      <c r="D547" s="27"/>
      <c r="E547" s="27"/>
      <c r="F547" s="27"/>
      <c r="G547" s="27"/>
      <c r="H547" s="27"/>
      <c r="I547" s="27"/>
      <c r="J547" s="27"/>
      <c r="K547" s="27"/>
      <c r="L547" s="27"/>
      <c r="M547" s="27"/>
      <c r="N547" s="27"/>
      <c r="O547" s="27"/>
      <c r="P547" s="27"/>
      <c r="Q547" s="27"/>
      <c r="R547" s="27"/>
      <c r="S547" s="27"/>
      <c r="T547" s="27"/>
      <c r="U547" s="27"/>
      <c r="V547" s="27"/>
      <c r="W547" s="27"/>
      <c r="X547" s="27"/>
      <c r="Y547" s="27"/>
      <c r="Z547" s="27"/>
      <c r="AA547" s="27"/>
      <c r="AB547" s="14"/>
      <c r="AC547" s="14"/>
      <c r="AD547" s="27"/>
      <c r="AE547" s="27"/>
      <c r="AF547" s="27"/>
      <c r="AG547" s="27"/>
      <c r="AH547" s="27"/>
      <c r="AI547" s="314"/>
      <c r="AJ547" s="27"/>
    </row>
    <row r="548" spans="1:36" ht="17.25" customHeight="1">
      <c r="A548" s="27"/>
      <c r="B548" s="27"/>
      <c r="C548" s="27"/>
      <c r="D548" s="27"/>
      <c r="E548" s="27"/>
      <c r="F548" s="27"/>
      <c r="G548" s="27"/>
      <c r="H548" s="27"/>
      <c r="I548" s="27"/>
      <c r="J548" s="27"/>
      <c r="K548" s="27"/>
      <c r="L548" s="27"/>
      <c r="M548" s="27"/>
      <c r="N548" s="27"/>
      <c r="O548" s="27"/>
      <c r="P548" s="27"/>
      <c r="Q548" s="27"/>
      <c r="R548" s="27"/>
      <c r="S548" s="27"/>
      <c r="T548" s="27"/>
      <c r="U548" s="27"/>
      <c r="V548" s="27"/>
      <c r="W548" s="27"/>
      <c r="X548" s="27"/>
      <c r="Y548" s="27"/>
      <c r="Z548" s="27"/>
      <c r="AA548" s="27"/>
      <c r="AB548" s="14"/>
      <c r="AC548" s="14"/>
      <c r="AD548" s="27"/>
      <c r="AE548" s="27"/>
      <c r="AF548" s="27"/>
      <c r="AG548" s="27"/>
      <c r="AH548" s="27"/>
      <c r="AI548" s="314"/>
      <c r="AJ548" s="27"/>
    </row>
    <row r="549" spans="1:36" ht="17.25" customHeight="1">
      <c r="A549" s="27"/>
      <c r="B549" s="27"/>
      <c r="C549" s="27"/>
      <c r="D549" s="27"/>
      <c r="E549" s="27"/>
      <c r="F549" s="27"/>
      <c r="G549" s="27"/>
      <c r="H549" s="27"/>
      <c r="I549" s="27"/>
      <c r="J549" s="27"/>
      <c r="K549" s="27"/>
      <c r="L549" s="27"/>
      <c r="M549" s="27"/>
      <c r="N549" s="27"/>
      <c r="O549" s="27"/>
      <c r="P549" s="27"/>
      <c r="Q549" s="27"/>
      <c r="R549" s="27"/>
      <c r="S549" s="27"/>
      <c r="T549" s="27"/>
      <c r="U549" s="27"/>
      <c r="V549" s="27"/>
      <c r="W549" s="27"/>
      <c r="X549" s="27"/>
      <c r="Y549" s="27"/>
      <c r="Z549" s="27"/>
      <c r="AA549" s="27"/>
      <c r="AB549" s="14"/>
      <c r="AC549" s="14"/>
      <c r="AD549" s="27"/>
      <c r="AE549" s="27"/>
      <c r="AF549" s="27"/>
      <c r="AG549" s="27"/>
      <c r="AH549" s="27"/>
      <c r="AI549" s="314"/>
      <c r="AJ549" s="27"/>
    </row>
    <row r="550" spans="1:36" ht="17.25" customHeight="1">
      <c r="A550" s="27"/>
      <c r="B550" s="27"/>
      <c r="C550" s="27"/>
      <c r="D550" s="27"/>
      <c r="E550" s="27"/>
      <c r="F550" s="27"/>
      <c r="G550" s="27"/>
      <c r="H550" s="27"/>
      <c r="I550" s="27"/>
      <c r="J550" s="27"/>
      <c r="K550" s="27"/>
      <c r="L550" s="27"/>
      <c r="M550" s="27"/>
      <c r="N550" s="27"/>
      <c r="O550" s="27"/>
      <c r="P550" s="27"/>
      <c r="Q550" s="27"/>
      <c r="R550" s="27"/>
      <c r="S550" s="27"/>
      <c r="T550" s="27"/>
      <c r="U550" s="27"/>
      <c r="V550" s="27"/>
      <c r="W550" s="27"/>
      <c r="X550" s="27"/>
      <c r="Y550" s="27"/>
      <c r="Z550" s="27"/>
      <c r="AA550" s="27"/>
      <c r="AB550" s="14"/>
      <c r="AC550" s="14"/>
      <c r="AD550" s="27"/>
      <c r="AE550" s="27"/>
      <c r="AF550" s="27"/>
      <c r="AG550" s="27"/>
      <c r="AH550" s="27"/>
      <c r="AI550" s="314"/>
      <c r="AJ550" s="27"/>
    </row>
    <row r="551" spans="1:36" ht="17.25" customHeight="1">
      <c r="A551" s="27"/>
      <c r="B551" s="27"/>
      <c r="C551" s="27"/>
      <c r="D551" s="27"/>
      <c r="E551" s="27"/>
      <c r="F551" s="27"/>
      <c r="G551" s="27"/>
      <c r="H551" s="27"/>
      <c r="I551" s="27"/>
      <c r="J551" s="27"/>
      <c r="K551" s="27"/>
      <c r="L551" s="27"/>
      <c r="M551" s="27"/>
      <c r="N551" s="27"/>
      <c r="O551" s="27"/>
      <c r="P551" s="27"/>
      <c r="Q551" s="27"/>
      <c r="R551" s="27"/>
      <c r="S551" s="27"/>
      <c r="T551" s="27"/>
      <c r="U551" s="27"/>
      <c r="V551" s="27"/>
      <c r="W551" s="27"/>
      <c r="X551" s="27"/>
      <c r="Y551" s="27"/>
      <c r="Z551" s="27"/>
      <c r="AA551" s="27"/>
      <c r="AB551" s="14"/>
      <c r="AC551" s="14"/>
      <c r="AD551" s="27"/>
      <c r="AE551" s="27"/>
      <c r="AF551" s="27"/>
      <c r="AG551" s="27"/>
      <c r="AH551" s="27"/>
      <c r="AI551" s="314"/>
      <c r="AJ551" s="27"/>
    </row>
    <row r="552" spans="1:36" ht="17.25" customHeight="1">
      <c r="A552" s="27"/>
      <c r="B552" s="27"/>
      <c r="C552" s="27"/>
      <c r="D552" s="27"/>
      <c r="E552" s="27"/>
      <c r="F552" s="27"/>
      <c r="G552" s="27"/>
      <c r="H552" s="27"/>
      <c r="I552" s="27"/>
      <c r="J552" s="27"/>
      <c r="K552" s="27"/>
      <c r="L552" s="27"/>
      <c r="M552" s="27"/>
      <c r="N552" s="27"/>
      <c r="O552" s="27"/>
      <c r="P552" s="27"/>
      <c r="Q552" s="27"/>
      <c r="R552" s="27"/>
      <c r="S552" s="27"/>
      <c r="T552" s="27"/>
      <c r="U552" s="27"/>
      <c r="V552" s="27"/>
      <c r="W552" s="27"/>
      <c r="X552" s="27"/>
      <c r="Y552" s="27"/>
      <c r="Z552" s="27"/>
      <c r="AA552" s="27"/>
      <c r="AB552" s="14"/>
      <c r="AC552" s="14"/>
      <c r="AD552" s="27"/>
      <c r="AE552" s="27"/>
      <c r="AF552" s="27"/>
      <c r="AG552" s="27"/>
      <c r="AH552" s="27"/>
      <c r="AI552" s="314"/>
      <c r="AJ552" s="27"/>
    </row>
    <row r="553" spans="1:36" ht="17.25" customHeight="1">
      <c r="A553" s="27"/>
      <c r="B553" s="27"/>
      <c r="C553" s="27"/>
      <c r="D553" s="27"/>
      <c r="E553" s="27"/>
      <c r="F553" s="27"/>
      <c r="G553" s="27"/>
      <c r="H553" s="27"/>
      <c r="I553" s="27"/>
      <c r="J553" s="27"/>
      <c r="K553" s="27"/>
      <c r="L553" s="27"/>
      <c r="M553" s="27"/>
      <c r="N553" s="27"/>
      <c r="O553" s="27"/>
      <c r="P553" s="27"/>
      <c r="Q553" s="27"/>
      <c r="R553" s="27"/>
      <c r="S553" s="27"/>
      <c r="T553" s="27"/>
      <c r="U553" s="27"/>
      <c r="V553" s="27"/>
      <c r="W553" s="27"/>
      <c r="X553" s="27"/>
      <c r="Y553" s="27"/>
      <c r="Z553" s="27"/>
      <c r="AA553" s="27"/>
      <c r="AB553" s="14"/>
      <c r="AC553" s="14"/>
      <c r="AD553" s="27"/>
      <c r="AE553" s="27"/>
      <c r="AF553" s="27"/>
      <c r="AG553" s="27"/>
      <c r="AH553" s="27"/>
      <c r="AI553" s="314"/>
      <c r="AJ553" s="27"/>
    </row>
    <row r="554" spans="1:36" ht="17.25" customHeight="1">
      <c r="A554" s="27"/>
      <c r="B554" s="27"/>
      <c r="C554" s="27"/>
      <c r="D554" s="27"/>
      <c r="E554" s="27"/>
      <c r="F554" s="27"/>
      <c r="G554" s="27"/>
      <c r="H554" s="27"/>
      <c r="I554" s="27"/>
      <c r="J554" s="27"/>
      <c r="K554" s="27"/>
      <c r="L554" s="27"/>
      <c r="M554" s="27"/>
      <c r="N554" s="27"/>
      <c r="O554" s="27"/>
      <c r="P554" s="27"/>
      <c r="Q554" s="27"/>
      <c r="R554" s="27"/>
      <c r="S554" s="27"/>
      <c r="T554" s="27"/>
      <c r="U554" s="27"/>
      <c r="V554" s="27"/>
      <c r="W554" s="27"/>
      <c r="X554" s="27"/>
      <c r="Y554" s="27"/>
      <c r="Z554" s="27"/>
      <c r="AA554" s="27"/>
      <c r="AB554" s="14"/>
      <c r="AC554" s="14"/>
      <c r="AD554" s="27"/>
      <c r="AE554" s="27"/>
      <c r="AF554" s="27"/>
      <c r="AG554" s="27"/>
      <c r="AH554" s="27"/>
      <c r="AI554" s="314"/>
      <c r="AJ554" s="27"/>
    </row>
    <row r="555" spans="1:36" ht="17.25" customHeight="1">
      <c r="A555" s="27"/>
      <c r="B555" s="27"/>
      <c r="C555" s="27"/>
      <c r="D555" s="27"/>
      <c r="E555" s="27"/>
      <c r="F555" s="27"/>
      <c r="G555" s="27"/>
      <c r="H555" s="27"/>
      <c r="I555" s="27"/>
      <c r="J555" s="27"/>
      <c r="K555" s="27"/>
      <c r="L555" s="27"/>
      <c r="M555" s="27"/>
      <c r="N555" s="27"/>
      <c r="O555" s="27"/>
      <c r="P555" s="27"/>
      <c r="Q555" s="27"/>
      <c r="R555" s="27"/>
      <c r="S555" s="27"/>
      <c r="T555" s="27"/>
      <c r="U555" s="27"/>
      <c r="V555" s="27"/>
      <c r="W555" s="27"/>
      <c r="X555" s="27"/>
      <c r="Y555" s="27"/>
      <c r="Z555" s="27"/>
      <c r="AA555" s="27"/>
      <c r="AB555" s="14"/>
      <c r="AC555" s="14"/>
      <c r="AD555" s="27"/>
      <c r="AE555" s="27"/>
      <c r="AF555" s="27"/>
      <c r="AG555" s="27"/>
      <c r="AH555" s="27"/>
      <c r="AI555" s="314"/>
      <c r="AJ555" s="27"/>
    </row>
    <row r="556" spans="1:36" ht="17.25" customHeight="1">
      <c r="A556" s="27"/>
      <c r="B556" s="27"/>
      <c r="C556" s="27"/>
      <c r="D556" s="27"/>
      <c r="E556" s="27"/>
      <c r="F556" s="27"/>
      <c r="G556" s="27"/>
      <c r="H556" s="27"/>
      <c r="I556" s="27"/>
      <c r="J556" s="27"/>
      <c r="K556" s="27"/>
      <c r="L556" s="27"/>
      <c r="M556" s="27"/>
      <c r="N556" s="27"/>
      <c r="O556" s="27"/>
      <c r="P556" s="27"/>
      <c r="Q556" s="27"/>
      <c r="R556" s="27"/>
      <c r="S556" s="27"/>
      <c r="T556" s="27"/>
      <c r="U556" s="27"/>
      <c r="V556" s="27"/>
      <c r="W556" s="27"/>
      <c r="X556" s="27"/>
      <c r="Y556" s="27"/>
      <c r="Z556" s="27"/>
      <c r="AA556" s="27"/>
      <c r="AB556" s="14"/>
      <c r="AC556" s="14"/>
      <c r="AD556" s="27"/>
      <c r="AE556" s="27"/>
      <c r="AF556" s="27"/>
      <c r="AG556" s="27"/>
      <c r="AH556" s="27"/>
      <c r="AI556" s="314"/>
      <c r="AJ556" s="27"/>
    </row>
    <row r="557" spans="1:36" ht="17.25" customHeight="1">
      <c r="A557" s="27"/>
      <c r="B557" s="27"/>
      <c r="C557" s="27"/>
      <c r="D557" s="27"/>
      <c r="E557" s="27"/>
      <c r="F557" s="27"/>
      <c r="G557" s="27"/>
      <c r="H557" s="27"/>
      <c r="I557" s="27"/>
      <c r="J557" s="27"/>
      <c r="K557" s="27"/>
      <c r="L557" s="27"/>
      <c r="M557" s="27"/>
      <c r="N557" s="27"/>
      <c r="O557" s="27"/>
      <c r="P557" s="27"/>
      <c r="Q557" s="27"/>
      <c r="R557" s="27"/>
      <c r="S557" s="27"/>
      <c r="T557" s="27"/>
      <c r="U557" s="27"/>
      <c r="V557" s="27"/>
      <c r="W557" s="27"/>
      <c r="X557" s="27"/>
      <c r="Y557" s="27"/>
      <c r="Z557" s="27"/>
      <c r="AA557" s="27"/>
      <c r="AB557" s="14"/>
      <c r="AC557" s="14"/>
      <c r="AD557" s="27"/>
      <c r="AE557" s="27"/>
      <c r="AF557" s="27"/>
      <c r="AG557" s="27"/>
      <c r="AH557" s="27"/>
      <c r="AI557" s="314"/>
      <c r="AJ557" s="27"/>
    </row>
    <row r="558" spans="1:36" ht="17.25" customHeight="1">
      <c r="A558" s="48" t="s">
        <v>52</v>
      </c>
      <c r="B558" s="48"/>
      <c r="C558" s="48"/>
      <c r="D558" s="48"/>
      <c r="E558" s="48"/>
      <c r="F558" s="48"/>
      <c r="G558" s="48"/>
      <c r="H558" s="27"/>
      <c r="I558" s="27"/>
      <c r="J558" s="27"/>
      <c r="K558" s="27"/>
      <c r="L558" s="27"/>
      <c r="M558" s="27"/>
      <c r="N558" s="27"/>
      <c r="O558" s="27"/>
      <c r="P558" s="27"/>
      <c r="Q558" s="27"/>
      <c r="R558" s="27"/>
      <c r="S558" s="27"/>
      <c r="T558" s="27"/>
      <c r="U558" s="27"/>
      <c r="V558" s="27"/>
      <c r="W558" s="27"/>
      <c r="X558" s="27"/>
      <c r="Y558" s="27"/>
      <c r="Z558" s="27"/>
      <c r="AA558" s="27"/>
      <c r="AB558" s="14"/>
      <c r="AC558" s="14"/>
      <c r="AD558" s="27"/>
      <c r="AE558" s="27"/>
      <c r="AF558" s="27"/>
      <c r="AG558" s="27"/>
      <c r="AH558" s="27"/>
      <c r="AI558" s="314"/>
      <c r="AJ558" s="27"/>
    </row>
    <row r="559" spans="1:36" ht="17.25" customHeight="1">
      <c r="A559" s="48" t="s">
        <v>53</v>
      </c>
      <c r="B559" s="48"/>
      <c r="C559" s="48"/>
      <c r="D559" s="48"/>
      <c r="E559" s="48"/>
      <c r="F559" s="48"/>
      <c r="G559" s="48"/>
      <c r="H559" s="27"/>
      <c r="I559" s="27"/>
      <c r="J559" s="27"/>
      <c r="K559" s="27"/>
      <c r="L559" s="27"/>
      <c r="M559" s="27"/>
      <c r="N559" s="27"/>
      <c r="O559" s="27"/>
      <c r="P559" s="27"/>
      <c r="Q559" s="27"/>
      <c r="R559" s="27"/>
      <c r="S559" s="27"/>
      <c r="T559" s="27"/>
      <c r="U559" s="27"/>
      <c r="V559" s="27"/>
      <c r="W559" s="27"/>
      <c r="X559" s="27"/>
      <c r="Y559" s="27"/>
      <c r="Z559" s="27"/>
      <c r="AA559" s="27"/>
      <c r="AB559" s="14"/>
      <c r="AC559" s="14"/>
      <c r="AD559" s="27"/>
      <c r="AE559" s="27"/>
      <c r="AF559" s="27"/>
      <c r="AG559" s="27"/>
      <c r="AH559" s="27"/>
      <c r="AI559" s="314"/>
      <c r="AJ559" s="27"/>
    </row>
    <row r="560" spans="1:36" ht="17.25" customHeight="1">
      <c r="A560" s="70"/>
      <c r="B560" s="70"/>
      <c r="C560" s="70"/>
      <c r="D560" s="70"/>
      <c r="E560" s="70"/>
      <c r="F560" s="70"/>
      <c r="G560" s="70"/>
      <c r="H560" s="70"/>
      <c r="I560" s="70"/>
      <c r="J560" s="27"/>
      <c r="K560" s="27"/>
      <c r="L560" s="27"/>
      <c r="M560" s="27"/>
      <c r="N560" s="27"/>
      <c r="O560" s="27"/>
      <c r="P560" s="27"/>
      <c r="Q560" s="27"/>
      <c r="R560" s="27"/>
      <c r="S560" s="27"/>
      <c r="T560" s="27"/>
      <c r="U560" s="27"/>
      <c r="V560" s="27"/>
      <c r="W560" s="27"/>
      <c r="X560" s="27"/>
      <c r="Y560" s="27"/>
      <c r="Z560" s="27"/>
      <c r="AA560" s="27"/>
      <c r="AB560" s="14"/>
      <c r="AC560" s="14"/>
      <c r="AD560" s="27"/>
      <c r="AE560" s="27"/>
      <c r="AF560" s="27"/>
      <c r="AG560" s="27"/>
      <c r="AH560" s="27"/>
      <c r="AI560" s="314"/>
      <c r="AJ560" s="27"/>
    </row>
    <row r="561" spans="1:36" ht="17.25" customHeight="1">
      <c r="A561" s="66" t="s">
        <v>169</v>
      </c>
      <c r="B561" s="66"/>
      <c r="C561" s="66" t="s">
        <v>55</v>
      </c>
      <c r="D561" s="66"/>
      <c r="E561" s="70"/>
      <c r="F561" s="70"/>
      <c r="G561" s="70"/>
      <c r="H561" s="70"/>
      <c r="I561" s="70"/>
      <c r="J561" s="27"/>
      <c r="K561" s="27"/>
      <c r="L561" s="27"/>
      <c r="M561" s="27"/>
      <c r="N561" s="27"/>
      <c r="O561" s="27"/>
      <c r="P561" s="27"/>
      <c r="Q561" s="27"/>
      <c r="R561" s="27"/>
      <c r="S561" s="27"/>
      <c r="T561" s="27"/>
      <c r="U561" s="27"/>
      <c r="V561" s="27"/>
      <c r="W561" s="27"/>
      <c r="X561" s="27"/>
      <c r="Y561" s="27"/>
      <c r="Z561" s="27"/>
      <c r="AA561" s="27"/>
      <c r="AB561" s="14"/>
      <c r="AC561" s="14"/>
      <c r="AD561" s="27"/>
      <c r="AE561" s="27"/>
      <c r="AF561" s="27"/>
      <c r="AG561" s="27"/>
      <c r="AH561" s="27"/>
      <c r="AI561" s="314"/>
      <c r="AJ561" s="27"/>
    </row>
    <row r="562" spans="1:36" ht="17.25" customHeight="1">
      <c r="A562" s="66" t="s">
        <v>170</v>
      </c>
      <c r="B562" s="66" t="s">
        <v>12</v>
      </c>
      <c r="C562" s="66" t="s">
        <v>9</v>
      </c>
      <c r="D562" s="66" t="s">
        <v>323</v>
      </c>
      <c r="E562" s="66" t="s">
        <v>46</v>
      </c>
      <c r="F562" s="66" t="s">
        <v>45</v>
      </c>
      <c r="G562" s="66" t="s">
        <v>144</v>
      </c>
      <c r="H562" s="70"/>
      <c r="I562" s="70"/>
      <c r="J562" s="27"/>
      <c r="K562" s="27"/>
      <c r="L562" s="27"/>
      <c r="M562" s="27"/>
      <c r="N562" s="27"/>
      <c r="O562" s="27"/>
      <c r="P562" s="27"/>
      <c r="Q562" s="27"/>
      <c r="R562" s="27"/>
      <c r="S562" s="27"/>
      <c r="T562" s="27"/>
      <c r="U562" s="27"/>
      <c r="V562" s="27"/>
      <c r="W562" s="27"/>
      <c r="X562" s="27"/>
      <c r="Y562" s="27"/>
      <c r="Z562" s="27"/>
      <c r="AA562" s="27"/>
      <c r="AB562" s="14"/>
      <c r="AC562" s="14"/>
      <c r="AD562" s="27"/>
      <c r="AE562" s="27"/>
      <c r="AF562" s="27"/>
      <c r="AG562" s="27"/>
      <c r="AH562" s="27"/>
      <c r="AI562" s="314"/>
      <c r="AJ562" s="27"/>
    </row>
    <row r="563" spans="1:36" ht="17.25" customHeight="1">
      <c r="A563" s="343">
        <v>30000</v>
      </c>
      <c r="B563" s="343">
        <f>A563/1000</f>
        <v>30</v>
      </c>
      <c r="C563" s="343">
        <v>2894</v>
      </c>
      <c r="D563" s="343">
        <f>C563/1000</f>
        <v>2.8940000000000001</v>
      </c>
      <c r="E563" s="343">
        <f>SLOPE(C563:C564,B563:B564)</f>
        <v>119.2</v>
      </c>
      <c r="F563" s="343">
        <f>INTERCEPT(C563:C564,B563:B564)</f>
        <v>-682</v>
      </c>
      <c r="G563" s="343">
        <f>CORREL(C563:C564,B563:B564)</f>
        <v>1</v>
      </c>
      <c r="H563" s="70"/>
      <c r="I563" s="70"/>
      <c r="J563" s="27"/>
      <c r="K563" s="27"/>
      <c r="L563" s="27"/>
      <c r="M563" s="27"/>
      <c r="N563" s="27"/>
      <c r="O563" s="27"/>
      <c r="P563" s="27"/>
      <c r="Q563" s="27"/>
      <c r="R563" s="27"/>
      <c r="S563" s="27"/>
      <c r="T563" s="27"/>
      <c r="U563" s="27"/>
      <c r="V563" s="27"/>
      <c r="W563" s="27"/>
      <c r="X563" s="27"/>
      <c r="Y563" s="27"/>
      <c r="Z563" s="27"/>
      <c r="AA563" s="27"/>
      <c r="AB563" s="14"/>
      <c r="AC563" s="14"/>
      <c r="AD563" s="27"/>
      <c r="AE563" s="27"/>
      <c r="AF563" s="27"/>
      <c r="AG563" s="27"/>
      <c r="AH563" s="27"/>
      <c r="AI563" s="314"/>
      <c r="AJ563" s="27"/>
    </row>
    <row r="564" spans="1:36" ht="17.25" customHeight="1">
      <c r="A564" s="343">
        <v>22500</v>
      </c>
      <c r="B564" s="343">
        <f>A564/1000</f>
        <v>22.5</v>
      </c>
      <c r="C564" s="343">
        <v>2000</v>
      </c>
      <c r="D564" s="343">
        <f>C564/1000</f>
        <v>2</v>
      </c>
      <c r="E564" s="343"/>
      <c r="F564" s="343"/>
      <c r="G564" s="343"/>
      <c r="H564" s="70"/>
      <c r="I564" s="70"/>
      <c r="J564" s="27"/>
      <c r="K564" s="27"/>
      <c r="L564" s="27"/>
      <c r="M564" s="27"/>
      <c r="N564" s="27"/>
      <c r="O564" s="27"/>
      <c r="P564" s="27"/>
      <c r="Q564" s="27"/>
      <c r="R564" s="27"/>
      <c r="S564" s="27"/>
      <c r="T564" s="27"/>
      <c r="U564" s="27"/>
      <c r="V564" s="27"/>
      <c r="W564" s="27"/>
      <c r="X564" s="27"/>
      <c r="Y564" s="27"/>
      <c r="Z564" s="27"/>
      <c r="AA564" s="27"/>
      <c r="AB564" s="14"/>
      <c r="AC564" s="14"/>
      <c r="AD564" s="27"/>
      <c r="AE564" s="27"/>
      <c r="AF564" s="27"/>
      <c r="AG564" s="27"/>
      <c r="AH564" s="27"/>
      <c r="AI564" s="314"/>
      <c r="AJ564" s="27"/>
    </row>
    <row r="565" spans="1:36" ht="17.25" customHeight="1">
      <c r="A565" s="343">
        <v>18750</v>
      </c>
      <c r="B565" s="343">
        <f>A565/1000</f>
        <v>18.75</v>
      </c>
      <c r="C565" s="343">
        <v>1550</v>
      </c>
      <c r="D565" s="343">
        <f>C565/1000</f>
        <v>1.55</v>
      </c>
      <c r="E565" s="335"/>
      <c r="F565" s="335"/>
      <c r="G565" s="335"/>
      <c r="H565" s="70"/>
      <c r="I565" s="70"/>
      <c r="J565" s="27"/>
      <c r="K565" s="27"/>
      <c r="L565" s="27"/>
      <c r="M565" s="27"/>
      <c r="N565" s="27"/>
      <c r="O565" s="27"/>
      <c r="P565" s="27"/>
      <c r="Q565" s="27"/>
      <c r="R565" s="27"/>
      <c r="S565" s="27"/>
      <c r="T565" s="27"/>
      <c r="U565" s="27"/>
      <c r="V565" s="27"/>
      <c r="W565" s="27"/>
      <c r="X565" s="27"/>
      <c r="Y565" s="27"/>
      <c r="Z565" s="27"/>
      <c r="AA565" s="27"/>
      <c r="AB565" s="14"/>
      <c r="AC565" s="14"/>
      <c r="AD565" s="27"/>
      <c r="AE565" s="27"/>
      <c r="AF565" s="27"/>
      <c r="AG565" s="27"/>
      <c r="AH565" s="27"/>
      <c r="AI565" s="314"/>
      <c r="AJ565" s="27"/>
    </row>
    <row r="566" spans="1:36" ht="17.25" customHeight="1">
      <c r="A566" s="343">
        <v>17500</v>
      </c>
      <c r="B566" s="343">
        <f>A566/1000</f>
        <v>17.5</v>
      </c>
      <c r="C566" s="343">
        <f>C565</f>
        <v>1550</v>
      </c>
      <c r="D566" s="343">
        <f>C566/1000</f>
        <v>1.55</v>
      </c>
      <c r="E566" s="335"/>
      <c r="F566" s="335"/>
      <c r="G566" s="335"/>
      <c r="H566" s="70"/>
      <c r="I566" s="70"/>
      <c r="J566" s="27"/>
      <c r="K566" s="27"/>
      <c r="L566" s="27"/>
      <c r="M566" s="27"/>
      <c r="N566" s="27"/>
      <c r="O566" s="27"/>
      <c r="P566" s="27"/>
      <c r="Q566" s="27"/>
      <c r="R566" s="27"/>
      <c r="S566" s="27"/>
      <c r="T566" s="27"/>
      <c r="U566" s="27"/>
      <c r="V566" s="27"/>
      <c r="W566" s="27"/>
      <c r="X566" s="27"/>
      <c r="Y566" s="27"/>
      <c r="Z566" s="27"/>
      <c r="AA566" s="27"/>
      <c r="AB566" s="14"/>
      <c r="AC566" s="14"/>
      <c r="AD566" s="27"/>
      <c r="AE566" s="27"/>
      <c r="AF566" s="27"/>
      <c r="AG566" s="27"/>
      <c r="AH566" s="27"/>
      <c r="AI566" s="314"/>
      <c r="AJ566" s="27"/>
    </row>
    <row r="567" spans="1:36" ht="17.25" customHeight="1">
      <c r="A567" s="343">
        <v>4750</v>
      </c>
      <c r="B567" s="343">
        <f>A567/1000</f>
        <v>4.75</v>
      </c>
      <c r="C567" s="343">
        <v>0</v>
      </c>
      <c r="D567" s="343">
        <f>C567/1000</f>
        <v>0</v>
      </c>
      <c r="E567" s="335"/>
      <c r="F567" s="335"/>
      <c r="G567" s="335"/>
      <c r="H567" s="70"/>
      <c r="I567" s="70"/>
      <c r="J567" s="27"/>
      <c r="K567" s="27"/>
      <c r="L567" s="27"/>
      <c r="M567" s="27"/>
      <c r="N567" s="27"/>
      <c r="O567" s="27"/>
      <c r="P567" s="27"/>
      <c r="Q567" s="27"/>
      <c r="R567" s="27"/>
      <c r="S567" s="27"/>
      <c r="T567" s="27"/>
      <c r="U567" s="27"/>
      <c r="V567" s="27"/>
      <c r="W567" s="27"/>
      <c r="X567" s="27"/>
      <c r="Y567" s="27"/>
      <c r="Z567" s="27"/>
      <c r="AA567" s="27"/>
      <c r="AB567" s="14"/>
      <c r="AC567" s="14"/>
      <c r="AD567" s="27"/>
      <c r="AE567" s="27"/>
      <c r="AF567" s="27"/>
      <c r="AG567" s="27"/>
      <c r="AH567" s="27"/>
      <c r="AI567" s="314"/>
      <c r="AJ567" s="27"/>
    </row>
    <row r="568" spans="1:36" ht="17.25" customHeight="1">
      <c r="A568" s="217"/>
      <c r="B568" s="217"/>
      <c r="C568" s="66"/>
      <c r="D568" s="66"/>
      <c r="E568" s="70"/>
      <c r="F568" s="70"/>
      <c r="G568" s="70"/>
      <c r="H568" s="70"/>
      <c r="I568" s="70"/>
      <c r="J568" s="27"/>
      <c r="K568" s="27"/>
      <c r="L568" s="27"/>
      <c r="M568" s="27"/>
      <c r="N568" s="27"/>
      <c r="O568" s="27"/>
      <c r="P568" s="27"/>
      <c r="Q568" s="27"/>
      <c r="R568" s="27"/>
      <c r="S568" s="27"/>
      <c r="T568" s="27"/>
      <c r="U568" s="27"/>
      <c r="V568" s="27"/>
      <c r="W568" s="27"/>
      <c r="X568" s="27"/>
      <c r="Y568" s="27"/>
      <c r="Z568" s="27"/>
      <c r="AA568" s="27"/>
      <c r="AB568" s="14"/>
      <c r="AC568" s="14"/>
      <c r="AD568" s="27"/>
      <c r="AE568" s="27"/>
      <c r="AF568" s="27"/>
      <c r="AG568" s="27"/>
      <c r="AH568" s="27"/>
      <c r="AI568" s="314"/>
      <c r="AJ568" s="27"/>
    </row>
    <row r="569" spans="1:36" ht="17.25" customHeight="1">
      <c r="A569" s="51" t="s">
        <v>177</v>
      </c>
      <c r="B569" s="27"/>
      <c r="C569" s="27"/>
      <c r="D569" s="27"/>
      <c r="E569" s="27"/>
      <c r="F569" s="27"/>
      <c r="G569" s="27"/>
      <c r="H569" s="27"/>
      <c r="I569" s="27"/>
      <c r="J569" s="27"/>
      <c r="K569" s="27"/>
      <c r="L569" s="27"/>
      <c r="M569" s="27"/>
      <c r="N569" s="27"/>
      <c r="O569" s="27"/>
      <c r="P569" s="27"/>
      <c r="Q569" s="27"/>
      <c r="R569" s="27"/>
      <c r="S569" s="27"/>
      <c r="T569" s="27"/>
      <c r="U569" s="27"/>
      <c r="V569" s="27"/>
      <c r="W569" s="27"/>
      <c r="X569" s="27"/>
      <c r="Y569" s="27"/>
      <c r="Z569" s="27"/>
      <c r="AA569" s="27"/>
      <c r="AB569" s="14"/>
      <c r="AC569" s="14"/>
      <c r="AD569" s="27"/>
      <c r="AE569" s="27"/>
      <c r="AF569" s="27"/>
      <c r="AG569" s="27"/>
      <c r="AH569" s="27"/>
      <c r="AI569" s="314"/>
      <c r="AJ569" s="27"/>
    </row>
    <row r="570" spans="1:36" ht="17.25" customHeight="1">
      <c r="A570" s="51" t="s">
        <v>178</v>
      </c>
      <c r="B570" s="27"/>
      <c r="C570" s="27"/>
      <c r="D570" s="27"/>
      <c r="E570" s="27"/>
      <c r="F570" s="27"/>
      <c r="G570" s="27"/>
      <c r="H570" s="27"/>
      <c r="I570" s="27"/>
      <c r="J570" s="27"/>
      <c r="K570" s="27"/>
      <c r="L570" s="27"/>
      <c r="M570" s="27"/>
      <c r="N570" s="27"/>
      <c r="O570" s="27"/>
      <c r="P570" s="27"/>
      <c r="Q570" s="27"/>
      <c r="R570" s="27"/>
      <c r="S570" s="27"/>
      <c r="T570" s="27"/>
      <c r="U570" s="27"/>
      <c r="V570" s="27"/>
      <c r="W570" s="27"/>
      <c r="X570" s="27"/>
      <c r="Y570" s="27"/>
      <c r="Z570" s="27"/>
      <c r="AA570" s="27"/>
      <c r="AB570" s="14"/>
      <c r="AC570" s="14"/>
      <c r="AD570" s="27"/>
      <c r="AE570" s="27"/>
      <c r="AF570" s="27"/>
      <c r="AG570" s="27"/>
      <c r="AH570" s="27"/>
      <c r="AI570" s="314"/>
      <c r="AJ570" s="27"/>
    </row>
    <row r="571" spans="1:36" ht="17.25" customHeight="1">
      <c r="A571" s="314" t="s">
        <v>178</v>
      </c>
      <c r="B571" s="314"/>
      <c r="C571" s="314"/>
      <c r="D571" s="314"/>
      <c r="E571" s="314"/>
      <c r="F571" s="314"/>
      <c r="G571" s="314"/>
      <c r="H571" s="314"/>
      <c r="I571" s="314"/>
      <c r="J571" s="314"/>
      <c r="K571" s="314"/>
      <c r="L571" s="314"/>
      <c r="M571" s="314"/>
      <c r="N571" s="314"/>
      <c r="O571" s="314"/>
      <c r="P571" s="314"/>
      <c r="Q571" s="314"/>
      <c r="R571" s="314"/>
      <c r="S571" s="314"/>
      <c r="T571" s="314"/>
      <c r="U571" s="314"/>
      <c r="V571" s="314"/>
      <c r="W571" s="314"/>
      <c r="X571" s="314"/>
      <c r="Y571" s="314"/>
      <c r="Z571" s="314"/>
      <c r="AA571" s="314"/>
      <c r="AB571" s="317"/>
      <c r="AC571" s="317"/>
      <c r="AD571" s="314"/>
      <c r="AE571" s="314"/>
      <c r="AF571" s="314"/>
      <c r="AG571" s="314"/>
      <c r="AH571" s="314"/>
      <c r="AI571" s="314"/>
      <c r="AJ571" s="314"/>
    </row>
    <row r="572" spans="1:36" ht="17.25" customHeight="1">
      <c r="A572" s="314"/>
      <c r="B572" s="314"/>
      <c r="C572" s="314"/>
      <c r="D572" s="314"/>
      <c r="E572" s="314"/>
      <c r="F572" s="314"/>
      <c r="G572" s="314"/>
      <c r="H572" s="314"/>
      <c r="I572" s="314"/>
      <c r="J572" s="314"/>
      <c r="K572" s="314"/>
      <c r="L572" s="314"/>
      <c r="M572" s="314"/>
      <c r="N572" s="314"/>
      <c r="O572" s="314"/>
      <c r="P572" s="314"/>
      <c r="Q572" s="314"/>
      <c r="R572" s="314"/>
      <c r="S572" s="314"/>
      <c r="T572" s="314"/>
      <c r="U572" s="314"/>
      <c r="V572" s="314"/>
      <c r="W572" s="314"/>
      <c r="X572" s="314"/>
      <c r="Y572" s="314"/>
      <c r="Z572" s="314"/>
      <c r="AA572" s="314"/>
      <c r="AB572" s="317"/>
      <c r="AC572" s="317"/>
      <c r="AD572" s="314"/>
      <c r="AE572" s="314"/>
      <c r="AF572" s="314"/>
      <c r="AG572" s="314"/>
      <c r="AH572" s="314"/>
      <c r="AI572" s="314"/>
      <c r="AJ572" s="314"/>
    </row>
    <row r="573" spans="1:36" s="533" customFormat="1" ht="17.25" customHeight="1" thickBot="1">
      <c r="A573" s="533" t="s">
        <v>685</v>
      </c>
    </row>
    <row r="574" spans="1:36" ht="17.25" customHeight="1" thickTop="1">
      <c r="A574" s="314"/>
      <c r="B574" s="314"/>
      <c r="C574" s="314"/>
      <c r="D574" s="314"/>
      <c r="E574" s="314"/>
      <c r="F574" s="314"/>
      <c r="G574" s="314"/>
      <c r="H574" s="314"/>
      <c r="I574" s="314"/>
      <c r="J574" s="314"/>
      <c r="K574" s="314"/>
      <c r="L574" s="314"/>
      <c r="M574" s="314"/>
      <c r="N574" s="314"/>
      <c r="O574" s="314"/>
      <c r="P574" s="314"/>
      <c r="Q574" s="314"/>
      <c r="R574" s="314"/>
      <c r="AI574" s="222"/>
    </row>
    <row r="575" spans="1:36" ht="17.25" customHeight="1">
      <c r="A575" s="314" t="s">
        <v>653</v>
      </c>
      <c r="B575" s="314"/>
      <c r="C575" s="314"/>
      <c r="D575" s="314"/>
      <c r="E575" s="314"/>
      <c r="F575" s="314"/>
      <c r="G575" s="314"/>
      <c r="H575" s="314"/>
      <c r="I575" s="314"/>
      <c r="J575" s="314"/>
      <c r="K575" s="314"/>
      <c r="L575" s="314"/>
      <c r="M575" s="314"/>
      <c r="N575" s="314"/>
      <c r="O575" s="314"/>
      <c r="P575" s="314"/>
      <c r="Q575" s="314"/>
      <c r="R575" s="314"/>
      <c r="AI575" s="222"/>
    </row>
    <row r="576" spans="1:36" ht="17.25" customHeight="1">
      <c r="A576" s="314"/>
      <c r="B576" s="314"/>
      <c r="C576" s="314"/>
      <c r="D576" s="314"/>
      <c r="E576" s="314"/>
      <c r="F576" s="314"/>
      <c r="G576" s="314"/>
      <c r="H576" s="314"/>
      <c r="I576" s="314"/>
      <c r="J576" s="314"/>
      <c r="K576" s="314"/>
      <c r="L576" s="314"/>
      <c r="M576" s="314"/>
      <c r="N576" s="314"/>
      <c r="O576" s="314"/>
      <c r="P576" s="314"/>
      <c r="Q576" s="314"/>
      <c r="R576" s="314"/>
      <c r="S576" s="222"/>
      <c r="T576" s="222"/>
      <c r="U576" s="222"/>
      <c r="V576" s="222"/>
      <c r="W576" s="222"/>
      <c r="X576" s="222"/>
      <c r="Y576" s="222"/>
      <c r="Z576" s="222"/>
      <c r="AA576" s="222"/>
      <c r="AB576" s="222"/>
      <c r="AC576" s="222"/>
      <c r="AD576" s="222"/>
      <c r="AE576" s="222"/>
      <c r="AF576" s="222"/>
      <c r="AG576" s="222"/>
      <c r="AH576" s="222"/>
      <c r="AI576" s="222"/>
      <c r="AJ576" s="222"/>
    </row>
    <row r="577" spans="1:36" ht="17.25" customHeight="1">
      <c r="A577" s="314" t="s">
        <v>654</v>
      </c>
      <c r="B577" s="314"/>
      <c r="C577" s="314"/>
      <c r="D577" s="314"/>
      <c r="E577" s="314"/>
      <c r="F577" s="314"/>
      <c r="G577" s="314"/>
      <c r="H577" s="314"/>
      <c r="I577" s="314"/>
      <c r="J577" s="314"/>
      <c r="K577" s="314"/>
      <c r="L577" s="314"/>
      <c r="M577" s="314"/>
      <c r="N577" s="314"/>
      <c r="O577" s="314"/>
      <c r="P577" s="314"/>
      <c r="Q577" s="314"/>
      <c r="R577" s="314"/>
      <c r="S577" s="222"/>
      <c r="T577" s="222"/>
      <c r="U577" s="222"/>
      <c r="V577" s="222"/>
      <c r="W577" s="222"/>
      <c r="X577" s="222"/>
      <c r="Y577" s="222"/>
      <c r="Z577" s="222"/>
      <c r="AA577" s="222"/>
      <c r="AB577" s="222"/>
      <c r="AC577" s="222"/>
      <c r="AD577" s="222"/>
      <c r="AE577" s="222"/>
      <c r="AF577" s="222"/>
      <c r="AG577" s="222"/>
      <c r="AH577" s="222"/>
      <c r="AI577" s="222"/>
      <c r="AJ577" s="222"/>
    </row>
    <row r="578" spans="1:36" ht="17.25" customHeight="1">
      <c r="A578" s="314" t="s">
        <v>655</v>
      </c>
      <c r="B578" s="314" t="s">
        <v>658</v>
      </c>
      <c r="C578" s="321">
        <v>58.6</v>
      </c>
      <c r="D578" s="314"/>
      <c r="E578" s="314"/>
      <c r="F578" s="314"/>
      <c r="G578" s="314"/>
      <c r="H578" s="314"/>
      <c r="I578" s="314"/>
      <c r="J578" s="314"/>
      <c r="K578" s="314"/>
      <c r="L578" s="314"/>
      <c r="M578" s="314"/>
      <c r="N578" s="314"/>
      <c r="O578" s="314"/>
      <c r="P578" s="314"/>
      <c r="Q578" s="314"/>
      <c r="R578" s="314"/>
      <c r="S578" s="222"/>
      <c r="T578" s="222"/>
      <c r="U578" s="222"/>
      <c r="V578" s="222"/>
      <c r="W578" s="222"/>
      <c r="X578" s="222"/>
      <c r="Y578" s="222"/>
      <c r="Z578" s="222"/>
      <c r="AA578" s="222"/>
      <c r="AB578" s="222"/>
      <c r="AC578" s="222"/>
      <c r="AD578" s="222"/>
      <c r="AE578" s="222"/>
      <c r="AF578" s="222"/>
      <c r="AG578" s="222"/>
      <c r="AH578" s="222"/>
      <c r="AI578" s="222"/>
      <c r="AJ578" s="222"/>
    </row>
    <row r="579" spans="1:36" ht="17.25" customHeight="1">
      <c r="A579" s="314" t="str">
        <f>A578</f>
        <v>Inlet pressure</v>
      </c>
      <c r="B579" s="314" t="s">
        <v>537</v>
      </c>
      <c r="C579" s="321">
        <f>C578+patm</f>
        <v>59.613250000000001</v>
      </c>
      <c r="D579" s="314"/>
      <c r="E579" s="314"/>
      <c r="F579" s="314"/>
      <c r="G579" s="314"/>
      <c r="H579" s="314"/>
      <c r="I579" s="314"/>
      <c r="J579" s="314"/>
      <c r="K579" s="314"/>
      <c r="L579" s="314"/>
      <c r="M579" s="314"/>
      <c r="N579" s="314"/>
      <c r="O579" s="314"/>
      <c r="P579" s="314"/>
      <c r="Q579" s="314"/>
      <c r="R579" s="314"/>
      <c r="S579" s="222"/>
      <c r="T579" s="222"/>
      <c r="U579" s="222"/>
      <c r="V579" s="222"/>
      <c r="W579" s="222"/>
      <c r="X579" s="222"/>
      <c r="Y579" s="222"/>
      <c r="Z579" s="222"/>
      <c r="AA579" s="222"/>
      <c r="AB579" s="222"/>
      <c r="AC579" s="222"/>
      <c r="AD579" s="222"/>
      <c r="AE579" s="222"/>
      <c r="AF579" s="222"/>
      <c r="AG579" s="222"/>
      <c r="AH579" s="222"/>
      <c r="AI579" s="222"/>
      <c r="AJ579" s="222"/>
    </row>
    <row r="580" spans="1:36" ht="17.25" customHeight="1">
      <c r="A580" s="314" t="s">
        <v>656</v>
      </c>
      <c r="B580" s="314" t="s">
        <v>18</v>
      </c>
      <c r="C580" s="324">
        <v>460</v>
      </c>
      <c r="D580" s="314"/>
      <c r="E580" s="314"/>
      <c r="F580" s="314"/>
      <c r="G580" s="314"/>
      <c r="H580" s="314"/>
      <c r="I580" s="314"/>
      <c r="J580" s="314"/>
      <c r="K580" s="314"/>
      <c r="L580" s="314"/>
      <c r="M580" s="314"/>
      <c r="N580" s="314"/>
      <c r="O580" s="314"/>
      <c r="P580" s="314"/>
      <c r="Q580" s="314"/>
      <c r="R580" s="314"/>
      <c r="S580" s="222"/>
      <c r="T580" s="222"/>
      <c r="U580" s="222"/>
      <c r="V580" s="222"/>
      <c r="W580" s="222"/>
      <c r="X580" s="222"/>
      <c r="Y580" s="222"/>
      <c r="Z580" s="222"/>
      <c r="AA580" s="222"/>
      <c r="AB580" s="222"/>
      <c r="AC580" s="222"/>
      <c r="AD580" s="222"/>
      <c r="AE580" s="222"/>
      <c r="AF580" s="222"/>
      <c r="AG580" s="222"/>
      <c r="AH580" s="222"/>
      <c r="AI580" s="222"/>
      <c r="AJ580" s="222"/>
    </row>
    <row r="581" spans="1:36" ht="17.25" customHeight="1">
      <c r="A581" s="314" t="s">
        <v>657</v>
      </c>
      <c r="B581" s="314" t="s">
        <v>658</v>
      </c>
      <c r="C581" s="321">
        <v>1.86</v>
      </c>
      <c r="D581" s="314"/>
      <c r="E581" s="314"/>
      <c r="F581" s="314"/>
      <c r="G581" s="314"/>
      <c r="H581" s="314"/>
      <c r="I581" s="314"/>
      <c r="J581" s="314"/>
      <c r="K581" s="314"/>
      <c r="L581" s="314"/>
      <c r="M581" s="314"/>
      <c r="N581" s="314"/>
      <c r="O581" s="314"/>
      <c r="P581" s="314"/>
      <c r="Q581" s="314"/>
      <c r="R581" s="314"/>
      <c r="S581" s="222"/>
      <c r="T581" s="222"/>
      <c r="U581" s="222"/>
      <c r="V581" s="222"/>
      <c r="W581" s="222"/>
      <c r="X581" s="222"/>
      <c r="Y581" s="222"/>
      <c r="Z581" s="222"/>
      <c r="AA581" s="222"/>
      <c r="AB581" s="222"/>
      <c r="AC581" s="222"/>
      <c r="AD581" s="222"/>
      <c r="AE581" s="222"/>
      <c r="AF581" s="222"/>
      <c r="AG581" s="222"/>
      <c r="AH581" s="222"/>
      <c r="AI581" s="222"/>
      <c r="AJ581" s="222"/>
    </row>
    <row r="582" spans="1:36" ht="17.25" customHeight="1">
      <c r="A582" s="314" t="str">
        <f>A581</f>
        <v>Outlet pressure</v>
      </c>
      <c r="B582" s="314" t="s">
        <v>537</v>
      </c>
      <c r="C582" s="321">
        <f>C581+patm</f>
        <v>2.8732500000000001</v>
      </c>
      <c r="D582" s="314"/>
      <c r="E582" s="314"/>
      <c r="F582" s="314"/>
      <c r="G582" s="314"/>
      <c r="H582" s="314"/>
      <c r="I582" s="314"/>
      <c r="J582" s="314"/>
      <c r="K582" s="314"/>
      <c r="L582" s="314"/>
      <c r="M582" s="314"/>
      <c r="N582" s="314"/>
      <c r="O582" s="314"/>
      <c r="P582" s="314"/>
      <c r="Q582" s="314"/>
      <c r="R582" s="314"/>
      <c r="S582" s="222"/>
      <c r="T582" s="222"/>
      <c r="U582" s="222"/>
      <c r="V582" s="222"/>
      <c r="W582" s="222"/>
      <c r="X582" s="222"/>
      <c r="Y582" s="222"/>
      <c r="Z582" s="222"/>
      <c r="AA582" s="222"/>
      <c r="AB582" s="222"/>
      <c r="AC582" s="222"/>
      <c r="AD582" s="222"/>
      <c r="AE582" s="222"/>
      <c r="AF582" s="222"/>
      <c r="AG582" s="222"/>
      <c r="AH582" s="222"/>
      <c r="AI582" s="222"/>
      <c r="AJ582" s="222"/>
    </row>
    <row r="583" spans="1:36" ht="17.25" customHeight="1">
      <c r="D583" s="314"/>
      <c r="E583" s="314"/>
      <c r="F583" s="314"/>
      <c r="G583" s="314"/>
      <c r="H583" s="314"/>
      <c r="I583" s="314"/>
      <c r="J583" s="314"/>
      <c r="K583" s="314"/>
      <c r="L583" s="314"/>
      <c r="M583" s="314"/>
      <c r="N583" s="314"/>
      <c r="O583" s="314"/>
      <c r="P583" s="314"/>
      <c r="Q583" s="314"/>
      <c r="R583" s="314"/>
      <c r="AI583" s="222"/>
    </row>
    <row r="584" spans="1:36" ht="17.25" customHeight="1">
      <c r="A584" s="314" t="s">
        <v>659</v>
      </c>
      <c r="B584" s="314" t="s">
        <v>3</v>
      </c>
      <c r="C584" s="349">
        <v>0.95</v>
      </c>
      <c r="D584" s="314"/>
      <c r="E584" s="314"/>
      <c r="F584" s="314"/>
      <c r="G584" s="314"/>
      <c r="H584" s="314"/>
      <c r="I584" s="314"/>
      <c r="J584" s="314"/>
      <c r="K584" s="314"/>
      <c r="L584" s="314"/>
      <c r="M584" s="314"/>
      <c r="N584" s="314"/>
      <c r="O584" s="314"/>
      <c r="P584" s="314"/>
      <c r="Q584" s="314"/>
      <c r="R584" s="314"/>
      <c r="AI584" s="222"/>
    </row>
    <row r="585" spans="1:36" ht="17.25" customHeight="1">
      <c r="A585" s="314"/>
      <c r="B585" s="314"/>
      <c r="C585" s="314"/>
      <c r="D585" s="314"/>
      <c r="E585" s="314"/>
      <c r="F585" s="314"/>
      <c r="G585" s="314"/>
      <c r="H585" s="314"/>
      <c r="I585" s="314"/>
      <c r="J585" s="314"/>
      <c r="K585" s="314"/>
      <c r="L585" s="314"/>
      <c r="M585" s="314"/>
      <c r="N585" s="314"/>
      <c r="O585" s="314"/>
      <c r="P585" s="314"/>
      <c r="Q585" s="314"/>
      <c r="R585" s="314"/>
      <c r="AI585" s="222"/>
    </row>
    <row r="586" spans="1:36" ht="17.25" customHeight="1">
      <c r="A586" s="226"/>
      <c r="B586" s="226"/>
      <c r="C586" s="319" t="s">
        <v>631</v>
      </c>
      <c r="D586" s="319" t="s">
        <v>632</v>
      </c>
      <c r="E586" s="314"/>
      <c r="F586" s="314"/>
      <c r="G586" s="314"/>
      <c r="H586" s="314"/>
      <c r="I586" s="314"/>
      <c r="J586" s="314"/>
      <c r="K586" s="314"/>
      <c r="L586" s="314"/>
      <c r="M586" s="314"/>
      <c r="N586" s="314"/>
      <c r="O586" s="314"/>
      <c r="P586" s="314"/>
      <c r="Q586" s="314"/>
      <c r="R586" s="314"/>
      <c r="AI586" s="222"/>
    </row>
    <row r="587" spans="1:36" ht="17.25" customHeight="1">
      <c r="A587" s="238"/>
      <c r="B587" s="238"/>
      <c r="C587" s="74"/>
      <c r="D587" s="74"/>
      <c r="E587" s="314"/>
      <c r="F587" s="314"/>
      <c r="G587" s="314"/>
      <c r="H587" s="314"/>
      <c r="I587" s="314"/>
      <c r="J587" s="314"/>
      <c r="K587" s="314"/>
      <c r="L587" s="314"/>
      <c r="M587" s="314"/>
      <c r="N587" s="314"/>
      <c r="O587" s="314"/>
      <c r="P587" s="314"/>
      <c r="Q587" s="314"/>
      <c r="R587" s="314"/>
      <c r="AI587" s="222"/>
    </row>
    <row r="588" spans="1:36" ht="17.25" customHeight="1">
      <c r="A588" s="238" t="s">
        <v>54</v>
      </c>
      <c r="B588" s="238" t="s">
        <v>12</v>
      </c>
      <c r="C588" s="343">
        <f>B463</f>
        <v>12.75</v>
      </c>
      <c r="D588" s="343">
        <f>B464</f>
        <v>52</v>
      </c>
      <c r="E588" s="314"/>
      <c r="F588" s="314"/>
      <c r="G588" s="314"/>
      <c r="H588" s="314"/>
      <c r="I588" s="314"/>
      <c r="J588" s="314"/>
      <c r="K588" s="314"/>
      <c r="L588" s="314"/>
      <c r="M588" s="314"/>
      <c r="N588" s="314"/>
      <c r="O588" s="314"/>
      <c r="P588" s="314"/>
      <c r="Q588" s="314"/>
      <c r="R588" s="314"/>
      <c r="AI588" s="222"/>
    </row>
    <row r="589" spans="1:36" ht="17.25" customHeight="1">
      <c r="A589" s="238" t="s">
        <v>633</v>
      </c>
      <c r="B589" s="238" t="s">
        <v>23</v>
      </c>
      <c r="C589" s="343">
        <f>C463</f>
        <v>1</v>
      </c>
      <c r="D589" s="343">
        <f>C464</f>
        <v>8.1999999999999993</v>
      </c>
      <c r="E589" s="314"/>
      <c r="F589" s="314"/>
      <c r="G589" s="314"/>
      <c r="H589" s="314"/>
      <c r="I589" s="314"/>
      <c r="J589" s="314"/>
      <c r="K589" s="314"/>
      <c r="L589" s="314"/>
      <c r="M589" s="314"/>
      <c r="N589" s="314"/>
      <c r="O589" s="314"/>
      <c r="P589" s="314"/>
      <c r="Q589" s="314"/>
      <c r="R589" s="314"/>
      <c r="AI589" s="222"/>
    </row>
    <row r="590" spans="1:36" ht="17.25" customHeight="1">
      <c r="A590" s="238" t="str">
        <f>A589</f>
        <v>Generator output</v>
      </c>
      <c r="B590" s="238" t="s">
        <v>9</v>
      </c>
      <c r="C590" s="343">
        <f>C589*1000</f>
        <v>1000</v>
      </c>
      <c r="D590" s="343">
        <f>D589*1000</f>
        <v>8200</v>
      </c>
      <c r="E590" s="314"/>
      <c r="F590" s="314"/>
      <c r="G590" s="314"/>
      <c r="H590" s="314"/>
      <c r="I590" s="314"/>
      <c r="J590" s="314"/>
      <c r="K590" s="314"/>
      <c r="L590" s="314"/>
      <c r="M590" s="314"/>
      <c r="N590" s="314"/>
      <c r="O590" s="314"/>
      <c r="P590" s="314"/>
      <c r="Q590" s="314"/>
      <c r="R590" s="314"/>
      <c r="AI590" s="222"/>
    </row>
    <row r="591" spans="1:36" ht="17.25" customHeight="1">
      <c r="A591" s="238" t="s">
        <v>634</v>
      </c>
      <c r="B591" s="226" t="s">
        <v>9</v>
      </c>
      <c r="C591" s="74">
        <f>C590/C584</f>
        <v>1052.6315789473686</v>
      </c>
      <c r="D591" s="74">
        <f>D590/C584</f>
        <v>8631.5789473684217</v>
      </c>
      <c r="E591" s="314"/>
      <c r="F591" s="314"/>
      <c r="G591" s="314"/>
      <c r="H591" s="314"/>
      <c r="I591" s="314"/>
      <c r="J591" s="314"/>
      <c r="K591" s="314"/>
      <c r="L591" s="314"/>
      <c r="M591" s="314"/>
      <c r="N591" s="314"/>
      <c r="O591" s="314"/>
      <c r="P591" s="314"/>
      <c r="Q591" s="314"/>
      <c r="R591" s="314"/>
      <c r="AI591" s="222"/>
    </row>
    <row r="592" spans="1:36" ht="17.25" customHeight="1">
      <c r="A592" s="226"/>
      <c r="B592" s="226"/>
      <c r="C592" s="314"/>
      <c r="D592" s="314"/>
      <c r="E592" s="314"/>
      <c r="F592" s="314"/>
      <c r="G592" s="314"/>
      <c r="H592" s="314"/>
      <c r="I592" s="314"/>
      <c r="J592" s="314"/>
      <c r="K592" s="314"/>
      <c r="L592" s="314"/>
      <c r="M592" s="314"/>
      <c r="N592" s="314"/>
      <c r="O592" s="314"/>
      <c r="P592" s="314"/>
      <c r="Q592" s="314"/>
      <c r="R592" s="314"/>
      <c r="AI592" s="222"/>
    </row>
    <row r="593" spans="1:35" ht="17.25" customHeight="1">
      <c r="A593" s="314" t="s">
        <v>660</v>
      </c>
      <c r="B593" s="314"/>
      <c r="C593" s="314"/>
      <c r="D593" s="314"/>
      <c r="E593" s="314"/>
      <c r="F593" s="314"/>
      <c r="G593" s="314"/>
      <c r="H593" s="314"/>
      <c r="I593" s="314"/>
      <c r="J593" s="314"/>
      <c r="K593" s="314"/>
      <c r="L593" s="314"/>
      <c r="M593" s="314"/>
      <c r="N593" s="314"/>
      <c r="O593" s="314"/>
      <c r="P593" s="314"/>
      <c r="Q593" s="314"/>
      <c r="R593" s="314"/>
      <c r="AI593" s="222"/>
    </row>
    <row r="594" spans="1:35" ht="17.25" customHeight="1">
      <c r="A594" s="314" t="s">
        <v>635</v>
      </c>
      <c r="B594" s="314" t="s">
        <v>273</v>
      </c>
      <c r="C594" s="321">
        <f>D588</f>
        <v>52</v>
      </c>
      <c r="D594" s="314"/>
      <c r="E594" s="314"/>
      <c r="F594" s="314"/>
      <c r="G594" s="314"/>
      <c r="H594" s="314"/>
      <c r="I594" s="314"/>
      <c r="J594" s="314"/>
      <c r="K594" s="314"/>
      <c r="L594" s="314"/>
      <c r="M594" s="314"/>
      <c r="N594" s="314"/>
      <c r="O594" s="314"/>
      <c r="P594" s="314"/>
      <c r="Q594" s="314"/>
      <c r="R594" s="314"/>
      <c r="AI594" s="222"/>
    </row>
    <row r="595" spans="1:35" ht="17.25" customHeight="1">
      <c r="A595" s="314" t="s">
        <v>636</v>
      </c>
      <c r="B595" s="314" t="s">
        <v>19</v>
      </c>
      <c r="C595" s="324" t="e">
        <f ca="1">_xll.StmPTH(C579,C580,1)</f>
        <v>#NAME?</v>
      </c>
      <c r="D595" s="314"/>
      <c r="E595" s="314" t="s">
        <v>637</v>
      </c>
      <c r="F595" s="314"/>
      <c r="G595" s="314"/>
      <c r="H595" s="314"/>
      <c r="I595" s="314"/>
      <c r="J595" s="314"/>
      <c r="K595" s="314"/>
      <c r="L595" s="314"/>
      <c r="M595" s="314"/>
      <c r="N595" s="314"/>
      <c r="O595" s="314"/>
      <c r="P595" s="314"/>
      <c r="Q595" s="314"/>
      <c r="R595" s="314"/>
      <c r="AI595" s="222"/>
    </row>
    <row r="596" spans="1:35" ht="17.25" customHeight="1">
      <c r="A596" s="314" t="s">
        <v>638</v>
      </c>
      <c r="B596" s="314" t="s">
        <v>27</v>
      </c>
      <c r="C596" s="321" t="e">
        <f ca="1">_xll.StmPTS(C579,C580,1)</f>
        <v>#NAME?</v>
      </c>
      <c r="D596" s="314"/>
      <c r="E596" s="314"/>
      <c r="F596" s="314"/>
      <c r="G596" s="314"/>
      <c r="H596" s="314"/>
      <c r="I596" s="314"/>
      <c r="J596" s="314"/>
      <c r="K596" s="314"/>
      <c r="L596" s="314"/>
      <c r="M596" s="314"/>
      <c r="N596" s="314"/>
      <c r="O596" s="314"/>
      <c r="P596" s="314"/>
      <c r="Q596" s="314"/>
      <c r="R596" s="314"/>
      <c r="AI596" s="222"/>
    </row>
    <row r="597" spans="1:35" ht="17.25" customHeight="1">
      <c r="A597" s="314" t="s">
        <v>639</v>
      </c>
      <c r="B597" s="314" t="s">
        <v>19</v>
      </c>
      <c r="C597" s="324" t="e">
        <f ca="1">_xll.StmPSH(C582,C596,1)</f>
        <v>#NAME?</v>
      </c>
      <c r="D597" s="314"/>
      <c r="E597" s="314" t="s">
        <v>640</v>
      </c>
      <c r="F597" s="314"/>
      <c r="G597" s="314"/>
      <c r="H597" s="314"/>
      <c r="I597" s="314"/>
      <c r="J597" s="314"/>
      <c r="K597" s="314"/>
      <c r="L597" s="314"/>
      <c r="M597" s="314"/>
      <c r="N597" s="314"/>
      <c r="O597" s="314"/>
      <c r="P597" s="314"/>
      <c r="Q597" s="314"/>
      <c r="R597" s="314"/>
      <c r="AI597" s="222"/>
    </row>
    <row r="598" spans="1:35" ht="17.25" customHeight="1">
      <c r="A598" s="314" t="s">
        <v>641</v>
      </c>
      <c r="B598" s="314" t="s">
        <v>19</v>
      </c>
      <c r="C598" s="324" t="e">
        <f ca="1">C595-C597</f>
        <v>#NAME?</v>
      </c>
      <c r="D598" s="314"/>
      <c r="E598" s="314"/>
      <c r="F598" s="314"/>
      <c r="G598" s="314"/>
      <c r="H598" s="314"/>
      <c r="I598" s="314"/>
      <c r="J598" s="314"/>
      <c r="K598" s="314"/>
      <c r="L598" s="314"/>
      <c r="M598" s="314"/>
      <c r="N598" s="314"/>
      <c r="O598" s="314"/>
      <c r="P598" s="314"/>
      <c r="Q598" s="314"/>
      <c r="R598" s="314"/>
      <c r="AI598" s="222"/>
    </row>
    <row r="599" spans="1:35" ht="17.25" customHeight="1">
      <c r="A599" s="314"/>
      <c r="B599" s="314"/>
      <c r="C599" s="324"/>
      <c r="D599" s="314"/>
      <c r="E599" s="314"/>
      <c r="F599" s="314"/>
      <c r="G599" s="314"/>
      <c r="H599" s="314"/>
      <c r="I599" s="314"/>
      <c r="J599" s="314"/>
      <c r="K599" s="314"/>
      <c r="L599" s="314"/>
      <c r="M599" s="314"/>
      <c r="N599" s="314"/>
      <c r="O599" s="314"/>
      <c r="P599" s="314"/>
      <c r="Q599" s="314"/>
      <c r="R599" s="314"/>
      <c r="AI599" s="222"/>
    </row>
    <row r="600" spans="1:35" ht="17.25" customHeight="1">
      <c r="A600" s="314" t="s">
        <v>642</v>
      </c>
      <c r="B600" s="314"/>
      <c r="C600" s="314"/>
      <c r="D600" s="314"/>
      <c r="E600" s="314"/>
      <c r="F600" s="314"/>
      <c r="G600" s="314"/>
      <c r="H600" s="314"/>
      <c r="I600" s="314"/>
      <c r="J600" s="314"/>
      <c r="K600" s="314"/>
      <c r="L600" s="314"/>
      <c r="M600" s="314"/>
      <c r="N600" s="314"/>
      <c r="O600" s="314"/>
      <c r="P600" s="314"/>
      <c r="Q600" s="314"/>
      <c r="R600" s="314"/>
      <c r="AI600" s="222"/>
    </row>
    <row r="601" spans="1:35" ht="17.25" customHeight="1">
      <c r="A601" s="314" t="s">
        <v>643</v>
      </c>
      <c r="B601" s="314"/>
      <c r="C601" s="324">
        <f>-INTERCEPT(C591:D591,C588:D588)</f>
        <v>1409.3194770365408</v>
      </c>
      <c r="D601" s="314"/>
      <c r="E601" s="314"/>
      <c r="F601" s="314"/>
      <c r="G601" s="314"/>
      <c r="H601" s="314"/>
      <c r="I601" s="314"/>
      <c r="J601" s="314"/>
      <c r="K601" s="314"/>
      <c r="L601" s="314"/>
      <c r="M601" s="314"/>
      <c r="N601" s="314"/>
      <c r="O601" s="314"/>
      <c r="P601" s="314"/>
      <c r="Q601" s="314"/>
      <c r="R601" s="314"/>
      <c r="AI601" s="222"/>
    </row>
    <row r="602" spans="1:35" ht="17.25" customHeight="1">
      <c r="A602" s="314" t="s">
        <v>644</v>
      </c>
      <c r="B602" s="314"/>
      <c r="C602" s="324">
        <f>SLOPE(C591:D591,C588:D588)</f>
        <v>193.09420046932621</v>
      </c>
      <c r="D602" s="314"/>
      <c r="E602" s="314"/>
      <c r="F602" s="314"/>
      <c r="G602" s="314"/>
      <c r="H602" s="314"/>
      <c r="I602" s="314"/>
      <c r="J602" s="314"/>
      <c r="K602" s="314"/>
      <c r="L602" s="314"/>
      <c r="M602" s="314"/>
      <c r="N602" s="314"/>
      <c r="O602" s="314"/>
      <c r="P602" s="314"/>
      <c r="Q602" s="314"/>
      <c r="R602" s="314"/>
      <c r="AI602" s="222"/>
    </row>
    <row r="603" spans="1:35" ht="17.25" customHeight="1">
      <c r="A603" s="314"/>
      <c r="B603" s="314"/>
      <c r="C603" s="314"/>
      <c r="D603" s="314"/>
      <c r="E603" s="314"/>
      <c r="F603" s="314"/>
      <c r="G603" s="314"/>
      <c r="H603" s="314"/>
      <c r="I603" s="314"/>
      <c r="J603" s="314"/>
      <c r="K603" s="314"/>
      <c r="L603" s="314"/>
      <c r="M603" s="314"/>
      <c r="N603" s="314"/>
      <c r="O603" s="314"/>
      <c r="P603" s="314"/>
      <c r="Q603" s="314"/>
      <c r="R603" s="314"/>
      <c r="AI603" s="222"/>
    </row>
    <row r="604" spans="1:35" ht="17.25" customHeight="1">
      <c r="A604" s="314" t="s">
        <v>645</v>
      </c>
      <c r="B604" s="314"/>
      <c r="C604" s="314"/>
      <c r="D604" s="314"/>
      <c r="E604" s="314"/>
      <c r="F604" s="314"/>
      <c r="G604" s="314"/>
      <c r="H604" s="314"/>
      <c r="I604" s="314"/>
      <c r="J604" s="314"/>
      <c r="K604" s="314"/>
      <c r="L604" s="314"/>
      <c r="M604" s="314"/>
      <c r="N604" s="314"/>
      <c r="O604" s="314"/>
      <c r="P604" s="314"/>
      <c r="Q604" s="314"/>
      <c r="R604" s="314"/>
      <c r="AI604" s="222"/>
    </row>
    <row r="605" spans="1:35" ht="17.25" customHeight="1">
      <c r="A605" s="314" t="s">
        <v>646</v>
      </c>
      <c r="B605" s="314"/>
      <c r="C605" s="321" t="e">
        <f ca="1">-C598/(C601/C594-C602)</f>
        <v>#NAME?</v>
      </c>
      <c r="D605" s="314"/>
      <c r="E605" s="314"/>
      <c r="F605" s="314"/>
      <c r="G605" s="314"/>
      <c r="H605" s="314"/>
      <c r="I605" s="314"/>
      <c r="J605" s="314"/>
      <c r="K605" s="314"/>
      <c r="L605" s="314"/>
      <c r="M605" s="314"/>
      <c r="N605" s="314"/>
      <c r="O605" s="314"/>
      <c r="P605" s="314"/>
      <c r="Q605" s="314"/>
      <c r="R605" s="314"/>
      <c r="AI605" s="222"/>
    </row>
    <row r="606" spans="1:35" ht="17.25" customHeight="1">
      <c r="A606" s="314" t="s">
        <v>647</v>
      </c>
      <c r="B606" s="314"/>
      <c r="C606" s="321" t="e">
        <f ca="1">C601*C605/(C594*C598)</f>
        <v>#NAME?</v>
      </c>
      <c r="D606" s="314"/>
      <c r="E606" s="314"/>
      <c r="F606" s="321"/>
      <c r="G606" s="314"/>
      <c r="H606" s="314"/>
      <c r="I606" s="314"/>
      <c r="J606" s="314"/>
      <c r="K606" s="314"/>
      <c r="L606" s="314"/>
      <c r="M606" s="314"/>
      <c r="N606" s="314"/>
      <c r="O606" s="314"/>
      <c r="P606" s="314"/>
      <c r="Q606" s="314"/>
      <c r="R606" s="314"/>
      <c r="AI606" s="222"/>
    </row>
    <row r="607" spans="1:35" ht="17.25" customHeight="1">
      <c r="A607" s="314"/>
      <c r="B607" s="314"/>
      <c r="C607" s="314"/>
      <c r="D607" s="314"/>
      <c r="E607" s="314"/>
      <c r="F607" s="314"/>
      <c r="G607" s="314"/>
      <c r="H607" s="314"/>
      <c r="I607" s="314"/>
      <c r="J607" s="314"/>
      <c r="K607" s="314"/>
      <c r="L607" s="314"/>
      <c r="M607" s="314"/>
      <c r="N607" s="314"/>
      <c r="O607" s="314"/>
      <c r="P607" s="314"/>
      <c r="Q607" s="314"/>
      <c r="R607" s="314"/>
      <c r="AI607" s="222"/>
    </row>
    <row r="608" spans="1:35" ht="17.25" customHeight="1">
      <c r="A608" s="314" t="s">
        <v>648</v>
      </c>
      <c r="B608" s="314"/>
      <c r="C608" s="314"/>
      <c r="D608" s="314"/>
      <c r="E608" s="314"/>
      <c r="F608" s="314"/>
      <c r="G608" s="314"/>
      <c r="H608" s="314"/>
      <c r="I608" s="314"/>
      <c r="J608" s="314"/>
      <c r="K608" s="314"/>
      <c r="L608" s="314"/>
      <c r="M608" s="314"/>
      <c r="N608" s="314"/>
      <c r="O608" s="314"/>
      <c r="P608" s="314"/>
      <c r="Q608" s="314"/>
      <c r="R608" s="314"/>
      <c r="AI608" s="222"/>
    </row>
    <row r="609" spans="1:36" ht="17.25" customHeight="1">
      <c r="A609" s="314" t="s">
        <v>643</v>
      </c>
      <c r="B609" s="314"/>
      <c r="C609" s="321" t="e">
        <f ca="1">(C606/C605)*C598*C594</f>
        <v>#NAME?</v>
      </c>
      <c r="D609" s="314"/>
      <c r="E609" s="314"/>
      <c r="F609" s="314"/>
      <c r="G609" s="314"/>
      <c r="H609" s="314"/>
      <c r="I609" s="314"/>
      <c r="J609" s="314"/>
      <c r="K609" s="314"/>
      <c r="L609" s="314"/>
      <c r="M609" s="314"/>
      <c r="N609" s="314"/>
      <c r="O609" s="314"/>
      <c r="P609" s="314"/>
      <c r="Q609" s="314"/>
      <c r="R609" s="314"/>
      <c r="AI609" s="222"/>
    </row>
    <row r="610" spans="1:36" ht="17.25" customHeight="1">
      <c r="A610" s="314" t="s">
        <v>644</v>
      </c>
      <c r="B610" s="314"/>
      <c r="C610" s="321" t="e">
        <f ca="1">(C606+1)*C598/C605</f>
        <v>#NAME?</v>
      </c>
      <c r="D610" s="314"/>
      <c r="E610" s="314"/>
      <c r="F610" s="314"/>
      <c r="G610" s="314"/>
      <c r="H610" s="314"/>
      <c r="I610" s="314"/>
      <c r="J610" s="314"/>
      <c r="K610" s="314"/>
      <c r="L610" s="314"/>
      <c r="M610" s="314"/>
      <c r="N610" s="314"/>
      <c r="O610" s="314"/>
      <c r="P610" s="314"/>
      <c r="Q610" s="314"/>
      <c r="R610" s="314"/>
      <c r="AI610" s="222"/>
    </row>
    <row r="611" spans="1:36" ht="17.25" customHeight="1">
      <c r="A611" s="128" t="s">
        <v>667</v>
      </c>
      <c r="B611" s="128" t="s">
        <v>23</v>
      </c>
      <c r="C611" s="318" t="e">
        <f ca="1">(D588*C610-C609)*C584/1000</f>
        <v>#NAME?</v>
      </c>
      <c r="E611" s="128" t="s">
        <v>669</v>
      </c>
      <c r="AI611" s="222"/>
    </row>
    <row r="612" spans="1:36" ht="17.25" customHeight="1">
      <c r="A612" s="128" t="str">
        <f>A611</f>
        <v>Power output at full load</v>
      </c>
      <c r="B612" s="128" t="s">
        <v>23</v>
      </c>
      <c r="C612" s="318">
        <f>C464</f>
        <v>8.1999999999999993</v>
      </c>
      <c r="E612" s="128" t="s">
        <v>668</v>
      </c>
      <c r="AI612" s="222"/>
    </row>
    <row r="613" spans="1:36" ht="17.25" customHeight="1">
      <c r="A613" s="298" t="s">
        <v>670</v>
      </c>
      <c r="B613" s="128" t="s">
        <v>23</v>
      </c>
      <c r="C613" s="318" t="e">
        <f ca="1">(22*C610-C609)*C584/1000</f>
        <v>#NAME?</v>
      </c>
      <c r="D613" s="222"/>
      <c r="E613" s="222" t="s">
        <v>669</v>
      </c>
      <c r="F613" s="222"/>
      <c r="G613" s="222"/>
      <c r="H613" s="222"/>
      <c r="I613" s="222"/>
      <c r="J613" s="222"/>
      <c r="K613" s="222"/>
      <c r="L613" s="222"/>
      <c r="M613" s="222"/>
      <c r="N613" s="222"/>
      <c r="O613" s="222"/>
      <c r="P613" s="222"/>
      <c r="Q613" s="222"/>
      <c r="R613" s="222"/>
      <c r="S613" s="222"/>
      <c r="T613" s="222"/>
      <c r="U613" s="222"/>
      <c r="V613" s="222"/>
      <c r="W613" s="222"/>
      <c r="X613" s="222"/>
      <c r="Y613" s="222"/>
      <c r="Z613" s="222"/>
      <c r="AA613" s="222"/>
      <c r="AB613" s="222"/>
      <c r="AC613" s="222"/>
      <c r="AD613" s="222"/>
      <c r="AE613" s="222"/>
      <c r="AF613" s="222"/>
      <c r="AG613" s="222"/>
      <c r="AH613" s="222"/>
      <c r="AI613" s="222"/>
      <c r="AJ613" s="222"/>
    </row>
    <row r="614" spans="1:36" ht="17.25" customHeight="1">
      <c r="A614" s="298" t="s">
        <v>670</v>
      </c>
      <c r="B614" s="298" t="s">
        <v>23</v>
      </c>
      <c r="C614" s="318">
        <f>(I475*0+J475)*22+(I476*0+J476)</f>
        <v>2.6954978808241887</v>
      </c>
      <c r="D614" s="222"/>
      <c r="E614" s="222" t="s">
        <v>668</v>
      </c>
      <c r="F614" s="222"/>
      <c r="G614" s="222"/>
      <c r="H614" s="222"/>
      <c r="I614" s="222"/>
      <c r="J614" s="222"/>
      <c r="K614" s="222"/>
      <c r="L614" s="222"/>
      <c r="M614" s="222"/>
      <c r="N614" s="222"/>
      <c r="O614" s="222"/>
      <c r="P614" s="222"/>
      <c r="Q614" s="222"/>
      <c r="R614" s="222"/>
      <c r="S614" s="222"/>
      <c r="T614" s="222"/>
      <c r="U614" s="222"/>
      <c r="V614" s="222"/>
      <c r="W614" s="222"/>
      <c r="X614" s="222"/>
      <c r="Y614" s="222"/>
      <c r="Z614" s="222"/>
      <c r="AA614" s="222"/>
      <c r="AB614" s="222"/>
      <c r="AC614" s="222"/>
      <c r="AD614" s="222"/>
      <c r="AE614" s="222"/>
      <c r="AF614" s="222"/>
      <c r="AG614" s="222"/>
      <c r="AH614" s="222"/>
      <c r="AI614" s="222"/>
      <c r="AJ614" s="222"/>
    </row>
    <row r="615" spans="1:36" ht="17.25" customHeight="1">
      <c r="A615" s="298" t="s">
        <v>671</v>
      </c>
      <c r="B615" s="298" t="s">
        <v>9</v>
      </c>
      <c r="C615" s="318" t="e">
        <f ca="1">(C614-C613)*1000</f>
        <v>#NAME?</v>
      </c>
      <c r="D615" s="222"/>
      <c r="E615" s="222"/>
      <c r="F615" s="222"/>
      <c r="G615" s="222"/>
      <c r="H615" s="222"/>
      <c r="I615" s="222"/>
      <c r="J615" s="222"/>
      <c r="K615" s="222"/>
      <c r="L615" s="222"/>
      <c r="M615" s="222"/>
      <c r="N615" s="222"/>
      <c r="O615" s="314"/>
      <c r="P615" s="314"/>
      <c r="Q615" s="314"/>
      <c r="R615" s="314"/>
      <c r="AI615" s="222"/>
    </row>
    <row r="616" spans="1:36" ht="17.25" customHeight="1">
      <c r="A616" s="222"/>
      <c r="B616" s="222"/>
      <c r="C616" s="222"/>
      <c r="AI616" s="222"/>
    </row>
    <row r="617" spans="1:36" ht="17.25" customHeight="1">
      <c r="A617" s="314" t="s">
        <v>675</v>
      </c>
      <c r="B617" s="222"/>
      <c r="C617" s="222"/>
      <c r="AI617" s="222"/>
    </row>
    <row r="618" spans="1:36" ht="17.25" customHeight="1">
      <c r="A618" s="222" t="s">
        <v>662</v>
      </c>
      <c r="B618" s="222" t="s">
        <v>537</v>
      </c>
      <c r="C618" s="477">
        <v>24</v>
      </c>
      <c r="E618" s="128" t="s">
        <v>676</v>
      </c>
      <c r="AI618" s="222"/>
    </row>
    <row r="619" spans="1:36" ht="17.25" customHeight="1">
      <c r="A619" s="298" t="s">
        <v>663</v>
      </c>
      <c r="B619" s="222" t="s">
        <v>18</v>
      </c>
      <c r="C619" s="477">
        <v>370</v>
      </c>
      <c r="E619" s="222" t="s">
        <v>676</v>
      </c>
      <c r="AI619" s="222"/>
    </row>
    <row r="620" spans="1:36" ht="17.25" customHeight="1">
      <c r="A620" s="298" t="s">
        <v>664</v>
      </c>
      <c r="B620" s="298" t="s">
        <v>537</v>
      </c>
      <c r="C620" s="477">
        <v>2.7</v>
      </c>
      <c r="E620" s="222" t="s">
        <v>676</v>
      </c>
      <c r="AI620" s="222"/>
    </row>
    <row r="621" spans="1:36" ht="17.25" customHeight="1">
      <c r="A621" s="222" t="s">
        <v>661</v>
      </c>
      <c r="B621" s="314" t="s">
        <v>273</v>
      </c>
      <c r="C621" s="477">
        <v>22</v>
      </c>
      <c r="E621" s="222" t="s">
        <v>676</v>
      </c>
      <c r="AI621" s="222"/>
    </row>
    <row r="622" spans="1:36" ht="17.25" customHeight="1">
      <c r="A622" s="314" t="s">
        <v>636</v>
      </c>
      <c r="B622" s="314" t="s">
        <v>19</v>
      </c>
      <c r="C622" s="324" t="e">
        <f ca="1">_xll.StmPTH(C618,C619,1)</f>
        <v>#NAME?</v>
      </c>
      <c r="AI622" s="222"/>
    </row>
    <row r="623" spans="1:36" ht="17.25" customHeight="1">
      <c r="A623" s="314" t="s">
        <v>638</v>
      </c>
      <c r="B623" s="314" t="s">
        <v>27</v>
      </c>
      <c r="C623" s="321" t="e">
        <f ca="1">_xll.StmPTS(C618,C619,1)</f>
        <v>#NAME?</v>
      </c>
      <c r="E623" s="298"/>
      <c r="AI623" s="222"/>
    </row>
    <row r="624" spans="1:36" ht="17.25" customHeight="1">
      <c r="A624" s="314" t="s">
        <v>639</v>
      </c>
      <c r="B624" s="314" t="s">
        <v>19</v>
      </c>
      <c r="C624" s="324" t="e">
        <f ca="1">_xll.StmPSH(C620,C623,1)</f>
        <v>#NAME?</v>
      </c>
      <c r="E624" s="298" t="s">
        <v>677</v>
      </c>
      <c r="AI624" s="222"/>
    </row>
    <row r="625" spans="1:35" ht="17.25" customHeight="1">
      <c r="A625" s="314" t="s">
        <v>679</v>
      </c>
      <c r="B625" s="314" t="s">
        <v>19</v>
      </c>
      <c r="C625" s="324" t="e">
        <f ca="1">C622-C624</f>
        <v>#NAME?</v>
      </c>
      <c r="AI625" s="222"/>
    </row>
    <row r="626" spans="1:35" ht="17.25" customHeight="1">
      <c r="A626" s="314" t="s">
        <v>643</v>
      </c>
      <c r="B626" s="314"/>
      <c r="C626" s="324" t="e">
        <f ca="1">(C606/C605)*C625*C594</f>
        <v>#NAME?</v>
      </c>
      <c r="AI626" s="222"/>
    </row>
    <row r="627" spans="1:35" ht="17.25" customHeight="1">
      <c r="A627" s="314" t="s">
        <v>644</v>
      </c>
      <c r="B627" s="314"/>
      <c r="C627" s="324" t="e">
        <f ca="1">(C606+1)*C625/C605</f>
        <v>#NAME?</v>
      </c>
      <c r="AI627" s="222"/>
    </row>
    <row r="628" spans="1:35" ht="17.25" customHeight="1">
      <c r="A628" s="314" t="s">
        <v>665</v>
      </c>
      <c r="B628" s="314" t="s">
        <v>9</v>
      </c>
      <c r="C628" s="324" t="e">
        <f ca="1">C627*C621-C626</f>
        <v>#NAME?</v>
      </c>
      <c r="AI628" s="222"/>
    </row>
    <row r="629" spans="1:35" ht="17.25" customHeight="1">
      <c r="A629" s="314" t="s">
        <v>666</v>
      </c>
      <c r="B629" s="314" t="s">
        <v>9</v>
      </c>
      <c r="C629" s="324" t="e">
        <f ca="1">C628*C584</f>
        <v>#NAME?</v>
      </c>
      <c r="AI629" s="222"/>
    </row>
    <row r="630" spans="1:35" ht="17.25" customHeight="1">
      <c r="A630" s="128" t="s">
        <v>681</v>
      </c>
      <c r="B630" s="314" t="s">
        <v>9</v>
      </c>
      <c r="C630" s="318">
        <f>Model!C92</f>
        <v>200</v>
      </c>
      <c r="AI630" s="222"/>
    </row>
    <row r="631" spans="1:35" ht="17.25" customHeight="1">
      <c r="A631" s="298" t="s">
        <v>680</v>
      </c>
      <c r="B631" s="314" t="s">
        <v>9</v>
      </c>
      <c r="C631" s="333" t="e">
        <f ca="1">C630+C629</f>
        <v>#NAME?</v>
      </c>
      <c r="E631" s="318"/>
      <c r="AI631" s="222"/>
    </row>
    <row r="632" spans="1:35" ht="17.25" customHeight="1">
      <c r="AI632" s="222"/>
    </row>
    <row r="633" spans="1:35" ht="17.25" customHeight="1">
      <c r="AI633" s="222"/>
    </row>
    <row r="634" spans="1:35" ht="17.25" customHeight="1">
      <c r="AI634" s="222"/>
    </row>
    <row r="635" spans="1:35" ht="17.25" customHeight="1">
      <c r="AI635" s="222"/>
    </row>
    <row r="636" spans="1:35" ht="17.25" customHeight="1">
      <c r="AI636" s="222"/>
    </row>
    <row r="637" spans="1:35" s="260" customFormat="1" ht="17.25" customHeight="1"/>
    <row r="638" spans="1:35" s="260" customFormat="1" ht="17.25" customHeight="1"/>
    <row r="639" spans="1:35" s="260" customFormat="1" ht="17.25" customHeight="1"/>
    <row r="640" spans="1:35" s="260" customFormat="1" ht="17.25" customHeight="1"/>
    <row r="641" s="260" customFormat="1" ht="17.25" customHeight="1"/>
    <row r="642" s="260" customFormat="1" ht="17.25" customHeight="1"/>
    <row r="643" s="260" customFormat="1" ht="17.25" customHeight="1"/>
    <row r="644" s="260" customFormat="1" ht="17.25" customHeight="1"/>
    <row r="645" s="260" customFormat="1" ht="17.25" customHeight="1"/>
    <row r="646" s="260" customFormat="1" ht="17.25" customHeight="1"/>
    <row r="647" s="260" customFormat="1" ht="17.25" customHeight="1"/>
    <row r="648" s="260" customFormat="1" ht="17.25" customHeight="1"/>
    <row r="649" s="260" customFormat="1" ht="17.25" customHeight="1"/>
    <row r="650" s="260" customFormat="1" ht="17.25" customHeight="1"/>
    <row r="651" s="260" customFormat="1" ht="17.25" customHeight="1"/>
    <row r="652" s="260" customFormat="1" ht="17.25" customHeight="1"/>
    <row r="653" s="260" customFormat="1" ht="17.25" customHeight="1"/>
    <row r="654" s="260" customFormat="1" ht="17.25" customHeight="1"/>
    <row r="655" s="260" customFormat="1" ht="17.25" customHeight="1"/>
    <row r="656" s="260" customFormat="1" ht="17.25" customHeight="1"/>
    <row r="657" spans="35:35" s="260" customFormat="1" ht="17.25" customHeight="1"/>
    <row r="658" spans="35:35" s="260" customFormat="1" ht="17.25" customHeight="1"/>
    <row r="659" spans="35:35" s="260" customFormat="1" ht="17.25" customHeight="1"/>
    <row r="660" spans="35:35" s="260" customFormat="1" ht="17.25" customHeight="1"/>
    <row r="661" spans="35:35" s="260" customFormat="1" ht="17.25" customHeight="1"/>
    <row r="662" spans="35:35" s="260" customFormat="1" ht="17.25" customHeight="1"/>
    <row r="663" spans="35:35" s="260" customFormat="1" ht="17.25" customHeight="1"/>
    <row r="664" spans="35:35" s="260" customFormat="1" ht="17.25" customHeight="1"/>
    <row r="665" spans="35:35" s="260" customFormat="1" ht="17.25" customHeight="1"/>
    <row r="666" spans="35:35" s="260" customFormat="1" ht="17.25" customHeight="1"/>
    <row r="667" spans="35:35" s="260" customFormat="1" ht="17.25" customHeight="1"/>
    <row r="668" spans="35:35" s="260" customFormat="1" ht="17.25" customHeight="1"/>
    <row r="669" spans="35:35" ht="17.25" customHeight="1">
      <c r="AI669" s="222"/>
    </row>
    <row r="670" spans="35:35" ht="17.25" customHeight="1">
      <c r="AI670" s="222"/>
    </row>
    <row r="671" spans="35:35" ht="17.25" customHeight="1">
      <c r="AI671" s="222"/>
    </row>
    <row r="672" spans="35:35" ht="17.25" customHeight="1">
      <c r="AI672" s="222"/>
    </row>
    <row r="673" spans="1:35" ht="17.25" customHeight="1">
      <c r="AI673" s="222"/>
    </row>
    <row r="674" spans="1:35" ht="17.25" customHeight="1">
      <c r="AI674" s="222"/>
    </row>
    <row r="675" spans="1:35" ht="17.25" customHeight="1">
      <c r="AI675" s="222"/>
    </row>
    <row r="676" spans="1:35" ht="17.25" customHeight="1">
      <c r="AI676" s="222"/>
    </row>
    <row r="677" spans="1:35" ht="17.25" customHeight="1">
      <c r="AI677" s="222"/>
    </row>
    <row r="678" spans="1:35" ht="17.25" customHeight="1">
      <c r="AI678" s="222"/>
    </row>
    <row r="679" spans="1:35" ht="17.25" customHeight="1">
      <c r="AI679" s="222"/>
    </row>
    <row r="680" spans="1:35" ht="17.25" customHeight="1">
      <c r="AI680" s="222"/>
    </row>
    <row r="681" spans="1:35" ht="17.25" customHeight="1">
      <c r="AI681" s="222"/>
    </row>
    <row r="682" spans="1:35" ht="17.25" customHeight="1">
      <c r="AI682" s="222"/>
    </row>
    <row r="683" spans="1:35" ht="17.25" customHeight="1">
      <c r="AI683" s="222"/>
    </row>
    <row r="684" spans="1:35" ht="17.25" customHeight="1">
      <c r="AI684" s="222"/>
    </row>
    <row r="685" spans="1:35" ht="17.25" customHeight="1">
      <c r="AI685" s="222"/>
    </row>
    <row r="686" spans="1:35" ht="17.25" customHeight="1">
      <c r="AI686" s="222"/>
    </row>
    <row r="687" spans="1:35" ht="17.25" customHeight="1">
      <c r="AI687" s="222"/>
    </row>
    <row r="688" spans="1:35" ht="17.25" customHeight="1">
      <c r="A688" s="222"/>
      <c r="B688" s="222"/>
      <c r="C688" s="222"/>
      <c r="D688" s="222"/>
      <c r="E688" s="222"/>
      <c r="F688" s="222"/>
      <c r="G688" s="222"/>
      <c r="H688" s="222"/>
      <c r="AI688" s="222"/>
    </row>
    <row r="689" spans="1:35" ht="17.25" customHeight="1">
      <c r="I689"/>
      <c r="J689"/>
      <c r="K689"/>
      <c r="L689"/>
      <c r="M689"/>
      <c r="N689"/>
      <c r="O689"/>
      <c r="P689"/>
      <c r="Q689"/>
      <c r="AI689" s="222"/>
    </row>
    <row r="690" spans="1:35" s="533" customFormat="1" ht="17.25" customHeight="1" thickBot="1">
      <c r="A690" s="533" t="s">
        <v>233</v>
      </c>
    </row>
    <row r="691" spans="1:35" ht="17.25" customHeight="1" thickTop="1">
      <c r="A691" s="26"/>
      <c r="B691" s="293"/>
      <c r="C691" s="293"/>
      <c r="D691" s="293"/>
      <c r="E691" s="293"/>
      <c r="F691" s="293"/>
      <c r="G691" s="293"/>
      <c r="H691" s="293"/>
      <c r="I691" s="293"/>
      <c r="J691" s="293"/>
      <c r="K691" s="293"/>
      <c r="L691" s="293"/>
      <c r="M691" s="293"/>
      <c r="N691" s="293"/>
      <c r="O691" s="293"/>
      <c r="P691" s="293"/>
      <c r="Q691" s="293"/>
      <c r="R691" s="141"/>
      <c r="S691" s="141"/>
      <c r="T691" s="141"/>
      <c r="AI691" s="222"/>
    </row>
    <row r="692" spans="1:35" ht="17.25" customHeight="1">
      <c r="A692" s="293" t="s">
        <v>569</v>
      </c>
      <c r="B692" s="293"/>
      <c r="C692" s="293"/>
      <c r="D692" s="293"/>
      <c r="E692" s="293"/>
      <c r="F692" s="293"/>
      <c r="G692" s="293"/>
      <c r="H692" s="293"/>
      <c r="I692" s="293"/>
      <c r="J692" s="293"/>
      <c r="K692" s="293"/>
      <c r="L692" s="293"/>
      <c r="M692" s="293"/>
      <c r="N692" s="293"/>
      <c r="O692" s="293"/>
      <c r="P692" s="293"/>
      <c r="Q692" s="293"/>
      <c r="AI692" s="222"/>
    </row>
    <row r="693" spans="1:35" ht="17.25" customHeight="1">
      <c r="A693" s="26"/>
      <c r="B693" s="293"/>
      <c r="C693" s="293"/>
      <c r="D693" s="293"/>
      <c r="E693" s="293"/>
      <c r="F693" s="293"/>
      <c r="G693" s="293"/>
      <c r="H693" s="293"/>
      <c r="I693" s="293"/>
      <c r="J693" s="293"/>
      <c r="K693" s="293"/>
      <c r="L693" s="293"/>
      <c r="M693" s="293"/>
      <c r="AE693" s="222"/>
    </row>
    <row r="694" spans="1:35" ht="17.25" customHeight="1">
      <c r="A694" s="293" t="s">
        <v>573</v>
      </c>
      <c r="B694" s="293" t="s">
        <v>18</v>
      </c>
      <c r="C694" s="295">
        <v>120</v>
      </c>
      <c r="D694" s="293"/>
      <c r="E694" s="293"/>
      <c r="F694" s="293"/>
      <c r="G694" s="293"/>
      <c r="H694" s="293"/>
      <c r="I694" s="293"/>
      <c r="J694" s="293"/>
      <c r="K694" s="293"/>
      <c r="L694" s="293"/>
      <c r="M694" s="293"/>
      <c r="AE694" s="222"/>
    </row>
    <row r="695" spans="1:35" ht="17.25" customHeight="1">
      <c r="A695" s="14" t="s">
        <v>576</v>
      </c>
      <c r="B695" s="293" t="s">
        <v>18</v>
      </c>
      <c r="C695" s="295">
        <v>160</v>
      </c>
      <c r="D695" s="293"/>
      <c r="E695" s="293"/>
      <c r="F695" s="293"/>
      <c r="G695" s="293"/>
      <c r="H695" s="293"/>
      <c r="I695"/>
      <c r="J695"/>
      <c r="K695"/>
      <c r="L695"/>
      <c r="M695"/>
      <c r="AE695" s="222"/>
    </row>
    <row r="696" spans="1:35" ht="17.25" customHeight="1">
      <c r="A696"/>
      <c r="B696"/>
      <c r="C696"/>
      <c r="D696"/>
      <c r="E696"/>
      <c r="F696"/>
      <c r="G696"/>
      <c r="H696"/>
      <c r="I696"/>
      <c r="J696"/>
      <c r="K696"/>
      <c r="L696"/>
      <c r="M696"/>
      <c r="AE696" s="222"/>
    </row>
    <row r="697" spans="1:35" ht="17.25" customHeight="1">
      <c r="A697" s="220" t="s">
        <v>491</v>
      </c>
      <c r="B697" s="220" t="s">
        <v>3</v>
      </c>
      <c r="C697" s="228">
        <v>100</v>
      </c>
      <c r="D697" s="228">
        <v>75</v>
      </c>
      <c r="E697" s="228">
        <v>50</v>
      </c>
      <c r="F697"/>
      <c r="G697"/>
      <c r="H697"/>
      <c r="I697"/>
      <c r="J697"/>
      <c r="K697"/>
      <c r="L697"/>
      <c r="M697"/>
      <c r="AE697" s="222"/>
    </row>
    <row r="698" spans="1:35" ht="17.25" customHeight="1">
      <c r="A698" s="220" t="s">
        <v>492</v>
      </c>
      <c r="B698" s="220" t="s">
        <v>9</v>
      </c>
      <c r="C698" s="461">
        <v>2000</v>
      </c>
      <c r="D698" s="461">
        <v>1500</v>
      </c>
      <c r="E698" s="461">
        <v>1000</v>
      </c>
      <c r="F698"/>
      <c r="G698"/>
      <c r="H698"/>
      <c r="I698" s="293"/>
      <c r="J698" s="293"/>
      <c r="K698" s="293"/>
      <c r="L698" s="293"/>
      <c r="M698" s="293"/>
      <c r="N698" s="141"/>
      <c r="O698" s="141"/>
      <c r="P698" s="141"/>
      <c r="AE698" s="222"/>
    </row>
    <row r="699" spans="1:35" ht="17.25" customHeight="1">
      <c r="A699" s="293" t="s">
        <v>571</v>
      </c>
      <c r="B699" s="293" t="s">
        <v>18</v>
      </c>
      <c r="C699" s="461">
        <v>395</v>
      </c>
      <c r="D699" s="461">
        <v>428</v>
      </c>
      <c r="E699" s="461">
        <v>477</v>
      </c>
      <c r="F699" s="293"/>
      <c r="G699" s="293"/>
      <c r="H699" s="293"/>
      <c r="I699" s="293"/>
      <c r="J699" s="293"/>
      <c r="K699" s="293"/>
      <c r="L699" s="293"/>
      <c r="M699" s="293"/>
      <c r="AE699" s="222"/>
    </row>
    <row r="700" spans="1:35" ht="17.25" customHeight="1">
      <c r="A700" s="293" t="s">
        <v>577</v>
      </c>
      <c r="B700" s="293" t="s">
        <v>578</v>
      </c>
      <c r="C700" s="461">
        <f>5.1*2077</f>
        <v>10592.699999999999</v>
      </c>
      <c r="D700" s="461">
        <f>5.11*1553</f>
        <v>7935.8300000000008</v>
      </c>
      <c r="E700" s="461">
        <f>1044*5.18</f>
        <v>5407.92</v>
      </c>
      <c r="F700" s="293"/>
      <c r="G700" s="293"/>
      <c r="H700" s="293"/>
      <c r="I700" s="293"/>
      <c r="J700" s="293"/>
      <c r="K700" s="293"/>
      <c r="L700" s="293"/>
      <c r="M700" s="293"/>
      <c r="AE700" s="222"/>
    </row>
    <row r="701" spans="1:35" ht="17.25" customHeight="1">
      <c r="A701" s="293" t="str">
        <f>A700</f>
        <v>Exhaust mass flow, wet</v>
      </c>
      <c r="B701" s="293" t="s">
        <v>568</v>
      </c>
      <c r="C701" s="490">
        <f>C700/3600</f>
        <v>2.9424166666666665</v>
      </c>
      <c r="D701" s="490">
        <f>D700/3600</f>
        <v>2.2043972222222226</v>
      </c>
      <c r="E701" s="490">
        <f>E700/3600</f>
        <v>1.5022</v>
      </c>
      <c r="F701" s="293"/>
      <c r="G701" s="293"/>
      <c r="H701" s="293"/>
      <c r="I701" s="293"/>
      <c r="J701" s="293"/>
      <c r="K701" s="293"/>
      <c r="L701" s="293"/>
      <c r="M701" s="293"/>
      <c r="AE701" s="222"/>
    </row>
    <row r="702" spans="1:35" ht="17.25" customHeight="1">
      <c r="A702" s="293" t="s">
        <v>574</v>
      </c>
      <c r="B702" s="293" t="s">
        <v>8</v>
      </c>
      <c r="C702" s="461">
        <v>865</v>
      </c>
      <c r="D702" s="461">
        <v>740</v>
      </c>
      <c r="E702" s="461">
        <v>592</v>
      </c>
      <c r="F702" s="293"/>
      <c r="G702" s="293" t="s">
        <v>570</v>
      </c>
      <c r="H702" s="293"/>
      <c r="I702" s="293"/>
      <c r="J702" s="293"/>
      <c r="K702" s="293"/>
      <c r="L702" s="293"/>
      <c r="M702" s="293"/>
      <c r="AE702" s="222"/>
    </row>
    <row r="703" spans="1:35" ht="17.25" customHeight="1">
      <c r="A703" s="14" t="s">
        <v>572</v>
      </c>
      <c r="B703" s="293" t="s">
        <v>27</v>
      </c>
      <c r="C703" s="503">
        <f>C702/(C701*(C699-$C$694))</f>
        <v>1.069003782193054</v>
      </c>
      <c r="D703" s="503">
        <f>D702/(D701*(D699-$C$694))</f>
        <v>1.0899112820398935</v>
      </c>
      <c r="E703" s="503">
        <f>E702/(E701*(E699-$C$694))</f>
        <v>1.1038898317947869</v>
      </c>
      <c r="F703" s="293"/>
      <c r="G703" s="293" t="s">
        <v>919</v>
      </c>
      <c r="H703" s="293"/>
      <c r="I703"/>
      <c r="J703"/>
      <c r="K703"/>
      <c r="L703"/>
      <c r="M703"/>
      <c r="AE703" s="222"/>
    </row>
    <row r="704" spans="1:35" ht="17.25" customHeight="1">
      <c r="A704" s="293" t="s">
        <v>575</v>
      </c>
      <c r="B704" s="220" t="s">
        <v>8</v>
      </c>
      <c r="C704" s="488">
        <f>C701*C703*(C699-$C$695)</f>
        <v>739.18181818181813</v>
      </c>
      <c r="D704" s="488">
        <f>D701*D703*(D699-$C$695)</f>
        <v>643.89610389610391</v>
      </c>
      <c r="E704" s="488">
        <f>E701*E703*(E699-$C$695)</f>
        <v>525.66946778711485</v>
      </c>
      <c r="F704"/>
      <c r="G704" s="293" t="s">
        <v>585</v>
      </c>
      <c r="H704"/>
      <c r="I704"/>
      <c r="J704"/>
      <c r="K704"/>
      <c r="L704"/>
      <c r="M704"/>
      <c r="AE704" s="222"/>
    </row>
    <row r="705" spans="1:35" ht="17.25" customHeight="1">
      <c r="A705" s="220" t="s">
        <v>493</v>
      </c>
      <c r="B705" s="315" t="s">
        <v>8</v>
      </c>
      <c r="C705" s="461">
        <v>472</v>
      </c>
      <c r="D705" s="461">
        <v>399</v>
      </c>
      <c r="E705" s="461">
        <v>322</v>
      </c>
      <c r="F705"/>
      <c r="G705"/>
      <c r="H705"/>
      <c r="I705"/>
      <c r="J705"/>
      <c r="K705"/>
      <c r="L705"/>
      <c r="M705"/>
      <c r="AE705" s="222"/>
    </row>
    <row r="706" spans="1:35" ht="17.25" customHeight="1">
      <c r="A706" s="220" t="s">
        <v>963</v>
      </c>
      <c r="B706" s="315" t="s">
        <v>8</v>
      </c>
      <c r="C706" s="461">
        <f>185+380</f>
        <v>565</v>
      </c>
      <c r="D706" s="461">
        <f>166+202</f>
        <v>368</v>
      </c>
      <c r="E706" s="461">
        <f>144+68</f>
        <v>212</v>
      </c>
      <c r="F706"/>
      <c r="G706"/>
      <c r="H706"/>
      <c r="I706"/>
      <c r="J706"/>
      <c r="K706"/>
      <c r="L706"/>
      <c r="M706"/>
      <c r="AE706" s="222"/>
    </row>
    <row r="707" spans="1:35" ht="17.25" customHeight="1">
      <c r="A707" s="220" t="s">
        <v>501</v>
      </c>
      <c r="B707" s="220" t="s">
        <v>961</v>
      </c>
      <c r="C707" s="461">
        <v>4690</v>
      </c>
      <c r="D707" s="461">
        <v>3586</v>
      </c>
      <c r="E707" s="461">
        <v>2521</v>
      </c>
      <c r="F707"/>
      <c r="G707"/>
      <c r="H707"/>
      <c r="I707"/>
      <c r="J707"/>
      <c r="K707"/>
      <c r="L707"/>
      <c r="M707"/>
      <c r="AE707" s="222"/>
    </row>
    <row r="708" spans="1:35" ht="17.25" customHeight="1">
      <c r="A708" s="220" t="s">
        <v>500</v>
      </c>
      <c r="B708" s="315" t="s">
        <v>961</v>
      </c>
      <c r="C708" s="489">
        <f>C707/0.89</f>
        <v>5269.6629213483147</v>
      </c>
      <c r="D708" s="489">
        <f>D707/0.89</f>
        <v>4029.2134831460676</v>
      </c>
      <c r="E708" s="489">
        <f>E707/0.89</f>
        <v>2832.5842696629211</v>
      </c>
      <c r="F708"/>
      <c r="G708"/>
      <c r="H708"/>
      <c r="I708"/>
      <c r="J708"/>
      <c r="K708"/>
      <c r="L708"/>
      <c r="M708"/>
      <c r="AE708" s="222"/>
    </row>
    <row r="709" spans="1:35" ht="17.25" customHeight="1">
      <c r="A709" s="220"/>
      <c r="B709" s="220"/>
      <c r="C709" s="220"/>
      <c r="D709" s="220"/>
      <c r="E709" s="220"/>
      <c r="F709"/>
      <c r="G709"/>
      <c r="H709"/>
      <c r="I709"/>
      <c r="J709"/>
      <c r="K709"/>
      <c r="L709"/>
      <c r="M709"/>
      <c r="AE709" s="222"/>
    </row>
    <row r="710" spans="1:35" ht="17.25" customHeight="1">
      <c r="A710" s="316" t="s">
        <v>962</v>
      </c>
      <c r="B710" s="220"/>
      <c r="C710" s="221" t="s">
        <v>46</v>
      </c>
      <c r="D710" s="221" t="s">
        <v>45</v>
      </c>
      <c r="E710" s="221" t="s">
        <v>144</v>
      </c>
      <c r="F710" s="493" t="s">
        <v>922</v>
      </c>
      <c r="G710" s="319" t="s">
        <v>923</v>
      </c>
      <c r="H710"/>
      <c r="I710"/>
      <c r="J710"/>
      <c r="K710"/>
      <c r="L710"/>
      <c r="M710"/>
      <c r="N710"/>
      <c r="O710"/>
      <c r="P710"/>
      <c r="Q710"/>
      <c r="AI710" s="222"/>
    </row>
    <row r="711" spans="1:35" ht="17.25" customHeight="1">
      <c r="A711" s="220" t="str">
        <f>A698</f>
        <v>Electrical power</v>
      </c>
      <c r="B711" s="220"/>
      <c r="C711" s="225">
        <f>SLOPE(C698:E698,$C$697:$E$697)</f>
        <v>20</v>
      </c>
      <c r="D711" s="225">
        <f>INTERCEPT(C698:E698,$C$697:$E$697)</f>
        <v>0</v>
      </c>
      <c r="E711" s="225">
        <f>CORREL(C698:E698,$C$697:$E$697)^2</f>
        <v>1</v>
      </c>
      <c r="F711" s="324">
        <f>C711*100+D711</f>
        <v>2000</v>
      </c>
      <c r="G711" s="267">
        <f>F711/$F$715</f>
        <v>0.38005764919397889</v>
      </c>
      <c r="H711"/>
      <c r="I711"/>
      <c r="J711"/>
      <c r="K711"/>
      <c r="L711"/>
      <c r="M711"/>
      <c r="N711"/>
      <c r="O711"/>
      <c r="P711"/>
      <c r="Q711"/>
      <c r="AI711" s="222"/>
    </row>
    <row r="712" spans="1:35" ht="17.25" customHeight="1">
      <c r="A712" s="220" t="str">
        <f>A704</f>
        <v>Engine exhaust heat (160 C)</v>
      </c>
      <c r="B712" s="220"/>
      <c r="C712" s="225">
        <f>SLOPE(C704:E704,$C$697:$E$697)</f>
        <v>4.2702470078940653</v>
      </c>
      <c r="D712" s="225">
        <f>INTERCEPT(C704:E704,$C$697:$E$697)</f>
        <v>315.98060436295742</v>
      </c>
      <c r="E712" s="225">
        <f>CORREL(C704:E704,$C$697:$E$697)^2</f>
        <v>0.99616657968602007</v>
      </c>
      <c r="F712" s="324">
        <f>C712*100+D712</f>
        <v>743.00530515236392</v>
      </c>
      <c r="G712" s="267">
        <f>F712/$F$715</f>
        <v>0.14119242480743116</v>
      </c>
      <c r="H712"/>
      <c r="I712"/>
      <c r="J712"/>
      <c r="K712"/>
      <c r="L712"/>
      <c r="M712"/>
      <c r="N712"/>
      <c r="O712"/>
      <c r="P712"/>
      <c r="Q712"/>
      <c r="AI712" s="222"/>
    </row>
    <row r="713" spans="1:35" ht="17.25" customHeight="1">
      <c r="A713" s="220" t="str">
        <f>A705</f>
        <v>Engine jacket water heat</v>
      </c>
      <c r="B713" s="220"/>
      <c r="C713" s="225">
        <f>SLOPE(C705:E705,$C$697:$E$697)</f>
        <v>3</v>
      </c>
      <c r="D713" s="225">
        <f>INTERCEPT(C705:E705,$C$697:$E$697)</f>
        <v>172.66666666666669</v>
      </c>
      <c r="E713" s="225">
        <f>CORREL(C705:E705,$C$697:$E$697)^2</f>
        <v>0.99976301913620436</v>
      </c>
      <c r="F713" s="324">
        <f>C713*100+D713</f>
        <v>472.66666666666669</v>
      </c>
      <c r="G713" s="267">
        <f>F713/$F$715</f>
        <v>8.9820291092843674E-2</v>
      </c>
      <c r="H713"/>
      <c r="I713"/>
      <c r="J713"/>
      <c r="K713"/>
      <c r="L713"/>
      <c r="M713"/>
      <c r="N713"/>
      <c r="O713"/>
      <c r="P713"/>
      <c r="Q713"/>
      <c r="AI713" s="222"/>
    </row>
    <row r="714" spans="1:35" ht="17.25" customHeight="1">
      <c r="A714" s="220" t="str">
        <f>A706</f>
        <v>Lube oil heat / intercooler / aftercooler</v>
      </c>
      <c r="B714" s="220"/>
      <c r="C714" s="225">
        <f>SLOPE(C706:E706,$C$697:$E$697)</f>
        <v>7.06</v>
      </c>
      <c r="D714" s="225">
        <f>INTERCEPT(C706:E706,$C$697:$E$697)</f>
        <v>-147.83333333333331</v>
      </c>
      <c r="E714" s="225">
        <f>CORREL(C706:E706,$C$697:$E$697)^2</f>
        <v>0.99552339763733355</v>
      </c>
      <c r="F714" s="324">
        <f>C714*100+D714</f>
        <v>558.16666666666674</v>
      </c>
      <c r="G714" s="267">
        <f>F714/$F$715</f>
        <v>0.10606775559588628</v>
      </c>
      <c r="H714"/>
      <c r="I714"/>
      <c r="J714"/>
      <c r="K714"/>
      <c r="L714"/>
      <c r="M714"/>
      <c r="N714"/>
      <c r="O714"/>
      <c r="P714"/>
      <c r="Q714"/>
      <c r="R714" s="222"/>
      <c r="S714" s="222"/>
      <c r="T714" s="222"/>
      <c r="AI714" s="222"/>
    </row>
    <row r="715" spans="1:35" ht="17.25" customHeight="1">
      <c r="A715" s="220" t="str">
        <f>A708</f>
        <v>Fuel consumption (HHV)</v>
      </c>
      <c r="B715" s="220"/>
      <c r="C715" s="225">
        <f>SLOPE(C708:E708,$C$697:$E$697)</f>
        <v>48.741573033707873</v>
      </c>
      <c r="D715" s="225">
        <f>INTERCEPT(C708:E708,$C$697:$E$697)</f>
        <v>388.20224719101043</v>
      </c>
      <c r="E715" s="225">
        <f>CORREL(C708:E708,$C$697:$E$697)^2</f>
        <v>0.99989224385279885</v>
      </c>
      <c r="F715" s="324">
        <f>C715*100+D715</f>
        <v>5262.3595505617977</v>
      </c>
      <c r="G715" s="267">
        <f>F715/$F$715</f>
        <v>1</v>
      </c>
      <c r="H715"/>
      <c r="I715"/>
      <c r="J715"/>
      <c r="K715"/>
      <c r="L715"/>
      <c r="M715"/>
      <c r="N715"/>
      <c r="O715"/>
      <c r="P715"/>
      <c r="Q715"/>
      <c r="R715" s="141"/>
      <c r="S715" s="141"/>
      <c r="T715" s="141"/>
      <c r="AI715" s="222"/>
    </row>
    <row r="716" spans="1:35" ht="17.25" customHeight="1">
      <c r="A716"/>
      <c r="B716"/>
      <c r="C716"/>
      <c r="D716"/>
      <c r="E716"/>
      <c r="F716" s="324"/>
      <c r="G716"/>
      <c r="H716"/>
      <c r="I716"/>
      <c r="J716"/>
      <c r="K716"/>
      <c r="L716"/>
      <c r="M716"/>
      <c r="N716"/>
      <c r="O716"/>
      <c r="P716"/>
      <c r="Q716"/>
      <c r="AI716" s="222"/>
    </row>
    <row r="717" spans="1:35" ht="17.25" customHeight="1">
      <c r="A717" s="53" t="s">
        <v>497</v>
      </c>
      <c r="B717"/>
      <c r="C717"/>
      <c r="D717"/>
      <c r="E717"/>
      <c r="F717" s="324"/>
      <c r="G717"/>
      <c r="H717"/>
      <c r="I717" s="293"/>
      <c r="J717" s="293"/>
      <c r="K717" s="293"/>
      <c r="L717" s="293"/>
      <c r="M717" s="293"/>
      <c r="N717" s="293"/>
      <c r="O717" s="293"/>
      <c r="P717" s="293"/>
      <c r="Q717" s="293"/>
      <c r="R717" s="141"/>
      <c r="S717" s="141"/>
      <c r="T717" s="141"/>
      <c r="AI717" s="222"/>
    </row>
    <row r="718" spans="1:35" ht="17.25" customHeight="1">
      <c r="A718" s="53"/>
      <c r="B718" s="293"/>
      <c r="C718" s="293"/>
      <c r="D718" s="293"/>
      <c r="E718" s="293"/>
      <c r="F718" s="324"/>
      <c r="G718" s="293"/>
      <c r="H718" s="293"/>
      <c r="I718" s="293"/>
      <c r="J718" s="293" t="str">
        <f>C719</f>
        <v>2 MWe NOx 250</v>
      </c>
      <c r="K718" s="293"/>
      <c r="L718" s="293" t="str">
        <f>C726</f>
        <v>2 MWe NOx 500</v>
      </c>
      <c r="M718" s="293"/>
      <c r="N718" s="293" t="str">
        <f>C733</f>
        <v>3.3 MWe</v>
      </c>
      <c r="O718" s="293"/>
      <c r="P718" s="293" t="str">
        <f>C740</f>
        <v>1.2 MWe</v>
      </c>
      <c r="Q718" s="293"/>
      <c r="R718" s="128" t="str">
        <f>C747</f>
        <v>G3516H - 500 Nox</v>
      </c>
      <c r="AI718" s="222"/>
    </row>
    <row r="719" spans="1:35" ht="17.25" customHeight="1">
      <c r="B719" s="293"/>
      <c r="C719" s="316" t="s">
        <v>595</v>
      </c>
      <c r="D719" s="319"/>
      <c r="E719" s="319"/>
      <c r="F719" s="324"/>
      <c r="G719" s="319"/>
      <c r="H719" s="293"/>
      <c r="I719" s="315"/>
      <c r="J719" s="223" t="s">
        <v>46</v>
      </c>
      <c r="K719" s="223" t="s">
        <v>145</v>
      </c>
      <c r="L719" s="293" t="str">
        <f>J719</f>
        <v>Slope</v>
      </c>
      <c r="M719" s="315" t="str">
        <f>K719</f>
        <v>Int.</v>
      </c>
      <c r="N719" s="293" t="str">
        <f>L719</f>
        <v>Slope</v>
      </c>
      <c r="O719" s="315" t="str">
        <f>M719</f>
        <v>Int.</v>
      </c>
      <c r="Q719" s="293"/>
      <c r="AI719" s="222"/>
    </row>
    <row r="720" spans="1:35" ht="17.25" customHeight="1">
      <c r="A720" s="293" t="s">
        <v>492</v>
      </c>
      <c r="B720" s="293"/>
      <c r="C720" s="295">
        <v>20</v>
      </c>
      <c r="D720" s="295">
        <v>0</v>
      </c>
      <c r="E720" s="295">
        <v>1</v>
      </c>
      <c r="F720" s="324">
        <f t="shared" ref="F720:F746" si="132">C720*100+D720</f>
        <v>2000</v>
      </c>
      <c r="G720" s="267">
        <f>F720/$F$724</f>
        <v>0.37596367092618022</v>
      </c>
      <c r="H720" s="293"/>
      <c r="I720" s="315" t="s">
        <v>55</v>
      </c>
      <c r="J720" s="324">
        <f t="shared" ref="J720:K724" si="133">C720</f>
        <v>20</v>
      </c>
      <c r="K720" s="324">
        <f t="shared" si="133"/>
        <v>0</v>
      </c>
      <c r="L720" s="321">
        <f>C727</f>
        <v>20</v>
      </c>
      <c r="M720" s="321">
        <f>D727</f>
        <v>0</v>
      </c>
      <c r="N720" s="321">
        <f>C734</f>
        <v>33.32</v>
      </c>
      <c r="O720" s="321">
        <f>D734</f>
        <v>0.66666666666651508</v>
      </c>
      <c r="P720" s="321">
        <f>C741</f>
        <v>12</v>
      </c>
      <c r="Q720" s="321">
        <f>D741</f>
        <v>0</v>
      </c>
      <c r="R720" s="318">
        <f>C748</f>
        <v>20</v>
      </c>
      <c r="S720" s="318">
        <f>D748</f>
        <v>0</v>
      </c>
      <c r="AI720" s="222"/>
    </row>
    <row r="721" spans="1:35" ht="17.25" customHeight="1">
      <c r="A721" s="293" t="s">
        <v>575</v>
      </c>
      <c r="B721" s="293"/>
      <c r="C721" s="295">
        <v>6.1710480802490446</v>
      </c>
      <c r="D721" s="295">
        <v>290.4776467698357</v>
      </c>
      <c r="E721" s="295">
        <v>0.9960301517218958</v>
      </c>
      <c r="F721" s="324">
        <f t="shared" si="132"/>
        <v>907.58245479474022</v>
      </c>
      <c r="G721" s="267">
        <f>F721/$F$724</f>
        <v>0.17060901568641226</v>
      </c>
      <c r="H721" s="293"/>
      <c r="I721" s="315" t="s">
        <v>954</v>
      </c>
      <c r="J721" s="324">
        <f t="shared" si="133"/>
        <v>6.1710480802490446</v>
      </c>
      <c r="K721" s="324">
        <f t="shared" si="133"/>
        <v>290.4776467698357</v>
      </c>
      <c r="L721" s="321">
        <f t="shared" ref="L721:M724" si="134">C728</f>
        <v>5.6792053184910332</v>
      </c>
      <c r="M721" s="321">
        <f t="shared" si="134"/>
        <v>278.79255674232314</v>
      </c>
      <c r="N721" s="321">
        <f t="shared" ref="N721:O724" si="135">C735</f>
        <v>10.704736842105262</v>
      </c>
      <c r="O721" s="321">
        <f t="shared" si="135"/>
        <v>510.14791507754887</v>
      </c>
      <c r="P721" s="321">
        <f t="shared" ref="P721:Q724" si="136">C742</f>
        <v>3.6107104847669702</v>
      </c>
      <c r="Q721" s="321">
        <f t="shared" si="136"/>
        <v>144.52075658343585</v>
      </c>
      <c r="R721" s="318">
        <f t="shared" ref="R721:S724" si="137">C749</f>
        <v>4.2702470078940653</v>
      </c>
      <c r="S721" s="318">
        <f t="shared" si="137"/>
        <v>315.98060436295742</v>
      </c>
      <c r="AI721" s="222"/>
    </row>
    <row r="722" spans="1:35" ht="17.25" customHeight="1">
      <c r="A722" s="293" t="s">
        <v>493</v>
      </c>
      <c r="B722" s="293"/>
      <c r="C722" s="295">
        <v>9.8000000000000007</v>
      </c>
      <c r="D722" s="295">
        <v>70.333333333333371</v>
      </c>
      <c r="E722" s="295">
        <v>0.99932850895691372</v>
      </c>
      <c r="F722" s="324">
        <f t="shared" si="132"/>
        <v>1050.3333333333335</v>
      </c>
      <c r="G722" s="267">
        <f>F722/$F$724</f>
        <v>0.19744358784806568</v>
      </c>
      <c r="H722" s="293"/>
      <c r="I722" s="315" t="s">
        <v>955</v>
      </c>
      <c r="J722" s="324">
        <f t="shared" si="133"/>
        <v>9.8000000000000007</v>
      </c>
      <c r="K722" s="324">
        <f t="shared" si="133"/>
        <v>70.333333333333371</v>
      </c>
      <c r="L722" s="321">
        <f t="shared" si="134"/>
        <v>9.3800000000000008</v>
      </c>
      <c r="M722" s="321">
        <f t="shared" si="134"/>
        <v>67.499999999999886</v>
      </c>
      <c r="N722" s="321">
        <f t="shared" si="135"/>
        <v>12.6</v>
      </c>
      <c r="O722" s="321">
        <f t="shared" si="135"/>
        <v>-112</v>
      </c>
      <c r="P722" s="321">
        <f t="shared" si="136"/>
        <v>5.46</v>
      </c>
      <c r="Q722" s="321">
        <f t="shared" si="136"/>
        <v>61.833333333333314</v>
      </c>
      <c r="R722" s="318">
        <f t="shared" si="137"/>
        <v>3</v>
      </c>
      <c r="S722" s="318">
        <f t="shared" si="137"/>
        <v>172.66666666666669</v>
      </c>
      <c r="AI722" s="222"/>
    </row>
    <row r="723" spans="1:35" ht="17.25" customHeight="1">
      <c r="A723" s="371" t="s">
        <v>963</v>
      </c>
      <c r="B723" s="371"/>
      <c r="C723" s="494" t="e">
        <v>#DIV/0!</v>
      </c>
      <c r="D723" s="494" t="e">
        <v>#DIV/0!</v>
      </c>
      <c r="E723" s="494" t="e">
        <v>#DIV/0!</v>
      </c>
      <c r="F723" s="324" t="e">
        <f>C723*100+D723</f>
        <v>#DIV/0!</v>
      </c>
      <c r="G723" s="267" t="e">
        <f>F723/$F$724</f>
        <v>#DIV/0!</v>
      </c>
      <c r="H723" s="293"/>
      <c r="I723" s="315" t="s">
        <v>957</v>
      </c>
      <c r="J723" s="324" t="e">
        <f>C723</f>
        <v>#DIV/0!</v>
      </c>
      <c r="K723" s="324" t="e">
        <f>D723</f>
        <v>#DIV/0!</v>
      </c>
      <c r="L723" s="321">
        <f t="shared" si="134"/>
        <v>2.02</v>
      </c>
      <c r="M723" s="321">
        <f t="shared" si="134"/>
        <v>-23.833333333333329</v>
      </c>
      <c r="N723" s="321">
        <f t="shared" si="135"/>
        <v>2.02</v>
      </c>
      <c r="O723" s="321">
        <f t="shared" si="135"/>
        <v>188.5</v>
      </c>
      <c r="P723" s="321">
        <f t="shared" si="136"/>
        <v>0</v>
      </c>
      <c r="Q723" s="321">
        <f t="shared" si="136"/>
        <v>0</v>
      </c>
      <c r="R723" s="318">
        <f t="shared" si="137"/>
        <v>7.06</v>
      </c>
      <c r="S723" s="318">
        <f t="shared" si="137"/>
        <v>-147.83333333333331</v>
      </c>
      <c r="AI723" s="222"/>
    </row>
    <row r="724" spans="1:35" ht="17.25" customHeight="1">
      <c r="A724" s="293" t="s">
        <v>500</v>
      </c>
      <c r="B724" s="293"/>
      <c r="C724" s="295">
        <v>48.157303370786515</v>
      </c>
      <c r="D724" s="295">
        <v>503.93258426966258</v>
      </c>
      <c r="E724" s="295">
        <v>0.99999412081848671</v>
      </c>
      <c r="F724" s="324">
        <f t="shared" si="132"/>
        <v>5319.6629213483138</v>
      </c>
      <c r="G724" s="267">
        <f>F724/$F$724</f>
        <v>1</v>
      </c>
      <c r="H724" s="293"/>
      <c r="I724" s="315" t="s">
        <v>956</v>
      </c>
      <c r="J724" s="324">
        <f t="shared" si="133"/>
        <v>48.157303370786515</v>
      </c>
      <c r="K724" s="324">
        <f t="shared" si="133"/>
        <v>503.93258426966258</v>
      </c>
      <c r="L724" s="321">
        <f>C731</f>
        <v>46.7191011235955</v>
      </c>
      <c r="M724" s="321">
        <f t="shared" si="134"/>
        <v>489.70037453183522</v>
      </c>
      <c r="N724" s="321">
        <f t="shared" si="135"/>
        <v>78.022471910112358</v>
      </c>
      <c r="O724" s="321">
        <f t="shared" si="135"/>
        <v>804.86891385767831</v>
      </c>
      <c r="P724" s="321">
        <f t="shared" si="136"/>
        <v>28.269662921348313</v>
      </c>
      <c r="Q724" s="321">
        <f t="shared" si="136"/>
        <v>263.6704119850192</v>
      </c>
      <c r="R724" s="318">
        <f t="shared" si="137"/>
        <v>48.741573033707873</v>
      </c>
      <c r="S724" s="318">
        <f t="shared" si="137"/>
        <v>388.20224719101043</v>
      </c>
      <c r="AI724" s="222"/>
    </row>
    <row r="725" spans="1:35" s="260" customFormat="1" ht="17.25" customHeight="1">
      <c r="A725" s="315"/>
      <c r="B725" s="315"/>
      <c r="C725" s="321"/>
      <c r="D725" s="321"/>
      <c r="E725" s="321"/>
      <c r="F725" s="324"/>
      <c r="G725" s="267"/>
      <c r="H725" s="315"/>
      <c r="L725" s="315"/>
      <c r="M725" s="315"/>
      <c r="N725" s="315"/>
      <c r="O725" s="315"/>
      <c r="P725" s="315"/>
      <c r="Q725" s="315"/>
    </row>
    <row r="726" spans="1:35" s="260" customFormat="1" ht="17.25" customHeight="1">
      <c r="B726" s="315"/>
      <c r="C726" s="316" t="s">
        <v>596</v>
      </c>
      <c r="D726" s="321"/>
      <c r="E726" s="321"/>
      <c r="F726" s="324"/>
      <c r="G726" s="267"/>
      <c r="H726" s="315"/>
      <c r="I726" s="315"/>
      <c r="J726" s="315"/>
      <c r="K726" s="315"/>
      <c r="L726" s="315"/>
      <c r="M726" s="315"/>
      <c r="N726" s="315"/>
      <c r="O726" s="315"/>
      <c r="P726" s="315"/>
      <c r="Q726" s="315"/>
    </row>
    <row r="727" spans="1:35" s="260" customFormat="1" ht="17.25" customHeight="1">
      <c r="A727" s="315" t="s">
        <v>492</v>
      </c>
      <c r="B727" s="315"/>
      <c r="C727" s="321">
        <v>20</v>
      </c>
      <c r="D727" s="321">
        <v>0</v>
      </c>
      <c r="E727" s="321">
        <v>1</v>
      </c>
      <c r="F727" s="324">
        <v>2000</v>
      </c>
      <c r="G727" s="267">
        <v>0.38747596415484531</v>
      </c>
      <c r="H727" s="315"/>
      <c r="I727" s="315" t="s">
        <v>958</v>
      </c>
      <c r="J727" s="315"/>
      <c r="K727" s="315"/>
      <c r="L727" s="315"/>
      <c r="M727" s="315"/>
      <c r="N727" s="315"/>
      <c r="O727" s="315"/>
      <c r="P727" s="315"/>
      <c r="Q727" s="315"/>
    </row>
    <row r="728" spans="1:35" s="260" customFormat="1" ht="17.25" customHeight="1">
      <c r="A728" s="315" t="s">
        <v>575</v>
      </c>
      <c r="B728" s="315"/>
      <c r="C728" s="321">
        <v>5.6792053184910332</v>
      </c>
      <c r="D728" s="321">
        <v>278.79255674232314</v>
      </c>
      <c r="E728" s="321">
        <v>0.99594565260474277</v>
      </c>
      <c r="F728" s="324">
        <v>846.71308859142641</v>
      </c>
      <c r="G728" s="267">
        <v>0.16404048518224496</v>
      </c>
      <c r="H728" s="315"/>
      <c r="I728" s="315" t="str">
        <f>C719</f>
        <v>2 MWe NOx 250</v>
      </c>
      <c r="J728" s="315"/>
      <c r="K728" s="315"/>
      <c r="L728" s="315"/>
      <c r="M728" s="315"/>
      <c r="N728" s="315"/>
      <c r="O728" s="315"/>
      <c r="P728" s="315"/>
      <c r="Q728" s="315"/>
    </row>
    <row r="729" spans="1:35" s="260" customFormat="1" ht="17.25" customHeight="1">
      <c r="A729" s="315" t="s">
        <v>493</v>
      </c>
      <c r="B729" s="315"/>
      <c r="C729" s="321">
        <v>9.3800000000000008</v>
      </c>
      <c r="D729" s="321">
        <v>67.499999999999886</v>
      </c>
      <c r="E729" s="321">
        <v>0.99933214603739984</v>
      </c>
      <c r="F729" s="324">
        <v>1005.5</v>
      </c>
      <c r="G729" s="267">
        <v>0.19480354097884847</v>
      </c>
      <c r="H729" s="315"/>
      <c r="I729" s="267" t="str">
        <f>L718</f>
        <v>2 MWe NOx 500</v>
      </c>
      <c r="J729" s="267"/>
      <c r="K729" s="315"/>
      <c r="L729" s="315"/>
      <c r="M729" s="315"/>
      <c r="N729" s="315"/>
      <c r="O729" s="315"/>
      <c r="P729" s="315"/>
      <c r="Q729" s="315"/>
    </row>
    <row r="730" spans="1:35" s="260" customFormat="1" ht="17.25" customHeight="1">
      <c r="A730" s="371" t="s">
        <v>963</v>
      </c>
      <c r="B730" s="371"/>
      <c r="C730" s="494">
        <v>2.02</v>
      </c>
      <c r="D730" s="494">
        <v>-23.833333333333329</v>
      </c>
      <c r="E730" s="494">
        <v>0.99996732453274062</v>
      </c>
      <c r="F730" s="324">
        <v>178.16666666666669</v>
      </c>
      <c r="G730" s="267">
        <v>3.4517650473460802E-2</v>
      </c>
      <c r="H730" s="315"/>
      <c r="I730" s="315" t="str">
        <f>N718</f>
        <v>3.3 MWe</v>
      </c>
      <c r="J730" s="315"/>
      <c r="K730" s="315"/>
      <c r="L730" s="315"/>
      <c r="M730" s="315"/>
      <c r="N730" s="315"/>
      <c r="O730" s="315"/>
      <c r="P730" s="315"/>
      <c r="Q730" s="315"/>
    </row>
    <row r="731" spans="1:35" s="260" customFormat="1" ht="17.25" customHeight="1">
      <c r="A731" s="315" t="s">
        <v>500</v>
      </c>
      <c r="B731" s="315"/>
      <c r="C731" s="321">
        <v>46.7191011235955</v>
      </c>
      <c r="D731" s="321">
        <v>489.70037453183522</v>
      </c>
      <c r="E731" s="321">
        <v>0.99999066850808105</v>
      </c>
      <c r="F731" s="324">
        <v>5161.6104868913853</v>
      </c>
      <c r="G731" s="267">
        <v>1</v>
      </c>
      <c r="H731" s="315"/>
      <c r="I731" s="315" t="str">
        <f>P718</f>
        <v>1.2 MWe</v>
      </c>
      <c r="J731" s="315"/>
      <c r="K731" s="315"/>
      <c r="L731" s="315"/>
      <c r="M731" s="315"/>
      <c r="N731" s="315"/>
      <c r="O731" s="315"/>
      <c r="P731" s="315"/>
      <c r="Q731" s="315"/>
    </row>
    <row r="732" spans="1:35" s="260" customFormat="1" ht="17.25" customHeight="1">
      <c r="A732" s="315"/>
      <c r="B732" s="315"/>
      <c r="C732" s="321"/>
      <c r="D732" s="321"/>
      <c r="E732" s="321"/>
      <c r="F732" s="324"/>
      <c r="G732" s="267"/>
      <c r="H732" s="315"/>
      <c r="I732" s="315" t="str">
        <f>R718</f>
        <v>G3516H - 500 Nox</v>
      </c>
      <c r="J732" s="315"/>
      <c r="K732" s="315"/>
      <c r="L732" s="315"/>
      <c r="M732" s="315"/>
      <c r="N732" s="315"/>
      <c r="O732" s="315"/>
      <c r="P732" s="315"/>
      <c r="Q732" s="315"/>
    </row>
    <row r="733" spans="1:35" s="260" customFormat="1" ht="17.25" customHeight="1">
      <c r="B733" s="315"/>
      <c r="C733" s="316" t="s">
        <v>924</v>
      </c>
      <c r="D733" s="319"/>
      <c r="E733" s="319"/>
      <c r="F733" s="324"/>
      <c r="G733" s="319"/>
      <c r="H733" s="315"/>
      <c r="I733" s="315"/>
      <c r="J733" s="315"/>
      <c r="K733" s="315"/>
      <c r="L733" s="315"/>
      <c r="M733" s="315"/>
      <c r="N733" s="315"/>
      <c r="O733" s="315"/>
      <c r="P733" s="315"/>
      <c r="Q733" s="315"/>
    </row>
    <row r="734" spans="1:35" s="260" customFormat="1" ht="17.25" customHeight="1">
      <c r="A734" s="315" t="s">
        <v>492</v>
      </c>
      <c r="B734" s="315"/>
      <c r="C734" s="321">
        <v>33.32</v>
      </c>
      <c r="D734" s="321">
        <v>0.66666666666651508</v>
      </c>
      <c r="E734" s="321">
        <v>0.99999951961600009</v>
      </c>
      <c r="F734" s="324">
        <f t="shared" si="132"/>
        <v>3332.6666666666665</v>
      </c>
      <c r="G734" s="267">
        <f>F734/$F$738</f>
        <v>0.38719899047038858</v>
      </c>
      <c r="H734" s="315"/>
      <c r="I734" s="315"/>
      <c r="J734" s="315"/>
      <c r="K734" s="315"/>
      <c r="L734" s="315"/>
      <c r="M734" s="315"/>
      <c r="N734" s="315"/>
      <c r="O734" s="315"/>
      <c r="P734" s="315"/>
      <c r="Q734" s="315"/>
    </row>
    <row r="735" spans="1:35" s="260" customFormat="1" ht="17.25" customHeight="1">
      <c r="A735" s="315" t="s">
        <v>575</v>
      </c>
      <c r="B735" s="315"/>
      <c r="C735" s="321">
        <v>10.704736842105262</v>
      </c>
      <c r="D735" s="321">
        <v>510.14791507754887</v>
      </c>
      <c r="E735" s="321">
        <v>0.99981149013078574</v>
      </c>
      <c r="F735" s="324">
        <f t="shared" si="132"/>
        <v>1580.6215992880752</v>
      </c>
      <c r="G735" s="267">
        <f>F735/$F$738</f>
        <v>0.18364125451891392</v>
      </c>
      <c r="H735" s="315"/>
      <c r="I735" s="315"/>
      <c r="J735" s="315"/>
      <c r="K735" s="315"/>
      <c r="L735" s="315"/>
      <c r="M735" s="315"/>
      <c r="N735" s="315"/>
      <c r="O735" s="315"/>
      <c r="P735" s="315"/>
      <c r="Q735" s="315"/>
    </row>
    <row r="736" spans="1:35" s="260" customFormat="1" ht="17.25" customHeight="1">
      <c r="A736" s="315" t="s">
        <v>493</v>
      </c>
      <c r="B736" s="315"/>
      <c r="C736" s="321">
        <v>12.6</v>
      </c>
      <c r="D736" s="321">
        <v>-112</v>
      </c>
      <c r="E736" s="321">
        <v>0.99806874075862273</v>
      </c>
      <c r="F736" s="324">
        <f t="shared" si="132"/>
        <v>1148</v>
      </c>
      <c r="G736" s="267">
        <f>F736/$F$738</f>
        <v>0.13337800791958573</v>
      </c>
      <c r="H736" s="315"/>
      <c r="I736" s="315"/>
      <c r="J736" s="315"/>
      <c r="K736" s="315"/>
      <c r="L736" s="315"/>
      <c r="M736" s="315"/>
      <c r="N736" s="315"/>
      <c r="O736" s="315"/>
      <c r="P736" s="315"/>
      <c r="Q736" s="315"/>
    </row>
    <row r="737" spans="1:17" s="260" customFormat="1" ht="17.25" customHeight="1">
      <c r="A737" s="315" t="s">
        <v>963</v>
      </c>
      <c r="B737" s="315"/>
      <c r="C737" s="321">
        <v>2.02</v>
      </c>
      <c r="D737" s="321">
        <v>188.5</v>
      </c>
      <c r="E737" s="321">
        <v>0.95265222263728</v>
      </c>
      <c r="F737" s="324">
        <f t="shared" si="132"/>
        <v>390.5</v>
      </c>
      <c r="G737" s="267">
        <f>F737/$F$738</f>
        <v>4.5369435620730168E-2</v>
      </c>
      <c r="H737" s="315"/>
      <c r="I737" s="315"/>
      <c r="J737" s="315"/>
      <c r="K737" s="315"/>
      <c r="L737" s="315"/>
      <c r="M737" s="315"/>
      <c r="N737" s="315"/>
      <c r="O737" s="315"/>
      <c r="P737" s="315"/>
      <c r="Q737" s="315"/>
    </row>
    <row r="738" spans="1:17" s="260" customFormat="1" ht="17.25" customHeight="1">
      <c r="A738" s="315" t="s">
        <v>500</v>
      </c>
      <c r="B738" s="315"/>
      <c r="C738" s="321">
        <v>78.022471910112358</v>
      </c>
      <c r="D738" s="321">
        <v>804.86891385767831</v>
      </c>
      <c r="E738" s="321">
        <v>0.99998893950662193</v>
      </c>
      <c r="F738" s="324">
        <f t="shared" si="132"/>
        <v>8607.1161048689137</v>
      </c>
      <c r="G738" s="267">
        <f>F738/$F$738</f>
        <v>1</v>
      </c>
      <c r="H738" s="315"/>
      <c r="I738" s="315"/>
      <c r="J738" s="315"/>
      <c r="K738" s="315"/>
      <c r="L738" s="315"/>
      <c r="M738" s="315"/>
      <c r="N738" s="315"/>
      <c r="O738" s="315"/>
      <c r="P738" s="315"/>
      <c r="Q738" s="315"/>
    </row>
    <row r="739" spans="1:17" s="260" customFormat="1" ht="17.25" customHeight="1">
      <c r="A739" s="315"/>
      <c r="B739" s="315"/>
      <c r="C739" s="321"/>
      <c r="D739" s="321"/>
      <c r="E739" s="321"/>
      <c r="F739" s="324"/>
      <c r="G739" s="267"/>
      <c r="H739" s="315"/>
      <c r="I739" s="315"/>
      <c r="J739" s="315"/>
      <c r="K739" s="315"/>
      <c r="L739" s="315"/>
      <c r="M739" s="315"/>
      <c r="N739" s="315"/>
      <c r="O739" s="315"/>
      <c r="P739" s="315"/>
      <c r="Q739" s="315"/>
    </row>
    <row r="740" spans="1:17" s="260" customFormat="1" ht="17.25" customHeight="1">
      <c r="B740" s="315"/>
      <c r="C740" s="316" t="s">
        <v>926</v>
      </c>
      <c r="D740" s="319"/>
      <c r="E740" s="319"/>
      <c r="F740" s="324"/>
      <c r="G740" s="319"/>
      <c r="H740" s="315"/>
      <c r="I740" s="315"/>
      <c r="J740" s="315"/>
      <c r="K740" s="315"/>
      <c r="L740" s="315"/>
      <c r="M740" s="315"/>
      <c r="N740" s="315"/>
      <c r="O740" s="315"/>
      <c r="P740" s="315"/>
      <c r="Q740" s="315"/>
    </row>
    <row r="741" spans="1:17" s="260" customFormat="1" ht="17.25" customHeight="1">
      <c r="A741" s="315" t="s">
        <v>492</v>
      </c>
      <c r="B741" s="315"/>
      <c r="C741" s="321">
        <v>12</v>
      </c>
      <c r="D741" s="321">
        <v>0</v>
      </c>
      <c r="E741" s="321">
        <v>0.99999999999999956</v>
      </c>
      <c r="F741" s="324">
        <f t="shared" si="132"/>
        <v>1200</v>
      </c>
      <c r="G741" s="267">
        <f>F741/$F$745</f>
        <v>0.38826951042171592</v>
      </c>
      <c r="H741" s="315"/>
      <c r="I741" s="315"/>
      <c r="J741" s="315"/>
      <c r="K741" s="315"/>
      <c r="L741" s="315"/>
      <c r="M741" s="315"/>
      <c r="N741" s="315"/>
      <c r="O741" s="315"/>
      <c r="P741" s="315"/>
      <c r="Q741" s="315"/>
    </row>
    <row r="742" spans="1:17" s="260" customFormat="1" ht="17.25" customHeight="1">
      <c r="A742" s="315" t="s">
        <v>575</v>
      </c>
      <c r="B742" s="315"/>
      <c r="C742" s="321">
        <v>3.6107104847669702</v>
      </c>
      <c r="D742" s="321">
        <v>144.52075658343585</v>
      </c>
      <c r="E742" s="321">
        <v>0.99717185508199269</v>
      </c>
      <c r="F742" s="324">
        <f t="shared" si="132"/>
        <v>505.59180506013286</v>
      </c>
      <c r="G742" s="267">
        <f>F742/$F$745</f>
        <v>0.16358823551994117</v>
      </c>
      <c r="H742" s="315"/>
      <c r="I742" s="315"/>
      <c r="J742" s="315"/>
      <c r="K742" s="315"/>
      <c r="L742" s="315"/>
      <c r="M742" s="315"/>
      <c r="N742" s="315"/>
      <c r="O742" s="315"/>
      <c r="P742" s="315"/>
      <c r="Q742" s="315"/>
    </row>
    <row r="743" spans="1:17" s="260" customFormat="1" ht="17.25" customHeight="1">
      <c r="A743" s="315" t="s">
        <v>493</v>
      </c>
      <c r="B743" s="315"/>
      <c r="C743" s="321">
        <v>5.46</v>
      </c>
      <c r="D743" s="321">
        <v>61.833333333333314</v>
      </c>
      <c r="E743" s="321">
        <v>0.99978089395267267</v>
      </c>
      <c r="F743" s="324">
        <f t="shared" si="132"/>
        <v>607.83333333333326</v>
      </c>
      <c r="G743" s="267">
        <f>F743/$F$745</f>
        <v>0.19666929229277746</v>
      </c>
      <c r="H743" s="315"/>
      <c r="I743" s="315"/>
      <c r="J743" s="315"/>
      <c r="K743" s="315"/>
      <c r="L743" s="315"/>
      <c r="M743" s="315"/>
      <c r="N743" s="315"/>
      <c r="O743" s="315"/>
      <c r="P743" s="315"/>
      <c r="Q743" s="315"/>
    </row>
    <row r="744" spans="1:17" ht="17.25" customHeight="1">
      <c r="A744" s="315" t="s">
        <v>963</v>
      </c>
      <c r="B744" s="315"/>
      <c r="C744" s="321">
        <v>0</v>
      </c>
      <c r="D744" s="321">
        <v>0</v>
      </c>
      <c r="E744" s="321" t="e">
        <v>#DIV/0!</v>
      </c>
      <c r="F744" s="324">
        <f t="shared" si="132"/>
        <v>0</v>
      </c>
      <c r="G744" s="267">
        <f>F744/$F$745</f>
        <v>0</v>
      </c>
      <c r="H744"/>
      <c r="I744"/>
      <c r="J744"/>
      <c r="K744"/>
      <c r="L744"/>
      <c r="M744"/>
      <c r="N744"/>
      <c r="O744"/>
      <c r="P744"/>
      <c r="Q744"/>
    </row>
    <row r="745" spans="1:17" ht="17.25" customHeight="1">
      <c r="A745" s="315" t="s">
        <v>500</v>
      </c>
      <c r="B745" s="315"/>
      <c r="C745" s="321">
        <v>28.269662921348313</v>
      </c>
      <c r="D745" s="321">
        <v>263.6704119850192</v>
      </c>
      <c r="E745" s="321">
        <v>0.99999662995281091</v>
      </c>
      <c r="F745" s="324">
        <f t="shared" si="132"/>
        <v>3090.6367041198505</v>
      </c>
      <c r="G745" s="267">
        <f>F745/$F$745</f>
        <v>1</v>
      </c>
      <c r="H745"/>
      <c r="I745"/>
      <c r="J745"/>
      <c r="K745"/>
      <c r="L745"/>
      <c r="M745"/>
      <c r="N745"/>
      <c r="O745"/>
      <c r="P745"/>
      <c r="Q745"/>
    </row>
    <row r="746" spans="1:17" s="260" customFormat="1" ht="17.25" customHeight="1">
      <c r="A746" s="315"/>
      <c r="B746" s="315"/>
      <c r="C746" s="321"/>
      <c r="D746" s="321"/>
      <c r="E746" s="321"/>
      <c r="F746" s="324">
        <f t="shared" si="132"/>
        <v>0</v>
      </c>
      <c r="G746" s="267"/>
      <c r="H746" s="315"/>
      <c r="I746" s="315"/>
      <c r="J746" s="315"/>
      <c r="K746" s="315"/>
      <c r="L746" s="315"/>
      <c r="M746" s="315"/>
      <c r="N746" s="315"/>
      <c r="O746" s="315"/>
      <c r="P746" s="315"/>
      <c r="Q746" s="315"/>
    </row>
    <row r="747" spans="1:17" s="260" customFormat="1" ht="17.25" customHeight="1">
      <c r="B747" s="315"/>
      <c r="C747" s="316" t="s">
        <v>962</v>
      </c>
      <c r="D747" s="319"/>
      <c r="E747" s="319"/>
      <c r="F747" s="324"/>
      <c r="G747" s="319"/>
      <c r="H747" s="315"/>
      <c r="I747" s="315"/>
      <c r="J747" s="315"/>
      <c r="K747" s="315"/>
      <c r="L747" s="315"/>
      <c r="M747" s="315"/>
      <c r="N747" s="315"/>
      <c r="O747" s="315"/>
      <c r="P747" s="315"/>
      <c r="Q747" s="315"/>
    </row>
    <row r="748" spans="1:17" s="260" customFormat="1" ht="17.25" customHeight="1">
      <c r="A748" s="315" t="s">
        <v>492</v>
      </c>
      <c r="B748" s="315"/>
      <c r="C748" s="321">
        <v>20</v>
      </c>
      <c r="D748" s="321">
        <v>0</v>
      </c>
      <c r="E748" s="321">
        <v>1</v>
      </c>
      <c r="F748" s="324">
        <v>2000</v>
      </c>
      <c r="G748" s="267">
        <v>0.38005764919397889</v>
      </c>
      <c r="H748" s="315"/>
      <c r="I748" s="315"/>
      <c r="J748" s="315"/>
      <c r="K748" s="315"/>
      <c r="L748" s="315"/>
      <c r="M748" s="315"/>
      <c r="N748" s="315"/>
      <c r="O748" s="315"/>
      <c r="P748" s="315"/>
      <c r="Q748" s="315"/>
    </row>
    <row r="749" spans="1:17" s="260" customFormat="1" ht="17.25" customHeight="1">
      <c r="A749" s="315" t="s">
        <v>575</v>
      </c>
      <c r="B749" s="315"/>
      <c r="C749" s="321">
        <v>4.2702470078940653</v>
      </c>
      <c r="D749" s="321">
        <v>315.98060436295742</v>
      </c>
      <c r="E749" s="321">
        <v>0.99616657968602007</v>
      </c>
      <c r="F749" s="324">
        <v>743.00530515236392</v>
      </c>
      <c r="G749" s="267">
        <v>0.14119242480743116</v>
      </c>
      <c r="H749" s="315"/>
      <c r="I749" s="315"/>
      <c r="J749" s="315"/>
      <c r="K749" s="315"/>
      <c r="L749" s="315"/>
      <c r="M749" s="315"/>
      <c r="N749" s="315"/>
      <c r="O749" s="315"/>
      <c r="P749" s="315"/>
      <c r="Q749" s="315"/>
    </row>
    <row r="750" spans="1:17" s="260" customFormat="1" ht="17.25" customHeight="1">
      <c r="A750" s="315" t="s">
        <v>493</v>
      </c>
      <c r="B750" s="315"/>
      <c r="C750" s="321">
        <v>3</v>
      </c>
      <c r="D750" s="321">
        <v>172.66666666666669</v>
      </c>
      <c r="E750" s="321">
        <v>0.99976301913620436</v>
      </c>
      <c r="F750" s="324">
        <v>472.66666666666669</v>
      </c>
      <c r="G750" s="267">
        <v>8.9820291092843674E-2</v>
      </c>
      <c r="H750" s="315"/>
      <c r="I750" s="315"/>
      <c r="J750" s="315"/>
      <c r="K750" s="315"/>
      <c r="L750" s="315"/>
      <c r="M750" s="315"/>
      <c r="N750" s="315"/>
      <c r="O750" s="315"/>
      <c r="P750" s="315"/>
      <c r="Q750" s="315"/>
    </row>
    <row r="751" spans="1:17" s="260" customFormat="1" ht="17.25" customHeight="1">
      <c r="A751" s="315" t="s">
        <v>925</v>
      </c>
      <c r="B751" s="315"/>
      <c r="C751" s="321">
        <v>7.06</v>
      </c>
      <c r="D751" s="321">
        <v>-147.83333333333331</v>
      </c>
      <c r="E751" s="321">
        <v>0.99552339763733355</v>
      </c>
      <c r="F751" s="324">
        <v>558.16666666666674</v>
      </c>
      <c r="G751" s="267">
        <v>0.10606775559588628</v>
      </c>
      <c r="H751" s="315"/>
      <c r="I751" s="315"/>
      <c r="J751" s="315"/>
      <c r="K751" s="315"/>
      <c r="L751" s="315"/>
      <c r="M751" s="315"/>
      <c r="N751" s="315"/>
      <c r="O751" s="315"/>
      <c r="P751" s="315"/>
      <c r="Q751" s="315"/>
    </row>
    <row r="752" spans="1:17" s="260" customFormat="1" ht="17.25" customHeight="1">
      <c r="A752" s="315" t="s">
        <v>500</v>
      </c>
      <c r="B752" s="315"/>
      <c r="C752" s="321">
        <v>48.741573033707873</v>
      </c>
      <c r="D752" s="321">
        <v>388.20224719101043</v>
      </c>
      <c r="E752" s="321">
        <v>0.99989224385279885</v>
      </c>
      <c r="F752" s="324">
        <v>5262.3595505617977</v>
      </c>
      <c r="G752" s="267">
        <v>1</v>
      </c>
      <c r="H752" s="315"/>
      <c r="I752" s="315"/>
      <c r="J752" s="315"/>
      <c r="K752" s="315"/>
      <c r="L752" s="315"/>
      <c r="M752" s="315"/>
      <c r="N752" s="315"/>
      <c r="O752" s="315"/>
      <c r="P752" s="315"/>
      <c r="Q752" s="315"/>
    </row>
    <row r="753" spans="1:17" s="260" customFormat="1" ht="17.25" customHeight="1">
      <c r="A753" s="315"/>
      <c r="B753" s="315"/>
      <c r="C753" s="321"/>
      <c r="D753" s="321"/>
      <c r="E753" s="321"/>
      <c r="F753" s="324"/>
      <c r="G753" s="267"/>
      <c r="H753" s="315"/>
      <c r="I753" s="315"/>
      <c r="J753" s="315"/>
      <c r="K753" s="315"/>
      <c r="L753" s="315"/>
      <c r="M753" s="315"/>
      <c r="N753" s="315"/>
      <c r="O753" s="315"/>
      <c r="P753" s="315"/>
      <c r="Q753" s="315"/>
    </row>
    <row r="754" spans="1:17" s="260" customFormat="1" ht="17.25" customHeight="1">
      <c r="A754" s="315"/>
      <c r="B754" s="315"/>
      <c r="C754" s="321"/>
      <c r="D754" s="321"/>
      <c r="E754" s="321"/>
      <c r="F754" s="324"/>
      <c r="G754" s="267"/>
      <c r="H754" s="315"/>
      <c r="I754" s="315"/>
      <c r="J754" s="315"/>
      <c r="K754" s="315"/>
      <c r="L754" s="315"/>
      <c r="M754" s="315"/>
      <c r="N754" s="315"/>
      <c r="O754" s="315"/>
      <c r="P754" s="315"/>
      <c r="Q754" s="315"/>
    </row>
    <row r="755" spans="1:17" s="260" customFormat="1" ht="17.25" customHeight="1">
      <c r="A755" s="315"/>
      <c r="B755" s="315"/>
      <c r="C755" s="321"/>
      <c r="D755" s="321"/>
      <c r="E755" s="321"/>
      <c r="F755" s="324"/>
      <c r="G755" s="267"/>
      <c r="H755" s="315"/>
      <c r="I755" s="315"/>
      <c r="J755" s="315"/>
      <c r="K755" s="315"/>
      <c r="L755" s="315"/>
      <c r="M755" s="315"/>
      <c r="N755" s="315"/>
      <c r="O755" s="315"/>
      <c r="P755" s="315"/>
      <c r="Q755" s="315"/>
    </row>
    <row r="756" spans="1:17" s="533" customFormat="1" ht="17.25" customHeight="1" thickBot="1">
      <c r="A756" s="533" t="s">
        <v>902</v>
      </c>
    </row>
    <row r="757" spans="1:17" ht="17.25" customHeight="1" thickTop="1"/>
    <row r="758" spans="1:17" ht="17.25" customHeight="1">
      <c r="A758" s="87" t="s">
        <v>900</v>
      </c>
    </row>
    <row r="759" spans="1:17" ht="17.25" customHeight="1">
      <c r="A759" s="128" t="s">
        <v>899</v>
      </c>
      <c r="B759" s="128" t="s">
        <v>892</v>
      </c>
      <c r="C759" s="318">
        <v>9.82</v>
      </c>
      <c r="D759" s="318"/>
      <c r="E759" s="318"/>
      <c r="F759" s="318"/>
      <c r="G759" s="318"/>
      <c r="H759" s="318"/>
      <c r="I759" s="318"/>
      <c r="J759" s="318"/>
      <c r="K759" s="318"/>
    </row>
    <row r="760" spans="1:17" ht="17.25" customHeight="1">
      <c r="A760" s="128" t="s">
        <v>881</v>
      </c>
      <c r="B760" s="128" t="s">
        <v>3</v>
      </c>
      <c r="C760" s="318">
        <v>4</v>
      </c>
      <c r="D760" s="318">
        <v>4</v>
      </c>
      <c r="E760" s="318">
        <v>4</v>
      </c>
      <c r="F760" s="318">
        <v>4</v>
      </c>
      <c r="G760" s="318">
        <v>4</v>
      </c>
      <c r="H760" s="318">
        <v>3.7</v>
      </c>
      <c r="I760" s="318">
        <v>3.6</v>
      </c>
      <c r="J760" s="318">
        <v>3.6</v>
      </c>
      <c r="K760" s="318">
        <v>3.6</v>
      </c>
    </row>
    <row r="761" spans="1:17" ht="17.25" customHeight="1">
      <c r="A761" s="128" t="s">
        <v>882</v>
      </c>
      <c r="B761" s="128" t="s">
        <v>3</v>
      </c>
      <c r="C761" s="318">
        <v>3.6</v>
      </c>
      <c r="D761" s="318">
        <v>3.4</v>
      </c>
      <c r="E761" s="318">
        <v>3.3</v>
      </c>
      <c r="F761" s="318">
        <v>3.1</v>
      </c>
      <c r="G761" s="318">
        <v>3</v>
      </c>
      <c r="H761" s="318">
        <v>3.2</v>
      </c>
      <c r="I761" s="318">
        <v>3.2</v>
      </c>
      <c r="J761" s="318">
        <v>3.4</v>
      </c>
      <c r="K761" s="318">
        <v>3.3</v>
      </c>
    </row>
    <row r="762" spans="1:17" ht="17.25" customHeight="1">
      <c r="A762" s="128" t="s">
        <v>878</v>
      </c>
      <c r="B762" s="128" t="s">
        <v>879</v>
      </c>
      <c r="C762" s="318">
        <v>0</v>
      </c>
      <c r="D762" s="318">
        <v>0</v>
      </c>
      <c r="E762" s="318">
        <v>0</v>
      </c>
      <c r="F762" s="318">
        <v>0</v>
      </c>
      <c r="G762" s="318">
        <v>0</v>
      </c>
      <c r="H762" s="318">
        <v>0</v>
      </c>
      <c r="I762" s="318">
        <v>0</v>
      </c>
      <c r="J762" s="318">
        <v>0</v>
      </c>
      <c r="K762" s="318">
        <v>0</v>
      </c>
    </row>
    <row r="763" spans="1:17" ht="17.25" customHeight="1">
      <c r="A763" s="128" t="s">
        <v>880</v>
      </c>
      <c r="B763" s="128" t="s">
        <v>879</v>
      </c>
      <c r="C763" s="318">
        <v>93</v>
      </c>
      <c r="D763" s="318">
        <v>94</v>
      </c>
      <c r="E763" s="318">
        <v>94</v>
      </c>
      <c r="F763" s="318">
        <v>97</v>
      </c>
      <c r="G763" s="318">
        <v>98</v>
      </c>
      <c r="H763" s="318">
        <v>104</v>
      </c>
      <c r="I763" s="318">
        <v>114</v>
      </c>
      <c r="J763" s="318">
        <v>118</v>
      </c>
      <c r="K763" s="318">
        <v>123</v>
      </c>
    </row>
    <row r="764" spans="1:17" ht="17.25" customHeight="1">
      <c r="A764" s="128" t="s">
        <v>883</v>
      </c>
      <c r="B764" s="128" t="s">
        <v>3</v>
      </c>
      <c r="C764" s="318">
        <v>5.3</v>
      </c>
      <c r="D764" s="318">
        <v>5.2</v>
      </c>
      <c r="E764" s="318">
        <v>5.2</v>
      </c>
      <c r="F764" s="318">
        <v>5.2</v>
      </c>
      <c r="G764" s="318">
        <v>5.2</v>
      </c>
      <c r="H764" s="318">
        <v>5.2</v>
      </c>
      <c r="I764" s="318">
        <v>5.2</v>
      </c>
      <c r="J764" s="318">
        <v>5.3</v>
      </c>
      <c r="K764" s="318">
        <v>5.3</v>
      </c>
    </row>
    <row r="765" spans="1:17" ht="17.25" customHeight="1">
      <c r="A765" s="128" t="s">
        <v>873</v>
      </c>
      <c r="B765" s="128" t="s">
        <v>3</v>
      </c>
      <c r="C765" s="318">
        <v>94.7</v>
      </c>
      <c r="D765" s="318">
        <v>94.8</v>
      </c>
      <c r="E765" s="318">
        <v>94.8</v>
      </c>
      <c r="F765" s="318">
        <v>94.8</v>
      </c>
      <c r="G765" s="318">
        <v>94.8</v>
      </c>
      <c r="H765" s="318">
        <v>94.8</v>
      </c>
      <c r="I765" s="318">
        <v>94.8</v>
      </c>
      <c r="J765" s="318">
        <v>94.7</v>
      </c>
      <c r="K765" s="318">
        <v>94.7</v>
      </c>
    </row>
    <row r="766" spans="1:17" ht="17.25" customHeight="1">
      <c r="A766" s="128" t="s">
        <v>884</v>
      </c>
      <c r="B766" s="128" t="s">
        <v>273</v>
      </c>
      <c r="C766" s="318">
        <v>3.2</v>
      </c>
      <c r="D766" s="318">
        <v>5.7</v>
      </c>
      <c r="E766" s="318">
        <v>8.1999999999999993</v>
      </c>
      <c r="F766" s="318">
        <v>10.6</v>
      </c>
      <c r="G766" s="318">
        <v>13.1</v>
      </c>
      <c r="H766" s="318">
        <v>15.4</v>
      </c>
      <c r="I766" s="318">
        <v>17.7</v>
      </c>
      <c r="J766" s="318">
        <v>19.8</v>
      </c>
      <c r="K766" s="318">
        <v>22</v>
      </c>
    </row>
    <row r="767" spans="1:17" ht="17.25" customHeight="1">
      <c r="A767" s="128" t="s">
        <v>885</v>
      </c>
      <c r="B767" s="128" t="s">
        <v>26</v>
      </c>
      <c r="C767" s="318">
        <v>18.5</v>
      </c>
      <c r="D767" s="318">
        <v>18.5</v>
      </c>
      <c r="E767" s="318">
        <v>18.5</v>
      </c>
      <c r="F767" s="318">
        <v>18.5</v>
      </c>
      <c r="G767" s="318">
        <v>18.5</v>
      </c>
      <c r="H767" s="318">
        <v>18.5</v>
      </c>
      <c r="I767" s="318">
        <v>18.5</v>
      </c>
      <c r="J767" s="318">
        <v>18.5</v>
      </c>
      <c r="K767" s="318">
        <v>18.5</v>
      </c>
    </row>
    <row r="768" spans="1:17" ht="17.25" customHeight="1">
      <c r="A768" s="128" t="s">
        <v>889</v>
      </c>
      <c r="B768" s="128" t="s">
        <v>886</v>
      </c>
      <c r="C768" s="318">
        <v>5800</v>
      </c>
      <c r="D768" s="318">
        <v>5800</v>
      </c>
      <c r="E768" s="318">
        <v>5800</v>
      </c>
      <c r="F768" s="318">
        <v>5800</v>
      </c>
      <c r="G768" s="318">
        <v>5800</v>
      </c>
      <c r="H768" s="318">
        <v>5800</v>
      </c>
      <c r="I768" s="318">
        <v>5700</v>
      </c>
      <c r="J768" s="318">
        <v>5600</v>
      </c>
      <c r="K768" s="318">
        <v>5600</v>
      </c>
    </row>
    <row r="769" spans="1:24" ht="17.25" customHeight="1">
      <c r="A769" s="128" t="s">
        <v>890</v>
      </c>
      <c r="B769" s="128" t="s">
        <v>886</v>
      </c>
      <c r="C769" s="318">
        <v>215</v>
      </c>
      <c r="D769" s="318">
        <v>215</v>
      </c>
      <c r="E769" s="318">
        <v>215</v>
      </c>
      <c r="F769" s="318">
        <v>215</v>
      </c>
      <c r="G769" s="318">
        <v>210</v>
      </c>
      <c r="H769" s="318">
        <v>210</v>
      </c>
      <c r="I769" s="318">
        <v>200</v>
      </c>
      <c r="J769" s="318">
        <v>200</v>
      </c>
      <c r="K769" s="318">
        <v>200</v>
      </c>
    </row>
    <row r="770" spans="1:24" ht="17.25" customHeight="1">
      <c r="A770" s="128" t="s">
        <v>891</v>
      </c>
      <c r="B770" s="128" t="s">
        <v>886</v>
      </c>
      <c r="C770" s="318">
        <v>2</v>
      </c>
      <c r="D770" s="318">
        <v>7</v>
      </c>
      <c r="E770" s="318">
        <v>14</v>
      </c>
      <c r="F770" s="318">
        <v>25</v>
      </c>
      <c r="G770" s="318">
        <v>37</v>
      </c>
      <c r="H770" s="318">
        <v>51</v>
      </c>
      <c r="I770" s="318">
        <v>70</v>
      </c>
      <c r="J770" s="318">
        <v>91</v>
      </c>
      <c r="K770" s="318">
        <v>111</v>
      </c>
    </row>
    <row r="771" spans="1:24" ht="17.25" customHeight="1">
      <c r="A771" s="128" t="s">
        <v>887</v>
      </c>
      <c r="B771" s="128" t="s">
        <v>888</v>
      </c>
      <c r="C771" s="318">
        <v>225</v>
      </c>
      <c r="D771" s="318">
        <v>400</v>
      </c>
      <c r="E771" s="318">
        <v>577</v>
      </c>
      <c r="F771" s="318">
        <v>750</v>
      </c>
      <c r="G771" s="318">
        <v>925</v>
      </c>
      <c r="H771" s="318">
        <v>1090</v>
      </c>
      <c r="I771" s="318">
        <v>1250</v>
      </c>
      <c r="J771" s="318">
        <v>1400</v>
      </c>
      <c r="K771" s="318">
        <v>1555</v>
      </c>
    </row>
    <row r="772" spans="1:24" s="260" customFormat="1" ht="17.25" customHeight="1">
      <c r="A772" s="298" t="s">
        <v>752</v>
      </c>
      <c r="B772" s="298" t="s">
        <v>3</v>
      </c>
      <c r="C772" s="318">
        <f>C765*0.9</f>
        <v>85.23</v>
      </c>
      <c r="D772" s="318">
        <f t="shared" ref="D772:K772" si="138">D765*0.9</f>
        <v>85.32</v>
      </c>
      <c r="E772" s="318">
        <f t="shared" si="138"/>
        <v>85.32</v>
      </c>
      <c r="F772" s="318">
        <f t="shared" si="138"/>
        <v>85.32</v>
      </c>
      <c r="G772" s="318">
        <f t="shared" si="138"/>
        <v>85.32</v>
      </c>
      <c r="H772" s="318">
        <f t="shared" si="138"/>
        <v>85.32</v>
      </c>
      <c r="I772" s="318">
        <f t="shared" si="138"/>
        <v>85.32</v>
      </c>
      <c r="J772" s="318">
        <f t="shared" si="138"/>
        <v>85.23</v>
      </c>
      <c r="K772" s="318">
        <f t="shared" si="138"/>
        <v>85.23</v>
      </c>
    </row>
    <row r="773" spans="1:24" s="260" customFormat="1" ht="17.25" customHeight="1"/>
    <row r="774" spans="1:24" ht="17.25" customHeight="1">
      <c r="A774" s="325" t="s">
        <v>901</v>
      </c>
    </row>
    <row r="775" spans="1:24" s="260" customFormat="1" ht="17.25" customHeight="1">
      <c r="A775" s="298" t="s">
        <v>383</v>
      </c>
      <c r="C775" s="335">
        <v>1.1703824383738488</v>
      </c>
    </row>
    <row r="776" spans="1:24" s="260" customFormat="1" ht="17.25" customHeight="1">
      <c r="A776" s="298" t="s">
        <v>384</v>
      </c>
      <c r="C776" s="335">
        <v>5.2546718406271823E-3</v>
      </c>
    </row>
    <row r="777" spans="1:24" s="260" customFormat="1" ht="17.25" customHeight="1">
      <c r="A777" s="298" t="s">
        <v>896</v>
      </c>
      <c r="B777" s="298" t="s">
        <v>19</v>
      </c>
      <c r="C777" s="38" t="e">
        <f ca="1">Model!I150</f>
        <v>#NAME?</v>
      </c>
    </row>
    <row r="778" spans="1:24" s="260" customFormat="1" ht="17.25" customHeight="1">
      <c r="A778" s="298"/>
      <c r="C778" s="298"/>
    </row>
    <row r="779" spans="1:24" ht="17.25" customHeight="1">
      <c r="A779" s="298" t="s">
        <v>895</v>
      </c>
      <c r="B779" s="128" t="s">
        <v>273</v>
      </c>
      <c r="C779" s="318">
        <v>3.0554226702372156</v>
      </c>
      <c r="D779" s="318">
        <v>5.345737882031206</v>
      </c>
      <c r="E779" s="318">
        <v>5.5784552600940751</v>
      </c>
      <c r="F779" s="318">
        <v>5.5372481060271381</v>
      </c>
      <c r="G779" s="318">
        <v>6.3540589827731209</v>
      </c>
      <c r="H779" s="318">
        <v>8.354906939299017</v>
      </c>
      <c r="I779" s="318">
        <v>10.545120633662581</v>
      </c>
      <c r="J779" s="318">
        <v>15.863239184797846</v>
      </c>
      <c r="K779" s="318">
        <v>20.507061395666256</v>
      </c>
      <c r="L779" s="318">
        <v>21.352508274384356</v>
      </c>
    </row>
    <row r="780" spans="1:24" ht="17.25" customHeight="1">
      <c r="A780" s="298" t="s">
        <v>893</v>
      </c>
      <c r="B780" s="298" t="s">
        <v>3</v>
      </c>
      <c r="C780" s="483">
        <v>0.83499999999999996</v>
      </c>
      <c r="D780" s="483">
        <f>C780+0.002</f>
        <v>0.83699999999999997</v>
      </c>
      <c r="E780" s="483">
        <f t="shared" ref="E780:L780" si="139">D780+0.002</f>
        <v>0.83899999999999997</v>
      </c>
      <c r="F780" s="483">
        <f t="shared" si="139"/>
        <v>0.84099999999999997</v>
      </c>
      <c r="G780" s="483">
        <f t="shared" si="139"/>
        <v>0.84299999999999997</v>
      </c>
      <c r="H780" s="483">
        <f t="shared" si="139"/>
        <v>0.84499999999999997</v>
      </c>
      <c r="I780" s="483">
        <f t="shared" si="139"/>
        <v>0.84699999999999998</v>
      </c>
      <c r="J780" s="483">
        <f t="shared" si="139"/>
        <v>0.84899999999999998</v>
      </c>
      <c r="K780" s="483">
        <f t="shared" si="139"/>
        <v>0.85099999999999998</v>
      </c>
      <c r="L780" s="483">
        <f t="shared" si="139"/>
        <v>0.85299999999999998</v>
      </c>
      <c r="O780" s="260"/>
      <c r="P780" s="260"/>
      <c r="Q780" s="260"/>
      <c r="R780" s="260"/>
      <c r="S780" s="260"/>
      <c r="T780" s="260"/>
      <c r="U780" s="260"/>
      <c r="V780" s="260"/>
      <c r="W780" s="260"/>
      <c r="X780" s="260"/>
    </row>
    <row r="781" spans="1:24" s="260" customFormat="1" ht="17.25" customHeight="1">
      <c r="A781" s="298" t="s">
        <v>910</v>
      </c>
      <c r="B781" s="298" t="s">
        <v>8</v>
      </c>
      <c r="C781" s="333" t="e">
        <f ca="1">(C779/3.6)*$C$777</f>
        <v>#NAME?</v>
      </c>
      <c r="D781" s="333" t="e">
        <f t="shared" ref="D781:J781" ca="1" si="140">(D779/3.6)*$C$777</f>
        <v>#NAME?</v>
      </c>
      <c r="E781" s="333" t="e">
        <f t="shared" ca="1" si="140"/>
        <v>#NAME?</v>
      </c>
      <c r="F781" s="333" t="e">
        <f t="shared" ca="1" si="140"/>
        <v>#NAME?</v>
      </c>
      <c r="G781" s="333" t="e">
        <f t="shared" ca="1" si="140"/>
        <v>#NAME?</v>
      </c>
      <c r="H781" s="333" t="e">
        <f t="shared" ca="1" si="140"/>
        <v>#NAME?</v>
      </c>
      <c r="I781" s="333" t="e">
        <f t="shared" ca="1" si="140"/>
        <v>#NAME?</v>
      </c>
      <c r="J781" s="333" t="e">
        <f t="shared" ca="1" si="140"/>
        <v>#NAME?</v>
      </c>
      <c r="K781" s="333" t="e">
        <f ca="1">(K779/3.6)*$C$777</f>
        <v>#NAME?</v>
      </c>
      <c r="L781" s="333" t="e">
        <f ca="1">(L779/3.6)*$C$777</f>
        <v>#NAME?</v>
      </c>
    </row>
    <row r="782" spans="1:24" s="260" customFormat="1" ht="17.25" customHeight="1">
      <c r="A782" s="298" t="s">
        <v>897</v>
      </c>
      <c r="B782" s="298" t="s">
        <v>327</v>
      </c>
      <c r="C782" s="333" t="e">
        <f ca="1">(C779/3.6)*$C$777/C780</f>
        <v>#NAME?</v>
      </c>
      <c r="D782" s="333" t="e">
        <f t="shared" ref="D782:K782" ca="1" si="141">(D779/3.6)*$C$777/D780</f>
        <v>#NAME?</v>
      </c>
      <c r="E782" s="333" t="e">
        <f t="shared" ca="1" si="141"/>
        <v>#NAME?</v>
      </c>
      <c r="F782" s="333" t="e">
        <f t="shared" ca="1" si="141"/>
        <v>#NAME?</v>
      </c>
      <c r="G782" s="333" t="e">
        <f t="shared" ca="1" si="141"/>
        <v>#NAME?</v>
      </c>
      <c r="H782" s="333" t="e">
        <f t="shared" ca="1" si="141"/>
        <v>#NAME?</v>
      </c>
      <c r="I782" s="333" t="e">
        <f t="shared" ca="1" si="141"/>
        <v>#NAME?</v>
      </c>
      <c r="J782" s="333" t="e">
        <f t="shared" ca="1" si="141"/>
        <v>#NAME?</v>
      </c>
      <c r="K782" s="333" t="e">
        <f t="shared" ca="1" si="141"/>
        <v>#NAME?</v>
      </c>
      <c r="L782" s="333" t="e">
        <f ca="1">(L779/3.6)*$C$777/L780</f>
        <v>#NAME?</v>
      </c>
    </row>
    <row r="783" spans="1:24" ht="17.25" customHeight="1">
      <c r="A783" s="298" t="s">
        <v>898</v>
      </c>
      <c r="B783" s="128" t="s">
        <v>327</v>
      </c>
      <c r="C783" s="333" t="e">
        <f t="shared" ref="C783:K783" ca="1" si="142">$C$777*($C$775*(C779/3.6)+$C$776*($K$779/3.6))</f>
        <v>#NAME?</v>
      </c>
      <c r="D783" s="333" t="e">
        <f t="shared" ca="1" si="142"/>
        <v>#NAME?</v>
      </c>
      <c r="E783" s="333" t="e">
        <f t="shared" ca="1" si="142"/>
        <v>#NAME?</v>
      </c>
      <c r="F783" s="333" t="e">
        <f t="shared" ca="1" si="142"/>
        <v>#NAME?</v>
      </c>
      <c r="G783" s="333" t="e">
        <f t="shared" ca="1" si="142"/>
        <v>#NAME?</v>
      </c>
      <c r="H783" s="333" t="e">
        <f t="shared" ca="1" si="142"/>
        <v>#NAME?</v>
      </c>
      <c r="I783" s="333" t="e">
        <f t="shared" ca="1" si="142"/>
        <v>#NAME?</v>
      </c>
      <c r="J783" s="333" t="e">
        <f t="shared" ca="1" si="142"/>
        <v>#NAME?</v>
      </c>
      <c r="K783" s="333" t="e">
        <f t="shared" ca="1" si="142"/>
        <v>#NAME?</v>
      </c>
      <c r="L783" s="333" t="e">
        <f ca="1">$C$777*($C$775*(L779/3.6)+$C$776*($K$779/3.6))</f>
        <v>#NAME?</v>
      </c>
    </row>
    <row r="784" spans="1:24" s="260" customFormat="1" ht="17.25" customHeight="1">
      <c r="A784" s="298" t="s">
        <v>911</v>
      </c>
      <c r="B784" s="298" t="s">
        <v>3</v>
      </c>
      <c r="C784" s="482" t="e">
        <f ca="1">C781/C783</f>
        <v>#NAME?</v>
      </c>
      <c r="D784" s="482" t="e">
        <f t="shared" ref="D784:K784" ca="1" si="143">D781/D783</f>
        <v>#NAME?</v>
      </c>
      <c r="E784" s="482" t="e">
        <f t="shared" ca="1" si="143"/>
        <v>#NAME?</v>
      </c>
      <c r="F784" s="482" t="e">
        <f t="shared" ca="1" si="143"/>
        <v>#NAME?</v>
      </c>
      <c r="G784" s="482" t="e">
        <f t="shared" ca="1" si="143"/>
        <v>#NAME?</v>
      </c>
      <c r="H784" s="482" t="e">
        <f t="shared" ca="1" si="143"/>
        <v>#NAME?</v>
      </c>
      <c r="I784" s="482" t="e">
        <f t="shared" ca="1" si="143"/>
        <v>#NAME?</v>
      </c>
      <c r="J784" s="482" t="e">
        <f t="shared" ca="1" si="143"/>
        <v>#NAME?</v>
      </c>
      <c r="K784" s="482" t="e">
        <f t="shared" ca="1" si="143"/>
        <v>#NAME?</v>
      </c>
      <c r="L784" s="482" t="e">
        <f ca="1">L781/L783</f>
        <v>#NAME?</v>
      </c>
    </row>
    <row r="785" spans="1:12" s="260" customFormat="1" ht="17.25" customHeight="1">
      <c r="A785" s="298" t="s">
        <v>671</v>
      </c>
      <c r="B785" s="260" t="s">
        <v>3</v>
      </c>
      <c r="C785" s="333" t="e">
        <f ca="1">C782-C783</f>
        <v>#NAME?</v>
      </c>
      <c r="D785" s="333" t="e">
        <f t="shared" ref="D785:K785" ca="1" si="144">D782-D783</f>
        <v>#NAME?</v>
      </c>
      <c r="E785" s="333" t="e">
        <f t="shared" ca="1" si="144"/>
        <v>#NAME?</v>
      </c>
      <c r="F785" s="333" t="e">
        <f t="shared" ca="1" si="144"/>
        <v>#NAME?</v>
      </c>
      <c r="G785" s="333" t="e">
        <f t="shared" ca="1" si="144"/>
        <v>#NAME?</v>
      </c>
      <c r="H785" s="333" t="e">
        <f t="shared" ca="1" si="144"/>
        <v>#NAME?</v>
      </c>
      <c r="I785" s="333" t="e">
        <f t="shared" ca="1" si="144"/>
        <v>#NAME?</v>
      </c>
      <c r="J785" s="333" t="e">
        <f t="shared" ca="1" si="144"/>
        <v>#NAME?</v>
      </c>
      <c r="K785" s="333" t="e">
        <f t="shared" ca="1" si="144"/>
        <v>#NAME?</v>
      </c>
      <c r="L785" s="333" t="e">
        <f ca="1">L782-L783</f>
        <v>#NAME?</v>
      </c>
    </row>
    <row r="786" spans="1:12" ht="17.25" customHeight="1">
      <c r="A786" s="298" t="s">
        <v>912</v>
      </c>
      <c r="C786" s="333" t="e">
        <f ca="1">C785^2</f>
        <v>#NAME?</v>
      </c>
      <c r="D786" s="333" t="e">
        <f ca="1">D785^2</f>
        <v>#NAME?</v>
      </c>
      <c r="E786" s="333" t="e">
        <f t="shared" ref="E786:K786" ca="1" si="145">E785^2</f>
        <v>#NAME?</v>
      </c>
      <c r="F786" s="333" t="e">
        <f t="shared" ca="1" si="145"/>
        <v>#NAME?</v>
      </c>
      <c r="G786" s="333" t="e">
        <f t="shared" ca="1" si="145"/>
        <v>#NAME?</v>
      </c>
      <c r="H786" s="333" t="e">
        <f t="shared" ca="1" si="145"/>
        <v>#NAME?</v>
      </c>
      <c r="I786" s="333" t="e">
        <f t="shared" ca="1" si="145"/>
        <v>#NAME?</v>
      </c>
      <c r="J786" s="333" t="e">
        <f t="shared" ca="1" si="145"/>
        <v>#NAME?</v>
      </c>
      <c r="K786" s="333" t="e">
        <f t="shared" ca="1" si="145"/>
        <v>#NAME?</v>
      </c>
      <c r="L786" s="333" t="e">
        <f ca="1">L785^2</f>
        <v>#NAME?</v>
      </c>
    </row>
    <row r="787" spans="1:12" ht="17.25" customHeight="1">
      <c r="A787" s="128" t="s">
        <v>894</v>
      </c>
      <c r="C787" s="333" t="e">
        <f ca="1">SUM(C786:K786)</f>
        <v>#NAME?</v>
      </c>
    </row>
    <row r="788" spans="1:12" ht="17.25" customHeight="1">
      <c r="A788" s="298" t="s">
        <v>372</v>
      </c>
      <c r="C788" s="486" t="e">
        <f ca="1">CORREL(C782:K782,C783:K783)^2</f>
        <v>#NAME?</v>
      </c>
    </row>
    <row r="789" spans="1:12" s="260" customFormat="1" ht="17.25" customHeight="1">
      <c r="A789" s="298"/>
      <c r="C789" s="486"/>
    </row>
    <row r="790" spans="1:12" s="260" customFormat="1" ht="17.25" customHeight="1">
      <c r="A790" s="298"/>
      <c r="C790" s="486"/>
    </row>
    <row r="791" spans="1:12" s="260" customFormat="1" ht="17.25" customHeight="1">
      <c r="A791" s="298"/>
      <c r="C791" s="486"/>
    </row>
    <row r="792" spans="1:12" s="260" customFormat="1" ht="17.25" customHeight="1">
      <c r="A792" s="298"/>
      <c r="C792" s="486"/>
    </row>
    <row r="793" spans="1:12" s="260" customFormat="1" ht="17.25" customHeight="1">
      <c r="A793" s="298"/>
      <c r="C793" s="486"/>
    </row>
    <row r="794" spans="1:12" s="260" customFormat="1" ht="17.25" customHeight="1">
      <c r="A794" s="298"/>
      <c r="C794" s="486"/>
    </row>
    <row r="795" spans="1:12" s="260" customFormat="1" ht="17.25" customHeight="1">
      <c r="A795" s="298"/>
      <c r="C795" s="486"/>
    </row>
    <row r="796" spans="1:12" s="260" customFormat="1" ht="17.25" customHeight="1">
      <c r="A796" s="298"/>
      <c r="C796" s="486"/>
    </row>
    <row r="797" spans="1:12" s="260" customFormat="1" ht="17.25" customHeight="1">
      <c r="A797" s="298"/>
      <c r="C797" s="486"/>
    </row>
    <row r="798" spans="1:12" s="260" customFormat="1" ht="17.25" customHeight="1">
      <c r="A798" s="298"/>
      <c r="C798" s="486"/>
    </row>
    <row r="799" spans="1:12" s="260" customFormat="1" ht="17.25" customHeight="1">
      <c r="A799" s="298"/>
      <c r="C799" s="486"/>
    </row>
    <row r="800" spans="1:12" s="260" customFormat="1" ht="17.25" customHeight="1">
      <c r="A800" s="298"/>
      <c r="C800" s="486"/>
    </row>
    <row r="801" spans="1:13" s="260" customFormat="1" ht="17.25" customHeight="1">
      <c r="A801" s="298"/>
      <c r="C801" s="486"/>
    </row>
    <row r="802" spans="1:13" s="260" customFormat="1" ht="17.25" customHeight="1">
      <c r="A802" s="298"/>
      <c r="C802" s="486"/>
    </row>
    <row r="803" spans="1:13" s="260" customFormat="1" ht="17.25" customHeight="1">
      <c r="A803" s="298"/>
      <c r="C803" s="486"/>
    </row>
    <row r="804" spans="1:13" s="260" customFormat="1" ht="17.25" customHeight="1">
      <c r="A804" s="298"/>
      <c r="C804" s="486"/>
    </row>
    <row r="805" spans="1:13" s="260" customFormat="1" ht="17.25" customHeight="1">
      <c r="A805" s="298"/>
      <c r="C805" s="486"/>
    </row>
    <row r="806" spans="1:13" ht="17.25" customHeight="1">
      <c r="C806" s="318"/>
    </row>
    <row r="807" spans="1:13" s="533" customFormat="1" ht="17.25" customHeight="1" thickBot="1">
      <c r="A807" s="533" t="s">
        <v>903</v>
      </c>
    </row>
    <row r="808" spans="1:13" ht="17.25" customHeight="1" thickTop="1">
      <c r="A808" s="298" t="s">
        <v>383</v>
      </c>
      <c r="B808" s="260"/>
      <c r="C808" s="335">
        <v>0.98112147412797979</v>
      </c>
      <c r="D808" s="260"/>
      <c r="E808" s="260"/>
      <c r="F808" s="260"/>
      <c r="G808" s="260"/>
      <c r="H808" s="260"/>
      <c r="I808" s="260"/>
      <c r="J808" s="260"/>
      <c r="K808" s="260"/>
      <c r="L808" s="260"/>
    </row>
    <row r="809" spans="1:13" ht="17.25" customHeight="1">
      <c r="A809" s="298" t="s">
        <v>384</v>
      </c>
      <c r="B809" s="260"/>
      <c r="C809" s="335">
        <v>3.6625518511483067E-2</v>
      </c>
      <c r="D809" s="260"/>
      <c r="E809" s="260">
        <f>(K813-C813)/8</f>
        <v>1.7125000000000001E-2</v>
      </c>
      <c r="F809" s="260"/>
      <c r="G809" s="260"/>
      <c r="H809" s="260"/>
      <c r="I809" s="260"/>
      <c r="J809" s="260"/>
      <c r="K809" s="260"/>
      <c r="L809" s="260"/>
    </row>
    <row r="810" spans="1:13" ht="17.25" customHeight="1">
      <c r="A810" s="298" t="s">
        <v>896</v>
      </c>
      <c r="B810" s="298" t="s">
        <v>19</v>
      </c>
      <c r="C810" s="38" t="e">
        <f ca="1">Model!I149</f>
        <v>#NAME?</v>
      </c>
      <c r="D810" s="260"/>
      <c r="E810" s="260"/>
      <c r="F810" s="260"/>
      <c r="G810" s="260"/>
      <c r="H810" s="260"/>
      <c r="I810" s="260"/>
      <c r="J810" s="260"/>
      <c r="K810" s="260"/>
      <c r="L810" s="260"/>
    </row>
    <row r="811" spans="1:13" ht="17.25" customHeight="1">
      <c r="A811" s="260"/>
      <c r="B811" s="260"/>
      <c r="C811" s="260"/>
      <c r="D811" s="260"/>
      <c r="E811" s="260"/>
      <c r="F811" s="260"/>
      <c r="G811" s="260"/>
      <c r="H811" s="260"/>
      <c r="I811" s="260"/>
      <c r="J811" s="260"/>
      <c r="K811" s="318"/>
      <c r="L811" s="260"/>
    </row>
    <row r="812" spans="1:13" ht="17.25" customHeight="1">
      <c r="A812" s="298" t="s">
        <v>895</v>
      </c>
      <c r="B812" s="260" t="s">
        <v>273</v>
      </c>
      <c r="C812" s="318">
        <v>2</v>
      </c>
      <c r="D812" s="318">
        <f>C812+($K$812-$C$812)/8</f>
        <v>4.2703134344548594</v>
      </c>
      <c r="E812" s="318">
        <f t="shared" ref="E812:J812" si="146">D812+($K$812-$C$812)/8</f>
        <v>6.5406268689097189</v>
      </c>
      <c r="F812" s="318">
        <f t="shared" si="146"/>
        <v>8.8109403033645783</v>
      </c>
      <c r="G812" s="318">
        <f t="shared" si="146"/>
        <v>11.081253737819438</v>
      </c>
      <c r="H812" s="318">
        <f t="shared" si="146"/>
        <v>13.351567172274297</v>
      </c>
      <c r="I812" s="318">
        <f t="shared" si="146"/>
        <v>15.621880606729157</v>
      </c>
      <c r="J812" s="318">
        <f t="shared" si="146"/>
        <v>17.892194041184016</v>
      </c>
      <c r="K812" s="318">
        <f>Model!D27</f>
        <v>20.162507475638879</v>
      </c>
      <c r="L812" s="260"/>
    </row>
    <row r="813" spans="1:13" ht="17.25" customHeight="1">
      <c r="A813" s="298" t="s">
        <v>893</v>
      </c>
      <c r="B813" s="298" t="s">
        <v>3</v>
      </c>
      <c r="C813" s="483">
        <f>L780+0.01</f>
        <v>0.86299999999999999</v>
      </c>
      <c r="D813" s="483">
        <f>C813+$E$809</f>
        <v>0.88012500000000005</v>
      </c>
      <c r="E813" s="483">
        <f t="shared" ref="E813:J813" si="147">D813+$E$809</f>
        <v>0.8972500000000001</v>
      </c>
      <c r="F813" s="483">
        <f t="shared" si="147"/>
        <v>0.91437500000000016</v>
      </c>
      <c r="G813" s="483">
        <f t="shared" si="147"/>
        <v>0.93150000000000022</v>
      </c>
      <c r="H813" s="483">
        <f t="shared" si="147"/>
        <v>0.94862500000000027</v>
      </c>
      <c r="I813" s="483">
        <f t="shared" si="147"/>
        <v>0.96575000000000033</v>
      </c>
      <c r="J813" s="483">
        <f t="shared" si="147"/>
        <v>0.98287500000000039</v>
      </c>
      <c r="K813" s="483">
        <v>1</v>
      </c>
      <c r="L813" s="260"/>
    </row>
    <row r="814" spans="1:13" s="260" customFormat="1" ht="17.25" customHeight="1">
      <c r="A814" s="298" t="s">
        <v>910</v>
      </c>
      <c r="B814" s="298" t="s">
        <v>8</v>
      </c>
      <c r="C814" s="333" t="e">
        <f ca="1">(C812/3.6)*$C$810</f>
        <v>#NAME?</v>
      </c>
      <c r="D814" s="333" t="e">
        <f t="shared" ref="D814:K814" ca="1" si="148">(D812/3.6)*$C$810</f>
        <v>#NAME?</v>
      </c>
      <c r="E814" s="333" t="e">
        <f t="shared" ca="1" si="148"/>
        <v>#NAME?</v>
      </c>
      <c r="F814" s="333" t="e">
        <f t="shared" ca="1" si="148"/>
        <v>#NAME?</v>
      </c>
      <c r="G814" s="333" t="e">
        <f t="shared" ca="1" si="148"/>
        <v>#NAME?</v>
      </c>
      <c r="H814" s="333" t="e">
        <f t="shared" ca="1" si="148"/>
        <v>#NAME?</v>
      </c>
      <c r="I814" s="333" t="e">
        <f t="shared" ca="1" si="148"/>
        <v>#NAME?</v>
      </c>
      <c r="J814" s="333" t="e">
        <f t="shared" ca="1" si="148"/>
        <v>#NAME?</v>
      </c>
      <c r="K814" s="333" t="e">
        <f t="shared" ca="1" si="148"/>
        <v>#NAME?</v>
      </c>
      <c r="M814" s="335"/>
    </row>
    <row r="815" spans="1:13" ht="17.25" customHeight="1">
      <c r="A815" s="298" t="s">
        <v>897</v>
      </c>
      <c r="B815" s="298" t="s">
        <v>327</v>
      </c>
      <c r="C815" s="333" t="e">
        <f ca="1">C814/C813</f>
        <v>#NAME?</v>
      </c>
      <c r="D815" s="333" t="e">
        <f t="shared" ref="D815:K815" ca="1" si="149">D814/D813</f>
        <v>#NAME?</v>
      </c>
      <c r="E815" s="333" t="e">
        <f t="shared" ca="1" si="149"/>
        <v>#NAME?</v>
      </c>
      <c r="F815" s="333" t="e">
        <f t="shared" ca="1" si="149"/>
        <v>#NAME?</v>
      </c>
      <c r="G815" s="333" t="e">
        <f t="shared" ca="1" si="149"/>
        <v>#NAME?</v>
      </c>
      <c r="H815" s="333" t="e">
        <f t="shared" ca="1" si="149"/>
        <v>#NAME?</v>
      </c>
      <c r="I815" s="333" t="e">
        <f t="shared" ca="1" si="149"/>
        <v>#NAME?</v>
      </c>
      <c r="J815" s="333" t="e">
        <f t="shared" ca="1" si="149"/>
        <v>#NAME?</v>
      </c>
      <c r="K815" s="333" t="e">
        <f t="shared" ca="1" si="149"/>
        <v>#NAME?</v>
      </c>
      <c r="L815" s="260"/>
    </row>
    <row r="816" spans="1:13" ht="17.25" customHeight="1">
      <c r="A816" s="298" t="s">
        <v>898</v>
      </c>
      <c r="B816" s="260" t="s">
        <v>327</v>
      </c>
      <c r="C816" s="333" t="e">
        <f t="shared" ref="C816:K816" ca="1" si="150">$C$810*($C$808*(C812/3.6)+$C$809*($K$779/3.6))</f>
        <v>#NAME?</v>
      </c>
      <c r="D816" s="333" t="e">
        <f t="shared" ca="1" si="150"/>
        <v>#NAME?</v>
      </c>
      <c r="E816" s="333" t="e">
        <f t="shared" ca="1" si="150"/>
        <v>#NAME?</v>
      </c>
      <c r="F816" s="333" t="e">
        <f t="shared" ca="1" si="150"/>
        <v>#NAME?</v>
      </c>
      <c r="G816" s="333" t="e">
        <f t="shared" ca="1" si="150"/>
        <v>#NAME?</v>
      </c>
      <c r="H816" s="333" t="e">
        <f t="shared" ca="1" si="150"/>
        <v>#NAME?</v>
      </c>
      <c r="I816" s="333" t="e">
        <f t="shared" ca="1" si="150"/>
        <v>#NAME?</v>
      </c>
      <c r="J816" s="333" t="e">
        <f t="shared" ca="1" si="150"/>
        <v>#NAME?</v>
      </c>
      <c r="K816" s="333" t="e">
        <f t="shared" ca="1" si="150"/>
        <v>#NAME?</v>
      </c>
      <c r="L816" s="260"/>
    </row>
    <row r="817" spans="1:12" s="260" customFormat="1" ht="17.25" customHeight="1">
      <c r="A817" s="298" t="s">
        <v>911</v>
      </c>
      <c r="B817" s="298" t="s">
        <v>3</v>
      </c>
      <c r="C817" s="482" t="e">
        <f ca="1">C814/C816</f>
        <v>#NAME?</v>
      </c>
      <c r="D817" s="482" t="e">
        <f t="shared" ref="D817:K817" ca="1" si="151">D814/D816</f>
        <v>#NAME?</v>
      </c>
      <c r="E817" s="482" t="e">
        <f t="shared" ca="1" si="151"/>
        <v>#NAME?</v>
      </c>
      <c r="F817" s="482" t="e">
        <f t="shared" ca="1" si="151"/>
        <v>#NAME?</v>
      </c>
      <c r="G817" s="482" t="e">
        <f t="shared" ca="1" si="151"/>
        <v>#NAME?</v>
      </c>
      <c r="H817" s="482" t="e">
        <f t="shared" ca="1" si="151"/>
        <v>#NAME?</v>
      </c>
      <c r="I817" s="482" t="e">
        <f t="shared" ca="1" si="151"/>
        <v>#NAME?</v>
      </c>
      <c r="J817" s="482" t="e">
        <f t="shared" ca="1" si="151"/>
        <v>#NAME?</v>
      </c>
      <c r="K817" s="482" t="e">
        <f t="shared" ca="1" si="151"/>
        <v>#NAME?</v>
      </c>
    </row>
    <row r="818" spans="1:12" ht="17.25" customHeight="1">
      <c r="A818" s="298" t="s">
        <v>671</v>
      </c>
      <c r="B818" s="260" t="s">
        <v>3</v>
      </c>
      <c r="C818" s="333" t="e">
        <f t="shared" ref="C818:K818" ca="1" si="152">C815-C816</f>
        <v>#NAME?</v>
      </c>
      <c r="D818" s="333" t="e">
        <f t="shared" ca="1" si="152"/>
        <v>#NAME?</v>
      </c>
      <c r="E818" s="333" t="e">
        <f t="shared" ca="1" si="152"/>
        <v>#NAME?</v>
      </c>
      <c r="F818" s="333" t="e">
        <f t="shared" ca="1" si="152"/>
        <v>#NAME?</v>
      </c>
      <c r="G818" s="333" t="e">
        <f t="shared" ca="1" si="152"/>
        <v>#NAME?</v>
      </c>
      <c r="H818" s="333" t="e">
        <f t="shared" ca="1" si="152"/>
        <v>#NAME?</v>
      </c>
      <c r="I818" s="333" t="e">
        <f t="shared" ca="1" si="152"/>
        <v>#NAME?</v>
      </c>
      <c r="J818" s="333" t="e">
        <f t="shared" ca="1" si="152"/>
        <v>#NAME?</v>
      </c>
      <c r="K818" s="333" t="e">
        <f t="shared" ca="1" si="152"/>
        <v>#NAME?</v>
      </c>
      <c r="L818" s="260"/>
    </row>
    <row r="819" spans="1:12" ht="17.25" customHeight="1">
      <c r="A819" s="260" t="s">
        <v>912</v>
      </c>
      <c r="B819" s="260"/>
      <c r="C819" s="333" t="e">
        <f ca="1">C818^2</f>
        <v>#NAME?</v>
      </c>
      <c r="D819" s="333" t="e">
        <f t="shared" ref="D819:K819" ca="1" si="153">D818^2</f>
        <v>#NAME?</v>
      </c>
      <c r="E819" s="333" t="e">
        <f t="shared" ca="1" si="153"/>
        <v>#NAME?</v>
      </c>
      <c r="F819" s="333" t="e">
        <f t="shared" ca="1" si="153"/>
        <v>#NAME?</v>
      </c>
      <c r="G819" s="333" t="e">
        <f t="shared" ca="1" si="153"/>
        <v>#NAME?</v>
      </c>
      <c r="H819" s="333" t="e">
        <f t="shared" ca="1" si="153"/>
        <v>#NAME?</v>
      </c>
      <c r="I819" s="333" t="e">
        <f t="shared" ca="1" si="153"/>
        <v>#NAME?</v>
      </c>
      <c r="J819" s="333" t="e">
        <f t="shared" ca="1" si="153"/>
        <v>#NAME?</v>
      </c>
      <c r="K819" s="333" t="e">
        <f t="shared" ca="1" si="153"/>
        <v>#NAME?</v>
      </c>
      <c r="L819" s="260"/>
    </row>
    <row r="820" spans="1:12" ht="17.25" customHeight="1">
      <c r="A820" s="260" t="s">
        <v>894</v>
      </c>
      <c r="B820" s="260"/>
      <c r="C820" s="333" t="e">
        <f ca="1">SUM(C819:K819)</f>
        <v>#NAME?</v>
      </c>
      <c r="D820" s="260"/>
      <c r="E820" s="260"/>
      <c r="F820" s="260"/>
      <c r="G820" s="260"/>
      <c r="H820" s="260"/>
      <c r="I820" s="260"/>
      <c r="J820" s="260"/>
      <c r="K820" s="260"/>
      <c r="L820" s="260"/>
    </row>
    <row r="821" spans="1:12" ht="17.25" customHeight="1">
      <c r="A821" s="298" t="s">
        <v>372</v>
      </c>
      <c r="C821" s="318" t="e">
        <f ca="1">CORREL(C815:K815,C816:K816)^2</f>
        <v>#NAME?</v>
      </c>
    </row>
  </sheetData>
  <pageMargins left="0.7" right="0.7" top="0.75" bottom="0.75" header="0.3" footer="0.3"/>
  <pageSetup paperSize="9" orientation="portrait" verticalDpi="300" r:id="rId1"/>
  <drawing r:id="rId2"/>
  <legacyDrawing r:id="rId3"/>
  <oleObjects>
    <mc:AlternateContent xmlns:mc="http://schemas.openxmlformats.org/markup-compatibility/2006">
      <mc:Choice Requires="x14">
        <oleObject progId="Equation.3" shapeId="7171" r:id="rId4">
          <objectPr defaultSize="0" autoPict="0" r:id="rId5">
            <anchor moveWithCells="1">
              <from>
                <xdr:col>6</xdr:col>
                <xdr:colOff>889000</xdr:colOff>
                <xdr:row>601</xdr:row>
                <xdr:rowOff>50800</xdr:rowOff>
              </from>
              <to>
                <xdr:col>10</xdr:col>
                <xdr:colOff>254000</xdr:colOff>
                <xdr:row>635</xdr:row>
                <xdr:rowOff>101600</xdr:rowOff>
              </to>
            </anchor>
          </objectPr>
        </oleObject>
      </mc:Choice>
      <mc:Fallback>
        <oleObject progId="Equation.3" shapeId="7171" r:id="rId4"/>
      </mc:Fallback>
    </mc:AlternateContent>
  </oleObjec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autoPageBreaks="0"/>
  </sheetPr>
  <dimension ref="A1:AH86"/>
  <sheetViews>
    <sheetView tabSelected="1" zoomScale="110" zoomScaleNormal="110" workbookViewId="0">
      <pane ySplit="1" topLeftCell="A2" activePane="bottomLeft" state="frozen"/>
      <selection pane="bottomLeft" activeCell="W22" sqref="W22"/>
    </sheetView>
  </sheetViews>
  <sheetFormatPr baseColWidth="10" defaultColWidth="7.6640625" defaultRowHeight="18" customHeight="1"/>
  <cols>
    <col min="1" max="1" width="8.33203125" style="143" customWidth="1"/>
    <col min="2" max="2" width="8.33203125" style="336" customWidth="1"/>
    <col min="3" max="25" width="8.33203125" style="143" customWidth="1"/>
    <col min="26" max="26" width="13.5" style="143" customWidth="1"/>
    <col min="27" max="27" width="11.33203125" style="143" customWidth="1"/>
    <col min="28" max="28" width="10.6640625" style="143" customWidth="1"/>
    <col min="29" max="29" width="11.33203125" style="143" customWidth="1"/>
    <col min="30" max="16384" width="7.6640625" style="143"/>
  </cols>
  <sheetData>
    <row r="1" spans="1:28" s="336" customFormat="1" ht="20.25" customHeight="1" thickBot="1">
      <c r="A1" s="377" t="s">
        <v>184</v>
      </c>
      <c r="F1" s="417" t="s">
        <v>35</v>
      </c>
      <c r="G1" s="418" t="s">
        <v>779</v>
      </c>
      <c r="H1" s="419" t="s">
        <v>998</v>
      </c>
      <c r="I1" s="420" t="s">
        <v>273</v>
      </c>
      <c r="J1" s="310" t="s">
        <v>368</v>
      </c>
      <c r="K1" s="266" t="s">
        <v>23</v>
      </c>
      <c r="L1" s="421" t="s">
        <v>703</v>
      </c>
      <c r="M1" s="422" t="s">
        <v>273</v>
      </c>
      <c r="N1" s="423" t="s">
        <v>337</v>
      </c>
      <c r="O1" s="424" t="s">
        <v>8</v>
      </c>
    </row>
    <row r="2" spans="1:28" ht="18" customHeight="1" thickTop="1">
      <c r="A2" s="383" t="e">
        <f ca="1">Model!C463/1000</f>
        <v>#NAME?</v>
      </c>
      <c r="B2" s="383" t="e">
        <f ca="1">Model!D463/1000</f>
        <v>#NAME?</v>
      </c>
      <c r="C2" s="254" t="e">
        <f ca="1">Model!E463/1000</f>
        <v>#NAME?</v>
      </c>
      <c r="D2" s="339"/>
      <c r="E2" s="339"/>
      <c r="F2" s="339"/>
      <c r="G2" s="339"/>
      <c r="H2" s="150"/>
      <c r="I2" s="519">
        <f ca="1">IF(I8=0,0,I8/I3)</f>
        <v>0.27042564948741754</v>
      </c>
      <c r="J2" s="370"/>
      <c r="K2" s="292"/>
      <c r="L2" s="292"/>
      <c r="M2" s="292"/>
      <c r="N2" s="292"/>
      <c r="O2" s="519">
        <f ca="1">IF(O8=0,0,O8/O3)</f>
        <v>0.26603294858203813</v>
      </c>
      <c r="P2" s="292"/>
      <c r="S2" s="142"/>
      <c r="Y2" s="276" t="s">
        <v>521</v>
      </c>
      <c r="Z2" s="369">
        <f>ambTemp</f>
        <v>15</v>
      </c>
      <c r="AA2" s="160" t="s">
        <v>18</v>
      </c>
    </row>
    <row r="3" spans="1:28" ht="18" customHeight="1">
      <c r="A3" s="77"/>
      <c r="B3" s="142"/>
      <c r="C3" s="142"/>
      <c r="D3" s="339"/>
      <c r="E3" s="339"/>
      <c r="F3" s="339"/>
      <c r="G3" s="339"/>
      <c r="I3" s="254">
        <f ca="1">Model!C307/1000</f>
        <v>23.299533651698304</v>
      </c>
      <c r="J3" s="231"/>
      <c r="K3" s="231"/>
      <c r="L3" s="326"/>
      <c r="M3" s="231"/>
      <c r="N3" s="242"/>
      <c r="O3" s="254">
        <f ca="1">Model!D307/1000</f>
        <v>22.500039849924345</v>
      </c>
      <c r="P3" s="231"/>
      <c r="Q3" s="142"/>
      <c r="R3" s="142"/>
      <c r="S3" s="142"/>
      <c r="Y3" s="262" t="s">
        <v>298</v>
      </c>
      <c r="Z3" s="515">
        <f>case</f>
        <v>2</v>
      </c>
      <c r="AA3" s="166"/>
    </row>
    <row r="4" spans="1:28" ht="18" customHeight="1">
      <c r="B4" s="143"/>
      <c r="D4" s="339"/>
      <c r="E4" s="339"/>
      <c r="F4" s="339"/>
      <c r="G4" s="339"/>
      <c r="J4" s="142"/>
      <c r="K4" s="142"/>
      <c r="L4" s="7"/>
      <c r="M4" s="9"/>
      <c r="O4" s="142"/>
      <c r="Q4" s="142"/>
      <c r="R4" s="50"/>
      <c r="S4" s="10"/>
      <c r="Y4" s="262" t="s">
        <v>609</v>
      </c>
      <c r="Z4" s="1">
        <f ca="1">date</f>
        <v>43288.414831018519</v>
      </c>
      <c r="AA4" s="1"/>
    </row>
    <row r="5" spans="1:28" ht="18" customHeight="1" thickBot="1">
      <c r="A5" s="444">
        <f>G40</f>
        <v>0</v>
      </c>
      <c r="B5" s="444">
        <f>G41</f>
        <v>0</v>
      </c>
      <c r="C5" s="444">
        <f>G42</f>
        <v>0</v>
      </c>
      <c r="D5" s="151"/>
      <c r="E5" s="151"/>
      <c r="F5" s="151"/>
      <c r="G5" s="339"/>
      <c r="H5" s="142"/>
      <c r="I5" s="142"/>
      <c r="J5" s="142"/>
      <c r="K5" s="142"/>
      <c r="L5" s="142"/>
      <c r="M5" s="142"/>
      <c r="N5" s="142"/>
      <c r="O5" s="142"/>
      <c r="Q5" s="142"/>
      <c r="R5" s="142"/>
      <c r="S5" s="142"/>
    </row>
    <row r="6" spans="1:28" ht="18" customHeight="1" thickTop="1">
      <c r="A6" s="142"/>
      <c r="B6" s="142"/>
      <c r="E6" s="244" t="s">
        <v>219</v>
      </c>
      <c r="F6" s="512">
        <f>Model!C68</f>
        <v>0</v>
      </c>
      <c r="H6" s="142"/>
      <c r="I6" s="142"/>
      <c r="J6" s="142"/>
      <c r="K6" s="142"/>
      <c r="L6" s="142"/>
      <c r="M6" s="142"/>
      <c r="N6" s="142"/>
      <c r="O6" s="142"/>
      <c r="Q6" s="142"/>
      <c r="R6" s="142"/>
      <c r="Y6" s="257" t="s">
        <v>626</v>
      </c>
      <c r="Z6" s="255">
        <f>U22</f>
        <v>28.574015583333342</v>
      </c>
      <c r="AA6" s="160" t="s">
        <v>273</v>
      </c>
    </row>
    <row r="7" spans="1:28" ht="18" customHeight="1">
      <c r="A7" s="413">
        <f>G52</f>
        <v>0</v>
      </c>
      <c r="B7" s="231"/>
      <c r="D7" s="413">
        <f>+A5+B5+C5-A7-F6</f>
        <v>0</v>
      </c>
      <c r="E7" s="249"/>
      <c r="G7" s="142"/>
      <c r="H7" s="142"/>
      <c r="I7" s="142"/>
      <c r="J7" s="142"/>
      <c r="K7" s="142"/>
      <c r="L7" s="142"/>
      <c r="M7" s="142"/>
      <c r="N7" s="142"/>
      <c r="O7" s="142"/>
      <c r="Q7" s="142"/>
      <c r="R7" s="142"/>
      <c r="S7" s="142"/>
      <c r="Y7" s="257" t="s">
        <v>627</v>
      </c>
      <c r="Z7" s="255">
        <f>U28</f>
        <v>24.881397614583346</v>
      </c>
      <c r="AA7" s="160" t="s">
        <v>273</v>
      </c>
    </row>
    <row r="8" spans="1:28" ht="18" customHeight="1">
      <c r="A8" s="249"/>
      <c r="B8" s="231"/>
      <c r="C8" s="142"/>
      <c r="D8" s="249"/>
      <c r="E8" s="249"/>
      <c r="F8" s="254" t="e">
        <f ca="1">Model!H463/1000</f>
        <v>#NAME?</v>
      </c>
      <c r="G8" s="142"/>
      <c r="H8" s="142"/>
      <c r="I8" s="310">
        <f ca="1">Model!C308</f>
        <v>6.3007915205144558</v>
      </c>
      <c r="J8" s="73"/>
      <c r="K8" s="142"/>
      <c r="L8" s="142"/>
      <c r="M8" s="428">
        <f ca="1">IFERROR((L11/3.6)*Model!$I$149/(M9*1000),0)</f>
        <v>0</v>
      </c>
      <c r="O8" s="310">
        <f ca="1">Model!D308</f>
        <v>5.9857519444887322</v>
      </c>
      <c r="P8" s="73"/>
      <c r="Q8" s="142"/>
      <c r="R8" s="142"/>
      <c r="S8" s="428">
        <f ca="1">IFERROR((R11/3.6)*Model!$I$149/(S9*1000),0)</f>
        <v>0</v>
      </c>
      <c r="Y8" s="257" t="s">
        <v>628</v>
      </c>
      <c r="Z8" s="255">
        <f>electLENZ+electBLUE+Z12</f>
        <v>11.277888113697959</v>
      </c>
      <c r="AA8" s="160" t="s">
        <v>23</v>
      </c>
    </row>
    <row r="9" spans="1:28" ht="18" customHeight="1">
      <c r="A9" s="249"/>
      <c r="B9" s="231"/>
      <c r="C9" s="142"/>
      <c r="D9" s="249"/>
      <c r="E9" s="249"/>
      <c r="G9" s="142"/>
      <c r="H9" s="142"/>
      <c r="I9" s="428">
        <f>G43/100</f>
        <v>1</v>
      </c>
      <c r="J9" s="249"/>
      <c r="K9" s="142"/>
      <c r="L9" s="142"/>
      <c r="M9" s="254" t="e">
        <f ca="1">Model!C312/1000</f>
        <v>#NAME?</v>
      </c>
      <c r="O9" s="428">
        <f>G44/100</f>
        <v>1</v>
      </c>
      <c r="P9" s="249"/>
      <c r="Q9" s="142"/>
      <c r="R9" s="142"/>
      <c r="S9" s="254" t="e">
        <f ca="1">Model!D312/1000</f>
        <v>#NAME?</v>
      </c>
      <c r="W9" s="239"/>
      <c r="X9" s="239"/>
      <c r="Y9" s="239"/>
      <c r="Z9" s="242"/>
      <c r="AA9" s="239"/>
    </row>
    <row r="10" spans="1:28" ht="18" customHeight="1">
      <c r="A10" s="243"/>
      <c r="B10" s="242"/>
      <c r="D10" s="243"/>
      <c r="E10" s="243"/>
      <c r="H10" s="184" t="s">
        <v>365</v>
      </c>
      <c r="I10" s="171">
        <f ca="1">Model!C309</f>
        <v>1</v>
      </c>
      <c r="J10" s="253" t="s">
        <v>273</v>
      </c>
      <c r="K10" s="184" t="s">
        <v>441</v>
      </c>
      <c r="L10" s="149">
        <f ca="1">Model!C310</f>
        <v>11.79081249966913</v>
      </c>
      <c r="M10" s="239"/>
      <c r="N10" s="323" t="str">
        <f>H10</f>
        <v>STIG</v>
      </c>
      <c r="O10" s="230">
        <f ca="1">Model!D309</f>
        <v>1</v>
      </c>
      <c r="P10" s="308" t="s">
        <v>273</v>
      </c>
      <c r="Q10" s="142"/>
      <c r="R10" s="148">
        <f ca="1">Model!D310</f>
        <v>11.79081249966913</v>
      </c>
      <c r="S10" s="142"/>
      <c r="W10" s="227"/>
      <c r="X10" s="43"/>
      <c r="Y10" s="43" t="s">
        <v>101</v>
      </c>
      <c r="Z10" s="259">
        <f>oprelectLENZ</f>
        <v>7.3210433851836889</v>
      </c>
      <c r="AA10" s="256" t="str">
        <f>AA11</f>
        <v>MWe</v>
      </c>
    </row>
    <row r="11" spans="1:28" ht="18" customHeight="1">
      <c r="A11" s="416">
        <f>Model!D354</f>
        <v>0</v>
      </c>
      <c r="B11" s="143"/>
      <c r="D11" s="243"/>
      <c r="E11" s="243"/>
      <c r="G11" s="162"/>
      <c r="K11" s="55" t="s">
        <v>156</v>
      </c>
      <c r="L11" s="149">
        <f>Model!C311</f>
        <v>20.162507000000002</v>
      </c>
      <c r="M11" s="239"/>
      <c r="N11" s="147"/>
      <c r="O11" s="142"/>
      <c r="P11" s="142"/>
      <c r="Q11" s="142"/>
      <c r="R11" s="148">
        <f>Model!D311</f>
        <v>0</v>
      </c>
      <c r="S11" s="142"/>
      <c r="W11" s="227"/>
      <c r="X11" s="43"/>
      <c r="Y11" s="43" t="s">
        <v>102</v>
      </c>
      <c r="Z11" s="259">
        <f>oprELECTblue</f>
        <v>2.5</v>
      </c>
      <c r="AA11" s="256" t="str">
        <f>AA15</f>
        <v>MWe</v>
      </c>
    </row>
    <row r="12" spans="1:28" ht="18" customHeight="1">
      <c r="A12" s="243"/>
      <c r="B12" s="242"/>
      <c r="C12" s="142"/>
      <c r="D12" s="413" t="e">
        <f ca="1">Model!C551</f>
        <v>#NAME?</v>
      </c>
      <c r="E12" s="249"/>
      <c r="F12" s="337">
        <f>G47</f>
        <v>0</v>
      </c>
      <c r="G12" s="142"/>
      <c r="H12" s="162"/>
      <c r="I12" s="8"/>
      <c r="J12" s="5"/>
      <c r="K12" s="55" t="s">
        <v>96</v>
      </c>
      <c r="L12" s="149">
        <f ca="1">SUM(L10:L11)</f>
        <v>31.953319499669131</v>
      </c>
      <c r="M12" s="239"/>
      <c r="N12" s="560"/>
      <c r="O12" s="147"/>
      <c r="P12" s="142"/>
      <c r="Q12" s="142"/>
      <c r="R12" s="148">
        <f ca="1">SUM(R10:R11)</f>
        <v>11.79081249966913</v>
      </c>
      <c r="S12" s="142"/>
      <c r="W12" s="227"/>
      <c r="X12" s="227"/>
      <c r="Y12" s="43" t="s">
        <v>310</v>
      </c>
      <c r="Z12" s="259">
        <f>Operator!C43</f>
        <v>1.45684472851427</v>
      </c>
      <c r="AA12" s="256" t="s">
        <v>23</v>
      </c>
    </row>
    <row r="13" spans="1:28" ht="18" customHeight="1" thickBot="1">
      <c r="A13" s="414"/>
      <c r="B13" s="378"/>
      <c r="C13" s="151"/>
      <c r="D13" s="151"/>
      <c r="E13" s="151"/>
      <c r="F13" s="151"/>
      <c r="G13" s="151"/>
      <c r="H13" s="151"/>
      <c r="I13" s="151"/>
      <c r="J13" s="151"/>
      <c r="K13" s="151"/>
      <c r="L13" s="151"/>
      <c r="M13" s="151"/>
      <c r="N13" s="151"/>
      <c r="O13" s="151"/>
      <c r="P13" s="151"/>
      <c r="Q13" s="151"/>
      <c r="R13" s="151"/>
      <c r="S13" s="151"/>
      <c r="T13" s="241"/>
      <c r="W13" s="227"/>
      <c r="X13" s="43"/>
      <c r="Y13" s="43" t="s">
        <v>103</v>
      </c>
      <c r="Z13" s="259">
        <f>Model!C586/1000</f>
        <v>0.943220481</v>
      </c>
      <c r="AA13" s="256" t="str">
        <f>AA11</f>
        <v>MWe</v>
      </c>
      <c r="AB13" s="306"/>
    </row>
    <row r="14" spans="1:28" ht="18" customHeight="1" thickTop="1" thickBot="1">
      <c r="A14" s="243"/>
      <c r="B14" s="242"/>
      <c r="C14" s="239"/>
      <c r="D14" s="239"/>
      <c r="E14" s="239"/>
      <c r="L14" s="336"/>
      <c r="M14" s="336"/>
      <c r="N14" s="336"/>
      <c r="Q14" s="500" t="str">
        <f>Model!C633</f>
        <v>2 MWe NOx 250</v>
      </c>
      <c r="R14" s="142"/>
      <c r="S14" s="142"/>
      <c r="T14" s="157"/>
      <c r="U14" s="158"/>
      <c r="W14" s="227"/>
      <c r="X14" s="43"/>
      <c r="Y14" s="43" t="s">
        <v>104</v>
      </c>
      <c r="Z14" s="259">
        <f ca="1">A11+I8+O8+G19+I19+Q19+D19+K19</f>
        <v>16.344843465003187</v>
      </c>
      <c r="AA14" s="256" t="str">
        <f>AA15</f>
        <v>MWe</v>
      </c>
      <c r="AB14" s="337"/>
    </row>
    <row r="15" spans="1:28" ht="18" customHeight="1" thickTop="1">
      <c r="A15" s="243"/>
      <c r="B15" s="242"/>
      <c r="C15" s="149">
        <f>G50</f>
        <v>0</v>
      </c>
      <c r="D15" s="379"/>
      <c r="E15" s="242"/>
      <c r="G15" s="159">
        <f>G54</f>
        <v>0</v>
      </c>
      <c r="I15" s="159">
        <f>G55</f>
        <v>0</v>
      </c>
      <c r="J15" s="336"/>
      <c r="K15" s="159">
        <f>G56</f>
        <v>22</v>
      </c>
      <c r="L15" s="336"/>
      <c r="M15" s="243"/>
      <c r="N15" s="292">
        <f ca="1">IFERROR((N19/3.6)*Model!$I$150/1000/N16,0)</f>
        <v>0</v>
      </c>
      <c r="O15" s="292">
        <f ca="1">IFERROR((O19/3.6)*Model!$I$150/1000/O16,0)</f>
        <v>0</v>
      </c>
      <c r="Q15" s="292">
        <f ca="1">IFERROR(Q19/Q16,0)</f>
        <v>0.37596367092618022</v>
      </c>
      <c r="R15" s="142"/>
      <c r="S15" s="413" t="e">
        <f ca="1">D12+L12+R12+F12-C15-G15-I15-U15-K15</f>
        <v>#NAME?</v>
      </c>
      <c r="T15" s="150" t="s">
        <v>219</v>
      </c>
      <c r="U15" s="148">
        <f>Model!C69</f>
        <v>1.7</v>
      </c>
      <c r="W15" s="227"/>
      <c r="X15" s="43"/>
      <c r="Y15" s="43" t="s">
        <v>105</v>
      </c>
      <c r="Z15" s="259">
        <f ca="1">Z14-(Z13)</f>
        <v>15.401622984003186</v>
      </c>
      <c r="AA15" s="256" t="s">
        <v>23</v>
      </c>
      <c r="AB15" s="162"/>
    </row>
    <row r="16" spans="1:28" ht="18" customHeight="1">
      <c r="A16" s="249"/>
      <c r="B16" s="231"/>
      <c r="C16" s="231"/>
      <c r="D16" s="231"/>
      <c r="E16" s="231"/>
      <c r="H16" s="241"/>
      <c r="I16" s="336"/>
      <c r="J16" s="241"/>
      <c r="K16" s="336"/>
      <c r="L16" s="241"/>
      <c r="N16" s="383" t="e">
        <f ca="1">Model!F463/1000</f>
        <v>#NAME?</v>
      </c>
      <c r="O16" s="383" t="e">
        <f ca="1">Model!G463/1000</f>
        <v>#NAME?</v>
      </c>
      <c r="Q16" s="254">
        <f ca="1">Model!C622/1000</f>
        <v>5.3196629213483142</v>
      </c>
      <c r="R16" s="142"/>
      <c r="S16" s="413"/>
      <c r="T16" s="150"/>
      <c r="U16" s="142"/>
      <c r="W16" s="227"/>
      <c r="X16" s="43"/>
      <c r="Y16" s="43" t="s">
        <v>37</v>
      </c>
      <c r="Z16" s="259">
        <f>G76</f>
        <v>0</v>
      </c>
      <c r="AA16" s="256" t="s">
        <v>23</v>
      </c>
    </row>
    <row r="17" spans="1:28" ht="18" customHeight="1">
      <c r="A17" s="249"/>
      <c r="B17" s="231"/>
      <c r="C17" s="231"/>
      <c r="D17" s="231"/>
      <c r="E17" s="231"/>
      <c r="F17" s="142"/>
      <c r="G17" s="241"/>
      <c r="H17" s="249"/>
      <c r="I17" s="241"/>
      <c r="J17" s="249"/>
      <c r="K17" s="241"/>
      <c r="L17" s="249"/>
      <c r="M17" s="242"/>
      <c r="N17" s="161"/>
      <c r="O17" s="161"/>
      <c r="S17" s="413"/>
      <c r="T17" s="58"/>
      <c r="U17" s="7"/>
      <c r="W17" s="227"/>
      <c r="X17" s="227"/>
      <c r="Y17" s="43" t="s">
        <v>38</v>
      </c>
      <c r="Z17" s="259">
        <f>G77</f>
        <v>4.1237348999999996</v>
      </c>
      <c r="AA17" s="256" t="str">
        <f>AA16</f>
        <v>MWe</v>
      </c>
    </row>
    <row r="18" spans="1:28" ht="18" customHeight="1">
      <c r="A18" s="249"/>
      <c r="B18" s="231"/>
      <c r="C18" s="231"/>
      <c r="D18" s="231"/>
      <c r="E18" s="231"/>
      <c r="F18" s="142"/>
      <c r="G18" s="241"/>
      <c r="H18" s="249"/>
      <c r="I18" s="241"/>
      <c r="J18" s="249"/>
      <c r="K18" s="241"/>
      <c r="L18" s="249"/>
      <c r="M18" s="242"/>
      <c r="N18" s="161"/>
      <c r="O18" s="161"/>
      <c r="Q18" s="242"/>
      <c r="R18" s="242"/>
      <c r="S18" s="413"/>
      <c r="T18" s="55"/>
      <c r="W18" s="239"/>
      <c r="X18" s="239"/>
      <c r="Y18" s="239"/>
      <c r="Z18" s="242"/>
      <c r="AA18" s="239"/>
      <c r="AB18" s="356"/>
    </row>
    <row r="19" spans="1:28" ht="18" customHeight="1">
      <c r="A19" s="243"/>
      <c r="B19" s="242"/>
      <c r="C19" s="231"/>
      <c r="D19" s="380">
        <f>Model!C354</f>
        <v>0</v>
      </c>
      <c r="E19" s="242"/>
      <c r="G19" s="263">
        <f>Model!E354</f>
        <v>0</v>
      </c>
      <c r="H19" s="73"/>
      <c r="I19" s="263">
        <f>Model!F354</f>
        <v>0</v>
      </c>
      <c r="J19" s="73"/>
      <c r="K19" s="510">
        <f>Model!G354</f>
        <v>2.0583</v>
      </c>
      <c r="L19" s="73"/>
      <c r="N19" s="159">
        <f>G48</f>
        <v>5.8800515000000004</v>
      </c>
      <c r="O19" s="159">
        <f>G49</f>
        <v>4</v>
      </c>
      <c r="Q19" s="426">
        <f ca="1">Model!C623</f>
        <v>2</v>
      </c>
      <c r="R19" s="266"/>
      <c r="S19" s="413"/>
      <c r="T19" s="241" t="s">
        <v>112</v>
      </c>
      <c r="U19" s="76">
        <f>oprMPLENZ</f>
        <v>14.352411416666678</v>
      </c>
      <c r="X19" s="245"/>
      <c r="Z19" s="261" t="s">
        <v>442</v>
      </c>
      <c r="AA19" s="245"/>
    </row>
    <row r="20" spans="1:28" ht="18" customHeight="1">
      <c r="A20" s="240">
        <f>G53</f>
        <v>0</v>
      </c>
      <c r="B20" s="231"/>
      <c r="C20" s="242"/>
      <c r="E20" s="266"/>
      <c r="N20" s="161"/>
      <c r="O20" s="161"/>
      <c r="R20" s="242"/>
      <c r="S20" s="413" t="e">
        <f ca="1">Model!D551</f>
        <v>#NAME?</v>
      </c>
      <c r="T20" s="244" t="s">
        <v>95</v>
      </c>
      <c r="U20" s="76">
        <f>oprMPBLUE</f>
        <v>13.5</v>
      </c>
      <c r="W20" s="245"/>
      <c r="Y20" s="501" t="str">
        <f>Model!A164</f>
        <v>Plant gross gas use</v>
      </c>
      <c r="Z20" s="247" t="e">
        <f ca="1">Model!C164</f>
        <v>#NAME?</v>
      </c>
      <c r="AA20" s="347" t="str">
        <f>Model!B164</f>
        <v>MW HHV</v>
      </c>
    </row>
    <row r="21" spans="1:28" ht="18" customHeight="1" thickBot="1">
      <c r="A21" s="231"/>
      <c r="B21" s="231"/>
      <c r="C21" s="378"/>
      <c r="D21" s="231"/>
      <c r="E21" s="231"/>
      <c r="F21" s="142"/>
      <c r="G21" s="241"/>
      <c r="H21" s="249"/>
      <c r="I21" s="241"/>
      <c r="J21" s="249" t="s">
        <v>194</v>
      </c>
      <c r="K21" s="241"/>
      <c r="L21" s="249"/>
      <c r="M21" s="249"/>
      <c r="N21" s="382"/>
      <c r="P21" s="151"/>
      <c r="R21" s="151"/>
      <c r="S21" s="249"/>
      <c r="T21" s="241" t="s">
        <v>248</v>
      </c>
      <c r="U21" s="171">
        <f>oprMPTAL</f>
        <v>0.72160416666666671</v>
      </c>
      <c r="W21" s="245"/>
      <c r="X21" s="336"/>
      <c r="Y21" s="501" t="str">
        <f>Model!A165</f>
        <v>HP gas use</v>
      </c>
      <c r="Z21" s="347">
        <f ca="1">Model!C165</f>
        <v>45.799573501622653</v>
      </c>
      <c r="AA21" s="347" t="str">
        <f>Model!B165</f>
        <v>MW HHV</v>
      </c>
    </row>
    <row r="22" spans="1:28" ht="18" customHeight="1" thickTop="1" thickBot="1">
      <c r="A22" s="381"/>
      <c r="B22" s="381"/>
      <c r="C22" s="231"/>
      <c r="D22" s="381"/>
      <c r="E22" s="381"/>
      <c r="F22" s="156"/>
      <c r="G22" s="264"/>
      <c r="H22" s="265"/>
      <c r="I22" s="264"/>
      <c r="J22" s="265"/>
      <c r="K22" s="264"/>
      <c r="L22" s="265"/>
      <c r="M22" s="265"/>
      <c r="N22" s="336"/>
      <c r="O22" s="265"/>
      <c r="Q22" s="156"/>
      <c r="R22" s="156"/>
      <c r="S22" s="265"/>
      <c r="T22" s="157" t="s">
        <v>96</v>
      </c>
      <c r="U22" s="172">
        <f>SUM(U19:U21)</f>
        <v>28.574015583333342</v>
      </c>
      <c r="W22" s="245"/>
      <c r="X22" s="336"/>
      <c r="Y22" s="501" t="str">
        <f>Model!A166</f>
        <v>LP gas use</v>
      </c>
      <c r="Z22" s="347" t="e">
        <f ca="1">Model!C166</f>
        <v>#NAME?</v>
      </c>
      <c r="AA22" s="347" t="str">
        <f>Model!B166</f>
        <v>MW HHV</v>
      </c>
    </row>
    <row r="23" spans="1:28" ht="18" customHeight="1" thickTop="1">
      <c r="A23" s="231"/>
      <c r="B23" s="231"/>
      <c r="C23" s="231"/>
      <c r="D23" s="231"/>
      <c r="E23" s="231"/>
      <c r="G23" s="227"/>
      <c r="H23" s="249"/>
      <c r="I23" s="323"/>
      <c r="J23" s="249"/>
      <c r="K23" s="323"/>
      <c r="L23" s="249"/>
      <c r="M23" s="243"/>
      <c r="N23" s="336"/>
      <c r="P23" s="427" t="s">
        <v>944</v>
      </c>
      <c r="Q23" s="496">
        <f ca="1">hEXHact</f>
        <v>907.58245479474022</v>
      </c>
      <c r="S23" s="454" t="e">
        <f ca="1">A20+S20+N19+O19+Q24-U22-U23</f>
        <v>#NAME?</v>
      </c>
      <c r="T23" s="241" t="s">
        <v>219</v>
      </c>
      <c r="U23" s="149">
        <f>Model!C70</f>
        <v>0.2</v>
      </c>
      <c r="W23" s="245"/>
      <c r="X23" s="245"/>
      <c r="Y23" s="184" t="s">
        <v>996</v>
      </c>
      <c r="Z23" s="272" t="e">
        <f ca="1">Eco.!K26</f>
        <v>#NAME?</v>
      </c>
      <c r="AA23" s="245"/>
    </row>
    <row r="24" spans="1:28" ht="18" customHeight="1">
      <c r="A24" s="231"/>
      <c r="B24" s="242"/>
      <c r="C24" s="231"/>
      <c r="D24" s="231"/>
      <c r="E24" s="231"/>
      <c r="F24" s="153"/>
      <c r="G24" s="227"/>
      <c r="H24" s="249"/>
      <c r="I24" s="323"/>
      <c r="J24" s="249"/>
      <c r="K24" s="323"/>
      <c r="L24" s="249"/>
      <c r="M24" s="243"/>
      <c r="N24" s="336"/>
      <c r="P24" s="323" t="s">
        <v>48</v>
      </c>
      <c r="Q24" s="556" t="e">
        <f ca="1">Model!C624</f>
        <v>#NAME?</v>
      </c>
      <c r="S24" s="413"/>
      <c r="T24" s="241"/>
      <c r="U24" s="148"/>
      <c r="W24" s="245"/>
      <c r="X24" s="245"/>
      <c r="Y24" s="184" t="s">
        <v>510</v>
      </c>
      <c r="Z24" s="312" t="e">
        <f ca="1">Model!C170</f>
        <v>#NAME?</v>
      </c>
      <c r="AA24" s="245"/>
    </row>
    <row r="25" spans="1:28" ht="18" customHeight="1">
      <c r="A25" s="231"/>
      <c r="B25" s="242"/>
      <c r="C25" s="231"/>
      <c r="D25" s="231"/>
      <c r="E25" s="231"/>
      <c r="G25" s="227"/>
      <c r="H25" s="249"/>
      <c r="I25" s="323"/>
      <c r="J25" s="249"/>
      <c r="K25" s="323"/>
      <c r="L25" s="249"/>
      <c r="M25" s="243"/>
      <c r="N25" s="336"/>
      <c r="P25" s="323" t="s">
        <v>13</v>
      </c>
      <c r="Q25" s="159">
        <v>0</v>
      </c>
      <c r="S25" s="413"/>
      <c r="T25" s="241" t="s">
        <v>112</v>
      </c>
      <c r="U25" s="76">
        <f>oprLPLENZ</f>
        <v>19.881397614583346</v>
      </c>
      <c r="X25" s="245"/>
      <c r="Y25" s="184" t="s">
        <v>511</v>
      </c>
      <c r="Z25" s="312" t="e">
        <f ca="1">Model!C171</f>
        <v>#NAME?</v>
      </c>
      <c r="AA25" s="245"/>
    </row>
    <row r="26" spans="1:28" ht="18" customHeight="1">
      <c r="A26" s="242"/>
      <c r="B26" s="415">
        <f>A7-A20</f>
        <v>0</v>
      </c>
      <c r="D26" s="326">
        <f>G51</f>
        <v>0</v>
      </c>
      <c r="E26" s="242"/>
      <c r="F26" s="161"/>
      <c r="H26" s="149">
        <f>G15</f>
        <v>0</v>
      </c>
      <c r="I26" s="336"/>
      <c r="J26" s="149">
        <f>I15</f>
        <v>0</v>
      </c>
      <c r="K26" s="336"/>
      <c r="L26" s="149">
        <f>K15</f>
        <v>22</v>
      </c>
      <c r="M26" s="249"/>
      <c r="N26" s="336"/>
      <c r="R26" s="142"/>
      <c r="S26" s="413" t="e">
        <f ca="1">Model!E551</f>
        <v>#NAME?</v>
      </c>
      <c r="T26" s="244" t="s">
        <v>95</v>
      </c>
      <c r="U26" s="76">
        <f>oprLPBLUE</f>
        <v>5</v>
      </c>
      <c r="X26" s="245"/>
      <c r="Y26" s="184" t="s">
        <v>512</v>
      </c>
      <c r="Z26" s="312" t="e">
        <f ca="1">Model!C172</f>
        <v>#NAME?</v>
      </c>
      <c r="AA26" s="245"/>
    </row>
    <row r="27" spans="1:28" ht="18" customHeight="1" thickBot="1">
      <c r="A27" s="142"/>
      <c r="B27" s="151"/>
      <c r="C27" s="378"/>
      <c r="D27" s="378"/>
      <c r="E27" s="378"/>
      <c r="F27" s="151"/>
      <c r="G27" s="151"/>
      <c r="H27" s="154"/>
      <c r="I27" s="151"/>
      <c r="J27" s="154"/>
      <c r="K27" s="151"/>
      <c r="L27" s="154"/>
      <c r="M27" s="336"/>
      <c r="N27" s="142"/>
      <c r="O27" s="151"/>
      <c r="P27" s="154"/>
      <c r="R27" s="142"/>
      <c r="S27" s="142"/>
      <c r="T27" s="241" t="s">
        <v>248</v>
      </c>
      <c r="U27" s="171">
        <f>oprLPTAL</f>
        <v>0</v>
      </c>
      <c r="Z27" s="242"/>
    </row>
    <row r="28" spans="1:28" ht="18" customHeight="1" thickTop="1" thickBot="1">
      <c r="A28" s="156"/>
      <c r="B28" s="142"/>
      <c r="C28" s="231"/>
      <c r="D28" s="231"/>
      <c r="E28" s="231"/>
      <c r="F28" s="142"/>
      <c r="G28" s="142"/>
      <c r="H28" s="156"/>
      <c r="I28" s="156"/>
      <c r="J28" s="156"/>
      <c r="K28" s="427"/>
      <c r="L28" s="443"/>
      <c r="M28" s="156"/>
      <c r="N28" s="156"/>
      <c r="O28" s="427" t="s">
        <v>945</v>
      </c>
      <c r="P28" s="443">
        <f ca="1">SUM(Model!C657:C659)</f>
        <v>1050.3333333333335</v>
      </c>
      <c r="Q28" s="156"/>
      <c r="R28" s="156"/>
      <c r="S28" s="156"/>
      <c r="T28" s="157" t="s">
        <v>96</v>
      </c>
      <c r="U28" s="172">
        <f>SUM(U25:U27)</f>
        <v>24.881397614583346</v>
      </c>
      <c r="Z28" s="261" t="s">
        <v>336</v>
      </c>
    </row>
    <row r="29" spans="1:28" ht="18" customHeight="1" thickTop="1">
      <c r="A29" s="240" t="e">
        <f ca="1">B26+H26+S26+J26+D26+L26+Q25-U28-R30-U29</f>
        <v>#NAME?</v>
      </c>
      <c r="B29" s="425"/>
      <c r="C29" s="152"/>
      <c r="E29" s="149">
        <f>Model!C355</f>
        <v>0</v>
      </c>
      <c r="F29" s="253"/>
      <c r="G29" s="246"/>
      <c r="H29" s="142"/>
      <c r="I29" s="142"/>
      <c r="J29" s="183"/>
      <c r="K29" s="142"/>
      <c r="L29" s="142"/>
      <c r="O29" s="427" t="s">
        <v>946</v>
      </c>
      <c r="P29" s="443">
        <f>Model!C657</f>
        <v>0</v>
      </c>
      <c r="Q29" s="142"/>
      <c r="R29" s="142"/>
      <c r="S29" s="142"/>
      <c r="T29" s="150" t="s">
        <v>219</v>
      </c>
      <c r="U29" s="149">
        <f>Model!C71</f>
        <v>1.1000000000000001</v>
      </c>
      <c r="Y29" s="163" t="s">
        <v>338</v>
      </c>
      <c r="Z29" s="273" t="e">
        <f ca="1">Model!E541</f>
        <v>#NAME?</v>
      </c>
      <c r="AA29" s="304" t="s">
        <v>273</v>
      </c>
    </row>
    <row r="30" spans="1:28" ht="18" customHeight="1">
      <c r="B30" s="449">
        <f ca="1">date</f>
        <v>43288.414831018519</v>
      </c>
      <c r="J30" s="142"/>
      <c r="K30" s="142"/>
      <c r="L30" s="142"/>
      <c r="M30" s="142"/>
      <c r="N30" s="142"/>
      <c r="R30" s="153" t="e">
        <f ca="1">Model!L538</f>
        <v>#NAME?</v>
      </c>
      <c r="S30" s="231"/>
      <c r="T30" s="142"/>
      <c r="U30" s="142"/>
      <c r="V30" s="50" t="e">
        <f ca="1">Model!J532</f>
        <v>#NAME?</v>
      </c>
      <c r="W30" s="9"/>
      <c r="Y30" s="163" t="s">
        <v>337</v>
      </c>
      <c r="Z30" s="273" t="e">
        <f ca="1">Model!E542</f>
        <v>#NAME?</v>
      </c>
      <c r="AA30" s="173" t="s">
        <v>8</v>
      </c>
    </row>
    <row r="31" spans="1:28" ht="18" customHeight="1">
      <c r="B31" s="449"/>
      <c r="F31" s="142"/>
      <c r="G31" s="142"/>
      <c r="H31" s="142"/>
      <c r="I31" s="142"/>
      <c r="J31" s="142"/>
      <c r="Q31" s="142"/>
      <c r="R31" s="142"/>
      <c r="T31" s="142"/>
      <c r="U31" s="142"/>
    </row>
    <row r="32" spans="1:28" ht="18" customHeight="1">
      <c r="B32" s="462"/>
      <c r="E32" s="162"/>
      <c r="F32" s="142"/>
      <c r="J32" s="283"/>
      <c r="Q32" s="270"/>
      <c r="R32" s="231"/>
      <c r="T32" s="142"/>
      <c r="U32" s="142"/>
      <c r="Z32" s="354" t="s">
        <v>997</v>
      </c>
    </row>
    <row r="33" spans="1:34" ht="18" customHeight="1">
      <c r="B33" s="457"/>
      <c r="D33" s="183"/>
      <c r="F33" s="142"/>
      <c r="N33" s="553">
        <f>Model!C101</f>
        <v>80</v>
      </c>
      <c r="P33" s="142"/>
      <c r="Q33" s="553">
        <f>Model!L535</f>
        <v>95</v>
      </c>
      <c r="R33" s="10"/>
      <c r="V33" s="243"/>
      <c r="Z33" s="242" t="str">
        <f ca="1">IF(SUM(Model!F214:F221)&gt;0,"No error in site balances","Error in site balances")</f>
        <v>No error in site balances</v>
      </c>
    </row>
    <row r="34" spans="1:34" ht="18" customHeight="1">
      <c r="B34" s="457"/>
      <c r="F34" s="142"/>
      <c r="O34" s="142"/>
      <c r="P34" s="142"/>
      <c r="Q34" s="336"/>
      <c r="T34" s="142"/>
      <c r="U34" s="142"/>
      <c r="V34" s="243"/>
      <c r="W34" s="242"/>
    </row>
    <row r="35" spans="1:34" ht="18" customHeight="1">
      <c r="B35" s="457"/>
      <c r="F35" s="142"/>
      <c r="J35" s="180"/>
      <c r="N35" s="50" t="e">
        <f ca="1">Model!L534</f>
        <v>#NAME?</v>
      </c>
      <c r="O35" s="10"/>
      <c r="P35" s="142"/>
      <c r="Q35" s="50" t="e">
        <f ca="1">Model!L534</f>
        <v>#NAME?</v>
      </c>
      <c r="R35" s="249"/>
      <c r="T35" s="142"/>
      <c r="U35" s="142"/>
      <c r="V35" s="142"/>
    </row>
    <row r="36" spans="1:34" ht="18" customHeight="1">
      <c r="B36" s="463"/>
      <c r="F36" s="163"/>
      <c r="H36" s="163"/>
      <c r="O36" s="163"/>
      <c r="P36" s="163"/>
      <c r="Q36" s="50"/>
      <c r="R36" s="10"/>
      <c r="T36" s="142"/>
      <c r="U36" s="142"/>
      <c r="V36" s="142"/>
    </row>
    <row r="37" spans="1:34" ht="18" customHeight="1">
      <c r="B37" s="463"/>
      <c r="F37" s="164"/>
      <c r="G37" s="163"/>
      <c r="O37" s="427" t="s">
        <v>947</v>
      </c>
      <c r="P37" s="443" t="e">
        <f ca="1">Model!C677</f>
        <v>#NAME?</v>
      </c>
      <c r="Q37" s="443"/>
      <c r="R37" s="142"/>
    </row>
    <row r="38" spans="1:34" ht="18" customHeight="1">
      <c r="B38" s="463"/>
      <c r="O38" s="427"/>
      <c r="P38" s="443"/>
      <c r="Q38" s="163"/>
      <c r="R38" s="163"/>
      <c r="S38" s="163"/>
      <c r="T38" s="142"/>
      <c r="U38" s="142"/>
    </row>
    <row r="39" spans="1:34" ht="18" customHeight="1">
      <c r="A39" s="145"/>
      <c r="B39" s="463"/>
      <c r="C39" s="271" t="s">
        <v>404</v>
      </c>
      <c r="D39" s="181"/>
      <c r="E39" s="211" t="s">
        <v>81</v>
      </c>
      <c r="F39" s="211" t="s">
        <v>82</v>
      </c>
      <c r="G39" s="211" t="s">
        <v>158</v>
      </c>
      <c r="J39" s="77"/>
      <c r="K39" s="64"/>
      <c r="L39" s="211" t="s">
        <v>197</v>
      </c>
      <c r="M39" s="64"/>
      <c r="N39" s="64"/>
      <c r="O39" s="245"/>
      <c r="P39" s="245"/>
      <c r="Q39" s="204"/>
      <c r="R39" s="205"/>
      <c r="S39" s="211" t="s">
        <v>40</v>
      </c>
      <c r="T39" s="206"/>
      <c r="U39" s="207"/>
      <c r="W39" s="142"/>
      <c r="AB39" s="487"/>
    </row>
    <row r="40" spans="1:34" ht="18" customHeight="1">
      <c r="B40" s="464"/>
      <c r="C40" s="244" t="s">
        <v>788</v>
      </c>
      <c r="D40" s="142" t="s">
        <v>273</v>
      </c>
      <c r="E40" s="326">
        <v>12</v>
      </c>
      <c r="F40" s="326">
        <v>40</v>
      </c>
      <c r="G40" s="258">
        <v>0</v>
      </c>
      <c r="J40" s="77"/>
      <c r="K40" s="150" t="str">
        <f t="shared" ref="K40:K46" si="0">C40</f>
        <v>EHP 1 steam gen.</v>
      </c>
      <c r="L40" s="76">
        <f>G40-F40*G58</f>
        <v>0</v>
      </c>
      <c r="M40" s="167" t="s">
        <v>195</v>
      </c>
      <c r="N40" s="167">
        <v>0</v>
      </c>
      <c r="O40" s="165"/>
      <c r="P40" s="239"/>
      <c r="Q40" s="208"/>
      <c r="R40" s="209"/>
      <c r="S40" s="211" t="s">
        <v>125</v>
      </c>
      <c r="T40" s="210"/>
      <c r="U40" s="206"/>
      <c r="W40" s="142"/>
      <c r="X40" s="168"/>
      <c r="Y40" s="271" t="s">
        <v>413</v>
      </c>
      <c r="Z40" s="487"/>
      <c r="AA40" s="487"/>
      <c r="AB40" s="336"/>
    </row>
    <row r="41" spans="1:34" ht="18" customHeight="1">
      <c r="B41" s="463"/>
      <c r="C41" s="241" t="s">
        <v>789</v>
      </c>
      <c r="D41" s="142" t="s">
        <v>273</v>
      </c>
      <c r="E41" s="326">
        <v>12</v>
      </c>
      <c r="F41" s="326">
        <v>40</v>
      </c>
      <c r="G41" s="258">
        <v>0</v>
      </c>
      <c r="J41" s="77"/>
      <c r="K41" s="150" t="str">
        <f t="shared" si="0"/>
        <v>EHP 2 steam gen.</v>
      </c>
      <c r="L41" s="76">
        <f t="shared" ref="L41:L50" si="1">G41-F41*G59</f>
        <v>0</v>
      </c>
      <c r="M41" s="167" t="s">
        <v>195</v>
      </c>
      <c r="N41" s="167">
        <v>0</v>
      </c>
      <c r="O41" s="165"/>
      <c r="P41" s="239"/>
      <c r="Q41" s="77"/>
      <c r="R41" s="150" t="s">
        <v>224</v>
      </c>
      <c r="S41" s="76">
        <f>-D7</f>
        <v>0</v>
      </c>
      <c r="T41" s="167" t="s">
        <v>195</v>
      </c>
      <c r="U41" s="458">
        <v>0</v>
      </c>
      <c r="W41" s="142"/>
      <c r="X41" s="54" t="s">
        <v>80</v>
      </c>
      <c r="Y41" s="194">
        <v>9.9999999999999993E-35</v>
      </c>
      <c r="Z41" s="336"/>
      <c r="AA41" s="336"/>
      <c r="AB41" s="336"/>
    </row>
    <row r="42" spans="1:34" ht="18" customHeight="1">
      <c r="B42" s="465"/>
      <c r="C42" s="241" t="s">
        <v>790</v>
      </c>
      <c r="D42" s="142" t="s">
        <v>273</v>
      </c>
      <c r="E42" s="326">
        <v>12</v>
      </c>
      <c r="F42" s="326">
        <v>40</v>
      </c>
      <c r="G42" s="258">
        <v>0</v>
      </c>
      <c r="J42" s="77"/>
      <c r="K42" s="150" t="str">
        <f t="shared" si="0"/>
        <v>EHP 3 steam gen.</v>
      </c>
      <c r="L42" s="76">
        <f t="shared" si="1"/>
        <v>0</v>
      </c>
      <c r="M42" s="167" t="s">
        <v>195</v>
      </c>
      <c r="N42" s="167">
        <v>0</v>
      </c>
      <c r="O42" s="239"/>
      <c r="P42" s="239"/>
      <c r="Q42" s="77"/>
      <c r="R42" s="150" t="s">
        <v>225</v>
      </c>
      <c r="S42" s="76" t="e">
        <f ca="1">-S15</f>
        <v>#NAME?</v>
      </c>
      <c r="T42" s="167" t="s">
        <v>195</v>
      </c>
      <c r="U42" s="458">
        <v>0</v>
      </c>
      <c r="W42" s="142"/>
      <c r="X42" s="55" t="s">
        <v>189</v>
      </c>
      <c r="Y42" s="194">
        <v>0</v>
      </c>
      <c r="Z42" s="336"/>
      <c r="AA42" s="336"/>
      <c r="AB42" s="336"/>
    </row>
    <row r="43" spans="1:34" ht="18" customHeight="1">
      <c r="B43" s="465"/>
      <c r="C43" s="241" t="s">
        <v>729</v>
      </c>
      <c r="D43" s="142" t="s">
        <v>3</v>
      </c>
      <c r="E43" s="326">
        <v>50</v>
      </c>
      <c r="F43" s="326">
        <v>100</v>
      </c>
      <c r="G43" s="258">
        <v>100</v>
      </c>
      <c r="J43" s="77"/>
      <c r="K43" s="150" t="str">
        <f t="shared" si="0"/>
        <v>GT1 fire rate</v>
      </c>
      <c r="L43" s="76">
        <f t="shared" si="1"/>
        <v>0</v>
      </c>
      <c r="M43" s="167" t="s">
        <v>195</v>
      </c>
      <c r="N43" s="167">
        <v>0</v>
      </c>
      <c r="Q43" s="77"/>
      <c r="R43" s="150" t="s">
        <v>226</v>
      </c>
      <c r="S43" s="76" t="e">
        <f ca="1">-S23</f>
        <v>#NAME?</v>
      </c>
      <c r="T43" s="167" t="s">
        <v>195</v>
      </c>
      <c r="U43" s="458">
        <v>0</v>
      </c>
      <c r="X43" s="55" t="s">
        <v>188</v>
      </c>
      <c r="Y43" s="194">
        <v>9.9999999999999995E-7</v>
      </c>
      <c r="Z43" s="336"/>
      <c r="AA43" s="336"/>
      <c r="AB43" s="336"/>
    </row>
    <row r="44" spans="1:34" ht="18" customHeight="1">
      <c r="A44" s="152"/>
      <c r="B44" s="463"/>
      <c r="C44" s="241" t="s">
        <v>730</v>
      </c>
      <c r="D44" s="142" t="s">
        <v>3</v>
      </c>
      <c r="E44" s="326">
        <v>50</v>
      </c>
      <c r="F44" s="326">
        <v>100</v>
      </c>
      <c r="G44" s="258">
        <v>100</v>
      </c>
      <c r="J44" s="77"/>
      <c r="K44" s="150" t="str">
        <f t="shared" si="0"/>
        <v>GT2 fire rate</v>
      </c>
      <c r="L44" s="76">
        <f t="shared" si="1"/>
        <v>0</v>
      </c>
      <c r="M44" s="167" t="s">
        <v>195</v>
      </c>
      <c r="N44" s="167">
        <v>0</v>
      </c>
      <c r="Q44" s="142"/>
      <c r="R44" s="150" t="s">
        <v>227</v>
      </c>
      <c r="S44" s="76" t="e">
        <f ca="1">-A29</f>
        <v>#NAME?</v>
      </c>
      <c r="T44" s="167" t="s">
        <v>195</v>
      </c>
      <c r="U44" s="458">
        <v>0</v>
      </c>
      <c r="X44" s="55" t="s">
        <v>190</v>
      </c>
      <c r="Y44" s="194">
        <v>1</v>
      </c>
      <c r="Z44" s="336"/>
      <c r="AA44" s="336"/>
      <c r="AB44" s="336"/>
    </row>
    <row r="45" spans="1:34" ht="18" customHeight="1">
      <c r="A45" s="19"/>
      <c r="B45" s="463"/>
      <c r="C45" s="241" t="s">
        <v>731</v>
      </c>
      <c r="D45" s="142" t="str">
        <f>D42</f>
        <v>t/h</v>
      </c>
      <c r="E45" s="326">
        <v>4</v>
      </c>
      <c r="F45" s="326">
        <v>20.162507475638879</v>
      </c>
      <c r="G45" s="258">
        <v>20.162507000000002</v>
      </c>
      <c r="J45" s="77"/>
      <c r="K45" s="150" t="str">
        <f t="shared" si="0"/>
        <v>WHB-1 supp. firing.</v>
      </c>
      <c r="L45" s="76">
        <f>G45-F45*G63</f>
        <v>-4.7563887761725709E-7</v>
      </c>
      <c r="M45" s="167" t="s">
        <v>195</v>
      </c>
      <c r="N45" s="167">
        <v>0</v>
      </c>
      <c r="Q45" s="142"/>
      <c r="R45" s="150"/>
      <c r="S45" s="76"/>
      <c r="T45" s="167"/>
      <c r="U45" s="458"/>
      <c r="X45" s="55" t="s">
        <v>191</v>
      </c>
      <c r="Y45" s="194">
        <v>2</v>
      </c>
      <c r="Z45" s="336"/>
      <c r="AA45" s="336"/>
      <c r="AB45" s="336"/>
    </row>
    <row r="46" spans="1:34" ht="18" customHeight="1">
      <c r="A46" s="153"/>
      <c r="B46" s="462"/>
      <c r="C46" s="241" t="s">
        <v>732</v>
      </c>
      <c r="D46" s="142" t="str">
        <f>D45</f>
        <v>t/h</v>
      </c>
      <c r="E46" s="326">
        <v>4</v>
      </c>
      <c r="F46" s="326">
        <v>20.162507475638879</v>
      </c>
      <c r="G46" s="258">
        <v>0</v>
      </c>
      <c r="J46" s="77"/>
      <c r="K46" s="150" t="str">
        <f t="shared" si="0"/>
        <v>WHB-2 supp. firing.</v>
      </c>
      <c r="L46" s="76">
        <f t="shared" si="1"/>
        <v>0</v>
      </c>
      <c r="M46" s="167" t="s">
        <v>195</v>
      </c>
      <c r="N46" s="167">
        <v>0</v>
      </c>
      <c r="Q46" s="77"/>
      <c r="R46" s="142"/>
      <c r="S46" s="211" t="s">
        <v>126</v>
      </c>
      <c r="T46" s="64"/>
      <c r="U46" s="459"/>
      <c r="X46" s="55" t="s">
        <v>192</v>
      </c>
      <c r="Y46" s="194">
        <v>2</v>
      </c>
      <c r="Z46" s="336"/>
      <c r="AA46" s="336"/>
    </row>
    <row r="47" spans="1:34" ht="18" customHeight="1">
      <c r="A47" s="153"/>
      <c r="B47" s="462"/>
      <c r="C47" s="241" t="s">
        <v>964</v>
      </c>
      <c r="D47" s="142" t="s">
        <v>273</v>
      </c>
      <c r="E47" s="326">
        <v>10</v>
      </c>
      <c r="F47" s="326">
        <v>32</v>
      </c>
      <c r="G47" s="258">
        <v>0</v>
      </c>
      <c r="I47" s="336"/>
      <c r="J47" s="231"/>
      <c r="K47" s="241" t="str">
        <f>C47</f>
        <v>Aux. boiler steam</v>
      </c>
      <c r="L47" s="326">
        <f t="shared" si="1"/>
        <v>0</v>
      </c>
      <c r="M47" s="338" t="s">
        <v>195</v>
      </c>
      <c r="N47" s="338">
        <v>0</v>
      </c>
      <c r="Q47" s="142"/>
      <c r="R47" s="150" t="s">
        <v>223</v>
      </c>
      <c r="S47" s="76">
        <f ca="1">Z15+G76-Z8-G77</f>
        <v>-2.9694771974675405E-8</v>
      </c>
      <c r="T47" s="167" t="s">
        <v>199</v>
      </c>
      <c r="U47" s="458">
        <v>0</v>
      </c>
      <c r="AD47" s="336"/>
      <c r="AE47" s="336"/>
      <c r="AF47" s="336"/>
      <c r="AG47" s="336"/>
      <c r="AH47" s="336"/>
    </row>
    <row r="48" spans="1:34" ht="18" customHeight="1">
      <c r="A48" s="146"/>
      <c r="B48" s="466"/>
      <c r="C48" s="241" t="s">
        <v>733</v>
      </c>
      <c r="D48" s="142" t="str">
        <f>D46</f>
        <v>t/h</v>
      </c>
      <c r="E48" s="326">
        <v>4</v>
      </c>
      <c r="F48" s="326">
        <v>22</v>
      </c>
      <c r="G48" s="258">
        <v>5.8800515000000004</v>
      </c>
      <c r="H48" s="163"/>
      <c r="J48" s="77"/>
      <c r="K48" s="150" t="str">
        <f t="shared" ref="K48:K55" si="2">C48</f>
        <v>MP-1 steam gen.</v>
      </c>
      <c r="L48" s="76">
        <f t="shared" si="1"/>
        <v>-16.1199485</v>
      </c>
      <c r="M48" s="167" t="s">
        <v>195</v>
      </c>
      <c r="N48" s="167">
        <v>0</v>
      </c>
      <c r="U48" s="356"/>
      <c r="Z48" s="142"/>
    </row>
    <row r="49" spans="1:27" ht="18" customHeight="1">
      <c r="A49" s="153"/>
      <c r="B49" s="467"/>
      <c r="C49" s="241" t="s">
        <v>734</v>
      </c>
      <c r="D49" s="142" t="str">
        <f>D46</f>
        <v>t/h</v>
      </c>
      <c r="E49" s="326">
        <v>4</v>
      </c>
      <c r="F49" s="326">
        <v>22</v>
      </c>
      <c r="G49" s="258">
        <v>4</v>
      </c>
      <c r="H49" s="165"/>
      <c r="J49" s="77"/>
      <c r="K49" s="150" t="str">
        <f t="shared" si="2"/>
        <v>MP-2 steam gen</v>
      </c>
      <c r="L49" s="76">
        <f t="shared" si="1"/>
        <v>-18</v>
      </c>
      <c r="M49" s="167" t="s">
        <v>195</v>
      </c>
      <c r="N49" s="167">
        <v>0</v>
      </c>
      <c r="S49" s="211" t="s">
        <v>367</v>
      </c>
      <c r="U49" s="356"/>
      <c r="Z49" s="142"/>
    </row>
    <row r="50" spans="1:27" ht="18" customHeight="1">
      <c r="B50" s="467"/>
      <c r="C50" s="241" t="s">
        <v>735</v>
      </c>
      <c r="D50" s="142" t="str">
        <f>D46</f>
        <v>t/h</v>
      </c>
      <c r="E50" s="326">
        <v>4.3091277999999997</v>
      </c>
      <c r="F50" s="326">
        <v>39.008946399999999</v>
      </c>
      <c r="G50" s="258">
        <v>0</v>
      </c>
      <c r="H50" s="165"/>
      <c r="I50" s="163"/>
      <c r="J50" s="77"/>
      <c r="K50" s="150" t="str">
        <f t="shared" si="2"/>
        <v>ST2 HP inlet flow</v>
      </c>
      <c r="L50" s="76">
        <f t="shared" si="1"/>
        <v>0</v>
      </c>
      <c r="M50" s="167" t="s">
        <v>195</v>
      </c>
      <c r="N50" s="167">
        <v>0</v>
      </c>
      <c r="R50" s="173" t="s">
        <v>4</v>
      </c>
      <c r="S50" s="171">
        <f>G63-G61</f>
        <v>0</v>
      </c>
      <c r="T50" s="167" t="s">
        <v>195</v>
      </c>
      <c r="U50" s="458">
        <v>0</v>
      </c>
      <c r="Z50" s="142"/>
    </row>
    <row r="51" spans="1:27" ht="18" customHeight="1">
      <c r="B51" s="467"/>
      <c r="C51" s="241" t="s">
        <v>736</v>
      </c>
      <c r="D51" s="142" t="str">
        <f>D45</f>
        <v>t/h</v>
      </c>
      <c r="E51" s="326">
        <v>0</v>
      </c>
      <c r="F51" s="326">
        <v>36.287391999999997</v>
      </c>
      <c r="G51" s="258">
        <v>0</v>
      </c>
      <c r="H51" s="165"/>
      <c r="I51" s="163"/>
      <c r="J51" s="77"/>
      <c r="K51" s="150" t="str">
        <f t="shared" si="2"/>
        <v>ST2 LP extract. flow</v>
      </c>
      <c r="L51" s="76">
        <f>G51-F51*G68</f>
        <v>0</v>
      </c>
      <c r="M51" s="167" t="s">
        <v>195</v>
      </c>
      <c r="N51" s="167">
        <v>0</v>
      </c>
      <c r="R51" s="173" t="s">
        <v>5</v>
      </c>
      <c r="S51" s="171">
        <f>G64-G62</f>
        <v>-1</v>
      </c>
      <c r="T51" s="167" t="s">
        <v>195</v>
      </c>
      <c r="U51" s="458">
        <v>0</v>
      </c>
      <c r="Z51" s="142"/>
    </row>
    <row r="52" spans="1:27" ht="18" customHeight="1">
      <c r="B52" s="467"/>
      <c r="C52" s="241" t="s">
        <v>737</v>
      </c>
      <c r="D52" s="142" t="str">
        <f>D51</f>
        <v>t/h</v>
      </c>
      <c r="E52" s="326">
        <v>12.75</v>
      </c>
      <c r="F52" s="326">
        <v>52.18</v>
      </c>
      <c r="G52" s="258">
        <v>0</v>
      </c>
      <c r="H52" s="165"/>
      <c r="I52" s="165"/>
      <c r="J52" s="77"/>
      <c r="K52" s="150" t="str">
        <f t="shared" si="2"/>
        <v>ST5 EHP inlet flow</v>
      </c>
      <c r="L52" s="76">
        <f>G52-F52*G69</f>
        <v>0</v>
      </c>
      <c r="M52" s="167" t="s">
        <v>195</v>
      </c>
      <c r="N52" s="167">
        <v>0</v>
      </c>
      <c r="U52" s="356"/>
      <c r="Z52" s="142"/>
    </row>
    <row r="53" spans="1:27" ht="18" customHeight="1">
      <c r="B53" s="467"/>
      <c r="C53" s="241" t="s">
        <v>738</v>
      </c>
      <c r="D53" s="142" t="str">
        <f>D52</f>
        <v>t/h</v>
      </c>
      <c r="E53" s="326">
        <v>0</v>
      </c>
      <c r="F53" s="326">
        <v>22.68</v>
      </c>
      <c r="G53" s="258">
        <v>0</v>
      </c>
      <c r="I53" s="165"/>
      <c r="J53" s="77"/>
      <c r="K53" s="150" t="str">
        <f t="shared" si="2"/>
        <v>ST5 MP extract. flow</v>
      </c>
      <c r="L53" s="76">
        <f>G53-F53*G69</f>
        <v>0</v>
      </c>
      <c r="M53" s="167" t="s">
        <v>195</v>
      </c>
      <c r="N53" s="167">
        <v>0</v>
      </c>
      <c r="S53" s="211" t="s">
        <v>388</v>
      </c>
      <c r="U53" s="356"/>
      <c r="Z53" s="142"/>
    </row>
    <row r="54" spans="1:27" ht="18" customHeight="1">
      <c r="A54" s="153"/>
      <c r="B54" s="467"/>
      <c r="C54" s="241" t="s">
        <v>739</v>
      </c>
      <c r="D54" s="142" t="str">
        <f>D51</f>
        <v>t/h</v>
      </c>
      <c r="E54" s="326">
        <v>13.607771099999999</v>
      </c>
      <c r="F54" s="326">
        <v>53.977492030000001</v>
      </c>
      <c r="G54" s="258">
        <v>0</v>
      </c>
      <c r="J54" s="77"/>
      <c r="K54" s="150" t="str">
        <f t="shared" si="2"/>
        <v>ST6 HP inlet flow</v>
      </c>
      <c r="L54" s="76">
        <f>G54-F54*G70</f>
        <v>0</v>
      </c>
      <c r="M54" s="167" t="s">
        <v>195</v>
      </c>
      <c r="N54" s="167">
        <v>0</v>
      </c>
      <c r="R54" s="245" t="s">
        <v>477</v>
      </c>
      <c r="S54" s="185">
        <f>-Assets!S417*$G$68</f>
        <v>0</v>
      </c>
      <c r="T54" s="167" t="s">
        <v>195</v>
      </c>
      <c r="U54" s="347">
        <f>G50*Assets!Q417+G51*Assets!R417</f>
        <v>0</v>
      </c>
      <c r="Z54" s="142"/>
    </row>
    <row r="55" spans="1:27" ht="18" customHeight="1">
      <c r="A55" s="153"/>
      <c r="B55" s="467"/>
      <c r="C55" s="241" t="s">
        <v>740</v>
      </c>
      <c r="D55" s="142" t="s">
        <v>273</v>
      </c>
      <c r="E55" s="326">
        <v>18.75</v>
      </c>
      <c r="F55" s="326">
        <v>30</v>
      </c>
      <c r="G55" s="258">
        <v>0</v>
      </c>
      <c r="J55" s="77"/>
      <c r="K55" s="150" t="str">
        <f t="shared" si="2"/>
        <v>ST7 HP inlet flow</v>
      </c>
      <c r="L55" s="76">
        <f>G55-F55*G71</f>
        <v>0</v>
      </c>
      <c r="M55" s="167" t="s">
        <v>195</v>
      </c>
      <c r="N55" s="167">
        <v>0</v>
      </c>
      <c r="R55" s="245" t="s">
        <v>478</v>
      </c>
      <c r="S55" s="247">
        <f>G50*Assets!Q418+G51*Assets!R418</f>
        <v>0</v>
      </c>
      <c r="T55" s="167" t="s">
        <v>195</v>
      </c>
      <c r="U55" s="347">
        <f>-Assets!S418*$G$68</f>
        <v>0</v>
      </c>
      <c r="Z55" s="142"/>
    </row>
    <row r="56" spans="1:27" ht="18" customHeight="1">
      <c r="B56" s="467"/>
      <c r="C56" s="323" t="s">
        <v>741</v>
      </c>
      <c r="D56" s="143" t="s">
        <v>273</v>
      </c>
      <c r="E56" s="171">
        <v>12.75</v>
      </c>
      <c r="F56" s="171">
        <v>22</v>
      </c>
      <c r="G56" s="149">
        <v>22</v>
      </c>
      <c r="I56" s="336"/>
      <c r="J56" s="231"/>
      <c r="K56" s="241" t="s">
        <v>683</v>
      </c>
      <c r="L56" s="326">
        <f>G56-F56*G72</f>
        <v>0</v>
      </c>
      <c r="M56" s="338" t="s">
        <v>195</v>
      </c>
      <c r="N56" s="338">
        <v>0</v>
      </c>
      <c r="Q56" s="163"/>
      <c r="R56" s="245" t="s">
        <v>479</v>
      </c>
      <c r="S56" s="247">
        <f>G50*Assets!Q419+G51*Assets!R419</f>
        <v>0</v>
      </c>
      <c r="T56" s="167" t="s">
        <v>195</v>
      </c>
      <c r="U56" s="347">
        <f>-Assets!S419*$G$68</f>
        <v>0</v>
      </c>
      <c r="Y56" s="195"/>
      <c r="Z56" s="142"/>
    </row>
    <row r="57" spans="1:27" ht="18" customHeight="1">
      <c r="A57" s="155"/>
      <c r="B57" s="184"/>
      <c r="C57" s="241" t="s">
        <v>231</v>
      </c>
      <c r="D57" s="142" t="s">
        <v>3</v>
      </c>
      <c r="E57" s="326">
        <v>100</v>
      </c>
      <c r="F57" s="326">
        <v>100</v>
      </c>
      <c r="G57" s="326">
        <v>100</v>
      </c>
      <c r="J57" s="77"/>
      <c r="K57" s="150" t="s">
        <v>233</v>
      </c>
      <c r="L57" s="76">
        <f>G57-F57*G73</f>
        <v>0</v>
      </c>
      <c r="M57" s="167" t="s">
        <v>195</v>
      </c>
      <c r="N57" s="167">
        <v>0</v>
      </c>
      <c r="R57" s="245" t="s">
        <v>480</v>
      </c>
      <c r="S57" s="247">
        <f>-Assets!S420*$G$68</f>
        <v>0</v>
      </c>
      <c r="T57" s="167" t="s">
        <v>195</v>
      </c>
      <c r="U57" s="347">
        <f>G50*Assets!Q420+G51*Assets!R420</f>
        <v>0</v>
      </c>
      <c r="Z57" s="173"/>
    </row>
    <row r="58" spans="1:27" ht="18" customHeight="1">
      <c r="B58" s="467"/>
      <c r="C58" s="244" t="s">
        <v>395</v>
      </c>
      <c r="D58" s="142" t="s">
        <v>83</v>
      </c>
      <c r="E58" s="326">
        <v>0</v>
      </c>
      <c r="F58" s="326">
        <v>1</v>
      </c>
      <c r="G58" s="258">
        <v>0</v>
      </c>
      <c r="J58" s="77"/>
      <c r="K58" s="150" t="str">
        <f>C74</f>
        <v>Import</v>
      </c>
      <c r="L58" s="76">
        <f>G76-F76*G74</f>
        <v>0</v>
      </c>
      <c r="M58" s="167" t="s">
        <v>195</v>
      </c>
      <c r="N58" s="167">
        <v>0</v>
      </c>
      <c r="Q58" s="195"/>
      <c r="S58" s="185"/>
      <c r="U58" s="347"/>
      <c r="X58" s="195"/>
      <c r="AA58" s="173"/>
    </row>
    <row r="59" spans="1:27" ht="18" customHeight="1">
      <c r="B59" s="467"/>
      <c r="C59" s="241" t="s">
        <v>717</v>
      </c>
      <c r="D59" s="142" t="s">
        <v>83</v>
      </c>
      <c r="E59" s="326">
        <v>0</v>
      </c>
      <c r="F59" s="326">
        <v>1</v>
      </c>
      <c r="G59" s="258">
        <v>0</v>
      </c>
      <c r="J59" s="142"/>
      <c r="K59" s="150" t="str">
        <f>C75</f>
        <v>Export</v>
      </c>
      <c r="L59" s="76">
        <f>G77-F77*G75</f>
        <v>-1.8762651000000004</v>
      </c>
      <c r="M59" s="167" t="s">
        <v>195</v>
      </c>
      <c r="N59" s="167">
        <v>0</v>
      </c>
      <c r="Q59" s="195"/>
      <c r="S59" s="211" t="s">
        <v>392</v>
      </c>
      <c r="U59" s="347"/>
    </row>
    <row r="60" spans="1:27" ht="18" customHeight="1">
      <c r="B60" s="467"/>
      <c r="C60" s="241" t="s">
        <v>718</v>
      </c>
      <c r="D60" s="142" t="s">
        <v>83</v>
      </c>
      <c r="E60" s="326">
        <v>0</v>
      </c>
      <c r="F60" s="326">
        <v>1</v>
      </c>
      <c r="G60" s="258">
        <v>0</v>
      </c>
      <c r="J60" s="77"/>
      <c r="K60" s="142"/>
      <c r="L60" s="142"/>
      <c r="M60" s="142"/>
      <c r="N60" s="142"/>
      <c r="R60" s="245" t="s">
        <v>477</v>
      </c>
      <c r="S60" s="358">
        <f>-Assets!W489*$G$69</f>
        <v>0</v>
      </c>
      <c r="T60" s="167" t="s">
        <v>195</v>
      </c>
      <c r="U60" s="347">
        <f>$G$52*Assets!U489+$G$53*Assets!V489</f>
        <v>0</v>
      </c>
      <c r="X60" s="195"/>
      <c r="Y60" s="195"/>
    </row>
    <row r="61" spans="1:27" ht="18" customHeight="1">
      <c r="B61" s="467"/>
      <c r="C61" s="241" t="s">
        <v>719</v>
      </c>
      <c r="D61" s="142" t="s">
        <v>83</v>
      </c>
      <c r="E61" s="326">
        <v>0</v>
      </c>
      <c r="F61" s="326">
        <v>1</v>
      </c>
      <c r="G61" s="258">
        <v>1</v>
      </c>
      <c r="J61" s="77"/>
      <c r="K61" s="150"/>
      <c r="L61" s="211" t="s">
        <v>198</v>
      </c>
      <c r="M61" s="77"/>
      <c r="N61" s="77"/>
      <c r="R61" s="245" t="s">
        <v>478</v>
      </c>
      <c r="S61" s="358">
        <f>$G$52*Assets!U490+$G$53*Assets!V490</f>
        <v>0</v>
      </c>
      <c r="T61" s="167" t="s">
        <v>195</v>
      </c>
      <c r="U61" s="347">
        <f>-Assets!W490*$G$69</f>
        <v>0</v>
      </c>
    </row>
    <row r="62" spans="1:27" ht="18" customHeight="1">
      <c r="B62" s="467"/>
      <c r="C62" s="241" t="s">
        <v>720</v>
      </c>
      <c r="D62" s="142" t="s">
        <v>83</v>
      </c>
      <c r="E62" s="326">
        <v>0</v>
      </c>
      <c r="F62" s="326">
        <v>1</v>
      </c>
      <c r="G62" s="258">
        <v>1</v>
      </c>
      <c r="J62" s="77"/>
      <c r="K62" s="150" t="str">
        <f t="shared" ref="K62:K69" si="3">K40</f>
        <v>EHP 1 steam gen.</v>
      </c>
      <c r="L62" s="76">
        <f>-G40+E40*G58</f>
        <v>0</v>
      </c>
      <c r="M62" s="167" t="s">
        <v>195</v>
      </c>
      <c r="N62" s="167">
        <v>0</v>
      </c>
      <c r="R62" s="245" t="s">
        <v>479</v>
      </c>
      <c r="S62" s="358">
        <f>-Assets!W491*$G$69</f>
        <v>0</v>
      </c>
      <c r="T62" s="167" t="s">
        <v>195</v>
      </c>
      <c r="U62" s="347">
        <f>$G$52*Assets!U491+$G$53*Assets!V491</f>
        <v>0</v>
      </c>
    </row>
    <row r="63" spans="1:27" ht="18" customHeight="1">
      <c r="A63" s="41"/>
      <c r="B63" s="184"/>
      <c r="C63" s="241" t="s">
        <v>721</v>
      </c>
      <c r="D63" s="142" t="s">
        <v>83</v>
      </c>
      <c r="E63" s="326">
        <v>0</v>
      </c>
      <c r="F63" s="326">
        <v>1</v>
      </c>
      <c r="G63" s="258">
        <v>1</v>
      </c>
      <c r="J63" s="77"/>
      <c r="K63" s="150" t="str">
        <f t="shared" si="3"/>
        <v>EHP 2 steam gen.</v>
      </c>
      <c r="L63" s="76">
        <f t="shared" ref="L63:L72" si="4">-G41+E41*G59</f>
        <v>0</v>
      </c>
      <c r="M63" s="167" t="s">
        <v>195</v>
      </c>
      <c r="N63" s="167">
        <v>0</v>
      </c>
      <c r="Q63" s="173"/>
      <c r="R63" s="245" t="s">
        <v>480</v>
      </c>
      <c r="S63" s="358">
        <f>$G$52*Assets!U492+$G$53*Assets!V492</f>
        <v>0</v>
      </c>
      <c r="T63" s="167" t="s">
        <v>195</v>
      </c>
      <c r="U63" s="347">
        <f>-Assets!W492*$G$69</f>
        <v>0</v>
      </c>
    </row>
    <row r="64" spans="1:27" ht="18" customHeight="1">
      <c r="B64" s="467"/>
      <c r="C64" s="241" t="s">
        <v>722</v>
      </c>
      <c r="D64" s="142" t="s">
        <v>83</v>
      </c>
      <c r="E64" s="326">
        <v>0</v>
      </c>
      <c r="F64" s="326">
        <v>1</v>
      </c>
      <c r="G64" s="258">
        <v>0</v>
      </c>
      <c r="J64" s="77"/>
      <c r="K64" s="150" t="str">
        <f t="shared" si="3"/>
        <v>EHP 3 steam gen.</v>
      </c>
      <c r="L64" s="76">
        <f t="shared" si="4"/>
        <v>0</v>
      </c>
      <c r="M64" s="167" t="s">
        <v>195</v>
      </c>
      <c r="N64" s="167">
        <v>0</v>
      </c>
      <c r="Q64" s="173"/>
      <c r="R64" s="245" t="s">
        <v>481</v>
      </c>
      <c r="S64" s="358">
        <f>$G$52*Assets!U493+$G$53*Assets!V493</f>
        <v>0</v>
      </c>
      <c r="T64" s="167" t="s">
        <v>195</v>
      </c>
      <c r="U64" s="347">
        <f>-Assets!W493*$G$69</f>
        <v>0</v>
      </c>
      <c r="W64" s="362"/>
    </row>
    <row r="65" spans="1:28" ht="18" customHeight="1">
      <c r="A65" s="336"/>
      <c r="B65" s="467"/>
      <c r="C65" s="241" t="s">
        <v>968</v>
      </c>
      <c r="D65" s="142" t="s">
        <v>83</v>
      </c>
      <c r="E65" s="326">
        <v>0</v>
      </c>
      <c r="F65" s="326">
        <v>1</v>
      </c>
      <c r="G65" s="258">
        <v>0</v>
      </c>
      <c r="J65" s="77"/>
      <c r="K65" s="150" t="str">
        <f t="shared" si="3"/>
        <v>GT1 fire rate</v>
      </c>
      <c r="L65" s="76">
        <f t="shared" si="4"/>
        <v>-50</v>
      </c>
      <c r="M65" s="167" t="s">
        <v>195</v>
      </c>
      <c r="N65" s="167">
        <v>0</v>
      </c>
      <c r="P65" s="173"/>
      <c r="U65" s="356"/>
    </row>
    <row r="66" spans="1:28" ht="18" customHeight="1">
      <c r="B66" s="467"/>
      <c r="C66" s="241" t="s">
        <v>723</v>
      </c>
      <c r="D66" s="142" t="s">
        <v>83</v>
      </c>
      <c r="E66" s="326">
        <v>0</v>
      </c>
      <c r="F66" s="326">
        <v>1</v>
      </c>
      <c r="G66" s="258">
        <v>1</v>
      </c>
      <c r="J66" s="77"/>
      <c r="K66" s="150" t="str">
        <f t="shared" si="3"/>
        <v>GT2 fire rate</v>
      </c>
      <c r="L66" s="76">
        <f t="shared" si="4"/>
        <v>-50</v>
      </c>
      <c r="M66" s="167" t="s">
        <v>195</v>
      </c>
      <c r="N66" s="167">
        <v>0</v>
      </c>
      <c r="P66" s="173"/>
      <c r="S66" s="211" t="s">
        <v>600</v>
      </c>
      <c r="T66" s="211"/>
      <c r="U66" s="356"/>
    </row>
    <row r="67" spans="1:28" ht="18" customHeight="1">
      <c r="B67" s="467"/>
      <c r="C67" s="241" t="s">
        <v>724</v>
      </c>
      <c r="D67" s="142" t="s">
        <v>83</v>
      </c>
      <c r="E67" s="326">
        <v>0</v>
      </c>
      <c r="F67" s="326">
        <v>1</v>
      </c>
      <c r="G67" s="258">
        <v>1</v>
      </c>
      <c r="J67" s="77"/>
      <c r="K67" s="150" t="str">
        <f t="shared" si="3"/>
        <v>WHB-1 supp. firing.</v>
      </c>
      <c r="L67" s="76">
        <f>-G45+E45*G63</f>
        <v>-16.162507000000002</v>
      </c>
      <c r="M67" s="167" t="s">
        <v>195</v>
      </c>
      <c r="N67" s="167">
        <v>0</v>
      </c>
      <c r="P67" s="195"/>
      <c r="R67" s="143" t="s">
        <v>168</v>
      </c>
      <c r="S67" s="337">
        <f>G58-G59</f>
        <v>0</v>
      </c>
      <c r="T67" s="338" t="s">
        <v>195</v>
      </c>
      <c r="U67" s="347">
        <f>G64*Assets!Q430+G66*Assets!R430</f>
        <v>0</v>
      </c>
    </row>
    <row r="68" spans="1:28" ht="18" customHeight="1">
      <c r="B68" s="467"/>
      <c r="C68" s="241" t="s">
        <v>725</v>
      </c>
      <c r="D68" s="142" t="s">
        <v>83</v>
      </c>
      <c r="E68" s="326">
        <v>0</v>
      </c>
      <c r="F68" s="326">
        <v>1</v>
      </c>
      <c r="G68" s="258">
        <v>0</v>
      </c>
      <c r="J68" s="77"/>
      <c r="K68" s="150" t="str">
        <f t="shared" si="3"/>
        <v>WHB-2 supp. firing.</v>
      </c>
      <c r="L68" s="76">
        <f t="shared" si="4"/>
        <v>0</v>
      </c>
      <c r="M68" s="167" t="s">
        <v>195</v>
      </c>
      <c r="N68" s="167">
        <v>0</v>
      </c>
      <c r="P68" s="195"/>
      <c r="R68" s="143" t="s">
        <v>47</v>
      </c>
      <c r="S68" s="337">
        <f>G59-G58</f>
        <v>0</v>
      </c>
      <c r="T68" s="338" t="s">
        <v>195</v>
      </c>
      <c r="U68" s="347">
        <f>-Assets!S431*$G$68</f>
        <v>0</v>
      </c>
    </row>
    <row r="69" spans="1:28" ht="18" customHeight="1">
      <c r="B69" s="467"/>
      <c r="C69" s="241" t="s">
        <v>726</v>
      </c>
      <c r="D69" s="142" t="s">
        <v>83</v>
      </c>
      <c r="E69" s="326">
        <v>0</v>
      </c>
      <c r="F69" s="326">
        <v>1</v>
      </c>
      <c r="G69" s="258">
        <v>0</v>
      </c>
      <c r="I69" s="336"/>
      <c r="J69" s="231"/>
      <c r="K69" s="241" t="str">
        <f t="shared" si="3"/>
        <v>Aux. boiler steam</v>
      </c>
      <c r="L69" s="326">
        <f>-G47+E47*G65</f>
        <v>0</v>
      </c>
      <c r="M69" s="338" t="s">
        <v>195</v>
      </c>
      <c r="N69" s="338">
        <v>0</v>
      </c>
      <c r="P69" s="173"/>
      <c r="U69" s="356"/>
      <c r="W69" s="143" t="s">
        <v>713</v>
      </c>
    </row>
    <row r="70" spans="1:28" ht="18" customHeight="1">
      <c r="B70" s="184"/>
      <c r="C70" s="241" t="s">
        <v>727</v>
      </c>
      <c r="D70" s="142" t="s">
        <v>83</v>
      </c>
      <c r="E70" s="326">
        <v>0</v>
      </c>
      <c r="F70" s="326">
        <v>1</v>
      </c>
      <c r="G70" s="258">
        <v>0</v>
      </c>
      <c r="J70" s="77"/>
      <c r="K70" s="150" t="str">
        <f>K48</f>
        <v>MP-1 steam gen.</v>
      </c>
      <c r="L70" s="76">
        <f t="shared" si="4"/>
        <v>-1.8800515000000004</v>
      </c>
      <c r="M70" s="167" t="s">
        <v>195</v>
      </c>
      <c r="N70" s="167">
        <v>0</v>
      </c>
      <c r="P70" s="173"/>
      <c r="R70" s="336"/>
      <c r="S70" s="211" t="s">
        <v>845</v>
      </c>
      <c r="T70" s="211"/>
      <c r="U70" s="356"/>
    </row>
    <row r="71" spans="1:28" ht="18" customHeight="1">
      <c r="B71" s="467"/>
      <c r="C71" s="241" t="s">
        <v>728</v>
      </c>
      <c r="D71" s="142" t="s">
        <v>83</v>
      </c>
      <c r="E71" s="326">
        <v>0</v>
      </c>
      <c r="F71" s="326">
        <v>1</v>
      </c>
      <c r="G71" s="258">
        <v>0</v>
      </c>
      <c r="J71" s="77"/>
      <c r="K71" s="150" t="str">
        <f t="shared" ref="K71:K78" si="5">K49</f>
        <v>MP-2 steam gen</v>
      </c>
      <c r="L71" s="76">
        <f t="shared" si="4"/>
        <v>0</v>
      </c>
      <c r="M71" s="167" t="s">
        <v>195</v>
      </c>
      <c r="N71" s="167">
        <v>0</v>
      </c>
      <c r="P71" s="173"/>
      <c r="R71" s="323" t="s">
        <v>846</v>
      </c>
      <c r="S71" s="337">
        <f>G74+G75</f>
        <v>1</v>
      </c>
      <c r="T71" s="338" t="s">
        <v>195</v>
      </c>
      <c r="U71" s="347">
        <v>1</v>
      </c>
    </row>
    <row r="72" spans="1:28" ht="18" customHeight="1">
      <c r="B72" s="467"/>
      <c r="C72" s="323" t="s">
        <v>742</v>
      </c>
      <c r="D72" s="143" t="s">
        <v>83</v>
      </c>
      <c r="E72" s="326">
        <v>0</v>
      </c>
      <c r="F72" s="326">
        <v>1</v>
      </c>
      <c r="G72" s="258">
        <v>1</v>
      </c>
      <c r="J72" s="77"/>
      <c r="K72" s="150" t="str">
        <f t="shared" si="5"/>
        <v>ST2 HP inlet flow</v>
      </c>
      <c r="L72" s="76">
        <f t="shared" si="4"/>
        <v>0</v>
      </c>
      <c r="M72" s="167" t="s">
        <v>195</v>
      </c>
      <c r="N72" s="167">
        <v>0</v>
      </c>
      <c r="P72" s="173"/>
    </row>
    <row r="73" spans="1:28" ht="18" customHeight="1">
      <c r="A73" s="41"/>
      <c r="B73" s="467"/>
      <c r="C73" s="241" t="s">
        <v>232</v>
      </c>
      <c r="D73" s="142" t="s">
        <v>83</v>
      </c>
      <c r="E73" s="326">
        <v>0</v>
      </c>
      <c r="F73" s="326">
        <v>1</v>
      </c>
      <c r="G73" s="258">
        <v>1</v>
      </c>
      <c r="J73" s="77"/>
      <c r="K73" s="150" t="str">
        <f t="shared" si="5"/>
        <v>ST2 LP extract. flow</v>
      </c>
      <c r="L73" s="76">
        <f>-G51+E51*G68</f>
        <v>0</v>
      </c>
      <c r="M73" s="167" t="s">
        <v>195</v>
      </c>
      <c r="N73" s="167">
        <v>0</v>
      </c>
      <c r="P73" s="173"/>
      <c r="X73" s="195"/>
    </row>
    <row r="74" spans="1:28" ht="18" customHeight="1">
      <c r="B74" s="467"/>
      <c r="C74" s="241" t="s">
        <v>37</v>
      </c>
      <c r="D74" s="142" t="s">
        <v>83</v>
      </c>
      <c r="E74" s="326">
        <v>0</v>
      </c>
      <c r="F74" s="326">
        <v>1</v>
      </c>
      <c r="G74" s="258">
        <v>0</v>
      </c>
      <c r="J74" s="77"/>
      <c r="K74" s="150" t="str">
        <f t="shared" si="5"/>
        <v>ST5 EHP inlet flow</v>
      </c>
      <c r="L74" s="76">
        <f>-G52+E52*G69</f>
        <v>0</v>
      </c>
      <c r="M74" s="167" t="s">
        <v>195</v>
      </c>
      <c r="N74" s="167">
        <v>0</v>
      </c>
      <c r="X74" s="195"/>
      <c r="Y74" s="195"/>
    </row>
    <row r="75" spans="1:28" ht="18" customHeight="1">
      <c r="B75" s="467"/>
      <c r="C75" s="241" t="s">
        <v>38</v>
      </c>
      <c r="D75" s="142" t="s">
        <v>83</v>
      </c>
      <c r="E75" s="326">
        <v>0</v>
      </c>
      <c r="F75" s="326">
        <v>1</v>
      </c>
      <c r="G75" s="258">
        <v>1</v>
      </c>
      <c r="J75" s="77"/>
      <c r="K75" s="150" t="str">
        <f t="shared" si="5"/>
        <v>ST5 MP extract. flow</v>
      </c>
      <c r="L75" s="76">
        <f>-G53+E53*G69</f>
        <v>0</v>
      </c>
      <c r="M75" s="167" t="s">
        <v>195</v>
      </c>
      <c r="N75" s="167">
        <v>0</v>
      </c>
      <c r="Z75" s="173"/>
    </row>
    <row r="76" spans="1:28" ht="18" customHeight="1">
      <c r="B76" s="465"/>
      <c r="C76" s="241" t="s">
        <v>37</v>
      </c>
      <c r="D76" s="142" t="s">
        <v>36</v>
      </c>
      <c r="E76" s="326">
        <v>0</v>
      </c>
      <c r="F76" s="326">
        <v>6</v>
      </c>
      <c r="G76" s="258">
        <v>0</v>
      </c>
      <c r="J76" s="77"/>
      <c r="K76" s="150" t="str">
        <f t="shared" si="5"/>
        <v>ST6 HP inlet flow</v>
      </c>
      <c r="L76" s="76">
        <f>-G54+E54*G70</f>
        <v>0</v>
      </c>
      <c r="M76" s="167" t="s">
        <v>195</v>
      </c>
      <c r="N76" s="167">
        <v>0</v>
      </c>
      <c r="AA76" s="173"/>
    </row>
    <row r="77" spans="1:28" ht="18" customHeight="1">
      <c r="A77" s="6"/>
      <c r="B77" s="339"/>
      <c r="C77" s="241" t="s">
        <v>38</v>
      </c>
      <c r="D77" s="142" t="s">
        <v>36</v>
      </c>
      <c r="E77" s="326">
        <v>0</v>
      </c>
      <c r="F77" s="326">
        <v>6</v>
      </c>
      <c r="G77" s="258">
        <v>4.1237348999999996</v>
      </c>
      <c r="J77" s="77"/>
      <c r="K77" s="150" t="str">
        <f t="shared" si="5"/>
        <v>ST7 HP inlet flow</v>
      </c>
      <c r="L77" s="76">
        <f>-G55+E55*G71</f>
        <v>0</v>
      </c>
      <c r="M77" s="167" t="s">
        <v>195</v>
      </c>
      <c r="N77" s="167">
        <v>0</v>
      </c>
    </row>
    <row r="78" spans="1:28" ht="18" customHeight="1">
      <c r="B78" s="468"/>
      <c r="I78" s="336"/>
      <c r="J78" s="231"/>
      <c r="K78" s="241" t="str">
        <f t="shared" si="5"/>
        <v>HP ST5 Inlet</v>
      </c>
      <c r="L78" s="326">
        <f>-G56+E56*G72</f>
        <v>-9.25</v>
      </c>
      <c r="M78" s="338" t="s">
        <v>195</v>
      </c>
      <c r="N78" s="338">
        <v>0</v>
      </c>
    </row>
    <row r="79" spans="1:28" ht="18" customHeight="1">
      <c r="B79" s="469"/>
      <c r="J79" s="77"/>
      <c r="K79" s="150" t="s">
        <v>233</v>
      </c>
      <c r="L79" s="76">
        <f>-G57+E57*G73</f>
        <v>0</v>
      </c>
      <c r="M79" s="167" t="s">
        <v>195</v>
      </c>
      <c r="N79" s="167">
        <v>0</v>
      </c>
    </row>
    <row r="80" spans="1:28" ht="18" customHeight="1">
      <c r="B80" s="470"/>
      <c r="J80" s="77"/>
      <c r="K80" s="150" t="str">
        <f>C76</f>
        <v>Import</v>
      </c>
      <c r="L80" s="76">
        <f>-G76+E76*G74</f>
        <v>0</v>
      </c>
      <c r="M80" s="167" t="s">
        <v>195</v>
      </c>
      <c r="N80" s="167">
        <v>0</v>
      </c>
      <c r="AB80" s="173"/>
    </row>
    <row r="81" spans="2:14" ht="18" customHeight="1">
      <c r="B81" s="241"/>
      <c r="J81" s="142"/>
      <c r="K81" s="150" t="str">
        <f>C77</f>
        <v>Export</v>
      </c>
      <c r="L81" s="76">
        <f>-G77+E77*G75</f>
        <v>-4.1237348999999996</v>
      </c>
      <c r="M81" s="167" t="s">
        <v>195</v>
      </c>
      <c r="N81" s="167">
        <v>0</v>
      </c>
    </row>
    <row r="82" spans="2:14" ht="18" customHeight="1">
      <c r="B82" s="463"/>
      <c r="J82" s="142"/>
      <c r="K82" s="142"/>
      <c r="L82" s="142"/>
      <c r="M82" s="142"/>
      <c r="N82" s="169"/>
    </row>
    <row r="83" spans="2:14" ht="18" customHeight="1">
      <c r="B83" s="463"/>
    </row>
    <row r="84" spans="2:14" ht="18" customHeight="1">
      <c r="B84" s="463"/>
    </row>
    <row r="85" spans="2:14" ht="18" customHeight="1">
      <c r="B85" s="470"/>
    </row>
    <row r="86" spans="2:14" ht="18" customHeight="1">
      <c r="B86" s="470"/>
    </row>
  </sheetData>
  <mergeCells count="1">
    <mergeCell ref="Z4:AA4"/>
  </mergeCells>
  <pageMargins left="0.70866141732283472" right="0.70866141732283472" top="0.74803149606299213" bottom="0.74803149606299213" header="0.31496062992125984" footer="0.31496062992125984"/>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9" r:id="rId4" name="Button 15">
              <controlPr defaultSize="0" print="0" autoFill="0" autoPict="0" macro="[0]!model">
                <anchor moveWithCells="1" sizeWithCells="1">
                  <from>
                    <xdr:col>18</xdr:col>
                    <xdr:colOff>25400</xdr:colOff>
                    <xdr:row>1</xdr:row>
                    <xdr:rowOff>12700</xdr:rowOff>
                  </from>
                  <to>
                    <xdr:col>21</xdr:col>
                    <xdr:colOff>520700</xdr:colOff>
                    <xdr:row>2</xdr:row>
                    <xdr:rowOff>177800</xdr:rowOff>
                  </to>
                </anchor>
              </controlPr>
            </control>
          </mc:Choice>
        </mc:AlternateContent>
        <mc:AlternateContent xmlns:mc="http://schemas.openxmlformats.org/markup-compatibility/2006">
          <mc:Choice Requires="x14">
            <control shapeId="1052" r:id="rId5" name="Button 28">
              <controlPr defaultSize="0" print="0" autoFill="0" autoPict="0" macro="[0]!DCOpt">
                <anchor moveWithCells="1" sizeWithCells="1">
                  <from>
                    <xdr:col>18</xdr:col>
                    <xdr:colOff>25400</xdr:colOff>
                    <xdr:row>2</xdr:row>
                    <xdr:rowOff>177800</xdr:rowOff>
                  </from>
                  <to>
                    <xdr:col>21</xdr:col>
                    <xdr:colOff>520700</xdr:colOff>
                    <xdr:row>4</xdr:row>
                    <xdr:rowOff>101600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autoPageBreaks="0"/>
  </sheetPr>
  <dimension ref="A1:T757"/>
  <sheetViews>
    <sheetView zoomScale="80" zoomScaleNormal="80" workbookViewId="0">
      <pane ySplit="1" topLeftCell="A130" activePane="bottomLeft" state="frozen"/>
      <selection pane="bottomLeft" activeCell="C164" sqref="C164"/>
    </sheetView>
  </sheetViews>
  <sheetFormatPr baseColWidth="10" defaultColWidth="15.6640625" defaultRowHeight="18" customHeight="1"/>
  <cols>
    <col min="1" max="1" width="48.83203125" style="340" customWidth="1"/>
    <col min="2" max="2" width="12.83203125" style="340" bestFit="1" customWidth="1"/>
    <col min="3" max="3" width="18.1640625" style="340" customWidth="1"/>
    <col min="4" max="5" width="15.6640625" style="340"/>
    <col min="6" max="6" width="18.1640625" style="340" bestFit="1" customWidth="1"/>
    <col min="7" max="16384" width="15.6640625" style="340"/>
  </cols>
  <sheetData>
    <row r="1" spans="1:15" s="229" customFormat="1" ht="21" thickBot="1">
      <c r="A1" s="374" t="s">
        <v>624</v>
      </c>
      <c r="B1" s="274" t="s">
        <v>404</v>
      </c>
      <c r="C1" s="252" t="s">
        <v>430</v>
      </c>
      <c r="D1" s="252" t="s">
        <v>218</v>
      </c>
      <c r="E1" s="514" t="s">
        <v>261</v>
      </c>
      <c r="F1" s="514" t="s">
        <v>262</v>
      </c>
      <c r="G1" s="514" t="s">
        <v>263</v>
      </c>
      <c r="H1" s="514" t="s">
        <v>244</v>
      </c>
      <c r="I1" s="514" t="s">
        <v>233</v>
      </c>
      <c r="J1" s="514" t="s">
        <v>212</v>
      </c>
      <c r="K1" s="252" t="s">
        <v>518</v>
      </c>
      <c r="L1" s="252" t="s">
        <v>433</v>
      </c>
      <c r="M1" s="138"/>
      <c r="N1" s="44"/>
    </row>
    <row r="2" spans="1:15" s="291" customFormat="1" ht="18" customHeight="1" thickTop="1">
      <c r="E2" s="229"/>
      <c r="F2" s="88"/>
      <c r="G2" s="89"/>
      <c r="H2" s="90"/>
      <c r="I2" s="91"/>
      <c r="J2" s="98"/>
      <c r="K2" s="229"/>
      <c r="L2" s="229"/>
    </row>
    <row r="3" spans="1:15" s="291" customFormat="1" ht="18" customHeight="1" thickBot="1">
      <c r="A3" s="375" t="s">
        <v>246</v>
      </c>
      <c r="B3" s="375"/>
      <c r="C3" s="375"/>
      <c r="D3" s="375"/>
      <c r="E3" s="391"/>
      <c r="F3" s="229"/>
      <c r="G3" s="229"/>
      <c r="H3" s="229"/>
      <c r="I3" s="229"/>
      <c r="J3" s="229"/>
      <c r="K3" s="42"/>
      <c r="L3" s="229"/>
      <c r="M3" s="229"/>
      <c r="N3" s="229"/>
      <c r="O3" s="229"/>
    </row>
    <row r="4" spans="1:15" s="291" customFormat="1" ht="18" customHeight="1" thickTop="1">
      <c r="A4" s="139" t="str">
        <f>A20</f>
        <v>Variables</v>
      </c>
      <c r="B4" s="139"/>
      <c r="E4" s="42"/>
      <c r="F4" s="229"/>
      <c r="G4" s="229"/>
      <c r="H4" s="229"/>
      <c r="I4" s="229"/>
      <c r="J4" s="229"/>
      <c r="K4" s="42"/>
      <c r="L4" s="229"/>
      <c r="M4" s="229"/>
      <c r="N4" s="229"/>
      <c r="O4" s="229"/>
    </row>
    <row r="5" spans="1:15" s="291" customFormat="1" ht="18" customHeight="1">
      <c r="A5" s="139" t="str">
        <f>A61</f>
        <v>Assumptions</v>
      </c>
      <c r="E5" s="42"/>
      <c r="F5" s="229"/>
      <c r="G5" s="229"/>
      <c r="H5" s="229"/>
      <c r="I5" s="229"/>
      <c r="J5" s="229"/>
      <c r="K5" s="42"/>
      <c r="L5" s="229"/>
      <c r="M5" s="229"/>
      <c r="N5" s="229"/>
      <c r="O5" s="229"/>
    </row>
    <row r="6" spans="1:15" s="291" customFormat="1" ht="18" customHeight="1">
      <c r="A6" s="139" t="str">
        <f>A144</f>
        <v>Steam Thermodynamics</v>
      </c>
      <c r="B6" s="139"/>
      <c r="E6" s="42"/>
      <c r="F6" s="229"/>
      <c r="G6" s="229"/>
      <c r="H6" s="229"/>
      <c r="I6" s="229"/>
      <c r="J6" s="229"/>
      <c r="K6" s="42"/>
      <c r="L6" s="229"/>
      <c r="M6" s="229"/>
      <c r="N6" s="229"/>
      <c r="O6" s="229"/>
    </row>
    <row r="7" spans="1:15" s="334" customFormat="1" ht="18" customHeight="1">
      <c r="A7" s="139" t="str">
        <f>A162</f>
        <v>Site Analysis</v>
      </c>
      <c r="B7" s="139"/>
      <c r="E7" s="42"/>
      <c r="F7" s="325"/>
      <c r="G7" s="325"/>
      <c r="H7" s="325"/>
      <c r="I7" s="325"/>
      <c r="J7" s="325"/>
      <c r="K7" s="42"/>
      <c r="L7" s="325"/>
      <c r="M7" s="325"/>
      <c r="N7" s="325"/>
      <c r="O7" s="325"/>
    </row>
    <row r="8" spans="1:15" s="291" customFormat="1" ht="18" customHeight="1">
      <c r="A8" s="139" t="str">
        <f>A211</f>
        <v>Site Balances</v>
      </c>
      <c r="B8" s="139"/>
      <c r="E8" s="42"/>
      <c r="F8" s="229"/>
      <c r="G8" s="229"/>
      <c r="H8" s="229"/>
      <c r="I8" s="229"/>
      <c r="J8" s="229"/>
      <c r="K8" s="42"/>
      <c r="L8" s="229"/>
      <c r="M8" s="229"/>
      <c r="N8" s="229"/>
      <c r="O8" s="229"/>
    </row>
    <row r="9" spans="1:15" s="291" customFormat="1" ht="18" customHeight="1">
      <c r="A9" s="139" t="str">
        <f>AREAgasturbines</f>
        <v>Gas Turbine and Waste Heat Boiler Model</v>
      </c>
      <c r="B9" s="139"/>
      <c r="E9" s="42"/>
      <c r="F9" s="229"/>
      <c r="G9" s="229"/>
      <c r="H9" s="229"/>
      <c r="I9" s="229"/>
      <c r="J9" s="229"/>
      <c r="K9" s="42"/>
      <c r="L9" s="229"/>
      <c r="M9" s="229"/>
      <c r="N9" s="229"/>
      <c r="O9" s="229"/>
    </row>
    <row r="10" spans="1:15" s="291" customFormat="1" ht="18" customHeight="1">
      <c r="A10" s="139" t="str">
        <f>AREAsteamturbines</f>
        <v>Steam Turbine Models</v>
      </c>
      <c r="B10" s="139"/>
      <c r="E10" s="42"/>
      <c r="F10" s="229"/>
      <c r="G10" s="229"/>
      <c r="H10" s="229"/>
      <c r="I10" s="229"/>
      <c r="J10" s="229"/>
      <c r="K10" s="42"/>
      <c r="L10" s="229"/>
      <c r="M10" s="229"/>
      <c r="N10" s="229"/>
      <c r="O10" s="229"/>
    </row>
    <row r="11" spans="1:15" s="291" customFormat="1" ht="18" customHeight="1">
      <c r="A11" s="139" t="str">
        <f>A455</f>
        <v>EHP &amp; MP Boilers</v>
      </c>
      <c r="B11" s="139"/>
      <c r="E11" s="42"/>
      <c r="F11" s="229"/>
      <c r="G11" s="229"/>
      <c r="H11" s="229"/>
      <c r="I11" s="229"/>
      <c r="J11" s="229"/>
      <c r="K11" s="42"/>
      <c r="L11" s="229"/>
      <c r="M11" s="229"/>
      <c r="N11" s="229"/>
      <c r="O11" s="229"/>
    </row>
    <row r="12" spans="1:15" s="291" customFormat="1" ht="18" customHeight="1">
      <c r="A12" s="139" t="str">
        <f>A501</f>
        <v>Deaerator</v>
      </c>
      <c r="B12" s="139"/>
      <c r="E12" s="42"/>
      <c r="F12" s="229"/>
      <c r="G12" s="229"/>
      <c r="H12" s="229"/>
      <c r="I12" s="229"/>
      <c r="J12" s="229"/>
      <c r="K12" s="42"/>
      <c r="L12" s="229"/>
      <c r="M12" s="229"/>
      <c r="N12" s="229"/>
      <c r="O12" s="229"/>
    </row>
    <row r="13" spans="1:15" s="291" customFormat="1" ht="18" customHeight="1">
      <c r="A13" s="139" t="str">
        <f>A544</f>
        <v>Desuperheating Water</v>
      </c>
      <c r="B13" s="139"/>
      <c r="E13" s="42"/>
      <c r="F13" s="229"/>
      <c r="G13" s="229"/>
      <c r="H13" s="229"/>
      <c r="I13" s="229"/>
      <c r="J13" s="229"/>
      <c r="K13" s="42"/>
      <c r="L13" s="229"/>
      <c r="M13" s="229"/>
      <c r="N13" s="229"/>
      <c r="O13" s="229"/>
    </row>
    <row r="14" spans="1:15" s="291" customFormat="1" ht="18" customHeight="1">
      <c r="A14" s="139" t="str">
        <f>A566</f>
        <v>Parasitics</v>
      </c>
      <c r="B14" s="139"/>
      <c r="E14" s="42"/>
      <c r="F14" s="229"/>
      <c r="G14" s="229"/>
      <c r="H14" s="229"/>
      <c r="I14" s="229"/>
      <c r="J14" s="229"/>
      <c r="K14" s="42"/>
      <c r="L14" s="229"/>
      <c r="M14" s="229"/>
      <c r="N14" s="229"/>
      <c r="O14" s="229"/>
    </row>
    <row r="15" spans="1:15" s="291" customFormat="1" ht="18" customHeight="1">
      <c r="A15" s="139" t="str">
        <f>A616</f>
        <v>Gas Engine</v>
      </c>
      <c r="B15" s="139"/>
      <c r="E15" s="42"/>
      <c r="F15" s="229"/>
      <c r="G15" s="97"/>
      <c r="H15" s="80"/>
      <c r="I15" s="62"/>
      <c r="J15" s="62"/>
      <c r="K15" s="42"/>
      <c r="L15" s="229"/>
      <c r="M15" s="229"/>
      <c r="N15" s="229"/>
      <c r="O15" s="229"/>
    </row>
    <row r="16" spans="1:15" s="291" customFormat="1" ht="18" customHeight="1">
      <c r="A16" s="139" t="str">
        <f>AREAcusttariffscalc</f>
        <v>Customer Tariffs</v>
      </c>
      <c r="B16" s="139"/>
      <c r="E16" s="42"/>
      <c r="F16" s="229"/>
      <c r="G16" s="97"/>
      <c r="H16" s="80"/>
      <c r="I16" s="62"/>
      <c r="J16" s="62"/>
      <c r="K16" s="42"/>
      <c r="L16" s="229"/>
      <c r="M16" s="229"/>
      <c r="N16" s="229"/>
      <c r="O16" s="229"/>
    </row>
    <row r="17" spans="1:16" s="291" customFormat="1" ht="18" customHeight="1">
      <c r="A17" s="139" t="str">
        <f>AREArigsim</f>
        <v>Rigorous Simulation</v>
      </c>
      <c r="B17" s="139"/>
      <c r="E17" s="42"/>
      <c r="F17" s="229"/>
      <c r="G17" s="97"/>
      <c r="H17" s="80"/>
      <c r="I17" s="62"/>
      <c r="J17" s="62"/>
      <c r="K17" s="42"/>
      <c r="L17" s="229"/>
      <c r="M17" s="229"/>
      <c r="N17" s="229"/>
      <c r="O17" s="229"/>
    </row>
    <row r="18" spans="1:16" s="291" customFormat="1" ht="18" customHeight="1">
      <c r="A18" s="139" t="str">
        <f>A710</f>
        <v>Variable Constraints</v>
      </c>
      <c r="B18" s="139"/>
      <c r="E18" s="42"/>
      <c r="F18" s="229"/>
      <c r="G18" s="97"/>
      <c r="H18" s="80"/>
      <c r="I18" s="62"/>
      <c r="J18" s="62"/>
      <c r="K18" s="42"/>
      <c r="L18" s="229"/>
      <c r="M18" s="229"/>
      <c r="N18" s="229"/>
      <c r="O18" s="229"/>
    </row>
    <row r="19" spans="1:16" s="291" customFormat="1" ht="18" customHeight="1">
      <c r="E19" s="229"/>
      <c r="F19" s="229"/>
      <c r="G19" s="229"/>
      <c r="H19" s="229"/>
      <c r="I19" s="229"/>
      <c r="J19" s="229"/>
      <c r="K19" s="229"/>
      <c r="L19" s="229"/>
      <c r="M19" s="229"/>
      <c r="N19" s="229"/>
      <c r="O19" s="229"/>
    </row>
    <row r="20" spans="1:16" s="291" customFormat="1" ht="18" customHeight="1" thickBot="1">
      <c r="A20" s="375" t="s">
        <v>404</v>
      </c>
      <c r="B20" s="390"/>
      <c r="C20" s="390"/>
      <c r="D20" s="390"/>
      <c r="E20" s="392"/>
      <c r="F20" s="229"/>
      <c r="G20" s="229"/>
      <c r="H20" s="229"/>
      <c r="I20" s="229"/>
      <c r="J20" s="229"/>
      <c r="K20" s="229"/>
      <c r="L20" s="229"/>
      <c r="M20" s="229"/>
      <c r="N20" s="229"/>
      <c r="O20" s="229"/>
    </row>
    <row r="21" spans="1:16" s="291" customFormat="1" ht="18" customHeight="1" thickTop="1">
      <c r="A21" s="35"/>
      <c r="C21" s="98" t="s">
        <v>1</v>
      </c>
      <c r="D21" s="98" t="s">
        <v>2</v>
      </c>
      <c r="E21" s="98" t="s">
        <v>158</v>
      </c>
      <c r="F21" s="98" t="s">
        <v>6</v>
      </c>
      <c r="G21" s="229"/>
      <c r="H21" s="229"/>
      <c r="I21" s="229"/>
      <c r="J21" s="229"/>
      <c r="K21" s="229"/>
      <c r="L21" s="229"/>
      <c r="M21" s="229"/>
      <c r="N21" s="229"/>
      <c r="O21" s="229"/>
    </row>
    <row r="22" spans="1:16" s="291" customFormat="1" ht="18" customHeight="1">
      <c r="A22" s="99" t="str">
        <f>PFD!C40</f>
        <v>EHP 1 steam gen.</v>
      </c>
      <c r="B22" s="99" t="str">
        <f>PFD!D40</f>
        <v>t/h</v>
      </c>
      <c r="C22" s="365">
        <v>12</v>
      </c>
      <c r="D22" s="365">
        <v>40</v>
      </c>
      <c r="E22" s="366">
        <f>PFD!G40</f>
        <v>0</v>
      </c>
      <c r="F22" s="176" t="s">
        <v>429</v>
      </c>
      <c r="G22" s="229"/>
      <c r="H22" s="70" t="s">
        <v>344</v>
      </c>
      <c r="I22" s="229"/>
      <c r="J22" s="229"/>
      <c r="K22" s="229"/>
      <c r="M22" s="229"/>
      <c r="N22" s="229"/>
      <c r="O22" s="229"/>
    </row>
    <row r="23" spans="1:16" s="291" customFormat="1" ht="18" customHeight="1">
      <c r="A23" s="99" t="str">
        <f>PFD!C41</f>
        <v>EHP 2 steam gen.</v>
      </c>
      <c r="B23" s="99" t="str">
        <f>PFD!D41</f>
        <v>t/h</v>
      </c>
      <c r="C23" s="365">
        <v>12</v>
      </c>
      <c r="D23" s="365">
        <f>D22</f>
        <v>40</v>
      </c>
      <c r="E23" s="366">
        <f>PFD!G41</f>
        <v>0</v>
      </c>
      <c r="F23" s="176" t="s">
        <v>429</v>
      </c>
      <c r="G23" s="229"/>
      <c r="H23" s="70" t="s">
        <v>344</v>
      </c>
      <c r="I23" s="229"/>
      <c r="J23" s="229"/>
      <c r="K23" s="229"/>
      <c r="M23" s="229"/>
      <c r="N23" s="229"/>
      <c r="O23" s="229"/>
    </row>
    <row r="24" spans="1:16" s="291" customFormat="1" ht="18" customHeight="1">
      <c r="A24" s="99" t="str">
        <f>PFD!C42</f>
        <v>EHP 3 steam gen.</v>
      </c>
      <c r="B24" s="99" t="str">
        <f>PFD!D42</f>
        <v>t/h</v>
      </c>
      <c r="C24" s="365">
        <v>12</v>
      </c>
      <c r="D24" s="365">
        <f>D23</f>
        <v>40</v>
      </c>
      <c r="E24" s="366">
        <f>PFD!G42</f>
        <v>0</v>
      </c>
      <c r="F24" s="176" t="s">
        <v>429</v>
      </c>
      <c r="G24" s="229"/>
      <c r="H24" s="70" t="s">
        <v>344</v>
      </c>
      <c r="I24" s="229"/>
      <c r="J24" s="229"/>
      <c r="K24" s="229"/>
      <c r="L24" s="229"/>
      <c r="M24" s="229"/>
      <c r="N24" s="229"/>
      <c r="O24" s="229"/>
    </row>
    <row r="25" spans="1:16" s="291" customFormat="1" ht="18" customHeight="1">
      <c r="A25" s="99" t="str">
        <f>PFD!C43</f>
        <v>GT1 fire rate</v>
      </c>
      <c r="B25" s="99" t="str">
        <f>PFD!D43</f>
        <v>%</v>
      </c>
      <c r="C25" s="365">
        <v>50</v>
      </c>
      <c r="D25" s="365">
        <v>100</v>
      </c>
      <c r="E25" s="366">
        <f>PFD!G43</f>
        <v>100</v>
      </c>
      <c r="F25" s="176" t="s">
        <v>429</v>
      </c>
      <c r="G25" s="229"/>
      <c r="H25" s="229"/>
      <c r="I25" s="229"/>
      <c r="J25" s="229"/>
      <c r="K25" s="229"/>
      <c r="L25" s="229"/>
      <c r="M25" s="229"/>
      <c r="N25" s="229"/>
      <c r="O25" s="229"/>
    </row>
    <row r="26" spans="1:16" s="291" customFormat="1" ht="18" customHeight="1">
      <c r="A26" s="99" t="str">
        <f>PFD!C44</f>
        <v>GT2 fire rate</v>
      </c>
      <c r="B26" s="99" t="str">
        <f>PFD!D44</f>
        <v>%</v>
      </c>
      <c r="C26" s="365">
        <v>50</v>
      </c>
      <c r="D26" s="365">
        <v>100</v>
      </c>
      <c r="E26" s="366">
        <f>PFD!G44</f>
        <v>100</v>
      </c>
      <c r="F26" s="176" t="s">
        <v>429</v>
      </c>
      <c r="G26" s="229"/>
      <c r="H26" s="229"/>
      <c r="I26" s="229"/>
      <c r="J26" s="229"/>
      <c r="K26" s="229"/>
      <c r="L26" s="229"/>
      <c r="M26" s="229"/>
      <c r="N26" s="229"/>
      <c r="O26" s="229"/>
      <c r="P26" s="229"/>
    </row>
    <row r="27" spans="1:16" s="291" customFormat="1" ht="18" customHeight="1">
      <c r="A27" s="99" t="str">
        <f>PFD!C45</f>
        <v>WHB-1 supp. firing.</v>
      </c>
      <c r="B27" s="99" t="str">
        <f>PFD!D45</f>
        <v>t/h</v>
      </c>
      <c r="C27" s="367">
        <v>4</v>
      </c>
      <c r="D27" s="367">
        <v>20.162507475638879</v>
      </c>
      <c r="E27" s="366">
        <f>PFD!G45</f>
        <v>20.162507000000002</v>
      </c>
      <c r="F27" s="176" t="s">
        <v>429</v>
      </c>
      <c r="G27" s="229"/>
      <c r="H27" s="298" t="s">
        <v>563</v>
      </c>
      <c r="I27" s="229"/>
      <c r="J27" s="229"/>
      <c r="K27" s="229"/>
      <c r="L27" s="229"/>
      <c r="M27" s="229"/>
      <c r="N27" s="229"/>
      <c r="O27" s="229"/>
      <c r="P27" s="229"/>
    </row>
    <row r="28" spans="1:16" s="291" customFormat="1" ht="18" customHeight="1">
      <c r="A28" s="99" t="str">
        <f>PFD!C46</f>
        <v>WHB-2 supp. firing.</v>
      </c>
      <c r="B28" s="99" t="str">
        <f>PFD!D46</f>
        <v>t/h</v>
      </c>
      <c r="C28" s="367">
        <v>4</v>
      </c>
      <c r="D28" s="367">
        <f>D27</f>
        <v>20.162507475638879</v>
      </c>
      <c r="E28" s="366">
        <f>PFD!G46</f>
        <v>0</v>
      </c>
      <c r="F28" s="176" t="s">
        <v>429</v>
      </c>
      <c r="G28" s="229"/>
      <c r="H28" s="298" t="s">
        <v>563</v>
      </c>
      <c r="I28" s="229"/>
      <c r="J28" s="229"/>
      <c r="K28" s="229"/>
      <c r="L28" s="229"/>
      <c r="M28" s="229"/>
      <c r="N28" s="229"/>
      <c r="O28" s="229"/>
    </row>
    <row r="29" spans="1:16" s="334" customFormat="1" ht="18" customHeight="1">
      <c r="A29" s="99" t="str">
        <f>PFD!C47</f>
        <v>Aux. boiler steam</v>
      </c>
      <c r="B29" s="99" t="str">
        <f>PFD!D47</f>
        <v>t/h</v>
      </c>
      <c r="C29" s="367">
        <v>10</v>
      </c>
      <c r="D29" s="367">
        <v>32</v>
      </c>
      <c r="E29" s="366">
        <f>PFD!G47</f>
        <v>0</v>
      </c>
      <c r="F29" s="176" t="s">
        <v>429</v>
      </c>
      <c r="G29" s="325"/>
      <c r="H29" s="298"/>
      <c r="I29" s="325"/>
      <c r="J29" s="325"/>
      <c r="K29" s="325"/>
      <c r="L29" s="325"/>
      <c r="M29" s="325"/>
      <c r="N29" s="325"/>
      <c r="O29" s="325"/>
    </row>
    <row r="30" spans="1:16" s="291" customFormat="1" ht="18" customHeight="1">
      <c r="A30" s="99" t="str">
        <f>PFD!C48</f>
        <v>MP-1 steam gen.</v>
      </c>
      <c r="B30" s="99" t="str">
        <f>PFD!D48</f>
        <v>t/h</v>
      </c>
      <c r="C30" s="365">
        <v>4</v>
      </c>
      <c r="D30" s="365">
        <v>22</v>
      </c>
      <c r="E30" s="366">
        <f>PFD!G48</f>
        <v>5.8800515000000004</v>
      </c>
      <c r="F30" s="176" t="s">
        <v>429</v>
      </c>
      <c r="G30" s="229"/>
      <c r="H30" s="229" t="s">
        <v>651</v>
      </c>
      <c r="I30" s="229"/>
      <c r="J30" s="229"/>
      <c r="K30" s="229"/>
      <c r="L30" s="229"/>
      <c r="M30" s="229"/>
      <c r="N30" s="229"/>
      <c r="O30" s="229"/>
    </row>
    <row r="31" spans="1:16" s="291" customFormat="1" ht="18" customHeight="1">
      <c r="A31" s="99" t="str">
        <f>PFD!C49</f>
        <v>MP-2 steam gen</v>
      </c>
      <c r="B31" s="99" t="str">
        <f>PFD!D49</f>
        <v>t/h</v>
      </c>
      <c r="C31" s="365">
        <v>4</v>
      </c>
      <c r="D31" s="365">
        <f>D30</f>
        <v>22</v>
      </c>
      <c r="E31" s="366">
        <f>PFD!G49</f>
        <v>4</v>
      </c>
      <c r="F31" s="176" t="s">
        <v>429</v>
      </c>
      <c r="G31" s="229"/>
      <c r="H31" s="325" t="s">
        <v>651</v>
      </c>
      <c r="I31" s="229"/>
      <c r="J31" s="229"/>
      <c r="K31" s="229"/>
      <c r="L31" s="229"/>
    </row>
    <row r="32" spans="1:16" s="291" customFormat="1" ht="18" customHeight="1">
      <c r="A32" s="99" t="str">
        <f>PFD!C50</f>
        <v>ST2 HP inlet flow</v>
      </c>
      <c r="B32" s="99" t="str">
        <f>PFD!D50</f>
        <v>t/h</v>
      </c>
      <c r="C32" s="367">
        <f>Assets!B394</f>
        <v>4.3091277999999997</v>
      </c>
      <c r="D32" s="367">
        <f>Assets!B411</f>
        <v>39.008946399999999</v>
      </c>
      <c r="E32" s="366">
        <f>PFD!G50</f>
        <v>0</v>
      </c>
      <c r="F32" s="176" t="s">
        <v>429</v>
      </c>
      <c r="G32" s="229"/>
      <c r="H32" s="229" t="s">
        <v>407</v>
      </c>
      <c r="I32" s="229"/>
      <c r="J32" s="229"/>
      <c r="K32" s="229"/>
      <c r="L32" s="229"/>
      <c r="M32" s="229"/>
      <c r="N32" s="229"/>
      <c r="O32" s="229"/>
    </row>
    <row r="33" spans="1:15" s="291" customFormat="1" ht="18" customHeight="1">
      <c r="A33" s="99" t="str">
        <f>PFD!C51</f>
        <v>ST2 LP extract. flow</v>
      </c>
      <c r="B33" s="99" t="str">
        <f>PFD!D51</f>
        <v>t/h</v>
      </c>
      <c r="C33" s="367">
        <f>Assets!C392</f>
        <v>0</v>
      </c>
      <c r="D33" s="367">
        <f>Assets!K392</f>
        <v>36.287391999999997</v>
      </c>
      <c r="E33" s="366">
        <f>PFD!G51</f>
        <v>0</v>
      </c>
      <c r="F33" s="176" t="s">
        <v>429</v>
      </c>
      <c r="G33" s="229"/>
      <c r="H33" s="229" t="s">
        <v>407</v>
      </c>
      <c r="I33" s="229"/>
      <c r="J33" s="229"/>
      <c r="K33" s="229"/>
      <c r="L33" s="229"/>
      <c r="M33" s="229"/>
      <c r="N33" s="229"/>
      <c r="O33" s="229"/>
    </row>
    <row r="34" spans="1:15" s="291" customFormat="1" ht="18" customHeight="1">
      <c r="A34" s="99" t="str">
        <f>PFD!C52</f>
        <v>ST5 EHP inlet flow</v>
      </c>
      <c r="B34" s="99" t="str">
        <f>PFD!D52</f>
        <v>t/h</v>
      </c>
      <c r="C34" s="367">
        <f>Assets!B463</f>
        <v>12.75</v>
      </c>
      <c r="D34" s="367">
        <f>Assets!B474</f>
        <v>52.18</v>
      </c>
      <c r="E34" s="366">
        <f>PFD!G52</f>
        <v>0</v>
      </c>
      <c r="F34" s="176" t="s">
        <v>429</v>
      </c>
      <c r="G34" s="229"/>
      <c r="H34" s="229" t="s">
        <v>407</v>
      </c>
      <c r="I34" s="229"/>
      <c r="J34" s="229"/>
      <c r="K34" s="229"/>
      <c r="L34" s="229"/>
      <c r="M34" s="229"/>
      <c r="N34" s="229"/>
      <c r="O34" s="229"/>
    </row>
    <row r="35" spans="1:15" s="291" customFormat="1" ht="18" customHeight="1">
      <c r="A35" s="99" t="str">
        <f>PFD!C53</f>
        <v>ST5 MP extract. flow</v>
      </c>
      <c r="B35" s="99" t="str">
        <f>PFD!D53</f>
        <v>t/h</v>
      </c>
      <c r="C35" s="367">
        <f>Assets!C461</f>
        <v>0</v>
      </c>
      <c r="D35" s="367">
        <f>Assets!H461</f>
        <v>22.68</v>
      </c>
      <c r="E35" s="366">
        <f>PFD!G53</f>
        <v>0</v>
      </c>
      <c r="F35" s="176" t="s">
        <v>429</v>
      </c>
      <c r="G35" s="229"/>
      <c r="H35" s="229" t="s">
        <v>407</v>
      </c>
      <c r="I35" s="229"/>
      <c r="J35" s="229"/>
      <c r="K35" s="229"/>
      <c r="L35" s="229"/>
      <c r="M35" s="229"/>
      <c r="N35" s="229"/>
      <c r="O35" s="229"/>
    </row>
    <row r="36" spans="1:15" s="291" customFormat="1" ht="18" customHeight="1">
      <c r="A36" s="99" t="str">
        <f>PFD!C54</f>
        <v>ST6 HP inlet flow</v>
      </c>
      <c r="B36" s="99" t="str">
        <f>PFD!D54</f>
        <v>t/h</v>
      </c>
      <c r="C36" s="367">
        <f t="array" ref="C36:D36">TRANSPOSE(C395:C396)</f>
        <v>13.607771099999999</v>
      </c>
      <c r="D36" s="367">
        <v>53.977492030000001</v>
      </c>
      <c r="E36" s="366">
        <f>PFD!G54</f>
        <v>0</v>
      </c>
      <c r="F36" s="176" t="s">
        <v>429</v>
      </c>
      <c r="G36" s="229"/>
      <c r="H36" s="229" t="s">
        <v>407</v>
      </c>
      <c r="I36" s="229"/>
      <c r="J36" s="229"/>
      <c r="K36" s="229"/>
      <c r="L36" s="229"/>
      <c r="M36" s="229"/>
      <c r="N36" s="229"/>
      <c r="O36" s="229"/>
    </row>
    <row r="37" spans="1:15" s="291" customFormat="1" ht="18" customHeight="1">
      <c r="A37" s="99" t="str">
        <f>PFD!C55</f>
        <v>ST7 HP inlet flow</v>
      </c>
      <c r="B37" s="99" t="str">
        <f>PFD!D55</f>
        <v>t/h</v>
      </c>
      <c r="C37" s="367">
        <f t="array" ref="C37:D37">TRANSPOSE(C409:C410)</f>
        <v>18.75</v>
      </c>
      <c r="D37" s="367">
        <v>30</v>
      </c>
      <c r="E37" s="366">
        <f>PFD!G55</f>
        <v>0</v>
      </c>
      <c r="F37" s="176" t="s">
        <v>429</v>
      </c>
      <c r="G37" s="229"/>
      <c r="H37" s="229" t="s">
        <v>407</v>
      </c>
      <c r="I37" s="229"/>
      <c r="J37" s="229"/>
      <c r="K37" s="229"/>
      <c r="L37" s="229"/>
      <c r="M37" s="229"/>
      <c r="N37" s="229"/>
      <c r="O37" s="229"/>
    </row>
    <row r="38" spans="1:15" s="334" customFormat="1" ht="18" customHeight="1">
      <c r="A38" s="99" t="str">
        <f>PFD!C56</f>
        <v>ST5 HP inlet flow</v>
      </c>
      <c r="B38" s="99" t="str">
        <f>PFD!D56</f>
        <v>t/h</v>
      </c>
      <c r="C38" s="367">
        <f>Assets!B463</f>
        <v>12.75</v>
      </c>
      <c r="D38" s="367">
        <v>18</v>
      </c>
      <c r="E38" s="366">
        <f>PFD!G56</f>
        <v>22</v>
      </c>
      <c r="F38" s="176" t="s">
        <v>429</v>
      </c>
      <c r="G38" s="325"/>
      <c r="H38" s="325" t="s">
        <v>684</v>
      </c>
      <c r="I38" s="325"/>
      <c r="J38" s="325"/>
      <c r="K38" s="325"/>
      <c r="L38" s="325"/>
      <c r="M38" s="325"/>
      <c r="N38" s="325"/>
      <c r="O38" s="325"/>
    </row>
    <row r="39" spans="1:15" s="291" customFormat="1" ht="18" customHeight="1">
      <c r="A39" s="99" t="str">
        <f>PFD!C57</f>
        <v>GE Load</v>
      </c>
      <c r="B39" s="99" t="str">
        <f>PFD!D57</f>
        <v>%</v>
      </c>
      <c r="C39" s="367">
        <v>100</v>
      </c>
      <c r="D39" s="367">
        <v>100</v>
      </c>
      <c r="E39" s="366">
        <f>PFD!G57</f>
        <v>100</v>
      </c>
      <c r="F39" s="176" t="s">
        <v>429</v>
      </c>
      <c r="G39" s="229"/>
      <c r="H39" s="70" t="s">
        <v>514</v>
      </c>
      <c r="I39" s="229"/>
      <c r="J39" s="229"/>
      <c r="K39" s="229"/>
      <c r="L39" s="229"/>
      <c r="M39" s="229"/>
      <c r="N39" s="229"/>
      <c r="O39" s="229"/>
    </row>
    <row r="40" spans="1:15" s="291" customFormat="1" ht="18" customHeight="1">
      <c r="A40" s="99" t="str">
        <f>PFD!C58</f>
        <v>B4 on/off</v>
      </c>
      <c r="B40" s="99" t="str">
        <f>PFD!D58</f>
        <v>bin.</v>
      </c>
      <c r="C40" s="367">
        <v>0</v>
      </c>
      <c r="D40" s="367">
        <v>1</v>
      </c>
      <c r="E40" s="366">
        <f>PFD!G58</f>
        <v>0</v>
      </c>
      <c r="F40" s="99" t="s">
        <v>7</v>
      </c>
      <c r="G40" s="229"/>
      <c r="H40" s="229"/>
      <c r="I40" s="229"/>
      <c r="J40" s="229"/>
      <c r="K40" s="229"/>
      <c r="L40" s="229"/>
      <c r="M40" s="229"/>
      <c r="N40" s="229"/>
      <c r="O40" s="229"/>
    </row>
    <row r="41" spans="1:15" s="291" customFormat="1" ht="18" customHeight="1">
      <c r="A41" s="99" t="str">
        <f>PFD!C59</f>
        <v>B7 on/off</v>
      </c>
      <c r="B41" s="99" t="str">
        <f>PFD!D59</f>
        <v>bin.</v>
      </c>
      <c r="C41" s="367">
        <v>0</v>
      </c>
      <c r="D41" s="367">
        <v>1</v>
      </c>
      <c r="E41" s="366">
        <f>PFD!G59</f>
        <v>0</v>
      </c>
      <c r="F41" s="99" t="s">
        <v>7</v>
      </c>
      <c r="G41" s="229"/>
      <c r="H41" s="229"/>
      <c r="I41" s="229"/>
      <c r="J41" s="229"/>
      <c r="K41" s="229"/>
      <c r="L41" s="229"/>
      <c r="M41" s="229"/>
      <c r="N41" s="229"/>
      <c r="O41" s="229"/>
    </row>
    <row r="42" spans="1:15" s="291" customFormat="1" ht="18" customHeight="1">
      <c r="A42" s="99" t="str">
        <f>PFD!C60</f>
        <v>B9 on/off</v>
      </c>
      <c r="B42" s="99" t="str">
        <f>PFD!D60</f>
        <v>bin.</v>
      </c>
      <c r="C42" s="367">
        <v>0</v>
      </c>
      <c r="D42" s="367">
        <v>1</v>
      </c>
      <c r="E42" s="366">
        <f>PFD!G60</f>
        <v>0</v>
      </c>
      <c r="F42" s="99" t="s">
        <v>7</v>
      </c>
      <c r="G42" s="229"/>
      <c r="H42" s="229"/>
      <c r="I42" s="229"/>
      <c r="J42" s="229"/>
      <c r="K42" s="229"/>
      <c r="L42" s="229"/>
      <c r="M42" s="229"/>
      <c r="N42" s="229"/>
      <c r="O42" s="229"/>
    </row>
    <row r="43" spans="1:15" s="291" customFormat="1" ht="18" customHeight="1">
      <c r="A43" s="99" t="str">
        <f>PFD!C61</f>
        <v>GT1 on/off</v>
      </c>
      <c r="B43" s="99" t="str">
        <f>PFD!D61</f>
        <v>bin.</v>
      </c>
      <c r="C43" s="367">
        <v>0</v>
      </c>
      <c r="D43" s="367">
        <v>1</v>
      </c>
      <c r="E43" s="366">
        <f>PFD!G61</f>
        <v>1</v>
      </c>
      <c r="F43" s="99" t="s">
        <v>7</v>
      </c>
      <c r="G43" s="229"/>
      <c r="H43" s="229"/>
      <c r="I43" s="229"/>
      <c r="J43" s="229"/>
      <c r="K43" s="229"/>
      <c r="L43" s="229"/>
      <c r="M43" s="229"/>
      <c r="N43" s="229"/>
      <c r="O43" s="229"/>
    </row>
    <row r="44" spans="1:15" s="291" customFormat="1" ht="18" customHeight="1">
      <c r="A44" s="99" t="str">
        <f>PFD!C62</f>
        <v>GT2 on/off</v>
      </c>
      <c r="B44" s="99" t="str">
        <f>PFD!D62</f>
        <v>bin.</v>
      </c>
      <c r="C44" s="367">
        <v>0</v>
      </c>
      <c r="D44" s="367">
        <v>1</v>
      </c>
      <c r="E44" s="366">
        <f>PFD!G62</f>
        <v>1</v>
      </c>
      <c r="F44" s="99" t="s">
        <v>7</v>
      </c>
      <c r="G44" s="229"/>
      <c r="H44" s="229"/>
      <c r="I44" s="229"/>
      <c r="J44" s="229"/>
      <c r="K44" s="229"/>
      <c r="L44" s="229"/>
      <c r="M44" s="229"/>
      <c r="N44" s="229"/>
      <c r="O44" s="229"/>
    </row>
    <row r="45" spans="1:15" s="291" customFormat="1" ht="18" customHeight="1">
      <c r="A45" s="99" t="str">
        <f>PFD!C63</f>
        <v>WHB 1 Supp on/off</v>
      </c>
      <c r="B45" s="99" t="str">
        <f>PFD!D63</f>
        <v>bin.</v>
      </c>
      <c r="C45" s="367">
        <v>0</v>
      </c>
      <c r="D45" s="367">
        <v>1</v>
      </c>
      <c r="E45" s="366">
        <f>PFD!G63</f>
        <v>1</v>
      </c>
      <c r="F45" s="99" t="s">
        <v>7</v>
      </c>
      <c r="G45" s="229"/>
      <c r="H45" s="229"/>
      <c r="I45" s="229"/>
      <c r="J45" s="229"/>
      <c r="K45" s="229"/>
      <c r="L45" s="229"/>
      <c r="M45" s="229"/>
      <c r="N45" s="229"/>
      <c r="O45" s="229"/>
    </row>
    <row r="46" spans="1:15" s="291" customFormat="1" ht="18" customHeight="1">
      <c r="A46" s="99" t="str">
        <f>PFD!C64</f>
        <v>WHB2 Supp on/off</v>
      </c>
      <c r="B46" s="99" t="str">
        <f>PFD!D64</f>
        <v>bin.</v>
      </c>
      <c r="C46" s="367">
        <v>0</v>
      </c>
      <c r="D46" s="367">
        <v>1</v>
      </c>
      <c r="E46" s="366">
        <f>PFD!G64</f>
        <v>0</v>
      </c>
      <c r="F46" s="99" t="s">
        <v>7</v>
      </c>
      <c r="G46" s="229"/>
      <c r="H46" s="229"/>
      <c r="I46" s="229"/>
      <c r="J46" s="229"/>
      <c r="K46" s="229"/>
      <c r="L46" s="229"/>
    </row>
    <row r="47" spans="1:15" s="334" customFormat="1" ht="18" customHeight="1">
      <c r="A47" s="99" t="str">
        <f>PFD!C65</f>
        <v>Aux. boiler on/off</v>
      </c>
      <c r="B47" s="99" t="str">
        <f>PFD!D65</f>
        <v>bin.</v>
      </c>
      <c r="C47" s="367">
        <v>0</v>
      </c>
      <c r="D47" s="367">
        <v>1</v>
      </c>
      <c r="E47" s="366">
        <f>PFD!G65</f>
        <v>0</v>
      </c>
      <c r="F47" s="99" t="s">
        <v>7</v>
      </c>
      <c r="G47" s="325"/>
      <c r="H47" s="325"/>
      <c r="I47" s="325"/>
      <c r="J47" s="325"/>
      <c r="K47" s="325"/>
      <c r="L47" s="325"/>
    </row>
    <row r="48" spans="1:15" s="291" customFormat="1" ht="18" customHeight="1">
      <c r="A48" s="99" t="str">
        <f>PFD!C66</f>
        <v>MP-1 on/off</v>
      </c>
      <c r="B48" s="99" t="str">
        <f>PFD!D66</f>
        <v>bin.</v>
      </c>
      <c r="C48" s="367">
        <v>0</v>
      </c>
      <c r="D48" s="367">
        <v>1</v>
      </c>
      <c r="E48" s="366">
        <f>PFD!G66</f>
        <v>1</v>
      </c>
      <c r="F48" s="99" t="s">
        <v>7</v>
      </c>
      <c r="G48" s="229"/>
      <c r="H48" s="229"/>
      <c r="I48" s="229"/>
      <c r="J48" s="229"/>
      <c r="K48" s="229"/>
      <c r="L48" s="229"/>
    </row>
    <row r="49" spans="1:15" s="291" customFormat="1" ht="18" customHeight="1">
      <c r="A49" s="99" t="str">
        <f>PFD!C67</f>
        <v>MP-2 on/off</v>
      </c>
      <c r="B49" s="99" t="str">
        <f>PFD!D67</f>
        <v>bin.</v>
      </c>
      <c r="C49" s="367">
        <v>0</v>
      </c>
      <c r="D49" s="367">
        <v>1</v>
      </c>
      <c r="E49" s="366">
        <f>PFD!G67</f>
        <v>1</v>
      </c>
      <c r="F49" s="99" t="s">
        <v>7</v>
      </c>
      <c r="G49" s="229"/>
      <c r="H49" s="229"/>
      <c r="I49" s="229"/>
      <c r="J49" s="229"/>
      <c r="K49" s="229"/>
      <c r="L49" s="229"/>
    </row>
    <row r="50" spans="1:15" s="291" customFormat="1" ht="18" customHeight="1">
      <c r="A50" s="99" t="str">
        <f>PFD!C68</f>
        <v>ST2 on/off</v>
      </c>
      <c r="B50" s="99" t="str">
        <f>PFD!D68</f>
        <v>bin.</v>
      </c>
      <c r="C50" s="367">
        <v>0</v>
      </c>
      <c r="D50" s="367">
        <v>1</v>
      </c>
      <c r="E50" s="366">
        <f>PFD!G68</f>
        <v>0</v>
      </c>
      <c r="F50" s="99" t="s">
        <v>7</v>
      </c>
      <c r="G50" s="229"/>
      <c r="H50" s="229"/>
      <c r="I50" s="229"/>
      <c r="J50" s="229"/>
      <c r="K50" s="229"/>
      <c r="L50" s="229"/>
      <c r="M50" s="229"/>
      <c r="N50" s="229"/>
      <c r="O50" s="229"/>
    </row>
    <row r="51" spans="1:15" s="291" customFormat="1" ht="18" customHeight="1">
      <c r="A51" s="99" t="str">
        <f>PFD!C69</f>
        <v>ST5 on/off</v>
      </c>
      <c r="B51" s="99" t="str">
        <f>PFD!D69</f>
        <v>bin.</v>
      </c>
      <c r="C51" s="367">
        <v>0</v>
      </c>
      <c r="D51" s="367">
        <v>1</v>
      </c>
      <c r="E51" s="366">
        <f>PFD!G69</f>
        <v>0</v>
      </c>
      <c r="F51" s="99" t="s">
        <v>7</v>
      </c>
      <c r="G51" s="229"/>
      <c r="H51" s="229"/>
      <c r="I51" s="229"/>
      <c r="J51" s="229"/>
      <c r="K51" s="229"/>
      <c r="L51" s="229"/>
    </row>
    <row r="52" spans="1:15" s="291" customFormat="1" ht="18" customHeight="1">
      <c r="A52" s="99" t="str">
        <f>PFD!C70</f>
        <v>ST6 on/off</v>
      </c>
      <c r="B52" s="99" t="str">
        <f>PFD!D70</f>
        <v>bin.</v>
      </c>
      <c r="C52" s="367">
        <v>0</v>
      </c>
      <c r="D52" s="367">
        <v>1</v>
      </c>
      <c r="E52" s="366">
        <f>PFD!G70</f>
        <v>0</v>
      </c>
      <c r="F52" s="99" t="s">
        <v>7</v>
      </c>
      <c r="G52" s="229"/>
      <c r="H52" s="229"/>
      <c r="I52" s="229"/>
      <c r="J52" s="229"/>
      <c r="K52" s="229"/>
      <c r="L52" s="229"/>
      <c r="M52" s="229"/>
      <c r="N52" s="229"/>
      <c r="O52" s="229"/>
    </row>
    <row r="53" spans="1:15" s="291" customFormat="1" ht="18" customHeight="1">
      <c r="A53" s="99" t="str">
        <f>PFD!C71</f>
        <v>ST7 on/off</v>
      </c>
      <c r="B53" s="99" t="str">
        <f>PFD!D71</f>
        <v>bin.</v>
      </c>
      <c r="C53" s="367">
        <v>0</v>
      </c>
      <c r="D53" s="367">
        <v>1</v>
      </c>
      <c r="E53" s="366">
        <f>PFD!G71</f>
        <v>0</v>
      </c>
      <c r="F53" s="99" t="s">
        <v>7</v>
      </c>
      <c r="G53" s="229"/>
      <c r="H53" s="229"/>
      <c r="I53" s="229"/>
      <c r="J53" s="229"/>
      <c r="K53" s="229"/>
      <c r="L53" s="229"/>
      <c r="M53" s="229"/>
      <c r="N53" s="229"/>
      <c r="O53" s="229"/>
    </row>
    <row r="54" spans="1:15" s="334" customFormat="1" ht="18" customHeight="1">
      <c r="A54" s="99" t="str">
        <f>PFD!C72</f>
        <v>ST5 HP on/off</v>
      </c>
      <c r="B54" s="99" t="str">
        <f>PFD!D72</f>
        <v>bin.</v>
      </c>
      <c r="C54" s="367">
        <v>0</v>
      </c>
      <c r="D54" s="367">
        <v>1</v>
      </c>
      <c r="E54" s="366">
        <f>PFD!G72</f>
        <v>1</v>
      </c>
      <c r="F54" s="99" t="s">
        <v>7</v>
      </c>
      <c r="G54" s="325"/>
      <c r="H54" s="325"/>
      <c r="I54" s="325"/>
      <c r="J54" s="325"/>
      <c r="K54" s="325"/>
      <c r="L54" s="325"/>
      <c r="M54" s="325"/>
      <c r="N54" s="325"/>
      <c r="O54" s="325"/>
    </row>
    <row r="55" spans="1:15" s="291" customFormat="1" ht="18" customHeight="1">
      <c r="A55" s="99" t="str">
        <f>PFD!C73</f>
        <v>GE on/off</v>
      </c>
      <c r="B55" s="99" t="str">
        <f>PFD!D73</f>
        <v>bin.</v>
      </c>
      <c r="C55" s="367">
        <v>0</v>
      </c>
      <c r="D55" s="367">
        <v>1</v>
      </c>
      <c r="E55" s="366">
        <f>PFD!G73</f>
        <v>1</v>
      </c>
      <c r="F55" s="99" t="s">
        <v>7</v>
      </c>
      <c r="G55" s="229"/>
      <c r="H55" s="229"/>
      <c r="I55" s="229"/>
      <c r="J55" s="229"/>
      <c r="K55" s="229"/>
      <c r="L55" s="229"/>
      <c r="M55" s="229"/>
      <c r="N55" s="229"/>
      <c r="O55" s="229"/>
    </row>
    <row r="56" spans="1:15" s="334" customFormat="1" ht="18" customHeight="1">
      <c r="A56" s="99" t="str">
        <f>PFD!C74</f>
        <v>Import</v>
      </c>
      <c r="B56" s="99" t="str">
        <f>PFD!D74</f>
        <v>bin.</v>
      </c>
      <c r="C56" s="367">
        <v>0</v>
      </c>
      <c r="D56" s="367">
        <v>1</v>
      </c>
      <c r="E56" s="366">
        <f>PFD!G74</f>
        <v>0</v>
      </c>
      <c r="F56" s="99" t="s">
        <v>7</v>
      </c>
      <c r="G56" s="325"/>
      <c r="H56" s="325"/>
      <c r="I56" s="325"/>
      <c r="J56" s="325"/>
      <c r="K56" s="325"/>
      <c r="L56" s="325"/>
      <c r="M56" s="325"/>
      <c r="N56" s="325"/>
      <c r="O56" s="325"/>
    </row>
    <row r="57" spans="1:15" s="334" customFormat="1" ht="18" customHeight="1">
      <c r="A57" s="99" t="str">
        <f>PFD!C75</f>
        <v>Export</v>
      </c>
      <c r="B57" s="99" t="str">
        <f>PFD!D75</f>
        <v>bin.</v>
      </c>
      <c r="C57" s="367">
        <v>0</v>
      </c>
      <c r="D57" s="367">
        <v>1</v>
      </c>
      <c r="E57" s="366">
        <f>PFD!G75</f>
        <v>1</v>
      </c>
      <c r="F57" s="99" t="s">
        <v>7</v>
      </c>
      <c r="G57" s="325"/>
      <c r="H57" s="325"/>
      <c r="I57" s="325"/>
      <c r="J57" s="325"/>
      <c r="K57" s="325"/>
      <c r="L57" s="325"/>
      <c r="M57" s="325"/>
      <c r="N57" s="325"/>
      <c r="O57" s="325"/>
    </row>
    <row r="58" spans="1:15" s="334" customFormat="1" ht="18" customHeight="1">
      <c r="A58" s="99" t="str">
        <f>PFD!C76</f>
        <v>Import</v>
      </c>
      <c r="B58" s="99" t="str">
        <f>PFD!D76</f>
        <v>MW</v>
      </c>
      <c r="C58" s="367">
        <v>0</v>
      </c>
      <c r="D58" s="367">
        <f>C67</f>
        <v>6</v>
      </c>
      <c r="E58" s="366">
        <f>PFD!G76</f>
        <v>0</v>
      </c>
      <c r="F58" s="176" t="s">
        <v>429</v>
      </c>
      <c r="G58" s="325"/>
      <c r="H58" s="325"/>
      <c r="I58" s="325"/>
      <c r="J58" s="325"/>
      <c r="K58" s="325"/>
      <c r="L58" s="325"/>
      <c r="M58" s="325"/>
      <c r="N58" s="325"/>
      <c r="O58" s="325"/>
    </row>
    <row r="59" spans="1:15" s="334" customFormat="1" ht="18" customHeight="1">
      <c r="A59" s="99" t="str">
        <f>PFD!C77</f>
        <v>Export</v>
      </c>
      <c r="B59" s="99" t="str">
        <f>PFD!D77</f>
        <v>MW</v>
      </c>
      <c r="C59" s="367">
        <v>0</v>
      </c>
      <c r="D59" s="367">
        <f>C67</f>
        <v>6</v>
      </c>
      <c r="E59" s="366">
        <f>PFD!G77</f>
        <v>4.1237348999999996</v>
      </c>
      <c r="F59" s="176" t="s">
        <v>429</v>
      </c>
      <c r="G59" s="325"/>
      <c r="H59" s="325"/>
      <c r="I59" s="325"/>
      <c r="J59" s="325"/>
      <c r="K59" s="325"/>
      <c r="L59" s="325"/>
      <c r="M59" s="325"/>
      <c r="N59" s="325"/>
      <c r="O59" s="325"/>
    </row>
    <row r="60" spans="1:15" s="334" customFormat="1" ht="18" customHeight="1">
      <c r="A60" s="176"/>
      <c r="B60" s="367"/>
      <c r="C60" s="367"/>
      <c r="D60" s="367"/>
      <c r="E60" s="99"/>
      <c r="F60" s="325"/>
      <c r="G60" s="325"/>
      <c r="H60" s="325"/>
      <c r="I60" s="325"/>
      <c r="J60" s="325"/>
      <c r="K60" s="325"/>
      <c r="L60" s="325"/>
      <c r="M60" s="325"/>
      <c r="N60" s="325"/>
      <c r="O60" s="325"/>
    </row>
    <row r="61" spans="1:15" s="291" customFormat="1" ht="18" customHeight="1" thickBot="1">
      <c r="A61" s="375" t="s">
        <v>218</v>
      </c>
      <c r="B61" s="391"/>
      <c r="C61" s="391"/>
      <c r="D61" s="391"/>
      <c r="E61" s="391"/>
      <c r="F61" s="229"/>
      <c r="G61" s="229"/>
      <c r="H61" s="229"/>
      <c r="I61" s="59"/>
      <c r="J61" s="190"/>
      <c r="K61" s="225"/>
      <c r="L61" s="111"/>
    </row>
    <row r="62" spans="1:15" s="291" customFormat="1" ht="18" customHeight="1" thickTop="1">
      <c r="A62" s="410" t="s">
        <v>241</v>
      </c>
      <c r="B62" s="410"/>
      <c r="C62" s="410"/>
      <c r="D62" s="410"/>
      <c r="E62" s="410"/>
      <c r="F62" s="229"/>
      <c r="G62" s="234"/>
      <c r="H62" s="298"/>
      <c r="I62" s="59"/>
      <c r="J62" s="190"/>
      <c r="K62" s="225"/>
      <c r="L62" s="111"/>
    </row>
    <row r="63" spans="1:15" s="291" customFormat="1" ht="18" customHeight="1">
      <c r="A63" s="315" t="s">
        <v>42</v>
      </c>
      <c r="B63" s="226" t="s">
        <v>26</v>
      </c>
      <c r="C63" s="441">
        <v>1.01325</v>
      </c>
      <c r="E63" s="334"/>
      <c r="F63" s="229"/>
      <c r="G63" s="234"/>
      <c r="H63" s="298"/>
      <c r="I63" s="59"/>
      <c r="J63" s="305"/>
      <c r="K63" s="295"/>
      <c r="L63" s="111"/>
    </row>
    <row r="64" spans="1:15" s="291" customFormat="1" ht="18" customHeight="1">
      <c r="A64" s="315" t="s">
        <v>133</v>
      </c>
      <c r="B64" s="440" t="s">
        <v>18</v>
      </c>
      <c r="C64" s="341">
        <f>Operator!C25</f>
        <v>15</v>
      </c>
      <c r="E64" s="334"/>
      <c r="F64" s="229"/>
      <c r="G64" s="234"/>
      <c r="H64" s="298"/>
      <c r="I64" s="229"/>
      <c r="J64" s="66"/>
      <c r="K64" s="66"/>
      <c r="L64" s="80"/>
    </row>
    <row r="65" spans="1:15" s="291" customFormat="1" ht="18" customHeight="1">
      <c r="A65" s="315" t="s">
        <v>330</v>
      </c>
      <c r="B65" s="238" t="s">
        <v>743</v>
      </c>
      <c r="C65" s="328">
        <v>39.4</v>
      </c>
      <c r="D65" s="229"/>
      <c r="E65" s="325"/>
      <c r="F65" s="229"/>
      <c r="G65" s="234"/>
      <c r="H65" s="229"/>
      <c r="I65" s="229"/>
      <c r="J65" s="302"/>
      <c r="K65" s="302"/>
      <c r="L65" s="302"/>
    </row>
    <row r="66" spans="1:15" s="291" customFormat="1" ht="18" customHeight="1">
      <c r="A66" s="315" t="s">
        <v>330</v>
      </c>
      <c r="B66" s="238" t="s">
        <v>465</v>
      </c>
      <c r="C66" s="328">
        <f>C65*1000/3600</f>
        <v>10.944444444444445</v>
      </c>
      <c r="D66" s="229"/>
      <c r="E66" s="325"/>
      <c r="F66" s="229"/>
      <c r="G66" s="234"/>
      <c r="H66" s="299"/>
      <c r="I66" s="299"/>
      <c r="J66" s="302"/>
      <c r="K66" s="302"/>
      <c r="L66" s="302"/>
    </row>
    <row r="67" spans="1:15" s="291" customFormat="1" ht="18" customHeight="1">
      <c r="A67" s="315" t="s">
        <v>111</v>
      </c>
      <c r="B67" s="182" t="s">
        <v>23</v>
      </c>
      <c r="C67" s="340">
        <v>6</v>
      </c>
      <c r="E67" s="334"/>
      <c r="F67" s="70"/>
      <c r="H67" s="229"/>
      <c r="I67" s="229"/>
      <c r="J67" s="302"/>
      <c r="K67" s="302"/>
      <c r="L67" s="302"/>
      <c r="M67" s="229"/>
      <c r="N67" s="229"/>
      <c r="O67" s="229"/>
    </row>
    <row r="68" spans="1:15" s="291" customFormat="1" ht="18" customHeight="1">
      <c r="A68" s="315" t="s">
        <v>823</v>
      </c>
      <c r="B68" s="182" t="s">
        <v>273</v>
      </c>
      <c r="C68" s="328">
        <f>(3)*E40</f>
        <v>0</v>
      </c>
      <c r="D68" s="294"/>
      <c r="E68" s="320"/>
      <c r="F68" s="298"/>
      <c r="H68" s="229"/>
      <c r="I68" s="229"/>
      <c r="J68" s="302"/>
      <c r="K68" s="302"/>
      <c r="L68" s="302"/>
      <c r="M68" s="229"/>
      <c r="N68" s="229"/>
      <c r="O68" s="229"/>
    </row>
    <row r="69" spans="1:15" s="291" customFormat="1" ht="18" customHeight="1">
      <c r="A69" s="315" t="s">
        <v>824</v>
      </c>
      <c r="B69" s="440" t="s">
        <v>273</v>
      </c>
      <c r="C69" s="341">
        <v>1.7</v>
      </c>
      <c r="E69" s="334"/>
      <c r="F69" s="229"/>
      <c r="H69" s="229"/>
      <c r="I69" s="229"/>
      <c r="J69" s="302"/>
      <c r="K69" s="302"/>
      <c r="L69" s="302"/>
      <c r="M69" s="229"/>
      <c r="N69" s="229"/>
      <c r="O69" s="229"/>
    </row>
    <row r="70" spans="1:15" s="291" customFormat="1" ht="18" customHeight="1">
      <c r="A70" s="315" t="s">
        <v>825</v>
      </c>
      <c r="B70" s="440" t="s">
        <v>273</v>
      </c>
      <c r="C70" s="341">
        <v>0.2</v>
      </c>
      <c r="D70" s="229"/>
      <c r="E70" s="325"/>
      <c r="F70" s="229"/>
      <c r="H70" s="229"/>
      <c r="I70" s="229"/>
      <c r="J70" s="302"/>
      <c r="K70" s="302"/>
      <c r="L70" s="302"/>
      <c r="M70" s="229"/>
      <c r="N70" s="229"/>
      <c r="O70" s="229"/>
    </row>
    <row r="71" spans="1:15" s="291" customFormat="1" ht="18" customHeight="1">
      <c r="A71" s="315" t="s">
        <v>826</v>
      </c>
      <c r="B71" s="440" t="s">
        <v>273</v>
      </c>
      <c r="C71" s="511">
        <f>0.1+1</f>
        <v>1.1000000000000001</v>
      </c>
      <c r="E71" s="334"/>
      <c r="F71" s="229"/>
      <c r="H71" s="293"/>
      <c r="I71" s="297"/>
      <c r="J71" s="297"/>
      <c r="K71" s="297"/>
      <c r="L71" s="297"/>
      <c r="M71" s="229"/>
      <c r="N71" s="229"/>
      <c r="O71" s="229"/>
    </row>
    <row r="72" spans="1:15" s="291" customFormat="1" ht="18" customHeight="1">
      <c r="A72" s="410" t="s">
        <v>345</v>
      </c>
      <c r="B72" s="410"/>
      <c r="C72" s="410"/>
      <c r="D72" s="410"/>
      <c r="E72" s="410"/>
      <c r="F72" s="229"/>
      <c r="H72" s="293"/>
      <c r="I72" s="293"/>
      <c r="J72" s="293"/>
      <c r="K72" s="293"/>
      <c r="L72" s="293"/>
      <c r="M72" s="229"/>
      <c r="N72" s="229"/>
      <c r="O72" s="229"/>
    </row>
    <row r="73" spans="1:15" s="291" customFormat="1" ht="18" customHeight="1">
      <c r="C73" s="45" t="s">
        <v>761</v>
      </c>
      <c r="D73" s="45" t="s">
        <v>762</v>
      </c>
      <c r="E73" s="39"/>
      <c r="H73" s="293"/>
      <c r="J73" s="297"/>
      <c r="K73" s="293"/>
      <c r="L73" s="293"/>
      <c r="M73" s="229"/>
      <c r="N73" s="229"/>
      <c r="O73" s="229"/>
    </row>
    <row r="74" spans="1:15" s="291" customFormat="1" ht="18" customHeight="1">
      <c r="A74" s="229" t="s">
        <v>914</v>
      </c>
      <c r="C74" s="320">
        <f>Assets!C808</f>
        <v>0.98112147412797979</v>
      </c>
      <c r="D74" s="320">
        <f>C74</f>
        <v>0.98112147412797979</v>
      </c>
      <c r="E74" s="332"/>
      <c r="F74" s="229"/>
      <c r="H74" s="293"/>
      <c r="I74" s="291" t="s">
        <v>174</v>
      </c>
      <c r="J74" s="297"/>
      <c r="K74" s="293"/>
      <c r="L74" s="293"/>
      <c r="M74" s="229"/>
      <c r="N74" s="229"/>
      <c r="O74" s="229"/>
    </row>
    <row r="75" spans="1:15" s="334" customFormat="1" ht="18" customHeight="1">
      <c r="A75" s="325" t="s">
        <v>915</v>
      </c>
      <c r="C75" s="320">
        <f>Assets!C809</f>
        <v>3.6625518511483067E-2</v>
      </c>
      <c r="D75" s="320">
        <f>C75</f>
        <v>3.6625518511483067E-2</v>
      </c>
      <c r="E75" s="332"/>
      <c r="F75" s="325"/>
      <c r="H75" s="315"/>
      <c r="J75" s="324"/>
      <c r="K75" s="315"/>
      <c r="L75" s="315"/>
      <c r="M75" s="325"/>
      <c r="N75" s="325"/>
      <c r="O75" s="325"/>
    </row>
    <row r="76" spans="1:15" s="334" customFormat="1" ht="18" customHeight="1">
      <c r="A76" s="325" t="s">
        <v>1028</v>
      </c>
      <c r="B76" s="334" t="s">
        <v>1021</v>
      </c>
      <c r="C76" s="109">
        <v>0.89</v>
      </c>
      <c r="D76" s="109">
        <v>0.89</v>
      </c>
      <c r="E76" s="332"/>
      <c r="F76" s="325"/>
      <c r="H76" s="315"/>
      <c r="J76" s="324"/>
      <c r="K76" s="315"/>
      <c r="L76" s="315"/>
      <c r="M76" s="325"/>
      <c r="N76" s="325"/>
      <c r="O76" s="325"/>
    </row>
    <row r="77" spans="1:15" s="291" customFormat="1" ht="18" customHeight="1">
      <c r="A77" s="70" t="s">
        <v>331</v>
      </c>
      <c r="B77" s="187" t="s">
        <v>3</v>
      </c>
      <c r="C77" s="344">
        <v>0</v>
      </c>
      <c r="D77" s="344">
        <v>-0.05</v>
      </c>
      <c r="E77" s="332"/>
      <c r="F77" s="30"/>
      <c r="G77" s="229"/>
      <c r="H77" s="293"/>
      <c r="I77" s="293" t="s">
        <v>831</v>
      </c>
      <c r="J77" s="297"/>
      <c r="K77" s="293"/>
      <c r="L77" s="293"/>
      <c r="M77" s="229"/>
      <c r="N77" s="229"/>
      <c r="O77" s="229"/>
    </row>
    <row r="78" spans="1:15" s="291" customFormat="1" ht="18" customHeight="1">
      <c r="A78" s="70" t="s">
        <v>329</v>
      </c>
      <c r="B78" s="229" t="s">
        <v>3</v>
      </c>
      <c r="C78" s="344">
        <v>-1.4999999999999999E-2</v>
      </c>
      <c r="D78" s="344">
        <v>-3.1E-2</v>
      </c>
      <c r="E78" s="344"/>
      <c r="F78" s="344"/>
      <c r="G78" s="344"/>
      <c r="H78" s="293"/>
      <c r="I78" s="371" t="s">
        <v>855</v>
      </c>
      <c r="J78" s="455"/>
      <c r="K78" s="293"/>
      <c r="L78" s="293"/>
      <c r="M78" s="229"/>
      <c r="N78" s="229"/>
      <c r="O78" s="229"/>
    </row>
    <row r="79" spans="1:15" s="291" customFormat="1" ht="18" customHeight="1">
      <c r="A79" s="70" t="s">
        <v>31</v>
      </c>
      <c r="B79" s="229" t="s">
        <v>3</v>
      </c>
      <c r="C79" s="178">
        <v>0.01</v>
      </c>
      <c r="D79" s="178">
        <v>0.01</v>
      </c>
      <c r="E79" s="344"/>
      <c r="F79" s="229"/>
      <c r="H79" s="293"/>
      <c r="I79" s="332" t="s">
        <v>751</v>
      </c>
      <c r="K79" s="293"/>
      <c r="L79" s="293"/>
      <c r="M79" s="229"/>
      <c r="N79" s="229"/>
      <c r="O79" s="229"/>
    </row>
    <row r="80" spans="1:15" s="291" customFormat="1" ht="18" customHeight="1">
      <c r="A80" s="70" t="s">
        <v>366</v>
      </c>
      <c r="B80" s="299" t="s">
        <v>273</v>
      </c>
      <c r="C80" s="108">
        <v>32</v>
      </c>
      <c r="D80" s="108">
        <v>32</v>
      </c>
      <c r="E80" s="331"/>
      <c r="F80" s="229"/>
      <c r="H80" s="229"/>
      <c r="I80" s="229"/>
      <c r="J80" s="229"/>
      <c r="K80" s="229"/>
      <c r="L80" s="229"/>
      <c r="M80" s="229"/>
      <c r="N80" s="229"/>
      <c r="O80" s="229"/>
    </row>
    <row r="81" spans="1:15" s="303" customFormat="1" ht="18" customHeight="1">
      <c r="A81" s="298" t="s">
        <v>744</v>
      </c>
      <c r="B81" s="325" t="s">
        <v>745</v>
      </c>
      <c r="D81" s="321">
        <v>24</v>
      </c>
      <c r="E81" s="331"/>
      <c r="H81" s="299"/>
      <c r="I81" s="303" t="s">
        <v>748</v>
      </c>
      <c r="J81" s="299"/>
      <c r="K81" s="299"/>
      <c r="L81" s="299"/>
      <c r="M81" s="299"/>
      <c r="N81" s="299"/>
      <c r="O81" s="299"/>
    </row>
    <row r="82" spans="1:15" s="334" customFormat="1" ht="18" customHeight="1">
      <c r="A82" s="229" t="s">
        <v>554</v>
      </c>
      <c r="B82" s="325"/>
      <c r="C82" s="321"/>
      <c r="D82" s="331"/>
      <c r="E82" s="331"/>
      <c r="H82" s="325"/>
      <c r="I82" s="325"/>
      <c r="J82" s="325"/>
      <c r="K82" s="325"/>
      <c r="L82" s="325"/>
      <c r="M82" s="325"/>
      <c r="N82" s="325"/>
      <c r="O82" s="325"/>
    </row>
    <row r="83" spans="1:15" s="291" customFormat="1" ht="18" customHeight="1">
      <c r="A83" s="410" t="s">
        <v>346</v>
      </c>
      <c r="B83" s="410"/>
      <c r="C83" s="410"/>
      <c r="D83" s="410"/>
      <c r="E83" s="410"/>
      <c r="H83" s="229"/>
      <c r="I83" s="229"/>
      <c r="J83" s="229"/>
      <c r="K83" s="229"/>
      <c r="L83" s="229"/>
      <c r="M83" s="229"/>
      <c r="N83" s="229"/>
      <c r="O83" s="229"/>
    </row>
    <row r="84" spans="1:15" s="291" customFormat="1" ht="18" customHeight="1">
      <c r="A84" s="238" t="s">
        <v>864</v>
      </c>
      <c r="B84" s="238"/>
      <c r="E84" s="334"/>
      <c r="G84" s="229"/>
      <c r="I84" s="314"/>
      <c r="J84" s="229"/>
      <c r="K84" s="229"/>
      <c r="L84" s="229"/>
      <c r="M84" s="229"/>
      <c r="N84" s="229"/>
      <c r="O84" s="229"/>
    </row>
    <row r="85" spans="1:15" s="334" customFormat="1" ht="18" customHeight="1">
      <c r="A85" s="222" t="s">
        <v>564</v>
      </c>
      <c r="B85" s="238"/>
      <c r="G85" s="325"/>
      <c r="I85" s="315"/>
      <c r="J85" s="325"/>
      <c r="K85" s="325"/>
      <c r="L85" s="325"/>
      <c r="M85" s="325"/>
      <c r="N85" s="325"/>
      <c r="O85" s="325"/>
    </row>
    <row r="86" spans="1:15" s="291" customFormat="1" ht="18" customHeight="1">
      <c r="A86" s="238" t="s">
        <v>423</v>
      </c>
      <c r="B86" s="238" t="s">
        <v>23</v>
      </c>
      <c r="C86" s="320">
        <v>0</v>
      </c>
      <c r="E86" s="334"/>
      <c r="G86" s="229"/>
      <c r="H86" s="229"/>
      <c r="I86" s="229"/>
      <c r="J86" s="229"/>
      <c r="K86" s="229"/>
      <c r="L86" s="229"/>
      <c r="M86" s="229"/>
      <c r="N86" s="229"/>
      <c r="O86" s="229"/>
    </row>
    <row r="87" spans="1:15" s="334" customFormat="1" ht="18" customHeight="1">
      <c r="A87" s="222" t="s">
        <v>749</v>
      </c>
      <c r="B87" s="334" t="s">
        <v>23</v>
      </c>
      <c r="C87" s="320">
        <v>0</v>
      </c>
      <c r="G87" s="325"/>
      <c r="H87" s="325"/>
      <c r="I87" s="325"/>
      <c r="J87" s="325"/>
      <c r="K87" s="325"/>
      <c r="L87" s="325"/>
      <c r="M87" s="325"/>
      <c r="N87" s="325"/>
      <c r="O87" s="325"/>
    </row>
    <row r="88" spans="1:15" s="334" customFormat="1" ht="18" customHeight="1">
      <c r="A88" s="222" t="s">
        <v>659</v>
      </c>
      <c r="B88" s="334" t="s">
        <v>3</v>
      </c>
      <c r="C88" s="373">
        <v>0.97499999999999998</v>
      </c>
      <c r="H88" s="325"/>
      <c r="I88" s="325" t="s">
        <v>750</v>
      </c>
      <c r="J88" s="325"/>
      <c r="K88" s="325"/>
      <c r="L88" s="325"/>
      <c r="M88" s="325"/>
      <c r="N88" s="325"/>
      <c r="O88" s="325"/>
    </row>
    <row r="89" spans="1:15" s="334" customFormat="1" ht="18" customHeight="1">
      <c r="A89" s="222" t="s">
        <v>672</v>
      </c>
      <c r="B89" s="222" t="s">
        <v>537</v>
      </c>
      <c r="C89" s="320">
        <v>24</v>
      </c>
      <c r="F89" s="325"/>
      <c r="H89" s="325"/>
      <c r="I89" s="325"/>
      <c r="J89" s="325"/>
      <c r="K89" s="325"/>
      <c r="L89" s="325"/>
      <c r="M89" s="325"/>
      <c r="N89" s="325"/>
      <c r="O89" s="325"/>
    </row>
    <row r="90" spans="1:15" s="334" customFormat="1" ht="18" customHeight="1">
      <c r="A90" s="298" t="s">
        <v>673</v>
      </c>
      <c r="B90" s="222" t="s">
        <v>18</v>
      </c>
      <c r="C90" s="235">
        <v>370</v>
      </c>
      <c r="F90" s="325"/>
      <c r="H90" s="325"/>
      <c r="I90" s="325"/>
      <c r="J90" s="325"/>
      <c r="K90" s="325"/>
      <c r="L90" s="325"/>
      <c r="M90" s="325"/>
      <c r="N90" s="325"/>
      <c r="O90" s="325"/>
    </row>
    <row r="91" spans="1:15" s="334" customFormat="1" ht="18" customHeight="1">
      <c r="A91" s="298" t="s">
        <v>674</v>
      </c>
      <c r="B91" s="298" t="s">
        <v>537</v>
      </c>
      <c r="C91" s="320">
        <v>2.7</v>
      </c>
      <c r="F91" s="325"/>
      <c r="H91" s="325"/>
      <c r="I91" s="325"/>
      <c r="J91" s="325"/>
      <c r="K91" s="325"/>
      <c r="L91" s="325"/>
      <c r="M91" s="325"/>
      <c r="N91" s="325"/>
      <c r="O91" s="325"/>
    </row>
    <row r="92" spans="1:15" s="334" customFormat="1" ht="18" customHeight="1">
      <c r="A92" s="222" t="s">
        <v>682</v>
      </c>
      <c r="B92" s="298" t="s">
        <v>9</v>
      </c>
      <c r="C92" s="235">
        <f>400-200</f>
        <v>200</v>
      </c>
      <c r="F92" s="325"/>
      <c r="H92" s="325"/>
      <c r="I92" s="325"/>
      <c r="J92" s="325"/>
      <c r="K92" s="325"/>
      <c r="L92" s="325"/>
      <c r="M92" s="325"/>
      <c r="N92" s="325"/>
      <c r="O92" s="325"/>
    </row>
    <row r="93" spans="1:15" s="334" customFormat="1" ht="18" customHeight="1">
      <c r="A93" s="260" t="s">
        <v>786</v>
      </c>
      <c r="B93" s="298" t="s">
        <v>273</v>
      </c>
      <c r="C93" s="235">
        <v>22</v>
      </c>
      <c r="F93" s="325"/>
      <c r="H93" s="325"/>
      <c r="I93" s="325"/>
      <c r="J93" s="325"/>
      <c r="K93" s="325"/>
      <c r="L93" s="325"/>
      <c r="M93" s="325"/>
      <c r="N93" s="325"/>
      <c r="O93" s="325"/>
    </row>
    <row r="94" spans="1:15" s="291" customFormat="1" ht="18" customHeight="1">
      <c r="A94" s="410" t="s">
        <v>347</v>
      </c>
      <c r="B94" s="410"/>
      <c r="C94" s="410"/>
      <c r="D94" s="410"/>
      <c r="E94" s="410"/>
      <c r="F94" s="229"/>
      <c r="H94" s="229"/>
      <c r="I94" s="229"/>
      <c r="J94" s="229"/>
      <c r="K94" s="229"/>
      <c r="L94" s="229"/>
      <c r="M94" s="229"/>
      <c r="N94" s="229"/>
      <c r="O94" s="229"/>
    </row>
    <row r="95" spans="1:15" s="334" customFormat="1" ht="18" customHeight="1">
      <c r="A95" s="277"/>
      <c r="C95" s="400" t="s">
        <v>791</v>
      </c>
      <c r="D95" s="400" t="s">
        <v>792</v>
      </c>
      <c r="E95" s="400" t="s">
        <v>793</v>
      </c>
      <c r="F95" s="400" t="s">
        <v>904</v>
      </c>
      <c r="G95" s="400" t="s">
        <v>905</v>
      </c>
      <c r="H95" s="400" t="s">
        <v>906</v>
      </c>
      <c r="I95" s="400" t="s">
        <v>907</v>
      </c>
      <c r="J95" s="400" t="s">
        <v>965</v>
      </c>
      <c r="K95" s="325"/>
      <c r="L95" s="325"/>
      <c r="M95" s="325"/>
      <c r="N95" s="325"/>
      <c r="O95" s="325"/>
    </row>
    <row r="96" spans="1:15" s="334" customFormat="1" ht="18" customHeight="1">
      <c r="A96" s="277" t="s">
        <v>752</v>
      </c>
      <c r="B96" s="334" t="s">
        <v>3</v>
      </c>
      <c r="C96" s="111">
        <v>0.8</v>
      </c>
      <c r="D96" s="111">
        <f>C96</f>
        <v>0.8</v>
      </c>
      <c r="E96" s="111">
        <f>D96</f>
        <v>0.8</v>
      </c>
      <c r="F96" s="109">
        <v>0.8</v>
      </c>
      <c r="H96" s="109">
        <v>0.8</v>
      </c>
      <c r="J96" s="332">
        <v>0.65</v>
      </c>
      <c r="K96" s="485"/>
      <c r="L96" s="325"/>
      <c r="M96" s="325"/>
      <c r="N96" s="325"/>
      <c r="O96" s="325"/>
    </row>
    <row r="97" spans="1:15" s="334" customFormat="1" ht="18" customHeight="1">
      <c r="A97" s="277" t="s">
        <v>31</v>
      </c>
      <c r="B97" s="334" t="s">
        <v>3</v>
      </c>
      <c r="C97" s="110">
        <v>0.01</v>
      </c>
      <c r="D97" s="110">
        <v>0.01</v>
      </c>
      <c r="E97" s="332">
        <v>0.01</v>
      </c>
      <c r="J97" s="332">
        <f>I99</f>
        <v>0.01</v>
      </c>
      <c r="L97" s="110" t="s">
        <v>751</v>
      </c>
      <c r="M97" s="325"/>
      <c r="N97" s="325"/>
      <c r="O97" s="325"/>
    </row>
    <row r="98" spans="1:15" s="334" customFormat="1" ht="18" customHeight="1">
      <c r="A98" s="277" t="s">
        <v>1022</v>
      </c>
      <c r="C98" s="332"/>
      <c r="D98" s="332"/>
      <c r="E98" s="332"/>
      <c r="F98" s="340">
        <f>Assets!C775</f>
        <v>1.1703824383738488</v>
      </c>
      <c r="G98" s="340">
        <f>Assets!C776</f>
        <v>5.2546718406271823E-3</v>
      </c>
      <c r="H98" s="340">
        <f>Assets!C775</f>
        <v>1.1703824383738488</v>
      </c>
      <c r="I98" s="340">
        <f>Assets!C776</f>
        <v>5.2546718406271823E-3</v>
      </c>
      <c r="J98" s="332"/>
      <c r="L98" s="332"/>
      <c r="M98" s="325"/>
      <c r="N98" s="325"/>
      <c r="O98" s="325"/>
    </row>
    <row r="99" spans="1:15" s="334" customFormat="1" ht="18" customHeight="1">
      <c r="A99" s="277" t="s">
        <v>1023</v>
      </c>
      <c r="C99" s="332"/>
      <c r="D99" s="332"/>
      <c r="E99" s="332"/>
      <c r="F99" s="109">
        <f>E97</f>
        <v>0.01</v>
      </c>
      <c r="G99" s="109">
        <f>F99</f>
        <v>0.01</v>
      </c>
      <c r="H99" s="109">
        <f>G99</f>
        <v>0.01</v>
      </c>
      <c r="I99" s="109">
        <f>H99</f>
        <v>0.01</v>
      </c>
      <c r="J99" s="332"/>
      <c r="L99" s="332"/>
      <c r="M99" s="325"/>
      <c r="N99" s="325"/>
      <c r="O99" s="325"/>
    </row>
    <row r="100" spans="1:15" s="291" customFormat="1" ht="18" customHeight="1">
      <c r="A100" s="410" t="s">
        <v>348</v>
      </c>
      <c r="B100" s="410"/>
      <c r="C100" s="410"/>
      <c r="D100" s="410"/>
      <c r="E100" s="410"/>
      <c r="F100" s="229"/>
      <c r="H100" s="229"/>
      <c r="I100" s="229"/>
      <c r="J100" s="229"/>
      <c r="K100" s="229"/>
      <c r="L100" s="229"/>
      <c r="M100" s="229"/>
      <c r="N100" s="229"/>
      <c r="O100" s="229"/>
    </row>
    <row r="101" spans="1:15" s="334" customFormat="1" ht="18" customHeight="1">
      <c r="A101" s="277" t="s">
        <v>983</v>
      </c>
      <c r="B101" s="334" t="s">
        <v>18</v>
      </c>
      <c r="C101" s="235">
        <v>80</v>
      </c>
      <c r="F101" s="325"/>
      <c r="H101" s="325"/>
      <c r="I101" s="325" t="s">
        <v>984</v>
      </c>
      <c r="J101" s="325"/>
      <c r="K101" s="325"/>
      <c r="L101" s="325"/>
      <c r="M101" s="325"/>
      <c r="N101" s="325"/>
      <c r="O101" s="325"/>
    </row>
    <row r="102" spans="1:15" s="291" customFormat="1" ht="18" customHeight="1">
      <c r="A102" s="70" t="s">
        <v>522</v>
      </c>
      <c r="B102" s="175" t="s">
        <v>3</v>
      </c>
      <c r="C102" s="109">
        <v>0.86</v>
      </c>
      <c r="E102" s="334"/>
      <c r="H102" s="229"/>
      <c r="I102" s="291" t="s">
        <v>981</v>
      </c>
      <c r="J102" s="229"/>
      <c r="K102" s="229"/>
      <c r="L102" s="229"/>
      <c r="M102" s="229"/>
      <c r="N102" s="229"/>
      <c r="O102" s="229"/>
    </row>
    <row r="103" spans="1:15" s="291" customFormat="1" ht="18" customHeight="1">
      <c r="A103" s="70" t="s">
        <v>523</v>
      </c>
      <c r="B103" s="175" t="s">
        <v>3</v>
      </c>
      <c r="C103" s="492">
        <v>0.7</v>
      </c>
      <c r="D103" s="110"/>
      <c r="E103" s="332"/>
      <c r="H103" s="229"/>
      <c r="I103" s="222" t="s">
        <v>359</v>
      </c>
      <c r="J103" s="229"/>
      <c r="K103" s="229"/>
      <c r="L103" s="229"/>
      <c r="M103" s="229"/>
      <c r="N103" s="229"/>
      <c r="O103" s="229"/>
    </row>
    <row r="104" spans="1:15" s="291" customFormat="1" ht="18" customHeight="1">
      <c r="A104" s="315" t="s">
        <v>524</v>
      </c>
      <c r="B104" s="315" t="s">
        <v>3</v>
      </c>
      <c r="C104" s="110">
        <v>0.65</v>
      </c>
      <c r="D104" s="110"/>
      <c r="E104" s="332"/>
      <c r="H104" s="229"/>
      <c r="I104" s="222" t="str">
        <f>I102</f>
        <v>based on esight data 2014-04-14</v>
      </c>
      <c r="J104" s="229"/>
      <c r="K104" s="229"/>
      <c r="L104" s="229"/>
      <c r="M104" s="229"/>
      <c r="N104" s="229"/>
      <c r="O104" s="229"/>
    </row>
    <row r="105" spans="1:15" s="291" customFormat="1" ht="18" customHeight="1">
      <c r="A105" s="315" t="s">
        <v>753</v>
      </c>
      <c r="B105" s="315" t="s">
        <v>3</v>
      </c>
      <c r="C105" s="109">
        <v>0.05</v>
      </c>
      <c r="E105" s="334"/>
      <c r="H105" s="229"/>
      <c r="I105" s="291" t="s">
        <v>754</v>
      </c>
      <c r="J105" s="229"/>
      <c r="K105" s="229"/>
      <c r="L105" s="229"/>
      <c r="M105" s="229"/>
      <c r="N105" s="229"/>
      <c r="O105" s="229"/>
    </row>
    <row r="106" spans="1:15" s="291" customFormat="1" ht="18" customHeight="1">
      <c r="A106" s="315" t="s">
        <v>358</v>
      </c>
      <c r="B106" s="315" t="s">
        <v>18</v>
      </c>
      <c r="C106" s="81">
        <v>80</v>
      </c>
      <c r="D106" s="110"/>
      <c r="E106" s="332"/>
      <c r="H106" s="229"/>
      <c r="I106" s="222" t="s">
        <v>363</v>
      </c>
      <c r="J106" s="229"/>
      <c r="K106" s="229"/>
      <c r="L106" s="229"/>
      <c r="M106" s="229"/>
      <c r="N106" s="229"/>
      <c r="O106" s="229"/>
    </row>
    <row r="107" spans="1:15" s="291" customFormat="1" ht="18" customHeight="1">
      <c r="A107" s="315" t="s">
        <v>758</v>
      </c>
      <c r="B107" s="315" t="s">
        <v>18</v>
      </c>
      <c r="C107" s="439">
        <v>105</v>
      </c>
      <c r="D107" s="110"/>
      <c r="E107" s="332"/>
      <c r="H107" s="229"/>
      <c r="I107" s="222"/>
      <c r="J107" s="229"/>
      <c r="K107" s="229"/>
      <c r="L107" s="229"/>
      <c r="M107" s="229"/>
      <c r="N107" s="229"/>
      <c r="O107" s="229"/>
    </row>
    <row r="108" spans="1:15" s="291" customFormat="1" ht="18" customHeight="1">
      <c r="A108" s="371" t="s">
        <v>757</v>
      </c>
      <c r="B108" s="371" t="s">
        <v>18</v>
      </c>
      <c r="C108" s="530">
        <v>80</v>
      </c>
      <c r="D108" s="110"/>
      <c r="E108" s="332"/>
      <c r="H108" s="229"/>
      <c r="I108" s="298" t="s">
        <v>999</v>
      </c>
      <c r="J108" s="229"/>
      <c r="K108" s="229"/>
      <c r="L108" s="229"/>
      <c r="M108" s="229"/>
      <c r="N108" s="229"/>
      <c r="O108" s="229"/>
    </row>
    <row r="109" spans="1:15" s="291" customFormat="1" ht="18" customHeight="1">
      <c r="A109" s="315" t="s">
        <v>755</v>
      </c>
      <c r="B109" s="315" t="s">
        <v>18</v>
      </c>
      <c r="C109" s="439">
        <v>95</v>
      </c>
      <c r="D109" s="110"/>
      <c r="E109" s="332"/>
      <c r="H109" s="229"/>
      <c r="I109" s="222"/>
      <c r="J109" s="229"/>
      <c r="K109" s="229"/>
      <c r="L109" s="229"/>
      <c r="M109" s="229"/>
      <c r="N109" s="229"/>
      <c r="O109" s="229"/>
    </row>
    <row r="110" spans="1:15" s="291" customFormat="1" ht="18" customHeight="1">
      <c r="A110" s="410" t="s">
        <v>349</v>
      </c>
      <c r="B110" s="410"/>
      <c r="C110" s="410"/>
      <c r="D110" s="410"/>
      <c r="E110" s="410"/>
      <c r="H110" s="229"/>
      <c r="I110" s="229"/>
      <c r="J110" s="229"/>
      <c r="K110" s="229"/>
      <c r="L110" s="229"/>
      <c r="M110" s="229"/>
      <c r="N110" s="229"/>
      <c r="O110" s="229"/>
    </row>
    <row r="111" spans="1:15" s="291" customFormat="1" ht="18" customHeight="1">
      <c r="A111" s="291" t="s">
        <v>756</v>
      </c>
      <c r="B111" s="291" t="s">
        <v>18</v>
      </c>
      <c r="C111" s="114">
        <f>E159</f>
        <v>105</v>
      </c>
      <c r="E111" s="334"/>
      <c r="H111" s="229"/>
      <c r="I111" s="70" t="s">
        <v>351</v>
      </c>
      <c r="J111" s="229"/>
      <c r="K111" s="229"/>
      <c r="L111" s="229"/>
      <c r="M111" s="229"/>
      <c r="N111" s="229"/>
      <c r="O111" s="229"/>
    </row>
    <row r="112" spans="1:15" s="291" customFormat="1" ht="18" customHeight="1">
      <c r="A112" s="410" t="s">
        <v>350</v>
      </c>
      <c r="B112" s="410"/>
      <c r="C112" s="410"/>
      <c r="D112" s="410"/>
      <c r="E112" s="410"/>
      <c r="H112" s="229"/>
      <c r="J112" s="229"/>
      <c r="K112" s="229"/>
      <c r="L112" s="229"/>
      <c r="M112" s="229"/>
      <c r="N112" s="229"/>
      <c r="O112" s="229"/>
    </row>
    <row r="113" spans="1:15" s="291" customFormat="1" ht="18" customHeight="1">
      <c r="A113" s="291" t="s">
        <v>357</v>
      </c>
      <c r="B113" s="440" t="s">
        <v>9</v>
      </c>
      <c r="C113" s="235">
        <v>0</v>
      </c>
      <c r="E113" s="334"/>
      <c r="H113" s="229"/>
      <c r="I113" s="68" t="s">
        <v>393</v>
      </c>
      <c r="J113" s="229"/>
      <c r="K113" s="229"/>
      <c r="L113" s="229"/>
      <c r="M113" s="229"/>
      <c r="N113" s="229"/>
      <c r="O113" s="229"/>
    </row>
    <row r="114" spans="1:15" s="291" customFormat="1" ht="18" customHeight="1">
      <c r="A114" s="229" t="s">
        <v>236</v>
      </c>
      <c r="B114" s="440" t="s">
        <v>9</v>
      </c>
      <c r="C114" s="234">
        <v>200</v>
      </c>
      <c r="D114" s="229"/>
      <c r="E114" s="325"/>
      <c r="H114" s="229"/>
      <c r="I114" s="68" t="s">
        <v>394</v>
      </c>
      <c r="J114" s="229"/>
      <c r="K114" s="229"/>
      <c r="L114" s="229"/>
      <c r="M114" s="229"/>
      <c r="N114" s="229"/>
      <c r="O114" s="229"/>
    </row>
    <row r="115" spans="1:15" s="291" customFormat="1" ht="18" customHeight="1">
      <c r="A115" s="291" t="s">
        <v>586</v>
      </c>
      <c r="B115" s="440" t="s">
        <v>9</v>
      </c>
      <c r="C115" s="235">
        <v>300</v>
      </c>
      <c r="D115" s="229"/>
      <c r="E115" s="325"/>
      <c r="H115" s="229"/>
      <c r="I115" s="229"/>
      <c r="J115" s="229"/>
      <c r="K115" s="229"/>
      <c r="L115" s="229"/>
      <c r="M115" s="229"/>
      <c r="N115" s="229"/>
      <c r="O115" s="229"/>
    </row>
    <row r="116" spans="1:15" s="291" customFormat="1" ht="18" customHeight="1">
      <c r="A116" s="222" t="s">
        <v>587</v>
      </c>
      <c r="B116" s="440" t="s">
        <v>9</v>
      </c>
      <c r="C116" s="234">
        <f>250+340+50-40-200-193</f>
        <v>207</v>
      </c>
      <c r="D116" s="229"/>
      <c r="E116" s="325"/>
      <c r="H116" s="229"/>
      <c r="I116" s="229" t="s">
        <v>1007</v>
      </c>
      <c r="J116" s="229"/>
      <c r="K116" s="229"/>
      <c r="L116" s="229"/>
      <c r="M116" s="229"/>
      <c r="N116" s="229"/>
      <c r="O116" s="229"/>
    </row>
    <row r="117" spans="1:15" s="291" customFormat="1" ht="18" customHeight="1">
      <c r="A117" s="298" t="s">
        <v>588</v>
      </c>
      <c r="B117" s="440" t="s">
        <v>9</v>
      </c>
      <c r="C117" s="234">
        <v>70</v>
      </c>
      <c r="D117" s="229"/>
      <c r="E117" s="325"/>
      <c r="H117" s="229"/>
      <c r="I117" s="299" t="s">
        <v>556</v>
      </c>
      <c r="J117" s="229"/>
      <c r="K117" s="229"/>
      <c r="L117" s="229"/>
      <c r="M117" s="229"/>
      <c r="N117" s="229"/>
      <c r="O117" s="229"/>
    </row>
    <row r="118" spans="1:15" s="291" customFormat="1" ht="18" customHeight="1">
      <c r="A118" s="298" t="s">
        <v>589</v>
      </c>
      <c r="B118" s="440" t="s">
        <v>9</v>
      </c>
      <c r="C118" s="234">
        <v>70</v>
      </c>
      <c r="D118" s="229"/>
      <c r="E118" s="325"/>
      <c r="H118" s="229"/>
      <c r="I118" s="229" t="str">
        <f>I117</f>
        <v>additional parasitics for turning on supp. firing (equal to 1 BFW pump)</v>
      </c>
      <c r="J118" s="229"/>
      <c r="K118" s="229"/>
      <c r="L118" s="229"/>
      <c r="M118" s="229"/>
      <c r="N118" s="229"/>
      <c r="O118" s="229"/>
    </row>
    <row r="119" spans="1:15" s="334" customFormat="1" ht="18" customHeight="1">
      <c r="A119" s="298" t="s">
        <v>979</v>
      </c>
      <c r="B119" s="440" t="s">
        <v>9</v>
      </c>
      <c r="C119" s="351">
        <f>C118+50</f>
        <v>120</v>
      </c>
      <c r="D119" s="325"/>
      <c r="E119" s="325"/>
      <c r="H119" s="325"/>
      <c r="I119" s="325" t="s">
        <v>980</v>
      </c>
      <c r="J119" s="325"/>
      <c r="K119" s="325"/>
      <c r="L119" s="325"/>
      <c r="M119" s="325"/>
      <c r="N119" s="325"/>
      <c r="O119" s="325"/>
    </row>
    <row r="120" spans="1:15" s="291" customFormat="1" ht="18" customHeight="1">
      <c r="A120" s="229" t="s">
        <v>4</v>
      </c>
      <c r="B120" s="440" t="s">
        <v>9</v>
      </c>
      <c r="C120" s="234">
        <v>180</v>
      </c>
      <c r="D120" s="229"/>
      <c r="E120" s="325"/>
      <c r="H120" s="229"/>
      <c r="I120" s="299" t="s">
        <v>557</v>
      </c>
      <c r="J120" s="229"/>
      <c r="K120" s="229"/>
      <c r="L120" s="229"/>
      <c r="M120" s="229"/>
      <c r="N120" s="229"/>
      <c r="O120" s="229"/>
    </row>
    <row r="121" spans="1:15" s="291" customFormat="1" ht="18" customHeight="1">
      <c r="A121" s="229" t="s">
        <v>5</v>
      </c>
      <c r="B121" s="440" t="s">
        <v>9</v>
      </c>
      <c r="C121" s="234">
        <v>60</v>
      </c>
      <c r="D121" s="229"/>
      <c r="E121" s="325"/>
      <c r="G121" s="229"/>
      <c r="H121" s="229"/>
      <c r="I121" s="229"/>
      <c r="J121" s="229"/>
      <c r="K121" s="229"/>
      <c r="L121" s="229"/>
      <c r="M121" s="229"/>
      <c r="N121" s="229"/>
      <c r="O121" s="229"/>
    </row>
    <row r="122" spans="1:15" s="291" customFormat="1" ht="18" customHeight="1">
      <c r="A122" s="229" t="s">
        <v>759</v>
      </c>
      <c r="B122" s="440" t="s">
        <v>9</v>
      </c>
      <c r="C122" s="234">
        <v>50</v>
      </c>
      <c r="D122" s="229"/>
      <c r="E122" s="325"/>
      <c r="H122" s="229"/>
      <c r="I122" s="229"/>
      <c r="J122" s="229"/>
      <c r="K122" s="229"/>
      <c r="L122" s="229"/>
      <c r="M122" s="229"/>
      <c r="N122" s="229"/>
      <c r="O122" s="229"/>
    </row>
    <row r="123" spans="1:15" s="291" customFormat="1" ht="18" customHeight="1">
      <c r="A123" s="229" t="s">
        <v>488</v>
      </c>
      <c r="B123" s="440" t="s">
        <v>9</v>
      </c>
      <c r="C123" s="234">
        <v>30</v>
      </c>
      <c r="D123" s="229"/>
      <c r="E123" s="325"/>
      <c r="H123" s="229"/>
      <c r="I123" s="229"/>
      <c r="J123" s="229"/>
      <c r="K123" s="229"/>
      <c r="L123" s="229"/>
      <c r="M123" s="229"/>
      <c r="N123" s="229"/>
      <c r="O123" s="229"/>
    </row>
    <row r="124" spans="1:15" s="334" customFormat="1" ht="18" customHeight="1">
      <c r="A124" s="325" t="s">
        <v>848</v>
      </c>
      <c r="B124" s="440" t="s">
        <v>9</v>
      </c>
      <c r="C124" s="351">
        <v>20</v>
      </c>
      <c r="D124" s="325"/>
      <c r="E124" s="325"/>
      <c r="H124" s="325"/>
      <c r="I124" s="325"/>
      <c r="J124" s="325"/>
      <c r="K124" s="325"/>
      <c r="L124" s="325"/>
      <c r="M124" s="325"/>
      <c r="N124" s="325"/>
      <c r="O124" s="325"/>
    </row>
    <row r="125" spans="1:15" s="334" customFormat="1" ht="18" customHeight="1">
      <c r="A125" s="325" t="s">
        <v>859</v>
      </c>
      <c r="B125" s="440" t="s">
        <v>3</v>
      </c>
      <c r="C125" s="332">
        <v>0.02</v>
      </c>
      <c r="D125" s="325"/>
      <c r="E125" s="325"/>
      <c r="H125" s="325"/>
      <c r="I125" s="325" t="s">
        <v>860</v>
      </c>
      <c r="J125" s="325"/>
      <c r="K125" s="325"/>
      <c r="L125" s="325"/>
      <c r="M125" s="325"/>
      <c r="N125" s="325"/>
      <c r="O125" s="325"/>
    </row>
    <row r="126" spans="1:15" s="291" customFormat="1" ht="18" customHeight="1">
      <c r="A126" s="410" t="s">
        <v>340</v>
      </c>
      <c r="B126" s="442"/>
      <c r="C126" s="410"/>
      <c r="D126" s="410"/>
      <c r="E126" s="410"/>
      <c r="H126" s="229"/>
      <c r="I126" s="229"/>
      <c r="J126" s="229"/>
      <c r="K126" s="229"/>
      <c r="L126" s="229"/>
      <c r="M126" s="229"/>
      <c r="N126" s="229"/>
      <c r="O126" s="229"/>
    </row>
    <row r="127" spans="1:15" s="291" customFormat="1" ht="18" customHeight="1">
      <c r="A127" s="229" t="s">
        <v>502</v>
      </c>
      <c r="B127" s="440" t="s">
        <v>23</v>
      </c>
      <c r="C127" s="108">
        <f ca="1">(C634*100+D634)/1000</f>
        <v>2</v>
      </c>
      <c r="D127" s="229"/>
      <c r="E127" s="325"/>
      <c r="H127" s="229"/>
      <c r="I127" s="229"/>
      <c r="J127" s="229"/>
      <c r="K127" s="229"/>
      <c r="L127" s="229"/>
      <c r="M127" s="229"/>
      <c r="N127" s="229"/>
      <c r="O127" s="229"/>
    </row>
    <row r="128" spans="1:15" s="291" customFormat="1" ht="18" customHeight="1">
      <c r="A128" s="70" t="s">
        <v>760</v>
      </c>
      <c r="B128" s="182" t="s">
        <v>3</v>
      </c>
      <c r="C128" s="110">
        <v>0.01</v>
      </c>
      <c r="D128" s="229"/>
      <c r="E128" s="325"/>
      <c r="H128" s="229"/>
      <c r="I128" s="229"/>
      <c r="J128" s="229"/>
      <c r="K128" s="229"/>
      <c r="L128" s="229"/>
      <c r="M128" s="229"/>
      <c r="N128" s="229"/>
      <c r="O128" s="229"/>
    </row>
    <row r="129" spans="1:15" s="291" customFormat="1" ht="18" customHeight="1">
      <c r="A129" s="70" t="s">
        <v>506</v>
      </c>
      <c r="B129" s="182" t="s">
        <v>356</v>
      </c>
      <c r="C129" s="107">
        <v>0.8</v>
      </c>
      <c r="D129" s="229"/>
      <c r="E129" s="325"/>
      <c r="H129" s="229"/>
      <c r="I129" s="229"/>
      <c r="J129" s="229"/>
      <c r="K129" s="229"/>
      <c r="L129" s="229"/>
      <c r="M129" s="229"/>
      <c r="N129" s="229"/>
      <c r="O129" s="229"/>
    </row>
    <row r="130" spans="1:15" s="334" customFormat="1" ht="18" customHeight="1">
      <c r="A130" s="298" t="s">
        <v>863</v>
      </c>
      <c r="B130" s="182"/>
      <c r="C130" s="340"/>
      <c r="D130" s="325"/>
      <c r="E130" s="325"/>
      <c r="H130" s="325"/>
      <c r="I130" s="325"/>
      <c r="J130" s="325"/>
      <c r="K130" s="325"/>
      <c r="L130" s="325"/>
      <c r="M130" s="325"/>
      <c r="N130" s="325"/>
      <c r="O130" s="325"/>
    </row>
    <row r="131" spans="1:15" s="291" customFormat="1" ht="18" customHeight="1">
      <c r="A131" s="410" t="s">
        <v>489</v>
      </c>
      <c r="B131" s="442"/>
      <c r="C131" s="410"/>
      <c r="D131" s="410"/>
      <c r="E131" s="410"/>
      <c r="H131" s="229"/>
      <c r="I131" s="229"/>
      <c r="J131" s="229"/>
      <c r="K131" s="229"/>
      <c r="L131" s="229"/>
      <c r="M131" s="229"/>
      <c r="N131" s="229"/>
      <c r="O131" s="229"/>
    </row>
    <row r="132" spans="1:15" s="291" customFormat="1" ht="18" customHeight="1">
      <c r="A132" s="70" t="s">
        <v>353</v>
      </c>
      <c r="B132" s="182"/>
      <c r="C132" s="229"/>
      <c r="D132" s="229"/>
      <c r="E132" s="325"/>
      <c r="H132" s="229"/>
      <c r="I132" s="229"/>
      <c r="J132" s="229"/>
      <c r="K132" s="229"/>
      <c r="L132" s="229"/>
      <c r="M132" s="229"/>
      <c r="N132" s="229"/>
      <c r="O132" s="229"/>
    </row>
    <row r="133" spans="1:15" s="334" customFormat="1" ht="18" customHeight="1">
      <c r="A133" s="298" t="s">
        <v>625</v>
      </c>
      <c r="B133" s="182" t="s">
        <v>3</v>
      </c>
      <c r="C133" s="332">
        <v>1</v>
      </c>
      <c r="D133" s="325"/>
      <c r="E133" s="325"/>
      <c r="H133" s="325"/>
      <c r="I133" s="325"/>
      <c r="J133" s="325"/>
      <c r="K133" s="325"/>
      <c r="L133" s="325"/>
      <c r="M133" s="325"/>
      <c r="N133" s="325"/>
      <c r="O133" s="325"/>
    </row>
    <row r="134" spans="1:15" s="334" customFormat="1" ht="18" customHeight="1">
      <c r="A134" s="298" t="s">
        <v>620</v>
      </c>
      <c r="B134" s="238" t="s">
        <v>420</v>
      </c>
      <c r="C134" s="321">
        <v>4.0271837410016033E-2</v>
      </c>
      <c r="D134" s="325"/>
      <c r="E134" s="325"/>
      <c r="H134" s="325"/>
      <c r="I134" s="325" t="s">
        <v>621</v>
      </c>
      <c r="K134" s="325"/>
      <c r="L134" s="325"/>
      <c r="M134" s="325"/>
      <c r="N134" s="325"/>
      <c r="O134" s="325"/>
    </row>
    <row r="135" spans="1:15" s="334" customFormat="1" ht="18" customHeight="1">
      <c r="A135" s="298" t="s">
        <v>778</v>
      </c>
      <c r="B135" s="298"/>
      <c r="C135" s="321"/>
      <c r="D135" s="325"/>
      <c r="E135" s="325"/>
      <c r="G135" s="325"/>
      <c r="H135" s="325"/>
      <c r="I135" s="325"/>
      <c r="J135" s="325"/>
      <c r="K135" s="325"/>
      <c r="L135" s="325"/>
      <c r="M135" s="325"/>
      <c r="N135" s="325"/>
      <c r="O135" s="325"/>
    </row>
    <row r="136" spans="1:15" s="291" customFormat="1" ht="18" customHeight="1">
      <c r="A136" s="410" t="s">
        <v>352</v>
      </c>
      <c r="B136" s="410"/>
      <c r="C136" s="410"/>
      <c r="D136" s="410"/>
      <c r="E136" s="410"/>
      <c r="F136" s="229"/>
      <c r="H136" s="229"/>
      <c r="I136" s="229"/>
      <c r="J136" s="229"/>
      <c r="K136" s="229"/>
      <c r="L136" s="229"/>
      <c r="M136" s="229"/>
      <c r="N136" s="229"/>
      <c r="O136" s="229"/>
    </row>
    <row r="137" spans="1:15" s="334" customFormat="1" ht="18" customHeight="1">
      <c r="A137" s="298" t="s">
        <v>988</v>
      </c>
      <c r="B137" s="315" t="s">
        <v>3</v>
      </c>
      <c r="C137" s="352">
        <v>0.89</v>
      </c>
      <c r="D137" s="315"/>
      <c r="E137" s="315"/>
      <c r="F137" s="325"/>
      <c r="H137" s="325"/>
      <c r="I137" s="325"/>
      <c r="J137" s="325"/>
      <c r="K137" s="325"/>
      <c r="L137" s="325"/>
      <c r="M137" s="325"/>
      <c r="N137" s="325"/>
      <c r="O137" s="325"/>
    </row>
    <row r="138" spans="1:15" s="334" customFormat="1" ht="18" customHeight="1">
      <c r="A138" s="298" t="s">
        <v>989</v>
      </c>
      <c r="B138" s="315" t="s">
        <v>9</v>
      </c>
      <c r="C138" s="324">
        <v>700</v>
      </c>
      <c r="D138" s="315"/>
      <c r="E138" s="315"/>
      <c r="F138" s="325"/>
      <c r="H138" s="325"/>
      <c r="I138" s="325"/>
      <c r="J138" s="325"/>
      <c r="K138" s="325"/>
      <c r="L138" s="325"/>
      <c r="M138" s="325"/>
      <c r="N138" s="325"/>
      <c r="O138" s="325"/>
    </row>
    <row r="139" spans="1:15" s="334" customFormat="1" ht="18" customHeight="1">
      <c r="A139" s="410" t="s">
        <v>1003</v>
      </c>
      <c r="B139" s="410"/>
      <c r="C139" s="410"/>
      <c r="D139" s="410"/>
      <c r="E139" s="410"/>
      <c r="F139" s="325"/>
      <c r="H139" s="325"/>
      <c r="I139" s="325"/>
      <c r="J139" s="325"/>
      <c r="K139" s="325"/>
      <c r="L139" s="325"/>
      <c r="M139" s="325"/>
      <c r="N139" s="325"/>
      <c r="O139" s="325"/>
    </row>
    <row r="140" spans="1:15" s="334" customFormat="1" ht="18" customHeight="1">
      <c r="A140" s="298" t="s">
        <v>1004</v>
      </c>
      <c r="B140" s="315" t="s">
        <v>18</v>
      </c>
      <c r="C140" s="324">
        <f>95*PFD!G73+(1-PFD!G73)*80</f>
        <v>95</v>
      </c>
      <c r="D140" s="315"/>
      <c r="E140" s="315" t="s">
        <v>1000</v>
      </c>
      <c r="F140" s="325"/>
      <c r="H140" s="325"/>
      <c r="I140" s="325"/>
      <c r="J140" s="325"/>
      <c r="K140" s="325"/>
      <c r="L140" s="325"/>
      <c r="M140" s="325"/>
      <c r="N140" s="325"/>
      <c r="O140" s="325"/>
    </row>
    <row r="141" spans="1:15" s="334" customFormat="1" ht="18" customHeight="1">
      <c r="A141" s="298" t="s">
        <v>1005</v>
      </c>
      <c r="B141" s="315" t="s">
        <v>19</v>
      </c>
      <c r="C141" s="324" t="e">
        <f ca="1">_xll.StmTQH(TMUrig0,0,1)</f>
        <v>#NAME?</v>
      </c>
      <c r="D141" s="315"/>
      <c r="E141" s="315" t="s">
        <v>1002</v>
      </c>
      <c r="F141" s="325"/>
      <c r="H141" s="325"/>
      <c r="I141" s="325"/>
      <c r="J141" s="325"/>
      <c r="K141" s="325"/>
      <c r="L141" s="325"/>
      <c r="M141" s="325"/>
      <c r="N141" s="325"/>
      <c r="O141" s="325"/>
    </row>
    <row r="142" spans="1:15" s="334" customFormat="1" ht="18" customHeight="1">
      <c r="A142" s="298" t="s">
        <v>1006</v>
      </c>
      <c r="B142" s="315" t="s">
        <v>8</v>
      </c>
      <c r="C142" s="324">
        <f>900*PFD!G73</f>
        <v>900</v>
      </c>
      <c r="D142" s="315"/>
      <c r="E142" s="315" t="s">
        <v>1001</v>
      </c>
      <c r="F142" s="325"/>
      <c r="H142" s="325"/>
      <c r="I142" s="325"/>
      <c r="J142" s="325"/>
      <c r="K142" s="325"/>
      <c r="L142" s="325"/>
      <c r="M142" s="325"/>
      <c r="N142" s="325"/>
      <c r="O142" s="325"/>
    </row>
    <row r="143" spans="1:15" s="334" customFormat="1" ht="18" customHeight="1">
      <c r="A143" s="314"/>
      <c r="B143" s="314"/>
      <c r="C143" s="314"/>
      <c r="D143" s="314"/>
      <c r="E143" s="314"/>
      <c r="F143" s="314"/>
      <c r="G143" s="314"/>
      <c r="H143" s="314"/>
      <c r="I143" s="314"/>
      <c r="J143" s="325"/>
      <c r="K143" s="325"/>
      <c r="L143" s="325"/>
      <c r="M143" s="325"/>
      <c r="N143" s="325"/>
      <c r="O143" s="325"/>
    </row>
    <row r="144" spans="1:15" s="334" customFormat="1" ht="18" customHeight="1" thickBot="1">
      <c r="A144" s="375" t="s">
        <v>369</v>
      </c>
      <c r="B144" s="389"/>
      <c r="C144" s="389"/>
      <c r="D144" s="389"/>
      <c r="E144" s="389"/>
      <c r="F144" s="98"/>
      <c r="G144" s="98"/>
      <c r="H144" s="98"/>
      <c r="I144" s="98"/>
      <c r="J144" s="98"/>
      <c r="K144" s="98"/>
      <c r="L144" s="229"/>
      <c r="M144" s="325"/>
      <c r="N144" s="325"/>
      <c r="O144" s="325"/>
    </row>
    <row r="145" spans="1:15" s="334" customFormat="1" ht="18" customHeight="1" thickTop="1">
      <c r="A145" s="284" t="s">
        <v>517</v>
      </c>
      <c r="B145" s="289" t="s">
        <v>14</v>
      </c>
      <c r="C145" s="289"/>
      <c r="D145" s="289" t="s">
        <v>17</v>
      </c>
      <c r="E145" s="289"/>
      <c r="F145" s="290" t="s">
        <v>24</v>
      </c>
      <c r="G145" s="290"/>
      <c r="H145" s="290"/>
      <c r="I145" s="290"/>
      <c r="J145" s="290"/>
      <c r="K145" s="289"/>
      <c r="L145" s="290" t="s">
        <v>25</v>
      </c>
      <c r="M145" s="325"/>
      <c r="N145" s="325"/>
      <c r="O145" s="325"/>
    </row>
    <row r="146" spans="1:15" s="334" customFormat="1" ht="18" customHeight="1">
      <c r="B146" s="359" t="s">
        <v>21</v>
      </c>
      <c r="C146" s="359" t="s">
        <v>221</v>
      </c>
      <c r="D146" s="359" t="s">
        <v>515</v>
      </c>
      <c r="E146" s="359" t="s">
        <v>516</v>
      </c>
      <c r="F146" s="359" t="s">
        <v>515</v>
      </c>
      <c r="G146" s="359" t="s">
        <v>20</v>
      </c>
      <c r="H146" s="359" t="s">
        <v>617</v>
      </c>
      <c r="I146" s="359" t="s">
        <v>712</v>
      </c>
      <c r="J146" s="359" t="s">
        <v>22</v>
      </c>
      <c r="K146" s="359" t="s">
        <v>591</v>
      </c>
      <c r="L146" s="359" t="s">
        <v>22</v>
      </c>
      <c r="M146" s="325"/>
      <c r="N146" s="325"/>
      <c r="O146" s="325"/>
    </row>
    <row r="147" spans="1:15" s="334" customFormat="1" ht="18" customHeight="1">
      <c r="A147" s="399"/>
      <c r="B147" s="359" t="s">
        <v>15</v>
      </c>
      <c r="C147" s="359" t="s">
        <v>16</v>
      </c>
      <c r="D147" s="359" t="s">
        <v>18</v>
      </c>
      <c r="E147" s="359" t="s">
        <v>18</v>
      </c>
      <c r="F147" s="359" t="s">
        <v>19</v>
      </c>
      <c r="G147" s="359" t="str">
        <f>F147</f>
        <v>kJ/kg</v>
      </c>
      <c r="H147" s="359" t="str">
        <f>G147</f>
        <v>kJ/kg</v>
      </c>
      <c r="I147" s="359" t="str">
        <f>H147</f>
        <v>kJ/kg</v>
      </c>
      <c r="J147" s="359" t="str">
        <f>I147</f>
        <v>kJ/kg</v>
      </c>
      <c r="K147" s="359" t="s">
        <v>19</v>
      </c>
      <c r="L147" s="359" t="s">
        <v>27</v>
      </c>
      <c r="M147" s="325"/>
      <c r="N147" s="325"/>
      <c r="O147" s="325"/>
    </row>
    <row r="148" spans="1:15" s="334" customFormat="1" ht="18" customHeight="1">
      <c r="A148" s="359" t="s">
        <v>708</v>
      </c>
      <c r="B148" s="285">
        <f>B154</f>
        <v>63</v>
      </c>
      <c r="C148" s="285">
        <f t="shared" ref="C148:L148" si="0">C154</f>
        <v>64.013249999999999</v>
      </c>
      <c r="D148" s="100">
        <f t="shared" si="0"/>
        <v>451</v>
      </c>
      <c r="E148" s="100" t="e">
        <f t="shared" ca="1" si="0"/>
        <v>#NAME?</v>
      </c>
      <c r="F148" s="100" t="e">
        <f t="shared" ca="1" si="0"/>
        <v>#NAME?</v>
      </c>
      <c r="G148" s="100" t="e">
        <f t="shared" ca="1" si="0"/>
        <v>#NAME?</v>
      </c>
      <c r="H148" s="100" t="e">
        <f t="shared" ca="1" si="0"/>
        <v>#NAME?</v>
      </c>
      <c r="I148" s="100" t="e">
        <f ca="1">_xll.StmPTH(C148,D148,1)-_xll.StmPTH(C148,$C$107,1)</f>
        <v>#NAME?</v>
      </c>
      <c r="J148" s="100" t="e">
        <f t="shared" ca="1" si="0"/>
        <v>#NAME?</v>
      </c>
      <c r="K148" s="100" t="e">
        <f t="shared" ca="1" si="0"/>
        <v>#NAME?</v>
      </c>
      <c r="L148" s="365" t="e">
        <f t="shared" ca="1" si="0"/>
        <v>#NAME?</v>
      </c>
      <c r="M148" s="325"/>
      <c r="N148" s="325"/>
      <c r="O148" s="325"/>
    </row>
    <row r="149" spans="1:15" s="334" customFormat="1" ht="18" customHeight="1">
      <c r="A149" s="359" t="s">
        <v>709</v>
      </c>
      <c r="B149" s="285">
        <f>B155</f>
        <v>24</v>
      </c>
      <c r="C149" s="285">
        <f t="shared" ref="C149:L149" si="1">C155</f>
        <v>25.013249999999999</v>
      </c>
      <c r="D149" s="100">
        <f t="shared" si="1"/>
        <v>360</v>
      </c>
      <c r="E149" s="100" t="e">
        <f t="shared" ca="1" si="1"/>
        <v>#NAME?</v>
      </c>
      <c r="F149" s="100" t="e">
        <f t="shared" ca="1" si="1"/>
        <v>#NAME?</v>
      </c>
      <c r="G149" s="100" t="e">
        <f t="shared" ca="1" si="1"/>
        <v>#NAME?</v>
      </c>
      <c r="H149" s="100" t="e">
        <f t="shared" ca="1" si="1"/>
        <v>#NAME?</v>
      </c>
      <c r="I149" s="100" t="e">
        <f ca="1">_xll.StmPTH(C149,D149,1)-_xll.StmPTH(C149,$C$107,1)</f>
        <v>#NAME?</v>
      </c>
      <c r="J149" s="100" t="e">
        <f t="shared" ca="1" si="1"/>
        <v>#NAME?</v>
      </c>
      <c r="K149" s="100" t="e">
        <f t="shared" ca="1" si="1"/>
        <v>#NAME?</v>
      </c>
      <c r="L149" s="365" t="e">
        <f t="shared" ca="1" si="1"/>
        <v>#NAME?</v>
      </c>
      <c r="M149" s="100" t="e">
        <f ca="1">I149/3.6</f>
        <v>#NAME?</v>
      </c>
      <c r="N149" s="325"/>
      <c r="O149" s="325"/>
    </row>
    <row r="150" spans="1:15" s="334" customFormat="1" ht="18" customHeight="1">
      <c r="A150" s="359" t="s">
        <v>710</v>
      </c>
      <c r="B150" s="285">
        <f>Assets!C767</f>
        <v>18.5</v>
      </c>
      <c r="C150" s="286">
        <f>B150+patm</f>
        <v>19.513249999999999</v>
      </c>
      <c r="D150" s="100">
        <v>265</v>
      </c>
      <c r="E150" s="101" t="e">
        <f ca="1">_xll.StmPT(C150,1)</f>
        <v>#NAME?</v>
      </c>
      <c r="F150" s="100" t="e">
        <f ca="1">IF(D150=E150,0,_xll.StmPTH(C150,D150,1)-_xll.StmPQH(C150,1,1))</f>
        <v>#NAME?</v>
      </c>
      <c r="G150" s="100" t="e">
        <f ca="1">_xll.StmPQH(C150,1,1)-_xll.StmPQH(C150,0,1)</f>
        <v>#NAME?</v>
      </c>
      <c r="H150" s="100" t="e">
        <f ca="1">G150+F150</f>
        <v>#NAME?</v>
      </c>
      <c r="I150" s="100" t="e">
        <f ca="1">_xll.StmPTH(C150,D150,1)-_xll.StmPTH(C150,$C$107,1)</f>
        <v>#NAME?</v>
      </c>
      <c r="J150" s="100" t="e">
        <f ca="1">_xll.StmPTH(C150,D150,1)</f>
        <v>#NAME?</v>
      </c>
      <c r="K150" s="313" t="e">
        <f ca="1">J150-$J$160</f>
        <v>#NAME?</v>
      </c>
      <c r="L150" s="365" t="e">
        <f ca="1">_xll.StmPTS(C150,D150,1)</f>
        <v>#NAME?</v>
      </c>
      <c r="M150" s="100" t="e">
        <f t="shared" ref="M150:M152" ca="1" si="2">I150/3.6</f>
        <v>#NAME?</v>
      </c>
      <c r="N150" s="325"/>
      <c r="O150" s="325"/>
    </row>
    <row r="151" spans="1:15" s="334" customFormat="1" ht="18" customHeight="1">
      <c r="A151" s="359" t="s">
        <v>940</v>
      </c>
      <c r="B151" s="285">
        <v>11.5</v>
      </c>
      <c r="C151" s="286">
        <v>10.5</v>
      </c>
      <c r="D151" s="100">
        <v>265</v>
      </c>
      <c r="E151" s="101" t="e">
        <f ca="1">_xll.StmPT(C151,1)</f>
        <v>#NAME?</v>
      </c>
      <c r="F151" s="100" t="e">
        <f ca="1">IF(D151=E151,0,_xll.StmPTH(C151,D151,1)-_xll.StmPQH(C151,1,1))</f>
        <v>#NAME?</v>
      </c>
      <c r="G151" s="100" t="e">
        <f ca="1">_xll.StmPQH(C151,1,1)-_xll.StmPQH(C151,0,1)</f>
        <v>#NAME?</v>
      </c>
      <c r="H151" s="100" t="e">
        <f ca="1">G151+F151</f>
        <v>#NAME?</v>
      </c>
      <c r="I151" s="100" t="e">
        <f ca="1">_xll.StmPTH(C151,D151,1)-_xll.StmPTH(C151,$C$107,1)</f>
        <v>#NAME?</v>
      </c>
      <c r="J151" s="100" t="e">
        <f ca="1">_xll.StmPTH(C151,D151,1)</f>
        <v>#NAME?</v>
      </c>
      <c r="K151" s="313" t="e">
        <f ca="1">J151-$J$160</f>
        <v>#NAME?</v>
      </c>
      <c r="L151" s="365" t="e">
        <f ca="1">_xll.StmPTS(C151,D151,1)</f>
        <v>#NAME?</v>
      </c>
      <c r="M151" s="100" t="e">
        <f t="shared" ca="1" si="2"/>
        <v>#NAME?</v>
      </c>
      <c r="N151" s="325"/>
      <c r="O151" s="325"/>
    </row>
    <row r="152" spans="1:15" s="334" customFormat="1" ht="18" customHeight="1">
      <c r="A152" s="359" t="s">
        <v>941</v>
      </c>
      <c r="B152" s="285">
        <f>B157</f>
        <v>1.7</v>
      </c>
      <c r="C152" s="285">
        <f>C157</f>
        <v>2.7132499999999999</v>
      </c>
      <c r="D152" s="100">
        <f>D157</f>
        <v>165</v>
      </c>
      <c r="E152" s="100" t="e">
        <f ca="1">E157</f>
        <v>#NAME?</v>
      </c>
      <c r="F152" s="100" t="e">
        <f ca="1">IF(D152=E152,0,_xll.StmPTH(C152,D152,1)-_xll.StmPQH(C152,1,1))</f>
        <v>#NAME?</v>
      </c>
      <c r="G152" s="100" t="e">
        <f ca="1">_xll.StmPQH(C152,1,1)-_xll.StmPQH(C152,0,1)</f>
        <v>#NAME?</v>
      </c>
      <c r="H152" s="100" t="e">
        <f ca="1">G152+F152</f>
        <v>#NAME?</v>
      </c>
      <c r="I152" s="100" t="e">
        <f ca="1">_xll.StmPTH(C152,D152,1)-_xll.StmPTH(C152,$C$107,1)</f>
        <v>#NAME?</v>
      </c>
      <c r="J152" s="100" t="e">
        <f ca="1">_xll.StmPTH(C152,D152,1)</f>
        <v>#NAME?</v>
      </c>
      <c r="K152" s="313" t="e">
        <f ca="1">J152-$J$160</f>
        <v>#NAME?</v>
      </c>
      <c r="L152" s="365" t="e">
        <f ca="1">_xll.StmPTS(C152,D152,1)</f>
        <v>#NAME?</v>
      </c>
      <c r="M152" s="100" t="e">
        <f t="shared" ca="1" si="2"/>
        <v>#NAME?</v>
      </c>
      <c r="N152" s="325"/>
      <c r="O152" s="325"/>
    </row>
    <row r="153" spans="1:15" s="334" customFormat="1" ht="18" customHeight="1">
      <c r="A153" s="359"/>
      <c r="B153" s="285"/>
      <c r="C153" s="286"/>
      <c r="D153" s="100"/>
      <c r="E153" s="101"/>
      <c r="F153" s="100"/>
      <c r="G153" s="100"/>
      <c r="H153" s="100"/>
      <c r="I153" s="100"/>
      <c r="J153" s="100"/>
      <c r="K153" s="313"/>
      <c r="L153" s="365"/>
      <c r="M153" s="325"/>
      <c r="N153" s="325"/>
      <c r="O153" s="325"/>
    </row>
    <row r="154" spans="1:15" s="334" customFormat="1" ht="18" customHeight="1">
      <c r="A154" s="359" t="s">
        <v>66</v>
      </c>
      <c r="B154" s="285">
        <v>63</v>
      </c>
      <c r="C154" s="286">
        <f t="shared" ref="C154:C159" si="3">B154+patm</f>
        <v>64.013249999999999</v>
      </c>
      <c r="D154" s="100">
        <v>451</v>
      </c>
      <c r="E154" s="101" t="e">
        <f ca="1">_xll.StmPT(C154,1)</f>
        <v>#NAME?</v>
      </c>
      <c r="F154" s="100" t="e">
        <f ca="1">IF(D154=E154,0,_xll.StmPTH(C154,D154,1)-_xll.StmPQH(C154,1,1))</f>
        <v>#NAME?</v>
      </c>
      <c r="G154" s="100" t="e">
        <f ca="1">_xll.StmPQH(C154,1,1)-_xll.StmPQH(C154,0,1)</f>
        <v>#NAME?</v>
      </c>
      <c r="H154" s="100" t="e">
        <f ca="1">G154+F154</f>
        <v>#NAME?</v>
      </c>
      <c r="I154" s="100" t="e">
        <f ca="1">_xll.StmPTH(C154,D154,1)-_xll.StmPTH(C154,$C$107,1)</f>
        <v>#NAME?</v>
      </c>
      <c r="J154" s="100" t="e">
        <f ca="1">_xll.StmPTH(C154,D154,1)</f>
        <v>#NAME?</v>
      </c>
      <c r="K154" s="313" t="e">
        <f ca="1">J154-$J$160</f>
        <v>#NAME?</v>
      </c>
      <c r="L154" s="365" t="e">
        <f ca="1">_xll.StmPTS(C154,D154,1)</f>
        <v>#NAME?</v>
      </c>
      <c r="M154" s="325"/>
      <c r="N154" s="325"/>
      <c r="O154" s="325"/>
    </row>
    <row r="155" spans="1:15" s="334" customFormat="1" ht="18" customHeight="1">
      <c r="A155" s="98" t="s">
        <v>874</v>
      </c>
      <c r="B155" s="285">
        <v>24</v>
      </c>
      <c r="C155" s="286">
        <f t="shared" si="3"/>
        <v>25.013249999999999</v>
      </c>
      <c r="D155" s="100">
        <v>360</v>
      </c>
      <c r="E155" s="101" t="e">
        <f ca="1">_xll.StmPT(C155,1)</f>
        <v>#NAME?</v>
      </c>
      <c r="F155" s="100" t="e">
        <f ca="1">IF(D155=E155,0,_xll.StmPTH(C155,D155,1)-_xll.StmPQH(C155,1,1))</f>
        <v>#NAME?</v>
      </c>
      <c r="G155" s="100" t="e">
        <f ca="1">_xll.StmPQH(C155,1,1)-_xll.StmPQH(C155,0,1)</f>
        <v>#NAME?</v>
      </c>
      <c r="H155" s="100" t="e">
        <f ca="1">G155+F155</f>
        <v>#NAME?</v>
      </c>
      <c r="I155" s="100" t="e">
        <f ca="1">_xll.StmPTH(C155,D155,1)-_xll.StmPTH(C155,$C$107,1)</f>
        <v>#NAME?</v>
      </c>
      <c r="J155" s="100" t="e">
        <f ca="1">_xll.StmPTH(C155,D155,1)</f>
        <v>#NAME?</v>
      </c>
      <c r="K155" s="313" t="e">
        <f ca="1">J155-$J$160</f>
        <v>#NAME?</v>
      </c>
      <c r="L155" s="365" t="e">
        <f ca="1">_xll.StmPTS(C155,D155,1)</f>
        <v>#NAME?</v>
      </c>
      <c r="M155" s="325"/>
      <c r="N155" s="325"/>
      <c r="O155" s="325"/>
    </row>
    <row r="156" spans="1:15" s="334" customFormat="1" ht="18" customHeight="1">
      <c r="A156" s="98" t="s">
        <v>67</v>
      </c>
      <c r="B156" s="285">
        <f>C156+1</f>
        <v>12.5</v>
      </c>
      <c r="C156" s="286">
        <v>11.5</v>
      </c>
      <c r="D156" s="518">
        <v>210</v>
      </c>
      <c r="E156" s="101" t="e">
        <f ca="1">_xll.StmPT(C156,1)</f>
        <v>#NAME?</v>
      </c>
      <c r="F156" s="100" t="e">
        <f ca="1">IF(D156=E156,0,_xll.StmPTH(C156,D156,1)-_xll.StmPQH(C156,1,1))</f>
        <v>#NAME?</v>
      </c>
      <c r="G156" s="100" t="e">
        <f ca="1">_xll.StmPQH(C156,1,1)-_xll.StmPQH(C156,0,1)</f>
        <v>#NAME?</v>
      </c>
      <c r="H156" s="100" t="e">
        <f ca="1">G156+F156</f>
        <v>#NAME?</v>
      </c>
      <c r="I156" s="100" t="e">
        <f ca="1">_xll.StmPTH(C156,D156,1)-_xll.StmPTH(C156,$C$107,1)</f>
        <v>#NAME?</v>
      </c>
      <c r="J156" s="100" t="e">
        <f ca="1">_xll.StmPTH(C156,D156,1)</f>
        <v>#NAME?</v>
      </c>
      <c r="K156" s="313" t="e">
        <f ca="1">J156-$J$160</f>
        <v>#NAME?</v>
      </c>
      <c r="L156" s="365" t="e">
        <f ca="1">_xll.StmPTS(C156,D156,1)</f>
        <v>#NAME?</v>
      </c>
      <c r="M156" s="325"/>
      <c r="N156" s="325"/>
      <c r="O156" s="325"/>
    </row>
    <row r="157" spans="1:15" s="334" customFormat="1" ht="18" customHeight="1">
      <c r="A157" s="98" t="s">
        <v>68</v>
      </c>
      <c r="B157" s="285">
        <v>1.7</v>
      </c>
      <c r="C157" s="286">
        <f t="shared" si="3"/>
        <v>2.7132499999999999</v>
      </c>
      <c r="D157" s="100">
        <v>165</v>
      </c>
      <c r="E157" s="101" t="e">
        <f ca="1">_xll.StmPT(C157,1)</f>
        <v>#NAME?</v>
      </c>
      <c r="F157" s="100" t="e">
        <f ca="1">IF(D157=E157,0,_xll.StmPTH(C157,D157,1)-_xll.StmPQH(C157,1,1))</f>
        <v>#NAME?</v>
      </c>
      <c r="G157" s="100" t="e">
        <f ca="1">_xll.StmPQH(C157,1,1)-_xll.StmPQH(C157,0,1)</f>
        <v>#NAME?</v>
      </c>
      <c r="H157" s="100" t="e">
        <f ca="1">G157+F157</f>
        <v>#NAME?</v>
      </c>
      <c r="I157" s="100" t="e">
        <f ca="1">_xll.StmPTH(C157,D157,1)-_xll.StmPTH(C157,$C$107,1)</f>
        <v>#NAME?</v>
      </c>
      <c r="J157" s="100" t="e">
        <f ca="1">_xll.StmPTH(C157,D157,1)</f>
        <v>#NAME?</v>
      </c>
      <c r="K157" s="313" t="e">
        <f ca="1">J157-$J$160</f>
        <v>#NAME?</v>
      </c>
      <c r="L157" s="365" t="e">
        <f ca="1">_xll.StmPTS(C157,D157,1)</f>
        <v>#NAME?</v>
      </c>
      <c r="M157" s="100" t="e">
        <f t="shared" ref="M157" ca="1" si="4">I157/3.6</f>
        <v>#NAME?</v>
      </c>
      <c r="N157" s="325"/>
      <c r="O157" s="325"/>
    </row>
    <row r="158" spans="1:15" s="334" customFormat="1" ht="18" customHeight="1">
      <c r="A158" s="98" t="s">
        <v>49</v>
      </c>
      <c r="B158" s="285">
        <v>0</v>
      </c>
      <c r="C158" s="286">
        <f t="shared" si="3"/>
        <v>1.01325</v>
      </c>
      <c r="D158" s="100" t="s">
        <v>39</v>
      </c>
      <c r="E158" s="101">
        <f>C108</f>
        <v>80</v>
      </c>
      <c r="F158" s="100">
        <v>0</v>
      </c>
      <c r="G158" s="100">
        <v>0</v>
      </c>
      <c r="H158" s="100">
        <v>0</v>
      </c>
      <c r="I158" s="100"/>
      <c r="J158" s="100" t="e">
        <f ca="1">_xll.StmTQH(E158,0,1)</f>
        <v>#NAME?</v>
      </c>
      <c r="K158" s="235"/>
      <c r="L158" s="365" t="e">
        <f ca="1">_xll.StmPTS(C158,E158,1)</f>
        <v>#NAME?</v>
      </c>
      <c r="M158" s="325"/>
      <c r="N158" s="325"/>
      <c r="O158" s="325"/>
    </row>
    <row r="159" spans="1:15" s="334" customFormat="1" ht="18" customHeight="1">
      <c r="A159" s="98" t="s">
        <v>220</v>
      </c>
      <c r="B159" s="285">
        <v>0</v>
      </c>
      <c r="C159" s="286">
        <f t="shared" si="3"/>
        <v>1.01325</v>
      </c>
      <c r="D159" s="91"/>
      <c r="E159" s="101">
        <f>C107</f>
        <v>105</v>
      </c>
      <c r="F159" s="100"/>
      <c r="G159" s="100"/>
      <c r="H159" s="100"/>
      <c r="I159" s="100"/>
      <c r="J159" s="100" t="e">
        <f ca="1">_xll.StmTQH(E159,0,1)</f>
        <v>#NAME?</v>
      </c>
      <c r="K159" s="235"/>
      <c r="L159" s="286"/>
      <c r="M159" s="325"/>
      <c r="N159" s="325"/>
      <c r="O159" s="325"/>
    </row>
    <row r="160" spans="1:15" s="334" customFormat="1" ht="18" customHeight="1">
      <c r="A160" s="359" t="s">
        <v>618</v>
      </c>
      <c r="B160" s="285">
        <f>B159</f>
        <v>0</v>
      </c>
      <c r="C160" s="365">
        <f>C159</f>
        <v>1.01325</v>
      </c>
      <c r="D160" s="91"/>
      <c r="E160" s="101">
        <f>C106</f>
        <v>80</v>
      </c>
      <c r="F160" s="100"/>
      <c r="G160" s="100"/>
      <c r="H160" s="100"/>
      <c r="I160" s="100"/>
      <c r="J160" s="100" t="e">
        <f ca="1">_xll.StmTQH(E160,0,1)</f>
        <v>#NAME?</v>
      </c>
      <c r="K160" s="235"/>
      <c r="L160" s="286"/>
      <c r="M160" s="325"/>
      <c r="N160" s="325"/>
      <c r="O160" s="325"/>
    </row>
    <row r="161" spans="1:15" s="303" customFormat="1" ht="18" customHeight="1">
      <c r="A161" s="299"/>
      <c r="B161" s="299"/>
      <c r="D161" s="299"/>
      <c r="E161" s="299"/>
      <c r="F161" s="299"/>
      <c r="H161" s="299"/>
      <c r="I161" s="299"/>
      <c r="J161" s="299"/>
      <c r="K161" s="299"/>
      <c r="L161" s="299"/>
      <c r="M161" s="299"/>
      <c r="N161" s="299"/>
      <c r="O161" s="299"/>
    </row>
    <row r="162" spans="1:15" s="303" customFormat="1" ht="18" customHeight="1" thickBot="1">
      <c r="A162" s="375" t="s">
        <v>434</v>
      </c>
      <c r="B162" s="391"/>
      <c r="C162" s="393"/>
      <c r="D162" s="391"/>
      <c r="E162" s="391"/>
      <c r="F162" s="299"/>
      <c r="H162" s="299"/>
      <c r="I162" s="299"/>
      <c r="J162" s="299"/>
      <c r="K162" s="299"/>
      <c r="L162" s="299"/>
      <c r="M162" s="299"/>
      <c r="N162" s="299"/>
      <c r="O162" s="299"/>
    </row>
    <row r="163" spans="1:15" s="303" customFormat="1" ht="18" customHeight="1" thickTop="1">
      <c r="A163" s="224" t="s">
        <v>437</v>
      </c>
      <c r="B163" s="224" t="s">
        <v>23</v>
      </c>
      <c r="C163" s="233">
        <f ca="1">PFD!Z15</f>
        <v>15.401622984003186</v>
      </c>
      <c r="D163" s="299"/>
      <c r="E163" s="299"/>
      <c r="F163" s="299"/>
      <c r="H163" s="299"/>
      <c r="I163" s="299"/>
      <c r="J163" s="299"/>
      <c r="K163" s="299"/>
      <c r="L163" s="299"/>
      <c r="M163" s="299"/>
      <c r="N163" s="299"/>
      <c r="O163" s="299"/>
    </row>
    <row r="164" spans="1:15" s="303" customFormat="1" ht="18" customHeight="1">
      <c r="A164" s="224" t="s">
        <v>438</v>
      </c>
      <c r="B164" s="224" t="s">
        <v>593</v>
      </c>
      <c r="C164" s="233" t="e">
        <f ca="1">Eco.!G4/1000</f>
        <v>#NAME?</v>
      </c>
      <c r="D164" s="299"/>
      <c r="E164" s="299"/>
      <c r="F164" s="299"/>
      <c r="H164" s="299"/>
      <c r="I164" s="299"/>
      <c r="J164" s="299"/>
      <c r="K164" s="299"/>
      <c r="L164" s="299"/>
      <c r="M164" s="299"/>
      <c r="N164" s="299"/>
      <c r="O164" s="299"/>
    </row>
    <row r="165" spans="1:15" s="334" customFormat="1" ht="18" customHeight="1">
      <c r="A165" s="224" t="s">
        <v>809</v>
      </c>
      <c r="B165" s="224" t="s">
        <v>593</v>
      </c>
      <c r="C165" s="350">
        <f ca="1">C180/1000</f>
        <v>45.799573501622653</v>
      </c>
      <c r="D165" s="325"/>
      <c r="E165" s="325"/>
      <c r="F165" s="325"/>
      <c r="H165" s="325"/>
      <c r="I165" s="325"/>
      <c r="J165" s="325"/>
      <c r="K165" s="325"/>
      <c r="L165" s="325"/>
      <c r="M165" s="325"/>
      <c r="N165" s="325"/>
      <c r="O165" s="325"/>
    </row>
    <row r="166" spans="1:15" s="334" customFormat="1" ht="18" customHeight="1">
      <c r="A166" s="224" t="s">
        <v>810</v>
      </c>
      <c r="B166" s="224" t="s">
        <v>593</v>
      </c>
      <c r="C166" s="350" t="e">
        <f ca="1">C190/1000</f>
        <v>#NAME?</v>
      </c>
      <c r="D166" s="325"/>
      <c r="E166" s="325"/>
      <c r="F166" s="325"/>
      <c r="H166" s="325"/>
      <c r="I166" s="325"/>
      <c r="J166" s="325"/>
      <c r="K166" s="325"/>
      <c r="L166" s="325"/>
      <c r="M166" s="325"/>
      <c r="N166" s="325"/>
      <c r="O166" s="325"/>
    </row>
    <row r="167" spans="1:15" s="334" customFormat="1" ht="18" customHeight="1">
      <c r="A167" s="224" t="s">
        <v>322</v>
      </c>
      <c r="B167" s="224" t="s">
        <v>23</v>
      </c>
      <c r="C167" s="350">
        <f>PFD!Z17-PFD!Z16</f>
        <v>4.1237348999999996</v>
      </c>
      <c r="D167" s="325"/>
      <c r="E167" s="325"/>
      <c r="F167" s="325"/>
      <c r="H167" s="325"/>
      <c r="I167" s="325"/>
      <c r="J167" s="325"/>
      <c r="K167" s="325"/>
      <c r="L167" s="325"/>
      <c r="M167" s="325"/>
      <c r="N167" s="325"/>
      <c r="O167" s="325"/>
    </row>
    <row r="168" spans="1:15" s="334" customFormat="1" ht="18" customHeight="1">
      <c r="A168" s="224" t="s">
        <v>811</v>
      </c>
      <c r="B168" s="224" t="s">
        <v>9</v>
      </c>
      <c r="C168" s="81">
        <f>C614</f>
        <v>943.22048099999995</v>
      </c>
      <c r="D168" s="325"/>
      <c r="E168" s="325"/>
      <c r="F168" s="325"/>
      <c r="H168" s="325"/>
      <c r="I168" s="325"/>
      <c r="J168" s="325"/>
      <c r="K168" s="325"/>
      <c r="L168" s="325"/>
      <c r="M168" s="325"/>
      <c r="N168" s="325"/>
      <c r="O168" s="325"/>
    </row>
    <row r="169" spans="1:15" s="303" customFormat="1" ht="18" customHeight="1">
      <c r="A169" s="224" t="s">
        <v>439</v>
      </c>
      <c r="B169" s="224" t="s">
        <v>440</v>
      </c>
      <c r="C169" s="233" t="e">
        <f ca="1">((PFD!U22/3.6)*Model!K156+(PFD!U28/3.6)*Model!K157)/1000</f>
        <v>#NAME?</v>
      </c>
      <c r="D169" s="299"/>
      <c r="E169" s="299"/>
      <c r="F169" s="299"/>
      <c r="H169" s="299"/>
      <c r="I169" s="299"/>
      <c r="J169" s="299"/>
      <c r="K169" s="299"/>
      <c r="L169" s="299"/>
      <c r="M169" s="299"/>
      <c r="N169" s="299"/>
      <c r="O169" s="299"/>
    </row>
    <row r="170" spans="1:15" s="303" customFormat="1" ht="18" customHeight="1">
      <c r="A170" s="224" t="s">
        <v>812</v>
      </c>
      <c r="B170" s="224" t="s">
        <v>3</v>
      </c>
      <c r="C170" s="251" t="e">
        <f ca="1">C163/C164</f>
        <v>#NAME?</v>
      </c>
      <c r="D170" s="299"/>
      <c r="E170" s="299"/>
      <c r="F170" s="299"/>
      <c r="H170" s="299"/>
      <c r="I170" s="299"/>
      <c r="J170" s="299"/>
      <c r="K170" s="299"/>
      <c r="L170" s="299"/>
      <c r="M170" s="299"/>
      <c r="N170" s="299"/>
      <c r="O170" s="299"/>
    </row>
    <row r="171" spans="1:15" s="303" customFormat="1" ht="18" customHeight="1">
      <c r="A171" s="224" t="s">
        <v>813</v>
      </c>
      <c r="B171" s="224" t="s">
        <v>3</v>
      </c>
      <c r="C171" s="251" t="e">
        <f ca="1">C169/C164</f>
        <v>#NAME?</v>
      </c>
      <c r="D171" s="299"/>
      <c r="E171" s="299"/>
      <c r="F171" s="299"/>
      <c r="H171" s="299"/>
      <c r="I171" s="299"/>
      <c r="J171" s="299"/>
      <c r="K171" s="299"/>
      <c r="L171" s="299"/>
      <c r="M171" s="299"/>
      <c r="N171" s="299"/>
      <c r="O171" s="299"/>
    </row>
    <row r="172" spans="1:15" s="303" customFormat="1" ht="18" customHeight="1">
      <c r="A172" s="224" t="s">
        <v>814</v>
      </c>
      <c r="B172" s="224" t="s">
        <v>3</v>
      </c>
      <c r="C172" s="251" t="e">
        <f ca="1">(C169+C163)/C164</f>
        <v>#NAME?</v>
      </c>
      <c r="D172" s="299"/>
      <c r="E172" s="299"/>
      <c r="F172" s="299"/>
      <c r="H172" s="299"/>
      <c r="I172" s="299"/>
      <c r="J172" s="299"/>
      <c r="K172" s="299"/>
      <c r="L172" s="299"/>
      <c r="M172" s="299"/>
      <c r="N172" s="299"/>
      <c r="O172" s="299"/>
    </row>
    <row r="173" spans="1:15" s="303" customFormat="1" ht="18" customHeight="1">
      <c r="A173" s="119" t="s">
        <v>354</v>
      </c>
      <c r="B173" s="229"/>
      <c r="C173" s="107" t="e">
        <f ca="1">((PFD!U22/3.6)*Model!H156+(PFD!U28/3.6)*Model!H157)/(C163*1000)</f>
        <v>#NAME?</v>
      </c>
      <c r="D173" s="299"/>
      <c r="E173" s="299"/>
      <c r="F173" s="299"/>
      <c r="H173" s="299"/>
      <c r="I173" s="299"/>
      <c r="J173" s="299"/>
      <c r="K173" s="299"/>
      <c r="L173" s="299"/>
      <c r="M173" s="299"/>
      <c r="N173" s="299"/>
      <c r="O173" s="299"/>
    </row>
    <row r="174" spans="1:15" s="303" customFormat="1" ht="18" customHeight="1">
      <c r="A174" s="119" t="s">
        <v>355</v>
      </c>
      <c r="B174" s="229"/>
      <c r="C174" s="107" t="e">
        <f ca="1">((PFD!U22/3.6)*Model!H156+(PFD!U28/3.6)*Model!H157)/(PFD!Z8*1000)</f>
        <v>#NAME?</v>
      </c>
      <c r="D174" s="299"/>
      <c r="E174" s="299"/>
      <c r="F174" s="299"/>
      <c r="H174" s="299"/>
      <c r="I174" s="299"/>
      <c r="J174" s="299"/>
      <c r="K174" s="299"/>
      <c r="L174" s="299"/>
      <c r="M174" s="299"/>
      <c r="N174" s="299"/>
      <c r="O174" s="299"/>
    </row>
    <row r="175" spans="1:15" s="303" customFormat="1" ht="18" customHeight="1">
      <c r="A175" s="224" t="s">
        <v>435</v>
      </c>
      <c r="B175" s="224" t="s">
        <v>356</v>
      </c>
      <c r="C175" s="233" t="e">
        <f ca="1">Eco.!K13*100/(C163*1000+((PFD!U22/3.6)*Model!H156+(PFD!U28/3.6)*Model!H157))</f>
        <v>#NAME?</v>
      </c>
      <c r="D175" s="299"/>
      <c r="E175" s="299"/>
      <c r="F175" s="299"/>
      <c r="H175" s="299"/>
      <c r="I175" s="299"/>
      <c r="J175" s="299"/>
      <c r="K175" s="299"/>
      <c r="L175" s="299"/>
      <c r="M175" s="299"/>
      <c r="N175" s="299"/>
      <c r="O175" s="299"/>
    </row>
    <row r="176" spans="1:15" s="334" customFormat="1" ht="18" customHeight="1">
      <c r="A176" s="224"/>
      <c r="B176" s="224"/>
      <c r="C176" s="350"/>
      <c r="D176" s="325"/>
      <c r="E176" s="325"/>
      <c r="F176" s="325"/>
      <c r="H176" s="325"/>
      <c r="I176" s="325"/>
      <c r="J176" s="325"/>
      <c r="K176" s="325"/>
      <c r="L176" s="325"/>
      <c r="M176" s="325"/>
      <c r="N176" s="325"/>
      <c r="O176" s="325"/>
    </row>
    <row r="177" spans="1:15" s="334" customFormat="1" ht="18" customHeight="1" thickBot="1">
      <c r="A177" s="495" t="s">
        <v>969</v>
      </c>
      <c r="B177" s="391"/>
      <c r="C177" s="393"/>
      <c r="D177" s="391"/>
      <c r="E177" s="391"/>
      <c r="F177" s="325"/>
      <c r="H177" s="325"/>
      <c r="I177" s="325"/>
      <c r="J177" s="325"/>
      <c r="K177" s="325"/>
      <c r="L177" s="325"/>
      <c r="M177" s="325"/>
      <c r="N177" s="325"/>
      <c r="O177" s="325"/>
    </row>
    <row r="178" spans="1:15" s="334" customFormat="1" ht="18" customHeight="1" thickTop="1">
      <c r="A178" s="224" t="s">
        <v>4</v>
      </c>
      <c r="B178" s="224" t="s">
        <v>327</v>
      </c>
      <c r="C178" s="81">
        <f ca="1">C307</f>
        <v>23299.533651698304</v>
      </c>
      <c r="E178" s="325"/>
      <c r="F178" s="325"/>
      <c r="H178" s="325"/>
      <c r="I178" s="325"/>
      <c r="J178" s="325"/>
      <c r="K178" s="325"/>
      <c r="L178" s="325"/>
      <c r="M178" s="325"/>
      <c r="N178" s="325"/>
      <c r="O178" s="325"/>
    </row>
    <row r="179" spans="1:15" s="334" customFormat="1" ht="18" customHeight="1">
      <c r="A179" s="224" t="s">
        <v>5</v>
      </c>
      <c r="B179" s="224" t="s">
        <v>327</v>
      </c>
      <c r="C179" s="81">
        <f ca="1">D307</f>
        <v>22500.039849924346</v>
      </c>
      <c r="D179" s="325"/>
      <c r="E179" s="325"/>
      <c r="F179" s="325"/>
      <c r="H179" s="325"/>
      <c r="I179" s="325"/>
      <c r="J179" s="325"/>
      <c r="K179" s="325"/>
      <c r="L179" s="325"/>
      <c r="M179" s="325"/>
      <c r="N179" s="325"/>
      <c r="O179" s="325"/>
    </row>
    <row r="180" spans="1:15" s="334" customFormat="1" ht="18" customHeight="1">
      <c r="A180" s="224" t="s">
        <v>970</v>
      </c>
      <c r="B180" s="224" t="str">
        <f>B179</f>
        <v>kW HHV</v>
      </c>
      <c r="C180" s="81">
        <f ca="1">SUBTOTAL(9,C178:C179)</f>
        <v>45799.573501622654</v>
      </c>
      <c r="D180" s="325"/>
      <c r="E180" s="325"/>
      <c r="F180" s="325"/>
      <c r="H180" s="325"/>
      <c r="I180" s="325"/>
      <c r="J180" s="325"/>
      <c r="K180" s="325"/>
      <c r="L180" s="325"/>
      <c r="M180" s="325"/>
      <c r="N180" s="325"/>
      <c r="O180" s="325"/>
    </row>
    <row r="181" spans="1:15" s="334" customFormat="1" ht="18" customHeight="1">
      <c r="A181" s="224" t="s">
        <v>971</v>
      </c>
      <c r="B181" s="224" t="str">
        <f t="shared" ref="B181:B191" si="5">B180</f>
        <v>kW HHV</v>
      </c>
      <c r="C181" s="81" t="e">
        <f ca="1">C312</f>
        <v>#NAME?</v>
      </c>
      <c r="E181" s="325"/>
      <c r="F181" s="325"/>
      <c r="H181" s="325"/>
      <c r="I181" s="325"/>
      <c r="J181" s="325"/>
      <c r="K181" s="325"/>
      <c r="L181" s="325"/>
      <c r="M181" s="325"/>
      <c r="N181" s="325"/>
      <c r="O181" s="325"/>
    </row>
    <row r="182" spans="1:15" s="334" customFormat="1" ht="18" customHeight="1">
      <c r="A182" s="224" t="s">
        <v>590</v>
      </c>
      <c r="B182" s="224" t="str">
        <f t="shared" si="5"/>
        <v>kW HHV</v>
      </c>
      <c r="C182" s="81" t="e">
        <f ca="1">D312</f>
        <v>#NAME?</v>
      </c>
      <c r="D182" s="325"/>
      <c r="E182" s="325"/>
      <c r="F182" s="325"/>
      <c r="H182" s="325"/>
      <c r="I182" s="325"/>
      <c r="J182" s="325"/>
      <c r="K182" s="325"/>
      <c r="L182" s="325"/>
      <c r="M182" s="325"/>
      <c r="N182" s="325"/>
      <c r="O182" s="325"/>
    </row>
    <row r="183" spans="1:15" s="334" customFormat="1" ht="18" customHeight="1">
      <c r="A183" s="224" t="str">
        <f t="shared" ref="A183:A188" ca="1" si="6">OFFSET($C$462,0,ROW(A1)-1)</f>
        <v>B5</v>
      </c>
      <c r="B183" s="224" t="str">
        <f t="shared" si="5"/>
        <v>kW HHV</v>
      </c>
      <c r="C183" s="81" t="e">
        <f t="shared" ref="C183:C188" ca="1" si="7">OFFSET($C$463,0,ROW(A1)-1)</f>
        <v>#NAME?</v>
      </c>
      <c r="D183" s="325"/>
      <c r="E183" s="325"/>
      <c r="F183" s="325"/>
      <c r="H183" s="325"/>
      <c r="I183" s="325"/>
      <c r="J183" s="325"/>
      <c r="K183" s="325"/>
      <c r="L183" s="325"/>
      <c r="M183" s="325"/>
      <c r="N183" s="325"/>
      <c r="O183" s="325"/>
    </row>
    <row r="184" spans="1:15" s="334" customFormat="1" ht="18" customHeight="1">
      <c r="A184" s="224" t="str">
        <f t="shared" ca="1" si="6"/>
        <v>B7</v>
      </c>
      <c r="B184" s="224" t="str">
        <f t="shared" si="5"/>
        <v>kW HHV</v>
      </c>
      <c r="C184" s="81" t="e">
        <f t="shared" ca="1" si="7"/>
        <v>#NAME?</v>
      </c>
      <c r="D184" s="325"/>
      <c r="E184" s="325"/>
      <c r="F184" s="325"/>
      <c r="H184" s="325"/>
      <c r="I184" s="325"/>
      <c r="J184" s="325"/>
      <c r="K184" s="325"/>
      <c r="L184" s="325"/>
      <c r="M184" s="325"/>
      <c r="N184" s="325"/>
      <c r="O184" s="325"/>
    </row>
    <row r="185" spans="1:15" s="334" customFormat="1" ht="18" customHeight="1">
      <c r="A185" s="224" t="str">
        <f t="shared" ca="1" si="6"/>
        <v>B9</v>
      </c>
      <c r="B185" s="224" t="str">
        <f t="shared" si="5"/>
        <v>kW HHV</v>
      </c>
      <c r="C185" s="81" t="e">
        <f t="shared" ca="1" si="7"/>
        <v>#NAME?</v>
      </c>
      <c r="D185" s="325"/>
      <c r="E185" s="325"/>
      <c r="F185" s="325"/>
      <c r="H185" s="325"/>
      <c r="I185" s="325"/>
      <c r="J185" s="325"/>
      <c r="K185" s="325"/>
      <c r="L185" s="325"/>
      <c r="M185" s="325"/>
      <c r="N185" s="325"/>
      <c r="O185" s="325"/>
    </row>
    <row r="186" spans="1:15" s="334" customFormat="1" ht="18" customHeight="1">
      <c r="A186" s="224" t="str">
        <f t="shared" ca="1" si="6"/>
        <v>MP-1</v>
      </c>
      <c r="B186" s="224" t="str">
        <f t="shared" si="5"/>
        <v>kW HHV</v>
      </c>
      <c r="C186" s="81" t="e">
        <f t="shared" ca="1" si="7"/>
        <v>#NAME?</v>
      </c>
      <c r="D186" s="325"/>
      <c r="E186" s="325"/>
      <c r="F186" s="325"/>
      <c r="H186" s="325"/>
      <c r="I186" s="325"/>
      <c r="J186" s="325"/>
      <c r="K186" s="325"/>
      <c r="L186" s="325"/>
      <c r="M186" s="325"/>
      <c r="N186" s="325"/>
      <c r="O186" s="325"/>
    </row>
    <row r="187" spans="1:15" s="334" customFormat="1" ht="18" customHeight="1">
      <c r="A187" s="224" t="str">
        <f t="shared" ca="1" si="6"/>
        <v>MP-2</v>
      </c>
      <c r="B187" s="224" t="str">
        <f t="shared" si="5"/>
        <v>kW HHV</v>
      </c>
      <c r="C187" s="81" t="e">
        <f t="shared" ca="1" si="7"/>
        <v>#NAME?</v>
      </c>
      <c r="D187" s="325"/>
      <c r="E187" s="325"/>
      <c r="F187" s="325"/>
      <c r="H187" s="325"/>
      <c r="I187" s="325"/>
      <c r="J187" s="325"/>
      <c r="K187" s="325"/>
      <c r="L187" s="325"/>
      <c r="M187" s="325"/>
      <c r="N187" s="325"/>
      <c r="O187" s="325"/>
    </row>
    <row r="188" spans="1:15" s="334" customFormat="1" ht="18" customHeight="1">
      <c r="A188" s="224" t="str">
        <f t="shared" ca="1" si="6"/>
        <v>Aux. boiler</v>
      </c>
      <c r="B188" s="224" t="str">
        <f t="shared" si="5"/>
        <v>kW HHV</v>
      </c>
      <c r="C188" s="81" t="e">
        <f t="shared" ca="1" si="7"/>
        <v>#NAME?</v>
      </c>
      <c r="D188" s="325"/>
      <c r="E188" s="325"/>
      <c r="F188" s="325"/>
      <c r="H188" s="325"/>
      <c r="I188" s="325"/>
      <c r="J188" s="325"/>
      <c r="K188" s="325"/>
      <c r="L188" s="325"/>
      <c r="M188" s="325"/>
      <c r="N188" s="325"/>
      <c r="O188" s="325"/>
    </row>
    <row r="189" spans="1:15" s="334" customFormat="1" ht="18" customHeight="1">
      <c r="A189" s="224" t="s">
        <v>488</v>
      </c>
      <c r="B189" s="224" t="str">
        <f t="shared" si="5"/>
        <v>kW HHV</v>
      </c>
      <c r="C189" s="350">
        <f ca="1">C622</f>
        <v>5319.6629213483138</v>
      </c>
      <c r="D189" s="325"/>
      <c r="E189" s="325"/>
      <c r="F189" s="325"/>
      <c r="H189" s="325"/>
      <c r="I189" s="325"/>
      <c r="J189" s="325"/>
      <c r="K189" s="325"/>
      <c r="L189" s="325"/>
      <c r="M189" s="325"/>
      <c r="N189" s="325"/>
      <c r="O189" s="325"/>
    </row>
    <row r="190" spans="1:15" s="334" customFormat="1" ht="18" customHeight="1">
      <c r="A190" s="224" t="s">
        <v>972</v>
      </c>
      <c r="B190" s="224" t="str">
        <f t="shared" si="5"/>
        <v>kW HHV</v>
      </c>
      <c r="C190" s="81" t="e">
        <f ca="1">SUBTOTAL(9,C181:C189)</f>
        <v>#NAME?</v>
      </c>
      <c r="D190" s="351"/>
      <c r="E190" s="325"/>
      <c r="F190" s="325"/>
      <c r="H190" s="325"/>
      <c r="I190" s="325"/>
      <c r="J190" s="325"/>
      <c r="K190" s="325"/>
      <c r="L190" s="325"/>
      <c r="M190" s="325"/>
      <c r="N190" s="325"/>
      <c r="O190" s="325"/>
    </row>
    <row r="191" spans="1:15" s="334" customFormat="1" ht="18" customHeight="1">
      <c r="A191" s="224" t="s">
        <v>973</v>
      </c>
      <c r="B191" s="224" t="str">
        <f t="shared" si="5"/>
        <v>kW HHV</v>
      </c>
      <c r="C191" s="81" t="e">
        <f ca="1">SUBTOTAL(9,C178:C190)</f>
        <v>#NAME?</v>
      </c>
      <c r="D191" s="325"/>
      <c r="E191" s="351"/>
      <c r="F191" s="325"/>
      <c r="H191" s="325"/>
      <c r="I191" s="325"/>
      <c r="J191" s="325"/>
      <c r="K191" s="325"/>
      <c r="L191" s="325"/>
      <c r="M191" s="325"/>
      <c r="N191" s="325"/>
      <c r="O191" s="325"/>
    </row>
    <row r="192" spans="1:15" s="334" customFormat="1" ht="18" customHeight="1">
      <c r="A192" s="224"/>
      <c r="B192" s="224"/>
      <c r="C192" s="350"/>
      <c r="D192" s="325"/>
      <c r="E192" s="325"/>
      <c r="F192" s="325"/>
      <c r="H192" s="325"/>
      <c r="I192" s="325"/>
      <c r="J192" s="325"/>
      <c r="K192" s="325"/>
      <c r="L192" s="325"/>
      <c r="M192" s="325"/>
      <c r="N192" s="325"/>
      <c r="O192" s="325"/>
    </row>
    <row r="193" spans="1:15" s="334" customFormat="1" ht="18" customHeight="1" thickBot="1">
      <c r="A193" s="495" t="s">
        <v>974</v>
      </c>
      <c r="B193" s="391"/>
      <c r="C193" s="393"/>
      <c r="D193" s="391"/>
      <c r="E193" s="391"/>
      <c r="F193" s="325"/>
      <c r="H193" s="325"/>
      <c r="I193" s="325"/>
      <c r="J193" s="325"/>
      <c r="K193" s="325"/>
      <c r="L193" s="325"/>
      <c r="M193" s="325"/>
      <c r="N193" s="325"/>
      <c r="O193" s="325"/>
    </row>
    <row r="194" spans="1:15" s="334" customFormat="1" ht="18" customHeight="1" thickTop="1">
      <c r="A194" s="224"/>
      <c r="B194" s="224"/>
      <c r="C194" s="506" t="s">
        <v>975</v>
      </c>
      <c r="D194" s="290" t="s">
        <v>976</v>
      </c>
      <c r="E194" s="325"/>
      <c r="F194" s="325"/>
      <c r="H194" s="325"/>
      <c r="I194" s="325"/>
      <c r="J194" s="325"/>
      <c r="K194" s="325"/>
      <c r="L194" s="325"/>
      <c r="M194" s="325"/>
      <c r="N194" s="325"/>
      <c r="O194" s="325"/>
    </row>
    <row r="195" spans="1:15" s="334" customFormat="1" ht="18" customHeight="1">
      <c r="A195" s="224" t="s">
        <v>4</v>
      </c>
      <c r="B195" s="224" t="s">
        <v>23</v>
      </c>
      <c r="C195" s="350">
        <f ca="1">C308</f>
        <v>6.3007915205144558</v>
      </c>
      <c r="E195" s="325"/>
      <c r="F195" s="325"/>
      <c r="H195" s="325"/>
      <c r="I195" s="325"/>
      <c r="J195" s="325"/>
      <c r="K195" s="325"/>
      <c r="L195" s="325"/>
      <c r="M195" s="325"/>
      <c r="N195" s="325"/>
      <c r="O195" s="325"/>
    </row>
    <row r="196" spans="1:15" s="334" customFormat="1" ht="18" customHeight="1">
      <c r="A196" s="224" t="s">
        <v>5</v>
      </c>
      <c r="B196" s="224" t="s">
        <v>23</v>
      </c>
      <c r="C196" s="350">
        <f ca="1">D308</f>
        <v>5.9857519444887322</v>
      </c>
      <c r="D196" s="325"/>
      <c r="E196" s="325"/>
      <c r="F196" s="325"/>
      <c r="H196" s="325"/>
      <c r="I196" s="325"/>
      <c r="J196" s="325"/>
      <c r="K196" s="325"/>
      <c r="L196" s="325"/>
      <c r="M196" s="325"/>
      <c r="N196" s="325"/>
      <c r="O196" s="325"/>
    </row>
    <row r="197" spans="1:15" s="334" customFormat="1" ht="18" customHeight="1">
      <c r="A197" s="224" t="str">
        <f ca="1">OFFSET($C$347,0,ROW(A1)-1)</f>
        <v>ST2</v>
      </c>
      <c r="B197" s="224" t="s">
        <v>23</v>
      </c>
      <c r="C197" s="350">
        <f ca="1">OFFSET($C$354,0,ROW(A1)-1)</f>
        <v>0</v>
      </c>
      <c r="D197" s="325"/>
      <c r="E197" s="325"/>
      <c r="F197" s="325"/>
      <c r="H197" s="325"/>
      <c r="I197" s="325"/>
      <c r="J197" s="325"/>
      <c r="K197" s="325"/>
      <c r="L197" s="325"/>
      <c r="M197" s="325"/>
      <c r="N197" s="325"/>
      <c r="O197" s="325"/>
    </row>
    <row r="198" spans="1:15" s="334" customFormat="1" ht="18" customHeight="1">
      <c r="A198" s="224" t="str">
        <f ca="1">OFFSET($C$347,0,ROW(A2)-1)</f>
        <v>ST5</v>
      </c>
      <c r="B198" s="224" t="s">
        <v>23</v>
      </c>
      <c r="C198" s="350">
        <f ca="1">OFFSET($C$354,0,ROW(A2)-1)</f>
        <v>0</v>
      </c>
      <c r="D198" s="325"/>
      <c r="E198" s="325"/>
      <c r="F198" s="325"/>
      <c r="H198" s="325"/>
      <c r="I198" s="325"/>
      <c r="J198" s="325"/>
      <c r="K198" s="325"/>
      <c r="L198" s="325"/>
      <c r="M198" s="325"/>
      <c r="N198" s="325"/>
      <c r="O198" s="325"/>
    </row>
    <row r="199" spans="1:15" s="334" customFormat="1" ht="18" customHeight="1">
      <c r="A199" s="224" t="str">
        <f ca="1">OFFSET($C$347,0,ROW(A3)-1)</f>
        <v>ST6</v>
      </c>
      <c r="B199" s="224" t="s">
        <v>23</v>
      </c>
      <c r="C199" s="350">
        <f ca="1">OFFSET($C$354,0,ROW(A3)-1)</f>
        <v>0</v>
      </c>
      <c r="D199" s="325"/>
      <c r="E199" s="325"/>
      <c r="F199" s="325"/>
      <c r="H199" s="325"/>
      <c r="I199" s="325"/>
      <c r="J199" s="325"/>
      <c r="K199" s="325"/>
      <c r="L199" s="325"/>
      <c r="M199" s="325"/>
      <c r="N199" s="325"/>
      <c r="O199" s="325"/>
    </row>
    <row r="200" spans="1:15" s="334" customFormat="1" ht="18" customHeight="1">
      <c r="A200" s="224" t="str">
        <f ca="1">OFFSET($C$347,0,ROW(A4)-1)</f>
        <v>ST7</v>
      </c>
      <c r="B200" s="224" t="s">
        <v>23</v>
      </c>
      <c r="C200" s="350">
        <f ca="1">OFFSET($C$354,0,ROW(A4)-1)</f>
        <v>0</v>
      </c>
      <c r="D200" s="325"/>
      <c r="E200" s="325"/>
      <c r="F200" s="325"/>
      <c r="H200" s="325"/>
      <c r="I200" s="325"/>
      <c r="J200" s="325"/>
      <c r="K200" s="325"/>
      <c r="L200" s="325"/>
      <c r="M200" s="325"/>
      <c r="N200" s="325"/>
      <c r="O200" s="325"/>
    </row>
    <row r="201" spans="1:15" s="334" customFormat="1" ht="18" customHeight="1">
      <c r="A201" s="224" t="str">
        <f ca="1">OFFSET($C$347,0,ROW(A5)-1)</f>
        <v>HP ST5</v>
      </c>
      <c r="B201" s="224" t="s">
        <v>23</v>
      </c>
      <c r="C201" s="350">
        <f ca="1">OFFSET($C$354,0,ROW(A5)-1)</f>
        <v>2.0583</v>
      </c>
      <c r="D201" s="325"/>
      <c r="E201" s="325"/>
      <c r="F201" s="325"/>
      <c r="H201" s="325"/>
      <c r="I201" s="325"/>
      <c r="J201" s="325"/>
      <c r="K201" s="325"/>
      <c r="L201" s="325"/>
      <c r="M201" s="325"/>
      <c r="N201" s="325"/>
      <c r="O201" s="325"/>
    </row>
    <row r="202" spans="1:15" s="334" customFormat="1" ht="18" customHeight="1">
      <c r="A202" s="224" t="s">
        <v>488</v>
      </c>
      <c r="B202" s="224" t="s">
        <v>23</v>
      </c>
      <c r="C202" s="350">
        <f ca="1">C623</f>
        <v>2</v>
      </c>
      <c r="D202" s="325"/>
      <c r="E202" s="325"/>
      <c r="F202" s="325"/>
      <c r="H202" s="325"/>
      <c r="I202" s="325"/>
      <c r="J202" s="325"/>
      <c r="K202" s="325"/>
      <c r="L202" s="325"/>
      <c r="M202" s="325"/>
      <c r="N202" s="325"/>
      <c r="O202" s="325"/>
    </row>
    <row r="203" spans="1:15" s="334" customFormat="1" ht="18" customHeight="1">
      <c r="A203" s="224" t="str">
        <f>Operator!A41</f>
        <v>Lenzing</v>
      </c>
      <c r="B203" s="224" t="s">
        <v>23</v>
      </c>
      <c r="D203" s="350">
        <f>oprelectLENZ</f>
        <v>7.3210433851836889</v>
      </c>
      <c r="E203" s="325"/>
      <c r="F203" s="325"/>
      <c r="H203" s="325"/>
      <c r="I203" s="325"/>
      <c r="J203" s="325"/>
      <c r="K203" s="325"/>
      <c r="L203" s="325"/>
      <c r="M203" s="325"/>
      <c r="N203" s="325"/>
      <c r="O203" s="325"/>
    </row>
    <row r="204" spans="1:15" s="334" customFormat="1" ht="18" customHeight="1">
      <c r="A204" s="224" t="str">
        <f>Operator!A42</f>
        <v>Bluestar</v>
      </c>
      <c r="B204" s="224" t="s">
        <v>23</v>
      </c>
      <c r="C204" s="350"/>
      <c r="D204" s="340">
        <f>oprELECTblue</f>
        <v>2.5</v>
      </c>
      <c r="E204" s="325"/>
      <c r="F204" s="325"/>
      <c r="H204" s="325"/>
      <c r="I204" s="325"/>
      <c r="J204" s="325"/>
      <c r="K204" s="325"/>
      <c r="L204" s="325"/>
      <c r="M204" s="325"/>
      <c r="N204" s="325"/>
      <c r="O204" s="325"/>
    </row>
    <row r="205" spans="1:15" s="334" customFormat="1" ht="18" customHeight="1">
      <c r="A205" s="224" t="str">
        <f>Operator!A43</f>
        <v>TAL</v>
      </c>
      <c r="B205" s="224" t="s">
        <v>23</v>
      </c>
      <c r="C205" s="350"/>
      <c r="D205" s="340">
        <f>oprELECTtal</f>
        <v>1.45684472851427</v>
      </c>
      <c r="E205" s="325"/>
      <c r="F205" s="325"/>
      <c r="H205" s="325"/>
      <c r="I205" s="325"/>
      <c r="J205" s="325"/>
      <c r="K205" s="325"/>
      <c r="L205" s="325"/>
      <c r="M205" s="325"/>
      <c r="N205" s="325"/>
      <c r="O205" s="325"/>
    </row>
    <row r="206" spans="1:15" s="334" customFormat="1" ht="18" customHeight="1">
      <c r="A206" s="224" t="str">
        <f>A613</f>
        <v>Total powerhouse parasitics</v>
      </c>
      <c r="B206" s="224" t="s">
        <v>23</v>
      </c>
      <c r="D206" s="505">
        <f>C613/1000</f>
        <v>0.943220481</v>
      </c>
      <c r="E206" s="325"/>
      <c r="F206" s="325"/>
      <c r="H206" s="325"/>
      <c r="I206" s="325"/>
      <c r="J206" s="325"/>
      <c r="K206" s="325"/>
      <c r="L206" s="325"/>
      <c r="M206" s="325"/>
      <c r="N206" s="325"/>
      <c r="O206" s="325"/>
    </row>
    <row r="207" spans="1:15" s="334" customFormat="1" ht="18" customHeight="1">
      <c r="A207" s="224" t="s">
        <v>37</v>
      </c>
      <c r="B207" s="224" t="s">
        <v>23</v>
      </c>
      <c r="C207" s="350">
        <f>PFD!G76</f>
        <v>0</v>
      </c>
      <c r="D207" s="325"/>
      <c r="E207" s="325"/>
      <c r="F207" s="325"/>
      <c r="H207" s="325"/>
      <c r="I207" s="325"/>
      <c r="J207" s="325"/>
      <c r="K207" s="325"/>
      <c r="L207" s="325"/>
      <c r="M207" s="325"/>
      <c r="N207" s="325"/>
      <c r="O207" s="325"/>
    </row>
    <row r="208" spans="1:15" s="334" customFormat="1" ht="18" customHeight="1">
      <c r="A208" s="224" t="s">
        <v>38</v>
      </c>
      <c r="B208" s="224" t="s">
        <v>23</v>
      </c>
      <c r="D208" s="350">
        <f>PFD!G77</f>
        <v>4.1237348999999996</v>
      </c>
      <c r="E208" s="325"/>
      <c r="F208" s="325"/>
      <c r="H208" s="325"/>
      <c r="I208" s="325"/>
      <c r="J208" s="325"/>
      <c r="K208" s="325"/>
      <c r="L208" s="325"/>
      <c r="M208" s="325"/>
      <c r="N208" s="325"/>
      <c r="O208" s="325"/>
    </row>
    <row r="209" spans="1:15" s="334" customFormat="1" ht="18" customHeight="1">
      <c r="A209" s="224" t="s">
        <v>22</v>
      </c>
      <c r="B209" s="224" t="s">
        <v>23</v>
      </c>
      <c r="C209" s="350">
        <f ca="1">SUM(C195:C208)</f>
        <v>16.344843465003187</v>
      </c>
      <c r="D209" s="350">
        <f>SUM(D195:D208)</f>
        <v>16.344843494697958</v>
      </c>
      <c r="E209" s="325"/>
      <c r="F209" s="325"/>
      <c r="H209" s="325"/>
      <c r="I209" s="325"/>
      <c r="J209" s="325"/>
      <c r="K209" s="325"/>
      <c r="L209" s="325"/>
      <c r="M209" s="325"/>
      <c r="N209" s="325"/>
      <c r="O209" s="325"/>
    </row>
    <row r="210" spans="1:15" s="291" customFormat="1" ht="18" customHeight="1">
      <c r="A210" s="70"/>
      <c r="B210" s="229"/>
      <c r="C210" s="229"/>
      <c r="D210" s="229"/>
      <c r="E210" s="229"/>
      <c r="F210" s="229"/>
      <c r="H210" s="229"/>
      <c r="I210" s="229"/>
      <c r="J210" s="229"/>
      <c r="K210" s="229"/>
      <c r="L210" s="229"/>
      <c r="M210" s="229"/>
      <c r="N210" s="229"/>
      <c r="O210" s="229"/>
    </row>
    <row r="211" spans="1:15" s="229" customFormat="1" ht="18" customHeight="1" thickBot="1">
      <c r="A211" s="375" t="s">
        <v>240</v>
      </c>
      <c r="B211" s="391"/>
      <c r="C211" s="391"/>
      <c r="D211" s="391"/>
      <c r="E211" s="391"/>
    </row>
    <row r="212" spans="1:15" s="229" customFormat="1" ht="18" customHeight="1" thickTop="1" thickBot="1">
      <c r="A212" s="372" t="s">
        <v>210</v>
      </c>
      <c r="B212" s="394"/>
      <c r="C212" s="394"/>
      <c r="D212" s="394"/>
      <c r="E212" s="394"/>
    </row>
    <row r="213" spans="1:15" s="229" customFormat="1" ht="18" customHeight="1">
      <c r="C213" s="309" t="s">
        <v>370</v>
      </c>
      <c r="D213" s="309" t="s">
        <v>163</v>
      </c>
      <c r="E213" s="309" t="s">
        <v>209</v>
      </c>
      <c r="F213" s="309" t="s">
        <v>794</v>
      </c>
    </row>
    <row r="214" spans="1:15" s="229" customFormat="1" ht="18" customHeight="1">
      <c r="A214" s="291" t="s">
        <v>211</v>
      </c>
      <c r="B214" s="299" t="s">
        <v>273</v>
      </c>
      <c r="C214" s="81" t="e">
        <f ca="1">SUM(C224:C232)</f>
        <v>#NAME?</v>
      </c>
      <c r="D214" s="81" t="e">
        <f ca="1">SUM(D224:D232)</f>
        <v>#NAME?</v>
      </c>
      <c r="E214" s="232" t="e">
        <f ca="1">C214-D214</f>
        <v>#NAME?</v>
      </c>
      <c r="F214" s="83">
        <f t="shared" ref="F214:F221" ca="1" si="8">IFERROR(ABS(C214-D214)/C214,0)</f>
        <v>0</v>
      </c>
    </row>
    <row r="215" spans="1:15" s="229" customFormat="1" ht="18" customHeight="1">
      <c r="A215" s="198" t="s">
        <v>562</v>
      </c>
      <c r="B215" s="229" t="s">
        <v>8</v>
      </c>
      <c r="C215" s="81">
        <f ca="1">SUM(C236:C242)</f>
        <v>16344.843465003187</v>
      </c>
      <c r="D215" s="81">
        <f>SUM(D236:D242)</f>
        <v>16344.843494697958</v>
      </c>
      <c r="E215" s="232">
        <f t="shared" ref="E215:E218" ca="1" si="9">C215-D215</f>
        <v>-2.9694771001231857E-5</v>
      </c>
      <c r="F215" s="83">
        <f t="shared" ca="1" si="8"/>
        <v>1.8167669249823597E-9</v>
      </c>
    </row>
    <row r="216" spans="1:15" s="229" customFormat="1" ht="18" customHeight="1">
      <c r="A216" s="61" t="s">
        <v>213</v>
      </c>
      <c r="B216" s="299" t="s">
        <v>273</v>
      </c>
      <c r="C216" s="81">
        <f>SUM(C247:C251)</f>
        <v>0</v>
      </c>
      <c r="D216" s="81">
        <f>SUM(D247:D251)+C68</f>
        <v>0</v>
      </c>
      <c r="E216" s="232">
        <f t="shared" si="9"/>
        <v>0</v>
      </c>
      <c r="F216" s="83">
        <f t="shared" si="8"/>
        <v>0</v>
      </c>
    </row>
    <row r="217" spans="1:15" s="229" customFormat="1" ht="18" customHeight="1">
      <c r="A217" s="291" t="s">
        <v>214</v>
      </c>
      <c r="B217" s="299" t="s">
        <v>273</v>
      </c>
      <c r="C217" s="81" t="e">
        <f ca="1">SUM(C256:C265)</f>
        <v>#NAME?</v>
      </c>
      <c r="D217" s="81" t="e">
        <f ca="1">SUM(D256:D265)</f>
        <v>#NAME?</v>
      </c>
      <c r="E217" s="232" t="e">
        <f t="shared" ca="1" si="9"/>
        <v>#NAME?</v>
      </c>
      <c r="F217" s="83">
        <f t="shared" ca="1" si="8"/>
        <v>0</v>
      </c>
    </row>
    <row r="218" spans="1:15" s="229" customFormat="1" ht="18" customHeight="1">
      <c r="A218" s="61" t="s">
        <v>215</v>
      </c>
      <c r="B218" s="299" t="s">
        <v>273</v>
      </c>
      <c r="C218" s="81" t="e">
        <f ca="1">SUM(C269:C278)</f>
        <v>#NAME?</v>
      </c>
      <c r="D218" s="81" t="e">
        <f ca="1">SUM(D269:D277)</f>
        <v>#NAME?</v>
      </c>
      <c r="E218" s="232" t="e">
        <f t="shared" ca="1" si="9"/>
        <v>#NAME?</v>
      </c>
      <c r="F218" s="83">
        <f t="shared" ca="1" si="8"/>
        <v>0</v>
      </c>
    </row>
    <row r="219" spans="1:15" s="229" customFormat="1" ht="18" customHeight="1">
      <c r="A219" s="61" t="s">
        <v>216</v>
      </c>
      <c r="B219" s="299" t="s">
        <v>273</v>
      </c>
      <c r="C219" s="81" t="e">
        <f ca="1">SUM(C282:C294)</f>
        <v>#NAME?</v>
      </c>
      <c r="D219" s="81" t="e">
        <f ca="1">SUM(D283:D294)</f>
        <v>#NAME?</v>
      </c>
      <c r="E219" s="232" t="e">
        <f ca="1">C219-D219</f>
        <v>#NAME?</v>
      </c>
      <c r="F219" s="83">
        <f t="shared" ca="1" si="8"/>
        <v>0</v>
      </c>
    </row>
    <row r="220" spans="1:15" s="229" customFormat="1" ht="18" customHeight="1">
      <c r="A220" s="60" t="s">
        <v>525</v>
      </c>
      <c r="B220" s="299" t="s">
        <v>273</v>
      </c>
      <c r="C220" s="300" t="e">
        <f t="shared" ref="C220:E221" ca="1" si="10">C541</f>
        <v>#NAME?</v>
      </c>
      <c r="D220" s="300" t="e">
        <f t="shared" ca="1" si="10"/>
        <v>#NAME?</v>
      </c>
      <c r="E220" s="232" t="e">
        <f t="shared" ca="1" si="10"/>
        <v>#NAME?</v>
      </c>
      <c r="F220" s="83">
        <f t="shared" ca="1" si="8"/>
        <v>0</v>
      </c>
    </row>
    <row r="221" spans="1:15" s="229" customFormat="1" ht="18" customHeight="1">
      <c r="A221" s="60" t="s">
        <v>526</v>
      </c>
      <c r="B221" s="229" t="s">
        <v>8</v>
      </c>
      <c r="C221" s="300" t="e">
        <f t="shared" ca="1" si="10"/>
        <v>#NAME?</v>
      </c>
      <c r="D221" s="300" t="e">
        <f t="shared" ca="1" si="10"/>
        <v>#NAME?</v>
      </c>
      <c r="E221" s="232" t="e">
        <f t="shared" ca="1" si="10"/>
        <v>#NAME?</v>
      </c>
      <c r="F221" s="83">
        <f t="shared" ca="1" si="8"/>
        <v>0</v>
      </c>
    </row>
    <row r="222" spans="1:15" s="229" customFormat="1" ht="18" customHeight="1" thickBot="1">
      <c r="A222" s="372" t="s">
        <v>159</v>
      </c>
      <c r="B222" s="394"/>
      <c r="C222" s="394"/>
      <c r="D222" s="394"/>
      <c r="E222" s="394"/>
    </row>
    <row r="223" spans="1:15" s="229" customFormat="1" ht="18" customHeight="1">
      <c r="B223" s="291"/>
      <c r="C223" s="45" t="s">
        <v>162</v>
      </c>
      <c r="D223" s="45" t="s">
        <v>163</v>
      </c>
      <c r="E223" s="325"/>
      <c r="F223" s="325"/>
    </row>
    <row r="224" spans="1:15" s="229" customFormat="1" ht="18" customHeight="1">
      <c r="A224" s="291" t="s">
        <v>160</v>
      </c>
      <c r="B224" s="303" t="s">
        <v>273</v>
      </c>
      <c r="C224" s="107">
        <f>SUM(C516:C519)</f>
        <v>42.860118475208353</v>
      </c>
      <c r="D224" s="107"/>
    </row>
    <row r="225" spans="1:5" s="229" customFormat="1" ht="18" customHeight="1">
      <c r="A225" s="291" t="s">
        <v>49</v>
      </c>
      <c r="B225" s="303" t="s">
        <v>273</v>
      </c>
      <c r="C225" s="107" t="e">
        <f ca="1">PFD!Q35-C224</f>
        <v>#NAME?</v>
      </c>
      <c r="D225" s="107"/>
    </row>
    <row r="226" spans="1:5" s="229" customFormat="1" ht="18" customHeight="1">
      <c r="A226" s="229" t="s">
        <v>365</v>
      </c>
      <c r="B226" s="291"/>
      <c r="C226" s="107"/>
      <c r="D226" s="107">
        <f ca="1">PFD!I10+PFD!O10</f>
        <v>2</v>
      </c>
    </row>
    <row r="227" spans="1:5" s="229" customFormat="1" ht="18" customHeight="1">
      <c r="A227" s="229" t="s">
        <v>405</v>
      </c>
      <c r="B227" s="222" t="s">
        <v>273</v>
      </c>
      <c r="C227" s="107"/>
      <c r="D227" s="107">
        <f>PFD!E29</f>
        <v>0</v>
      </c>
    </row>
    <row r="228" spans="1:5" s="229" customFormat="1" ht="18" customHeight="1">
      <c r="A228" s="291" t="s">
        <v>161</v>
      </c>
      <c r="B228" s="299" t="s">
        <v>273</v>
      </c>
      <c r="C228" s="107"/>
      <c r="D228" s="107">
        <f>PFD!U22+PFD!U28</f>
        <v>53.455413197916684</v>
      </c>
    </row>
    <row r="229" spans="1:5" s="229" customFormat="1" ht="18" customHeight="1">
      <c r="A229" s="291" t="s">
        <v>164</v>
      </c>
      <c r="B229" s="299" t="s">
        <v>273</v>
      </c>
      <c r="C229" s="107"/>
      <c r="D229" s="107" t="e">
        <f ca="1">PFD!A29</f>
        <v>#NAME?</v>
      </c>
    </row>
    <row r="230" spans="1:5" s="229" customFormat="1" ht="18" customHeight="1">
      <c r="A230" s="291" t="s">
        <v>0</v>
      </c>
      <c r="B230" s="299" t="s">
        <v>273</v>
      </c>
      <c r="C230" s="107"/>
      <c r="D230" s="107" t="e">
        <f ca="1">C529</f>
        <v>#NAME?</v>
      </c>
    </row>
    <row r="231" spans="1:5" s="229" customFormat="1" ht="18" customHeight="1">
      <c r="A231" s="229" t="s">
        <v>165</v>
      </c>
      <c r="B231" s="299" t="s">
        <v>273</v>
      </c>
      <c r="C231" s="107"/>
      <c r="D231" s="107" t="e">
        <f ca="1">J538*$C$105</f>
        <v>#NAME?</v>
      </c>
    </row>
    <row r="232" spans="1:5" s="229" customFormat="1" ht="18" customHeight="1">
      <c r="A232" s="291" t="s">
        <v>200</v>
      </c>
      <c r="B232" s="182" t="s">
        <v>273</v>
      </c>
      <c r="C232" s="107"/>
      <c r="D232" s="107">
        <f>SUM(C68:C71)</f>
        <v>3</v>
      </c>
    </row>
    <row r="233" spans="1:5" s="229" customFormat="1" ht="18" customHeight="1">
      <c r="A233" s="291"/>
      <c r="C233" s="309" t="s">
        <v>209</v>
      </c>
      <c r="D233" s="30" t="e">
        <f ca="1">SUM(C224:C232)-SUM(D224:D232)</f>
        <v>#NAME?</v>
      </c>
    </row>
    <row r="234" spans="1:5" s="229" customFormat="1" ht="18" customHeight="1" thickBot="1">
      <c r="A234" s="372" t="s">
        <v>406</v>
      </c>
      <c r="B234" s="372"/>
      <c r="C234" s="372"/>
      <c r="D234" s="394"/>
      <c r="E234" s="394"/>
    </row>
    <row r="235" spans="1:5" s="229" customFormat="1" ht="18" customHeight="1">
      <c r="C235" s="45" t="s">
        <v>162</v>
      </c>
      <c r="D235" s="45" t="s">
        <v>163</v>
      </c>
    </row>
    <row r="236" spans="1:5" s="229" customFormat="1" ht="18" customHeight="1">
      <c r="A236" s="229" t="s">
        <v>166</v>
      </c>
      <c r="B236" s="229" t="s">
        <v>9</v>
      </c>
      <c r="C236" s="300">
        <f ca="1">PFD!Z14*1000</f>
        <v>16344.843465003187</v>
      </c>
      <c r="D236" s="300"/>
    </row>
    <row r="237" spans="1:5" s="229" customFormat="1" ht="18" customHeight="1">
      <c r="A237" s="229" t="s">
        <v>37</v>
      </c>
      <c r="B237" s="229" t="s">
        <v>9</v>
      </c>
      <c r="C237" s="300">
        <f>PFD!Z16*1000</f>
        <v>0</v>
      </c>
      <c r="D237" s="300"/>
    </row>
    <row r="238" spans="1:5" s="229" customFormat="1" ht="18" customHeight="1">
      <c r="A238" s="70" t="s">
        <v>212</v>
      </c>
      <c r="B238" s="229" t="s">
        <v>9</v>
      </c>
      <c r="C238" s="300"/>
      <c r="D238" s="300">
        <f>PFD!Z13*1000</f>
        <v>943.22048099999995</v>
      </c>
    </row>
    <row r="239" spans="1:5" s="229" customFormat="1" ht="18" customHeight="1">
      <c r="A239" s="229" t="s">
        <v>101</v>
      </c>
      <c r="B239" s="229" t="s">
        <v>9</v>
      </c>
      <c r="C239" s="300"/>
      <c r="D239" s="300">
        <f>electLENZ*1000</f>
        <v>7321.0433851836888</v>
      </c>
    </row>
    <row r="240" spans="1:5" s="229" customFormat="1" ht="18" customHeight="1">
      <c r="A240" s="229" t="s">
        <v>102</v>
      </c>
      <c r="B240" s="229" t="s">
        <v>9</v>
      </c>
      <c r="C240" s="300"/>
      <c r="D240" s="300">
        <f>electBLUE*1000</f>
        <v>2500</v>
      </c>
    </row>
    <row r="241" spans="1:5" s="229" customFormat="1" ht="18" customHeight="1">
      <c r="A241" s="229" t="s">
        <v>310</v>
      </c>
      <c r="B241" s="229" t="s">
        <v>9</v>
      </c>
      <c r="C241" s="300"/>
      <c r="D241" s="300">
        <f>Operator!C43*1000</f>
        <v>1456.8447285142699</v>
      </c>
    </row>
    <row r="242" spans="1:5" s="229" customFormat="1" ht="18" customHeight="1">
      <c r="A242" s="229" t="s">
        <v>38</v>
      </c>
      <c r="B242" s="229" t="s">
        <v>9</v>
      </c>
      <c r="C242" s="300"/>
      <c r="D242" s="300">
        <f>PFD!Z17*1000</f>
        <v>4123.7348999999995</v>
      </c>
    </row>
    <row r="243" spans="1:5" s="229" customFormat="1" ht="18" customHeight="1">
      <c r="A243" s="229" t="s">
        <v>371</v>
      </c>
      <c r="B243" s="229" t="s">
        <v>9</v>
      </c>
      <c r="C243" s="300"/>
      <c r="D243" s="300">
        <f>SUM(D238:D242)</f>
        <v>16344.843494697958</v>
      </c>
    </row>
    <row r="244" spans="1:5" s="229" customFormat="1" ht="18" customHeight="1">
      <c r="C244" s="395" t="s">
        <v>209</v>
      </c>
      <c r="D244" s="328">
        <f ca="1">SUM(C236:C242)-SUM(D236:D242)</f>
        <v>-2.9694771001231857E-5</v>
      </c>
    </row>
    <row r="245" spans="1:5" s="229" customFormat="1" ht="18" customHeight="1" thickBot="1">
      <c r="A245" s="372" t="s">
        <v>424</v>
      </c>
      <c r="B245" s="372"/>
      <c r="C245" s="372"/>
      <c r="D245" s="394"/>
      <c r="E245" s="394"/>
    </row>
    <row r="246" spans="1:5" s="229" customFormat="1" ht="18" customHeight="1">
      <c r="C246" s="309" t="s">
        <v>162</v>
      </c>
      <c r="D246" s="309" t="s">
        <v>163</v>
      </c>
    </row>
    <row r="247" spans="1:5" s="229" customFormat="1" ht="18" customHeight="1">
      <c r="A247" s="229" t="str">
        <f>PFD!C40</f>
        <v>EHP 1 steam gen.</v>
      </c>
      <c r="B247" s="298" t="s">
        <v>273</v>
      </c>
      <c r="C247" s="104">
        <f>PFD!A5</f>
        <v>0</v>
      </c>
      <c r="D247" s="104"/>
    </row>
    <row r="248" spans="1:5" s="229" customFormat="1" ht="18" customHeight="1">
      <c r="A248" s="229" t="str">
        <f>PFD!C41</f>
        <v>EHP 2 steam gen.</v>
      </c>
      <c r="B248" s="298" t="s">
        <v>273</v>
      </c>
      <c r="C248" s="104">
        <f>PFD!B5</f>
        <v>0</v>
      </c>
      <c r="D248" s="104"/>
    </row>
    <row r="249" spans="1:5" s="229" customFormat="1" ht="18" customHeight="1">
      <c r="A249" s="229" t="str">
        <f>PFD!C42</f>
        <v>EHP 3 steam gen.</v>
      </c>
      <c r="B249" s="298" t="s">
        <v>273</v>
      </c>
      <c r="C249" s="104">
        <f>PFD!C5</f>
        <v>0</v>
      </c>
      <c r="D249" s="104"/>
    </row>
    <row r="250" spans="1:5" s="229" customFormat="1" ht="18" customHeight="1">
      <c r="A250" s="229" t="str">
        <f>PFD!C52</f>
        <v>ST5 EHP inlet flow</v>
      </c>
      <c r="B250" s="298" t="s">
        <v>273</v>
      </c>
      <c r="C250" s="104"/>
      <c r="D250" s="104">
        <f>PFD!A7</f>
        <v>0</v>
      </c>
    </row>
    <row r="251" spans="1:5" s="229" customFormat="1" ht="18" customHeight="1">
      <c r="A251" s="229" t="s">
        <v>201</v>
      </c>
      <c r="B251" s="298" t="s">
        <v>273</v>
      </c>
      <c r="C251" s="104"/>
      <c r="D251" s="104">
        <f>PFD!D7</f>
        <v>0</v>
      </c>
    </row>
    <row r="252" spans="1:5" s="229" customFormat="1" ht="18" customHeight="1">
      <c r="A252" s="229" t="str">
        <f>A68</f>
        <v>EHP steam losses</v>
      </c>
      <c r="B252" s="298" t="s">
        <v>273</v>
      </c>
      <c r="D252" s="229">
        <f>C68</f>
        <v>0</v>
      </c>
    </row>
    <row r="253" spans="1:5" s="229" customFormat="1" ht="18" customHeight="1">
      <c r="C253" s="309" t="s">
        <v>209</v>
      </c>
      <c r="D253" s="104">
        <f>SUM(C247:C252)-SUM(D247:D252)</f>
        <v>0</v>
      </c>
    </row>
    <row r="254" spans="1:5" s="229" customFormat="1" ht="18" customHeight="1" thickBot="1">
      <c r="A254" s="372" t="s">
        <v>214</v>
      </c>
      <c r="B254" s="372"/>
      <c r="C254" s="372"/>
      <c r="D254" s="394"/>
      <c r="E254" s="394"/>
    </row>
    <row r="255" spans="1:5" s="229" customFormat="1" ht="18" customHeight="1">
      <c r="A255" s="42"/>
      <c r="C255" s="309" t="s">
        <v>162</v>
      </c>
      <c r="D255" s="309" t="s">
        <v>163</v>
      </c>
    </row>
    <row r="256" spans="1:5" s="229" customFormat="1" ht="18" customHeight="1">
      <c r="A256" s="229" t="str">
        <f>PFD!C45</f>
        <v>WHB-1 supp. firing.</v>
      </c>
      <c r="B256" s="298" t="s">
        <v>273</v>
      </c>
      <c r="C256" s="104">
        <f ca="1">PFD!L12</f>
        <v>31.953319499669131</v>
      </c>
      <c r="D256" s="104"/>
    </row>
    <row r="257" spans="1:5" s="229" customFormat="1" ht="18" customHeight="1">
      <c r="A257" s="229" t="str">
        <f>PFD!C46</f>
        <v>WHB-2 supp. firing.</v>
      </c>
      <c r="B257" s="298" t="s">
        <v>273</v>
      </c>
      <c r="C257" s="104">
        <f ca="1">PFD!R12</f>
        <v>11.79081249966913</v>
      </c>
      <c r="D257" s="104"/>
    </row>
    <row r="258" spans="1:5" s="325" customFormat="1" ht="18" customHeight="1">
      <c r="A258" s="325" t="s">
        <v>966</v>
      </c>
      <c r="B258" s="298" t="s">
        <v>273</v>
      </c>
      <c r="C258" s="104">
        <f>PFD!F12</f>
        <v>0</v>
      </c>
      <c r="D258" s="104"/>
    </row>
    <row r="259" spans="1:5" s="229" customFormat="1" ht="18" customHeight="1">
      <c r="A259" s="229" t="str">
        <f>A251</f>
        <v>EHP - HP PRDS</v>
      </c>
      <c r="B259" s="298" t="s">
        <v>273</v>
      </c>
      <c r="C259" s="104" t="e">
        <f ca="1">PFD!D12</f>
        <v>#NAME?</v>
      </c>
      <c r="D259" s="104"/>
    </row>
    <row r="260" spans="1:5" s="229" customFormat="1" ht="18" customHeight="1">
      <c r="A260" s="70" t="s">
        <v>414</v>
      </c>
      <c r="B260" s="298" t="s">
        <v>273</v>
      </c>
      <c r="C260" s="104"/>
      <c r="D260" s="104">
        <f>PFD!C15</f>
        <v>0</v>
      </c>
    </row>
    <row r="261" spans="1:5" s="229" customFormat="1" ht="18" customHeight="1">
      <c r="A261" s="229" t="str">
        <f>PFD!C54</f>
        <v>ST6 HP inlet flow</v>
      </c>
      <c r="B261" s="298" t="s">
        <v>273</v>
      </c>
      <c r="C261" s="104"/>
      <c r="D261" s="104">
        <f>PFD!G15</f>
        <v>0</v>
      </c>
    </row>
    <row r="262" spans="1:5" s="229" customFormat="1" ht="18" customHeight="1">
      <c r="A262" s="229" t="str">
        <f>PFD!C55</f>
        <v>ST7 HP inlet flow</v>
      </c>
      <c r="B262" s="298" t="s">
        <v>273</v>
      </c>
      <c r="C262" s="104"/>
      <c r="D262" s="104">
        <f>PFD!I15</f>
        <v>0</v>
      </c>
    </row>
    <row r="263" spans="1:5" s="325" customFormat="1" ht="18" customHeight="1">
      <c r="A263" s="325" t="s">
        <v>741</v>
      </c>
      <c r="B263" s="298" t="s">
        <v>273</v>
      </c>
      <c r="C263" s="104"/>
      <c r="D263" s="104">
        <f>PFD!K15</f>
        <v>22</v>
      </c>
    </row>
    <row r="264" spans="1:5" s="229" customFormat="1" ht="18" customHeight="1">
      <c r="A264" s="229" t="s">
        <v>234</v>
      </c>
      <c r="B264" s="298" t="s">
        <v>273</v>
      </c>
      <c r="C264" s="104"/>
      <c r="D264" s="104">
        <f>C69</f>
        <v>1.7</v>
      </c>
    </row>
    <row r="265" spans="1:5" s="229" customFormat="1" ht="18" customHeight="1">
      <c r="A265" s="229" t="s">
        <v>202</v>
      </c>
      <c r="B265" s="298" t="s">
        <v>273</v>
      </c>
      <c r="C265" s="80"/>
      <c r="D265" s="104" t="e">
        <f ca="1">PFD!S15</f>
        <v>#NAME?</v>
      </c>
    </row>
    <row r="266" spans="1:5" s="229" customFormat="1" ht="18" customHeight="1">
      <c r="C266" s="309" t="s">
        <v>209</v>
      </c>
      <c r="D266" s="104" t="e">
        <f ca="1">SUM(C256:C265)-SUM(D256:D265)</f>
        <v>#NAME?</v>
      </c>
    </row>
    <row r="267" spans="1:5" s="325" customFormat="1" ht="18" customHeight="1" thickBot="1">
      <c r="A267" s="372" t="s">
        <v>215</v>
      </c>
      <c r="B267" s="372"/>
      <c r="C267" s="372"/>
      <c r="D267" s="394"/>
      <c r="E267" s="394"/>
    </row>
    <row r="268" spans="1:5" s="229" customFormat="1" ht="18" customHeight="1">
      <c r="A268" s="42"/>
      <c r="B268" s="299" t="s">
        <v>273</v>
      </c>
      <c r="C268" s="309" t="s">
        <v>162</v>
      </c>
      <c r="D268" s="309" t="s">
        <v>163</v>
      </c>
    </row>
    <row r="269" spans="1:5" s="229" customFormat="1" ht="18" customHeight="1">
      <c r="A269" s="229" t="str">
        <f>PFD!C53</f>
        <v>ST5 MP extract. flow</v>
      </c>
      <c r="B269" s="299" t="s">
        <v>273</v>
      </c>
      <c r="C269" s="104">
        <f>PFD!A20</f>
        <v>0</v>
      </c>
      <c r="D269" s="104"/>
    </row>
    <row r="270" spans="1:5" s="229" customFormat="1" ht="18" customHeight="1">
      <c r="A270" s="229" t="str">
        <f>PFD!C48</f>
        <v>MP-1 steam gen.</v>
      </c>
      <c r="B270" s="299" t="s">
        <v>273</v>
      </c>
      <c r="C270" s="104">
        <f>PFD!N19</f>
        <v>5.8800515000000004</v>
      </c>
      <c r="D270" s="104"/>
    </row>
    <row r="271" spans="1:5" s="229" customFormat="1" ht="18" customHeight="1">
      <c r="A271" s="229" t="str">
        <f>PFD!C49</f>
        <v>MP-2 steam gen</v>
      </c>
      <c r="B271" s="299" t="s">
        <v>273</v>
      </c>
      <c r="C271" s="104">
        <f>PFD!O19</f>
        <v>4</v>
      </c>
      <c r="D271" s="104"/>
    </row>
    <row r="272" spans="1:5" s="229" customFormat="1" ht="18" customHeight="1">
      <c r="A272" s="229" t="s">
        <v>202</v>
      </c>
      <c r="B272" s="299" t="s">
        <v>273</v>
      </c>
      <c r="C272" s="104" t="e">
        <f ca="1">PFD!S20</f>
        <v>#NAME?</v>
      </c>
      <c r="D272" s="104"/>
    </row>
    <row r="273" spans="1:5" s="229" customFormat="1" ht="18" customHeight="1">
      <c r="A273" s="229" t="s">
        <v>203</v>
      </c>
      <c r="B273" s="299" t="s">
        <v>273</v>
      </c>
      <c r="C273" s="104"/>
      <c r="D273" s="104" t="e">
        <f ca="1">PFD!S23</f>
        <v>#NAME?</v>
      </c>
    </row>
    <row r="274" spans="1:5" s="229" customFormat="1" ht="18" customHeight="1">
      <c r="A274" s="229" t="s">
        <v>175</v>
      </c>
      <c r="B274" s="299" t="s">
        <v>273</v>
      </c>
      <c r="C274" s="104"/>
      <c r="D274" s="104">
        <f>PFD!U23</f>
        <v>0.2</v>
      </c>
    </row>
    <row r="275" spans="1:5" s="229" customFormat="1" ht="18" customHeight="1">
      <c r="A275" s="229" t="s">
        <v>97</v>
      </c>
      <c r="B275" s="299" t="s">
        <v>273</v>
      </c>
      <c r="C275" s="104"/>
      <c r="D275" s="104">
        <f>MPLENZ</f>
        <v>14.352411416666678</v>
      </c>
    </row>
    <row r="276" spans="1:5" s="229" customFormat="1" ht="18" customHeight="1">
      <c r="A276" s="229" t="s">
        <v>99</v>
      </c>
      <c r="B276" s="299" t="s">
        <v>273</v>
      </c>
      <c r="C276" s="104"/>
      <c r="D276" s="104">
        <f>MPBLUE</f>
        <v>13.5</v>
      </c>
    </row>
    <row r="277" spans="1:5" s="229" customFormat="1" ht="18" customHeight="1">
      <c r="A277" s="229" t="s">
        <v>364</v>
      </c>
      <c r="B277" s="299" t="s">
        <v>273</v>
      </c>
      <c r="C277" s="104"/>
      <c r="D277" s="104">
        <f>PFD!U21</f>
        <v>0.72160416666666671</v>
      </c>
    </row>
    <row r="278" spans="1:5" s="325" customFormat="1" ht="18" customHeight="1">
      <c r="A278" s="229" t="s">
        <v>942</v>
      </c>
      <c r="B278" s="299" t="s">
        <v>273</v>
      </c>
      <c r="C278" s="104" t="e">
        <f ca="1">PFD!Q24</f>
        <v>#NAME?</v>
      </c>
      <c r="D278" s="104"/>
    </row>
    <row r="279" spans="1:5" s="229" customFormat="1" ht="18" customHeight="1">
      <c r="C279" s="309" t="s">
        <v>209</v>
      </c>
      <c r="D279" s="104" t="e">
        <f ca="1">SUM(C269:C278)-SUM(D269:D278)</f>
        <v>#NAME?</v>
      </c>
    </row>
    <row r="280" spans="1:5" s="325" customFormat="1" ht="18" customHeight="1" thickBot="1">
      <c r="A280" s="372" t="s">
        <v>216</v>
      </c>
      <c r="B280" s="372"/>
      <c r="C280" s="372"/>
      <c r="D280" s="394"/>
      <c r="E280" s="394"/>
    </row>
    <row r="281" spans="1:5" s="229" customFormat="1" ht="18" customHeight="1">
      <c r="C281" s="309" t="s">
        <v>162</v>
      </c>
      <c r="D281" s="309" t="s">
        <v>163</v>
      </c>
    </row>
    <row r="282" spans="1:5" s="229" customFormat="1" ht="18" customHeight="1">
      <c r="A282" s="229" t="s">
        <v>415</v>
      </c>
      <c r="B282" s="299" t="s">
        <v>273</v>
      </c>
      <c r="C282" s="79">
        <f>PFD!D26</f>
        <v>0</v>
      </c>
      <c r="D282" s="66"/>
    </row>
    <row r="283" spans="1:5" s="229" customFormat="1" ht="18" customHeight="1">
      <c r="A283" s="229" t="s">
        <v>204</v>
      </c>
      <c r="B283" s="299" t="s">
        <v>273</v>
      </c>
      <c r="C283" s="104">
        <f>PFD!B26</f>
        <v>0</v>
      </c>
      <c r="D283" s="104"/>
    </row>
    <row r="284" spans="1:5" s="229" customFormat="1" ht="18" customHeight="1">
      <c r="A284" s="229" t="s">
        <v>205</v>
      </c>
      <c r="B284" s="299" t="s">
        <v>273</v>
      </c>
      <c r="C284" s="104">
        <f>PFD!H26</f>
        <v>0</v>
      </c>
      <c r="D284" s="104"/>
    </row>
    <row r="285" spans="1:5" s="229" customFormat="1" ht="18" customHeight="1">
      <c r="A285" s="229" t="s">
        <v>206</v>
      </c>
      <c r="B285" s="299" t="s">
        <v>273</v>
      </c>
      <c r="C285" s="104">
        <f>PFD!J26</f>
        <v>0</v>
      </c>
      <c r="D285" s="104"/>
    </row>
    <row r="286" spans="1:5" s="325" customFormat="1" ht="18" customHeight="1">
      <c r="A286" s="325" t="s">
        <v>815</v>
      </c>
      <c r="B286" s="325" t="s">
        <v>273</v>
      </c>
      <c r="C286" s="104">
        <f>PFD!L26</f>
        <v>22</v>
      </c>
      <c r="D286" s="104"/>
    </row>
    <row r="287" spans="1:5" s="229" customFormat="1" ht="18" customHeight="1">
      <c r="A287" s="229" t="s">
        <v>203</v>
      </c>
      <c r="B287" s="299" t="s">
        <v>273</v>
      </c>
      <c r="C287" s="104" t="e">
        <f ca="1">PFD!S26</f>
        <v>#NAME?</v>
      </c>
      <c r="D287" s="104"/>
    </row>
    <row r="288" spans="1:5" s="325" customFormat="1" ht="18" customHeight="1">
      <c r="A288" s="325" t="s">
        <v>943</v>
      </c>
      <c r="B288" s="325" t="s">
        <v>273</v>
      </c>
      <c r="C288" s="104">
        <f>PFD!Q25</f>
        <v>0</v>
      </c>
      <c r="D288" s="104"/>
    </row>
    <row r="289" spans="1:10" s="229" customFormat="1" ht="18" customHeight="1">
      <c r="A289" s="229" t="s">
        <v>207</v>
      </c>
      <c r="B289" s="299" t="s">
        <v>273</v>
      </c>
      <c r="C289" s="104"/>
      <c r="D289" s="104">
        <f>PFD!U29</f>
        <v>1.1000000000000001</v>
      </c>
    </row>
    <row r="290" spans="1:10" s="229" customFormat="1" ht="18" customHeight="1">
      <c r="A290" s="229" t="s">
        <v>98</v>
      </c>
      <c r="B290" s="299" t="s">
        <v>273</v>
      </c>
      <c r="C290" s="104"/>
      <c r="D290" s="104">
        <f>LPLENZ</f>
        <v>19.881397614583346</v>
      </c>
    </row>
    <row r="291" spans="1:10" s="229" customFormat="1" ht="18" customHeight="1">
      <c r="A291" s="229" t="s">
        <v>100</v>
      </c>
      <c r="B291" s="299" t="s">
        <v>273</v>
      </c>
      <c r="C291" s="104"/>
      <c r="D291" s="104">
        <f>LPBLUE</f>
        <v>5</v>
      </c>
    </row>
    <row r="292" spans="1:10" s="325" customFormat="1" ht="18" customHeight="1">
      <c r="A292" s="325" t="s">
        <v>614</v>
      </c>
      <c r="B292" s="325" t="s">
        <v>273</v>
      </c>
      <c r="C292" s="104"/>
      <c r="D292" s="104">
        <f>PFD!U27</f>
        <v>0</v>
      </c>
    </row>
    <row r="293" spans="1:10" s="229" customFormat="1" ht="18" customHeight="1">
      <c r="A293" s="229" t="s">
        <v>208</v>
      </c>
      <c r="B293" s="299" t="s">
        <v>273</v>
      </c>
      <c r="C293" s="104"/>
      <c r="D293" s="104" t="e">
        <f ca="1">PFD!R30</f>
        <v>#NAME?</v>
      </c>
    </row>
    <row r="294" spans="1:10" s="229" customFormat="1" ht="18" customHeight="1">
      <c r="A294" s="229" t="s">
        <v>164</v>
      </c>
      <c r="B294" s="299" t="s">
        <v>273</v>
      </c>
      <c r="C294" s="104"/>
      <c r="D294" s="104" t="e">
        <f ca="1">PFD!A29</f>
        <v>#NAME?</v>
      </c>
    </row>
    <row r="295" spans="1:10" s="229" customFormat="1" ht="18" customHeight="1">
      <c r="C295" s="309" t="s">
        <v>209</v>
      </c>
      <c r="D295" s="105" t="e">
        <f ca="1">SUM(C282:C294)-SUM(D282:D294)</f>
        <v>#NAME?</v>
      </c>
    </row>
    <row r="296" spans="1:10" s="229" customFormat="1" ht="18" customHeight="1"/>
    <row r="297" spans="1:10" s="229" customFormat="1" ht="18" customHeight="1" thickBot="1">
      <c r="A297" s="445" t="s">
        <v>242</v>
      </c>
      <c r="B297" s="390"/>
      <c r="C297" s="390"/>
      <c r="D297" s="390"/>
      <c r="E297" s="390"/>
      <c r="F297" s="137"/>
      <c r="G297" s="137"/>
      <c r="H297" s="137"/>
      <c r="I297" s="137"/>
      <c r="J297" s="137"/>
    </row>
    <row r="298" spans="1:10" s="229" customFormat="1" ht="18" customHeight="1" thickTop="1">
      <c r="A298" s="407" t="s">
        <v>285</v>
      </c>
      <c r="B298" s="407"/>
      <c r="C298" s="407"/>
      <c r="D298" s="407"/>
      <c r="E298" s="407"/>
    </row>
    <row r="299" spans="1:10" s="229" customFormat="1" ht="18" customHeight="1">
      <c r="A299" s="291"/>
      <c r="B299" s="291"/>
      <c r="C299" s="45" t="s">
        <v>761</v>
      </c>
      <c r="D299" s="45" t="s">
        <v>762</v>
      </c>
      <c r="E299" s="45"/>
    </row>
    <row r="300" spans="1:10" s="229" customFormat="1" ht="18" customHeight="1">
      <c r="A300" s="291" t="s">
        <v>796</v>
      </c>
      <c r="B300" s="291" t="s">
        <v>3</v>
      </c>
      <c r="C300" s="103">
        <f>E25</f>
        <v>100</v>
      </c>
      <c r="D300" s="103">
        <f>E26</f>
        <v>100</v>
      </c>
      <c r="E300" s="103"/>
    </row>
    <row r="301" spans="1:10" s="229" customFormat="1" ht="18" customHeight="1">
      <c r="A301" s="291" t="s">
        <v>44</v>
      </c>
      <c r="B301" s="222" t="s">
        <v>83</v>
      </c>
      <c r="C301" s="103">
        <f>E43</f>
        <v>1</v>
      </c>
      <c r="D301" s="103">
        <f>E44</f>
        <v>1</v>
      </c>
      <c r="E301" s="103"/>
    </row>
    <row r="302" spans="1:10" s="229" customFormat="1" ht="18" customHeight="1">
      <c r="A302" s="291" t="s">
        <v>196</v>
      </c>
      <c r="B302" s="303" t="s">
        <v>273</v>
      </c>
      <c r="C302" s="102">
        <f>E27</f>
        <v>20.162507000000002</v>
      </c>
      <c r="D302" s="102">
        <f>E28</f>
        <v>0</v>
      </c>
      <c r="E302" s="102"/>
    </row>
    <row r="303" spans="1:10" s="229" customFormat="1" ht="18" customHeight="1">
      <c r="A303" s="291" t="s">
        <v>795</v>
      </c>
      <c r="B303" s="291" t="s">
        <v>83</v>
      </c>
      <c r="C303" s="81">
        <f>E45</f>
        <v>1</v>
      </c>
      <c r="D303" s="103">
        <f>E46</f>
        <v>0</v>
      </c>
      <c r="E303" s="103"/>
    </row>
    <row r="304" spans="1:10" s="325" customFormat="1" ht="18" customHeight="1">
      <c r="A304" s="334"/>
      <c r="B304" s="334"/>
      <c r="C304" s="81"/>
      <c r="D304" s="103"/>
      <c r="E304" s="103"/>
    </row>
    <row r="305" spans="1:10" s="229" customFormat="1" ht="18" customHeight="1">
      <c r="A305" s="408" t="s">
        <v>286</v>
      </c>
      <c r="B305" s="408"/>
      <c r="C305" s="408"/>
      <c r="D305" s="408"/>
      <c r="E305" s="408"/>
    </row>
    <row r="306" spans="1:10" s="229" customFormat="1" ht="18" customHeight="1">
      <c r="A306" s="80"/>
      <c r="C306" s="309" t="str">
        <f>C299</f>
        <v>GT &amp; WHB 1</v>
      </c>
      <c r="D306" s="309" t="str">
        <f>D299</f>
        <v>GT &amp; WHB 2</v>
      </c>
      <c r="E306" s="327"/>
    </row>
    <row r="307" spans="1:10" s="229" customFormat="1" ht="18" customHeight="1">
      <c r="A307" s="182" t="str">
        <f>A319</f>
        <v xml:space="preserve">Gross gas in </v>
      </c>
      <c r="B307" s="229" t="s">
        <v>327</v>
      </c>
      <c r="C307" s="85">
        <f ca="1">C323</f>
        <v>23299.533651698304</v>
      </c>
      <c r="D307" s="85">
        <f ca="1">D323</f>
        <v>22500.039849924346</v>
      </c>
      <c r="E307" s="329"/>
    </row>
    <row r="308" spans="1:10" s="229" customFormat="1" ht="18" customHeight="1">
      <c r="A308" s="182" t="s">
        <v>827</v>
      </c>
      <c r="B308" s="229" t="s">
        <v>23</v>
      </c>
      <c r="C308" s="232">
        <f ca="1">C321</f>
        <v>6.3007915205144558</v>
      </c>
      <c r="D308" s="232">
        <f ca="1">D321</f>
        <v>5.9857519444887322</v>
      </c>
      <c r="E308" s="328"/>
      <c r="H308" s="351"/>
      <c r="I308" s="351"/>
    </row>
    <row r="309" spans="1:10" s="325" customFormat="1" ht="18" customHeight="1">
      <c r="A309" s="182" t="s">
        <v>365</v>
      </c>
      <c r="B309" s="325" t="s">
        <v>273</v>
      </c>
      <c r="C309" s="328">
        <f ca="1">C324</f>
        <v>1</v>
      </c>
      <c r="D309" s="328">
        <f ca="1">D324</f>
        <v>1</v>
      </c>
      <c r="E309" s="328"/>
      <c r="F309" s="325" t="s">
        <v>746</v>
      </c>
    </row>
    <row r="310" spans="1:10" s="229" customFormat="1" ht="18" customHeight="1">
      <c r="A310" s="238" t="s">
        <v>553</v>
      </c>
      <c r="B310" s="299" t="s">
        <v>273</v>
      </c>
      <c r="C310" s="104">
        <f ca="1">C326</f>
        <v>11.79081249966913</v>
      </c>
      <c r="D310" s="104">
        <f ca="1">D326</f>
        <v>11.79081249966913</v>
      </c>
      <c r="E310" s="104"/>
    </row>
    <row r="311" spans="1:10" s="229" customFormat="1" ht="18" customHeight="1">
      <c r="A311" s="182" t="s">
        <v>828</v>
      </c>
      <c r="B311" s="299" t="s">
        <v>273</v>
      </c>
      <c r="C311" s="85">
        <f>C327</f>
        <v>20.162507000000002</v>
      </c>
      <c r="D311" s="85">
        <f>D327</f>
        <v>0</v>
      </c>
      <c r="E311" s="329"/>
      <c r="I311" s="351"/>
    </row>
    <row r="312" spans="1:10" s="229" customFormat="1" ht="18" customHeight="1">
      <c r="A312" s="182" t="s">
        <v>829</v>
      </c>
      <c r="B312" s="229" t="s">
        <v>8</v>
      </c>
      <c r="C312" s="85" t="e">
        <f ca="1">IF(Operator!$F$6="Constant",Model!C338,Model!C332)</f>
        <v>#NAME?</v>
      </c>
      <c r="D312" s="329" t="e">
        <f ca="1">IF(Operator!$F$6="Constant",Model!D338,Model!D332)</f>
        <v>#NAME?</v>
      </c>
      <c r="E312" s="329"/>
    </row>
    <row r="313" spans="1:10" s="229" customFormat="1" ht="18" customHeight="1">
      <c r="A313" s="182" t="s">
        <v>0</v>
      </c>
      <c r="B313" s="299" t="s">
        <v>273</v>
      </c>
      <c r="C313" s="232">
        <f ca="1">C334</f>
        <v>0.32953319499669137</v>
      </c>
      <c r="D313" s="232">
        <f ca="1">D334</f>
        <v>0.1279081249966913</v>
      </c>
      <c r="E313" s="328"/>
    </row>
    <row r="314" spans="1:10" s="229" customFormat="1" ht="18" customHeight="1">
      <c r="A314" s="182" t="s">
        <v>830</v>
      </c>
      <c r="B314" s="299" t="s">
        <v>273</v>
      </c>
      <c r="C314" s="75">
        <f ca="1">C335</f>
        <v>33.28285269466582</v>
      </c>
      <c r="D314" s="75">
        <f ca="1">D335</f>
        <v>12.918720624665822</v>
      </c>
      <c r="E314" s="75"/>
    </row>
    <row r="315" spans="1:10" s="229" customFormat="1" ht="18" customHeight="1">
      <c r="A315" s="291"/>
      <c r="C315" s="289"/>
      <c r="D315" s="289"/>
      <c r="E315" s="289"/>
    </row>
    <row r="316" spans="1:10" s="229" customFormat="1" ht="18" customHeight="1">
      <c r="A316" s="87" t="s">
        <v>763</v>
      </c>
      <c r="B316" s="291"/>
      <c r="C316" s="291"/>
      <c r="D316" s="291"/>
      <c r="E316" s="334"/>
    </row>
    <row r="317" spans="1:10" s="229" customFormat="1" ht="18" customHeight="1">
      <c r="A317" s="291"/>
      <c r="C317" s="290" t="str">
        <f>C299</f>
        <v>GT &amp; WHB 1</v>
      </c>
      <c r="D317" s="290" t="str">
        <f>D299</f>
        <v>GT &amp; WHB 2</v>
      </c>
      <c r="E317" s="359"/>
    </row>
    <row r="318" spans="1:10" s="229" customFormat="1" ht="18" customHeight="1">
      <c r="A318" s="291" t="s">
        <v>764</v>
      </c>
      <c r="B318" s="70" t="s">
        <v>9</v>
      </c>
      <c r="C318" s="179">
        <f ca="1">(C300*Assets!H100+Assets!I100*C301)*ambTemp+C300*Assets!H101+Assets!I101*C301</f>
        <v>6300.7915205144554</v>
      </c>
      <c r="D318" s="179">
        <f ca="1">(D300*Assets!H193+Assets!I193*D301)*ambTemp+Assets!H194*D300+Assets!I194*D301</f>
        <v>6300.7915205144554</v>
      </c>
      <c r="E318" s="345"/>
      <c r="F318" s="291"/>
      <c r="G318" s="291"/>
    </row>
    <row r="319" spans="1:10" s="229" customFormat="1" ht="18" customHeight="1">
      <c r="A319" s="222" t="s">
        <v>765</v>
      </c>
      <c r="B319" s="70" t="s">
        <v>327</v>
      </c>
      <c r="C319" s="179">
        <f ca="1">(C300*Assets!H115+Assets!I115*C301)*ambTemp+C300*Assets!H116+Assets!I116*C301+0.00000000000001*(1-C301)</f>
        <v>22950.040646922829</v>
      </c>
      <c r="D319" s="179">
        <f ca="1">(D300*Assets!H223+Assets!I223*D301)*ambTemp+D300*Assets!H224+Assets!I224*D301+0.00000000000001*(1-D301)</f>
        <v>22950.040646922829</v>
      </c>
      <c r="E319" s="345"/>
      <c r="G319" s="291"/>
      <c r="I319" s="182"/>
      <c r="J319" s="222" t="s">
        <v>328</v>
      </c>
    </row>
    <row r="320" spans="1:10" s="229" customFormat="1" ht="18" customHeight="1">
      <c r="A320" s="70" t="s">
        <v>325</v>
      </c>
      <c r="B320" s="70" t="s">
        <v>3</v>
      </c>
      <c r="C320" s="288">
        <f ca="1">C318/C319</f>
        <v>0.27454380658621069</v>
      </c>
      <c r="D320" s="288">
        <f ca="1">D318/D319</f>
        <v>0.27454380658621069</v>
      </c>
      <c r="E320" s="288"/>
      <c r="G320" s="291"/>
      <c r="I320" s="182"/>
      <c r="J320" s="291"/>
    </row>
    <row r="321" spans="1:10" s="229" customFormat="1" ht="18" customHeight="1">
      <c r="A321" s="229" t="s">
        <v>766</v>
      </c>
      <c r="B321" s="222" t="s">
        <v>23</v>
      </c>
      <c r="C321" s="225">
        <f ca="1">C318*(1+C77)/1000</f>
        <v>6.3007915205144558</v>
      </c>
      <c r="D321" s="321">
        <f ca="1">D318*(1+D77)/1000</f>
        <v>5.9857519444887322</v>
      </c>
      <c r="E321" s="321"/>
      <c r="G321" s="291"/>
      <c r="I321" s="182"/>
      <c r="J321" s="287"/>
    </row>
    <row r="322" spans="1:10" s="229" customFormat="1" ht="18" customHeight="1">
      <c r="A322" s="229" t="s">
        <v>324</v>
      </c>
      <c r="B322" s="70" t="s">
        <v>3</v>
      </c>
      <c r="C322" s="288">
        <f ca="1">C320*(1+C78)+(0.0000000000001)*(1-C301)</f>
        <v>0.27042564948741754</v>
      </c>
      <c r="D322" s="288">
        <f ca="1">D320*(1+D78)+(0.0000000000001)*(1-D301)</f>
        <v>0.26603294858203813</v>
      </c>
      <c r="E322" s="288"/>
      <c r="G322" s="291"/>
      <c r="I322" s="182"/>
      <c r="J322" s="222" t="s">
        <v>328</v>
      </c>
    </row>
    <row r="323" spans="1:10" s="229" customFormat="1" ht="18" customHeight="1">
      <c r="A323" s="229" t="s">
        <v>326</v>
      </c>
      <c r="B323" s="70" t="s">
        <v>327</v>
      </c>
      <c r="C323" s="228">
        <f ca="1">1000*C321/C322</f>
        <v>23299.533651698304</v>
      </c>
      <c r="D323" s="228">
        <f ca="1">1000*D321/D322</f>
        <v>22500.039849924346</v>
      </c>
      <c r="E323" s="324"/>
      <c r="F323" s="291"/>
      <c r="G323" s="291"/>
      <c r="I323" s="182"/>
    </row>
    <row r="324" spans="1:10" s="325" customFormat="1" ht="18" customHeight="1">
      <c r="A324" s="325" t="s">
        <v>747</v>
      </c>
      <c r="B324" s="325" t="s">
        <v>273</v>
      </c>
      <c r="C324" s="328">
        <f ca="1">(C300*Assets!H145+Assets!I145*C301)*ambTemp+C300*Assets!H146+Assets!I146*C301</f>
        <v>1</v>
      </c>
      <c r="D324" s="328">
        <f ca="1">(D300*Assets!H145+Assets!I145*D301)*ambTemp+D300*Assets!H146+Assets!I146*D301</f>
        <v>1</v>
      </c>
      <c r="E324" s="328"/>
      <c r="F324" s="334"/>
      <c r="H324" s="315"/>
      <c r="I324" s="315"/>
      <c r="J324" s="334"/>
    </row>
    <row r="325" spans="1:10" s="229" customFormat="1" ht="18" customHeight="1">
      <c r="A325" s="229" t="s">
        <v>767</v>
      </c>
      <c r="B325" s="182" t="s">
        <v>273</v>
      </c>
      <c r="C325" s="232">
        <f ca="1">(C300*Assets!H130+Assets!I130*C301)*ambTemp+C300*Assets!H131+Assets!I131*C301</f>
        <v>12.79081249966913</v>
      </c>
      <c r="D325" s="232">
        <f ca="1">(D300*Assets!H238+Assets!I238*D301)*ambTemp+D300*Assets!H239+Assets!I239*D301</f>
        <v>12.79081249966913</v>
      </c>
      <c r="E325" s="328"/>
      <c r="F325" s="291"/>
      <c r="H325" s="220"/>
      <c r="I325" s="220"/>
      <c r="J325" s="291"/>
    </row>
    <row r="326" spans="1:10" s="229" customFormat="1" ht="18" customHeight="1">
      <c r="A326" s="229" t="s">
        <v>768</v>
      </c>
      <c r="B326" s="182" t="s">
        <v>273</v>
      </c>
      <c r="C326" s="232">
        <f ca="1">C325-C324</f>
        <v>11.79081249966913</v>
      </c>
      <c r="D326" s="328">
        <f ca="1">D325-D324</f>
        <v>11.79081249966913</v>
      </c>
      <c r="E326" s="328"/>
      <c r="F326" s="121"/>
      <c r="G326" s="291"/>
      <c r="H326" s="222"/>
      <c r="I326" s="291"/>
      <c r="J326" s="222"/>
    </row>
    <row r="327" spans="1:10" s="229" customFormat="1" ht="18" customHeight="1">
      <c r="A327" s="229" t="s">
        <v>769</v>
      </c>
      <c r="B327" s="182" t="s">
        <v>273</v>
      </c>
      <c r="C327" s="328">
        <f>C302</f>
        <v>20.162507000000002</v>
      </c>
      <c r="D327" s="328">
        <f>D302</f>
        <v>0</v>
      </c>
      <c r="E327" s="328"/>
      <c r="F327" s="291"/>
      <c r="G327" s="291"/>
      <c r="H327" s="222"/>
      <c r="I327" s="291"/>
      <c r="J327" s="222"/>
    </row>
    <row r="328" spans="1:10" s="229" customFormat="1" ht="18" customHeight="1">
      <c r="A328" s="229" t="s">
        <v>770</v>
      </c>
      <c r="B328" s="182" t="s">
        <v>8</v>
      </c>
      <c r="C328" s="329" t="e">
        <f ca="1">(C327/3.6)*$I$149</f>
        <v>#NAME?</v>
      </c>
      <c r="D328" s="329" t="e">
        <f ca="1">(D327/3.6)*$I$149</f>
        <v>#NAME?</v>
      </c>
      <c r="E328" s="329"/>
      <c r="F328" s="320"/>
      <c r="H328" s="291"/>
      <c r="J328" s="291"/>
    </row>
    <row r="329" spans="1:10" s="325" customFormat="1" ht="18" customHeight="1">
      <c r="A329" s="325" t="s">
        <v>918</v>
      </c>
      <c r="B329" s="182" t="s">
        <v>273</v>
      </c>
      <c r="C329" s="329">
        <f>D27</f>
        <v>20.162507475638879</v>
      </c>
      <c r="D329" s="329">
        <f>D28</f>
        <v>20.162507475638879</v>
      </c>
      <c r="E329" s="329"/>
      <c r="F329" s="109"/>
      <c r="H329" s="334"/>
      <c r="J329" s="334"/>
    </row>
    <row r="330" spans="1:10" s="229" customFormat="1" ht="18" customHeight="1">
      <c r="A330" s="229" t="s">
        <v>771</v>
      </c>
      <c r="B330" s="238" t="s">
        <v>273</v>
      </c>
      <c r="C330" s="232">
        <f ca="1">C327+C326</f>
        <v>31.953319499669131</v>
      </c>
      <c r="D330" s="232">
        <f ca="1">D327+D326</f>
        <v>11.79081249966913</v>
      </c>
      <c r="E330" s="328"/>
      <c r="F330" s="291"/>
      <c r="H330" s="291"/>
      <c r="J330" s="291"/>
    </row>
    <row r="331" spans="1:10" s="325" customFormat="1" ht="18" customHeight="1">
      <c r="A331" s="298" t="s">
        <v>896</v>
      </c>
      <c r="B331" s="238" t="s">
        <v>19</v>
      </c>
      <c r="C331" s="329" t="e">
        <f ca="1">I149</f>
        <v>#NAME?</v>
      </c>
      <c r="D331" s="329" t="e">
        <f ca="1">C331</f>
        <v>#NAME?</v>
      </c>
      <c r="E331" s="328"/>
      <c r="H331" s="66"/>
      <c r="I331" s="327"/>
      <c r="J331" s="340"/>
    </row>
    <row r="332" spans="1:10" s="325" customFormat="1" ht="18" customHeight="1">
      <c r="A332" s="298" t="s">
        <v>916</v>
      </c>
      <c r="B332" s="238" t="s">
        <v>327</v>
      </c>
      <c r="C332" s="228" t="e">
        <f ca="1">C331*(C74*(C327/3.6)+C303*C75*(C329/3.6))</f>
        <v>#NAME?</v>
      </c>
      <c r="D332" s="324" t="e">
        <f ca="1">D331*(D74*(D327/3.6)+D303*D75*(D329/3.6))</f>
        <v>#NAME?</v>
      </c>
      <c r="E332" s="328"/>
      <c r="H332" s="66"/>
      <c r="I332" s="327"/>
      <c r="J332" s="340"/>
    </row>
    <row r="333" spans="1:10" s="325" customFormat="1" ht="18" customHeight="1">
      <c r="A333" s="298" t="s">
        <v>917</v>
      </c>
      <c r="B333" s="238" t="s">
        <v>3</v>
      </c>
      <c r="C333" s="520">
        <f ca="1">IFERROR(C328/C332,0)</f>
        <v>0</v>
      </c>
      <c r="D333" s="520">
        <f ca="1">IFERROR(D328/D332,0)</f>
        <v>0</v>
      </c>
      <c r="E333" s="328"/>
      <c r="H333" s="66"/>
      <c r="I333" s="327"/>
      <c r="J333" s="340"/>
    </row>
    <row r="334" spans="1:10" s="229" customFormat="1" ht="18" customHeight="1">
      <c r="A334" s="291" t="s">
        <v>0</v>
      </c>
      <c r="B334" s="59" t="s">
        <v>273</v>
      </c>
      <c r="C334" s="225">
        <f ca="1">C79*(C325+C327)</f>
        <v>0.32953319499669137</v>
      </c>
      <c r="D334" s="225">
        <f ca="1">D79*(D325+D327)</f>
        <v>0.1279081249966913</v>
      </c>
      <c r="E334" s="321"/>
    </row>
    <row r="335" spans="1:10" s="229" customFormat="1" ht="18" customHeight="1">
      <c r="A335" s="291" t="s">
        <v>775</v>
      </c>
      <c r="B335" s="59" t="s">
        <v>273</v>
      </c>
      <c r="C335" s="225">
        <f ca="1">C334+C327+C325</f>
        <v>33.28285269466582</v>
      </c>
      <c r="D335" s="225">
        <f ca="1">D334+D327+D325</f>
        <v>12.918720624665822</v>
      </c>
      <c r="E335" s="321"/>
    </row>
    <row r="336" spans="1:10" s="325" customFormat="1" ht="18" customHeight="1">
      <c r="A336" s="334"/>
      <c r="B336" s="59"/>
      <c r="C336" s="321"/>
      <c r="D336" s="321"/>
      <c r="E336" s="321"/>
    </row>
    <row r="337" spans="1:15" s="325" customFormat="1" ht="18" customHeight="1">
      <c r="A337" s="325" t="s">
        <v>1027</v>
      </c>
      <c r="B337" s="59"/>
      <c r="C337" s="321"/>
      <c r="D337" s="321"/>
      <c r="E337" s="321"/>
    </row>
    <row r="338" spans="1:15" s="325" customFormat="1" ht="18" customHeight="1">
      <c r="A338" s="334" t="str">
        <f>A332</f>
        <v>Modelled supplementary firing gas consumption</v>
      </c>
      <c r="B338" s="59" t="s">
        <v>327</v>
      </c>
      <c r="C338" s="324" t="e">
        <f ca="1">(C327/3.6)*C331/BC.cSFEffy</f>
        <v>#NAME?</v>
      </c>
      <c r="D338" s="324" t="e">
        <f ca="1">(D327/3.6)*D331/D76</f>
        <v>#NAME?</v>
      </c>
      <c r="E338" s="321"/>
    </row>
    <row r="339" spans="1:15" s="325" customFormat="1" ht="18" customHeight="1">
      <c r="A339" s="334"/>
      <c r="B339" s="59"/>
      <c r="C339" s="321"/>
      <c r="D339" s="321"/>
      <c r="E339" s="321"/>
    </row>
    <row r="340" spans="1:15" s="325" customFormat="1" ht="18" customHeight="1">
      <c r="A340" s="334"/>
      <c r="B340" s="59"/>
      <c r="C340" s="321"/>
      <c r="D340" s="321"/>
      <c r="E340" s="321"/>
    </row>
    <row r="341" spans="1:15" s="325" customFormat="1" ht="18" customHeight="1">
      <c r="A341" s="334"/>
      <c r="B341" s="59"/>
      <c r="C341" s="321"/>
      <c r="D341" s="321"/>
      <c r="E341" s="321"/>
      <c r="J341" s="327" t="s">
        <v>1055</v>
      </c>
      <c r="K341" s="332">
        <v>0.1</v>
      </c>
    </row>
    <row r="342" spans="1:15" s="325" customFormat="1" ht="18" customHeight="1">
      <c r="A342" s="334"/>
      <c r="B342" s="59"/>
      <c r="C342" s="321"/>
      <c r="D342" s="321"/>
      <c r="E342" s="321"/>
      <c r="J342" s="327"/>
    </row>
    <row r="343" spans="1:15" s="229" customFormat="1" ht="18" customHeight="1">
      <c r="A343" s="229" t="s">
        <v>772</v>
      </c>
      <c r="B343" s="59" t="s">
        <v>3</v>
      </c>
      <c r="C343" s="190">
        <f ca="1">1000*SUM(C321:D321)/SUM(C323:D323)</f>
        <v>0.26826763931694436</v>
      </c>
      <c r="D343" s="349"/>
      <c r="E343" s="349"/>
      <c r="J343" s="327"/>
      <c r="K343" s="325" t="s">
        <v>422</v>
      </c>
    </row>
    <row r="344" spans="1:15" s="229" customFormat="1" ht="18" customHeight="1">
      <c r="A344" s="291"/>
      <c r="B344" s="291"/>
      <c r="C344" s="291"/>
      <c r="D344" s="291"/>
      <c r="E344" s="291"/>
      <c r="F344" s="291"/>
      <c r="G344" s="291"/>
      <c r="H344" s="291"/>
      <c r="I344" s="291"/>
      <c r="J344" s="327" t="s">
        <v>1050</v>
      </c>
      <c r="K344" s="340">
        <f>oprGAS*10</f>
        <v>15.618108795024641</v>
      </c>
    </row>
    <row r="345" spans="1:15" s="229" customFormat="1" ht="18" customHeight="1" thickBot="1">
      <c r="A345" s="375" t="s">
        <v>527</v>
      </c>
      <c r="B345" s="390"/>
      <c r="C345" s="390"/>
      <c r="D345" s="390"/>
      <c r="E345" s="390"/>
      <c r="F345" s="137"/>
      <c r="G345" s="137"/>
      <c r="H345" s="137"/>
      <c r="I345" s="137"/>
      <c r="J345" s="327" t="s">
        <v>1051</v>
      </c>
      <c r="K345" s="340">
        <f>C697</f>
        <v>30.718153493433832</v>
      </c>
    </row>
    <row r="346" spans="1:15" s="229" customFormat="1" ht="18" customHeight="1" thickTop="1">
      <c r="A346" s="407" t="s">
        <v>285</v>
      </c>
      <c r="B346" s="407"/>
      <c r="C346" s="407"/>
      <c r="D346" s="407"/>
      <c r="E346" s="407"/>
      <c r="F346" s="325"/>
      <c r="J346" s="327"/>
    </row>
    <row r="347" spans="1:15" s="229" customFormat="1" ht="18" customHeight="1">
      <c r="A347" s="139"/>
      <c r="C347" s="45" t="s">
        <v>58</v>
      </c>
      <c r="D347" s="45" t="s">
        <v>57</v>
      </c>
      <c r="E347" s="45" t="s">
        <v>56</v>
      </c>
      <c r="F347" s="309" t="s">
        <v>142</v>
      </c>
      <c r="G347" s="309" t="s">
        <v>711</v>
      </c>
      <c r="J347" s="327"/>
      <c r="L347" s="229" t="s">
        <v>301</v>
      </c>
      <c r="M347" s="229" t="s">
        <v>302</v>
      </c>
      <c r="N347" s="229" t="s">
        <v>1049</v>
      </c>
    </row>
    <row r="348" spans="1:15" s="229" customFormat="1" ht="18" customHeight="1">
      <c r="A348" s="139" t="s">
        <v>314</v>
      </c>
      <c r="B348" s="70" t="s">
        <v>83</v>
      </c>
      <c r="C348" s="86">
        <f>E50</f>
        <v>0</v>
      </c>
      <c r="D348" s="86">
        <f>E51</f>
        <v>0</v>
      </c>
      <c r="E348" s="86">
        <f>E52</f>
        <v>0</v>
      </c>
      <c r="F348" s="331">
        <f>E53</f>
        <v>0</v>
      </c>
      <c r="G348" s="331">
        <f>E54</f>
        <v>1</v>
      </c>
      <c r="J348" s="327" t="s">
        <v>1045</v>
      </c>
      <c r="K348" s="229" t="s">
        <v>273</v>
      </c>
      <c r="L348" s="340">
        <f>G355</f>
        <v>22</v>
      </c>
      <c r="M348" s="340">
        <f>L348</f>
        <v>22</v>
      </c>
    </row>
    <row r="349" spans="1:15" s="229" customFormat="1" ht="18" customHeight="1">
      <c r="A349" s="139" t="s">
        <v>315</v>
      </c>
      <c r="B349" s="298" t="s">
        <v>273</v>
      </c>
      <c r="C349" s="86">
        <f>E32</f>
        <v>0</v>
      </c>
      <c r="D349" s="86">
        <f>E34</f>
        <v>0</v>
      </c>
      <c r="E349" s="86">
        <f>E36</f>
        <v>0</v>
      </c>
      <c r="F349" s="331">
        <f>E37</f>
        <v>0</v>
      </c>
      <c r="G349" s="331">
        <f>E38</f>
        <v>22</v>
      </c>
      <c r="J349" s="327" t="s">
        <v>1046</v>
      </c>
      <c r="K349" s="229" t="s">
        <v>19</v>
      </c>
      <c r="L349" s="351" t="e">
        <f ca="1">J149</f>
        <v>#NAME?</v>
      </c>
      <c r="M349" s="351" t="e">
        <f ca="1">J157</f>
        <v>#NAME?</v>
      </c>
    </row>
    <row r="350" spans="1:15" s="229" customFormat="1" ht="18" customHeight="1">
      <c r="A350" s="139" t="s">
        <v>316</v>
      </c>
      <c r="B350" s="298" t="s">
        <v>273</v>
      </c>
      <c r="C350" s="86">
        <f>E33</f>
        <v>0</v>
      </c>
      <c r="D350" s="86">
        <f>E35</f>
        <v>0</v>
      </c>
      <c r="F350" s="325"/>
      <c r="I350" s="234"/>
      <c r="J350" s="66" t="s">
        <v>1047</v>
      </c>
      <c r="K350" s="229" t="s">
        <v>8</v>
      </c>
      <c r="L350" s="351" t="e">
        <f ca="1">(L348/3.6)*L349</f>
        <v>#NAME?</v>
      </c>
      <c r="M350" s="351" t="e">
        <f ca="1">(M348/3.6)*M349</f>
        <v>#NAME?</v>
      </c>
      <c r="N350" s="351" t="e">
        <f ca="1">L350-M350</f>
        <v>#NAME?</v>
      </c>
    </row>
    <row r="351" spans="1:15" s="325" customFormat="1" ht="18" customHeight="1">
      <c r="A351" s="139"/>
      <c r="B351" s="298"/>
      <c r="C351" s="86"/>
      <c r="D351" s="86"/>
      <c r="I351" s="351"/>
      <c r="J351" s="327" t="s">
        <v>1048</v>
      </c>
      <c r="K351" s="325" t="s">
        <v>9</v>
      </c>
      <c r="L351" s="229"/>
      <c r="M351" s="229"/>
      <c r="N351" s="351">
        <f>G354*1000</f>
        <v>2058.3000000000002</v>
      </c>
      <c r="O351" s="340" t="e">
        <f ca="1">N350-N351</f>
        <v>#NAME?</v>
      </c>
    </row>
    <row r="352" spans="1:15" s="229" customFormat="1" ht="18" customHeight="1">
      <c r="A352" s="408" t="s">
        <v>286</v>
      </c>
      <c r="B352" s="408"/>
      <c r="C352" s="408"/>
      <c r="D352" s="408"/>
      <c r="E352" s="408"/>
      <c r="F352" s="139"/>
      <c r="G352" s="139"/>
      <c r="H352" s="291"/>
      <c r="I352" s="235"/>
      <c r="J352" s="66"/>
      <c r="N352" s="351" t="e">
        <f ca="1">N350-N351</f>
        <v>#NAME?</v>
      </c>
    </row>
    <row r="353" spans="1:14" s="229" customFormat="1" ht="18" customHeight="1">
      <c r="A353" s="182"/>
      <c r="B353" s="182"/>
      <c r="C353" s="45" t="str">
        <f>C347</f>
        <v>ST2</v>
      </c>
      <c r="D353" s="45" t="str">
        <f>D347</f>
        <v>ST5</v>
      </c>
      <c r="E353" s="45" t="str">
        <f>E347</f>
        <v>ST6</v>
      </c>
      <c r="F353" s="45" t="str">
        <f>F347</f>
        <v>ST7</v>
      </c>
      <c r="G353" s="45" t="str">
        <f>G347</f>
        <v>HP ST5</v>
      </c>
      <c r="H353" s="291"/>
      <c r="I353" s="235"/>
      <c r="J353" s="327"/>
    </row>
    <row r="354" spans="1:14" s="229" customFormat="1" ht="18" customHeight="1">
      <c r="A354" s="236" t="s">
        <v>43</v>
      </c>
      <c r="B354" s="236" t="s">
        <v>36</v>
      </c>
      <c r="C354" s="86">
        <f>C373/1000</f>
        <v>0</v>
      </c>
      <c r="D354" s="86">
        <f>C390</f>
        <v>0</v>
      </c>
      <c r="E354" s="86">
        <f>C398</f>
        <v>0</v>
      </c>
      <c r="F354" s="191">
        <f>C412</f>
        <v>0</v>
      </c>
      <c r="G354" s="558">
        <f>IF(Operator!F4="Willans Line",Model!C436/1000,IF(Operator!F4="User Defined",C453,IF(Operator!F4="Data",C441)))</f>
        <v>2.0583</v>
      </c>
      <c r="H354" s="291"/>
      <c r="I354" s="291"/>
      <c r="J354" s="327"/>
    </row>
    <row r="355" spans="1:14" s="229" customFormat="1" ht="18" customHeight="1">
      <c r="A355" s="236" t="s">
        <v>78</v>
      </c>
      <c r="B355" s="236" t="s">
        <v>273</v>
      </c>
      <c r="C355" s="86">
        <f>C349-C350</f>
        <v>0</v>
      </c>
      <c r="D355" s="86">
        <f>D349+D350</f>
        <v>0</v>
      </c>
      <c r="E355" s="86">
        <f>E349</f>
        <v>0</v>
      </c>
      <c r="F355" s="191">
        <f>F349</f>
        <v>0</v>
      </c>
      <c r="G355" s="191">
        <f>G349</f>
        <v>22</v>
      </c>
      <c r="H355" s="291"/>
      <c r="I355" s="291"/>
      <c r="J355" s="327" t="s">
        <v>1052</v>
      </c>
      <c r="K355" s="229" t="s">
        <v>8</v>
      </c>
      <c r="L355" s="340" t="e">
        <f ca="1">N350</f>
        <v>#NAME?</v>
      </c>
    </row>
    <row r="356" spans="1:14" s="229" customFormat="1" ht="18" customHeight="1">
      <c r="A356" s="182"/>
      <c r="B356" s="182"/>
      <c r="C356" s="108"/>
      <c r="D356" s="75"/>
      <c r="E356" s="140"/>
      <c r="F356" s="140"/>
      <c r="G356" s="139"/>
      <c r="H356" s="291"/>
      <c r="I356" s="291"/>
      <c r="J356" s="327" t="s">
        <v>1053</v>
      </c>
      <c r="K356" s="229" t="s">
        <v>327</v>
      </c>
      <c r="L356" s="340" t="e">
        <f ca="1">L355/0.89</f>
        <v>#NAME?</v>
      </c>
      <c r="N356" s="340">
        <v>0.89</v>
      </c>
    </row>
    <row r="357" spans="1:14" s="229" customFormat="1" ht="18" customHeight="1" thickBot="1">
      <c r="A357" s="372" t="s">
        <v>91</v>
      </c>
      <c r="B357" s="384"/>
      <c r="C357" s="396"/>
      <c r="D357" s="397"/>
      <c r="E357" s="398"/>
      <c r="F357" s="140"/>
      <c r="G357" s="139"/>
      <c r="H357" s="291"/>
      <c r="I357" s="291"/>
      <c r="J357" s="327"/>
      <c r="K357" s="229" t="s">
        <v>745</v>
      </c>
      <c r="L357" s="340" t="e">
        <f ca="1">(L356/1000)*K344</f>
        <v>#NAME?</v>
      </c>
    </row>
    <row r="358" spans="1:14" s="229" customFormat="1" ht="18" customHeight="1">
      <c r="A358" s="269" t="s">
        <v>773</v>
      </c>
      <c r="B358" s="70"/>
      <c r="C358" s="186"/>
      <c r="D358" s="186"/>
      <c r="E358" s="140"/>
      <c r="J358" s="327"/>
      <c r="L358" s="340"/>
    </row>
    <row r="359" spans="1:14" s="229" customFormat="1" ht="18" customHeight="1">
      <c r="A359" s="269" t="s">
        <v>389</v>
      </c>
      <c r="B359" s="70"/>
      <c r="C359" s="186"/>
      <c r="D359" s="186"/>
      <c r="E359" s="140"/>
      <c r="J359" s="327" t="s">
        <v>1054</v>
      </c>
      <c r="K359" s="325" t="s">
        <v>745</v>
      </c>
      <c r="L359" s="340">
        <f>(N351/1000)*K345</f>
        <v>63.227175335534859</v>
      </c>
    </row>
    <row r="360" spans="1:14" s="229" customFormat="1" ht="18" customHeight="1">
      <c r="A360" s="269" t="s">
        <v>390</v>
      </c>
      <c r="B360" s="70"/>
      <c r="C360" s="186"/>
      <c r="D360" s="186"/>
      <c r="E360" s="140"/>
      <c r="L360" s="340" t="e">
        <f ca="1">L359-L357</f>
        <v>#NAME?</v>
      </c>
    </row>
    <row r="361" spans="1:14" s="229" customFormat="1" ht="18" customHeight="1">
      <c r="A361" s="269" t="s">
        <v>419</v>
      </c>
      <c r="B361" s="70"/>
      <c r="C361" s="186"/>
      <c r="D361" s="186"/>
      <c r="E361" s="140"/>
    </row>
    <row r="362" spans="1:14" s="325" customFormat="1" ht="18" customHeight="1">
      <c r="A362" s="238" t="s">
        <v>801</v>
      </c>
      <c r="B362" s="325" t="s">
        <v>273</v>
      </c>
      <c r="C362" s="237">
        <f>Assets!B394</f>
        <v>4.3091277999999997</v>
      </c>
      <c r="D362" s="340"/>
      <c r="E362" s="318"/>
      <c r="F362" s="140"/>
      <c r="J362" s="325" t="s">
        <v>1056</v>
      </c>
      <c r="K362" s="325" t="s">
        <v>1042</v>
      </c>
      <c r="L362" s="340">
        <f>steampriceMPLENZopr</f>
        <v>16.482368405422889</v>
      </c>
    </row>
    <row r="363" spans="1:14" s="325" customFormat="1" ht="18" customHeight="1">
      <c r="A363" s="238" t="s">
        <v>803</v>
      </c>
      <c r="B363" s="325" t="s">
        <v>9</v>
      </c>
      <c r="C363" s="237">
        <f>Assets!B395</f>
        <v>12.473790999999999</v>
      </c>
      <c r="D363" s="340"/>
      <c r="E363" s="318"/>
      <c r="F363" s="140"/>
    </row>
    <row r="364" spans="1:14" s="325" customFormat="1" ht="18" customHeight="1">
      <c r="A364" s="238" t="s">
        <v>802</v>
      </c>
      <c r="B364" s="325" t="s">
        <v>273</v>
      </c>
      <c r="C364" s="107">
        <f>Assets!C394</f>
        <v>416.66666666666703</v>
      </c>
      <c r="D364" s="340"/>
      <c r="E364" s="318"/>
      <c r="F364" s="140"/>
      <c r="J364" s="363" t="s">
        <v>1057</v>
      </c>
    </row>
    <row r="365" spans="1:14" s="325" customFormat="1" ht="18" customHeight="1">
      <c r="A365" s="238" t="s">
        <v>804</v>
      </c>
      <c r="B365" s="325" t="s">
        <v>9</v>
      </c>
      <c r="C365" s="107">
        <f>Assets!C395</f>
        <v>2500</v>
      </c>
      <c r="D365" s="340"/>
      <c r="E365" s="318"/>
      <c r="F365" s="140"/>
      <c r="J365" s="325" t="s">
        <v>1058</v>
      </c>
      <c r="K365" s="325" t="s">
        <v>3</v>
      </c>
      <c r="L365" s="340">
        <v>0.8</v>
      </c>
    </row>
    <row r="366" spans="1:14" s="325" customFormat="1" ht="18" customHeight="1">
      <c r="A366" s="119" t="s">
        <v>46</v>
      </c>
      <c r="C366" s="186">
        <f>SLOPE(C364:C365,C362:C363)</f>
        <v>255.16463843031929</v>
      </c>
      <c r="E366" s="318"/>
      <c r="F366" s="140"/>
      <c r="J366" s="325" t="s">
        <v>1050</v>
      </c>
      <c r="K366" s="325" t="s">
        <v>327</v>
      </c>
      <c r="L366" s="340" t="e">
        <f ca="1">(1/3.6)*I150/L365</f>
        <v>#NAME?</v>
      </c>
    </row>
    <row r="367" spans="1:14" s="325" customFormat="1" ht="18" customHeight="1">
      <c r="A367" s="446" t="s">
        <v>45</v>
      </c>
      <c r="C367" s="140">
        <f>INTERCEPT(C364:C365,C362:C363)</f>
        <v>-682.87037037036998</v>
      </c>
      <c r="D367" s="340"/>
      <c r="E367" s="318"/>
      <c r="F367" s="140"/>
      <c r="J367" s="325" t="s">
        <v>1059</v>
      </c>
      <c r="K367" s="325" t="s">
        <v>1042</v>
      </c>
      <c r="L367" s="340" t="e">
        <f ca="1">K344*(L366/1000)</f>
        <v>#NAME?</v>
      </c>
    </row>
    <row r="368" spans="1:14" s="229" customFormat="1" ht="18" customHeight="1">
      <c r="A368" s="238" t="s">
        <v>374</v>
      </c>
      <c r="B368" s="70" t="s">
        <v>9</v>
      </c>
      <c r="C368" s="340">
        <f>C366*C349+C367*C348</f>
        <v>0</v>
      </c>
      <c r="D368" s="186"/>
      <c r="E368" s="140"/>
    </row>
    <row r="369" spans="1:20" s="229" customFormat="1" ht="18" customHeight="1">
      <c r="A369" s="238" t="s">
        <v>376</v>
      </c>
      <c r="B369" s="70" t="s">
        <v>9</v>
      </c>
      <c r="C369" s="351">
        <v>600</v>
      </c>
      <c r="D369" s="186"/>
      <c r="E369" s="191"/>
      <c r="F369" s="107"/>
      <c r="G369" s="107"/>
      <c r="H369" s="107"/>
    </row>
    <row r="370" spans="1:20" s="229" customFormat="1" ht="18" customHeight="1">
      <c r="A370" s="238" t="s">
        <v>377</v>
      </c>
      <c r="B370" s="298" t="s">
        <v>273</v>
      </c>
      <c r="C370" s="107">
        <f>Assets!F392-Assets!E392</f>
        <v>4.5359239999999996</v>
      </c>
      <c r="D370" s="186"/>
      <c r="E370" s="191"/>
      <c r="F370" s="107"/>
      <c r="G370" s="107"/>
      <c r="H370" s="107"/>
    </row>
    <row r="371" spans="1:20" s="229" customFormat="1" ht="18" customHeight="1">
      <c r="A371" s="238" t="s">
        <v>378</v>
      </c>
      <c r="B371" s="298" t="s">
        <v>565</v>
      </c>
      <c r="C371" s="107">
        <f>C369/C370</f>
        <v>132.2773485622775</v>
      </c>
      <c r="D371" s="186"/>
      <c r="E371" s="191"/>
      <c r="F371" s="107"/>
      <c r="G371" s="107"/>
      <c r="H371" s="107"/>
    </row>
    <row r="372" spans="1:20" s="229" customFormat="1" ht="18" customHeight="1">
      <c r="A372" s="238" t="s">
        <v>375</v>
      </c>
      <c r="B372" s="70" t="s">
        <v>9</v>
      </c>
      <c r="C372" s="107">
        <f>C371*C350</f>
        <v>0</v>
      </c>
      <c r="D372" s="186"/>
      <c r="E372" s="140"/>
    </row>
    <row r="373" spans="1:20" s="229" customFormat="1" ht="18" customHeight="1">
      <c r="A373" s="224" t="s">
        <v>379</v>
      </c>
      <c r="B373" s="70" t="s">
        <v>9</v>
      </c>
      <c r="C373" s="186">
        <f>C368-C372</f>
        <v>0</v>
      </c>
      <c r="D373" s="222"/>
      <c r="E373" s="140"/>
    </row>
    <row r="374" spans="1:20" s="229" customFormat="1" ht="18" customHeight="1">
      <c r="A374" s="224"/>
      <c r="B374" s="70"/>
      <c r="C374" s="186"/>
      <c r="D374" s="222"/>
      <c r="E374" s="140"/>
    </row>
    <row r="375" spans="1:20" s="229" customFormat="1" ht="18" customHeight="1" thickBot="1">
      <c r="A375" s="372" t="s">
        <v>92</v>
      </c>
      <c r="B375" s="291"/>
      <c r="C375" s="291"/>
      <c r="D375" s="291"/>
      <c r="E375" s="291"/>
      <c r="H375" s="291"/>
      <c r="I375" s="291"/>
    </row>
    <row r="376" spans="1:20" s="325" customFormat="1" ht="18" customHeight="1">
      <c r="A376" s="87" t="s">
        <v>291</v>
      </c>
      <c r="B376" s="334"/>
      <c r="C376" s="334"/>
      <c r="D376" s="334"/>
      <c r="E376" s="334"/>
      <c r="H376" s="334"/>
      <c r="I376" s="334"/>
    </row>
    <row r="377" spans="1:20" s="325" customFormat="1" ht="18" customHeight="1">
      <c r="A377" s="87" t="s">
        <v>292</v>
      </c>
      <c r="B377" s="334"/>
      <c r="C377" s="334"/>
      <c r="D377" s="334"/>
      <c r="E377" s="334"/>
      <c r="H377" s="334"/>
      <c r="I377" s="334"/>
    </row>
    <row r="378" spans="1:20" s="229" customFormat="1" ht="18" customHeight="1">
      <c r="A378" s="388" t="s">
        <v>295</v>
      </c>
      <c r="B378" s="222"/>
      <c r="E378" s="291"/>
      <c r="H378" s="291"/>
      <c r="I378" s="291"/>
    </row>
    <row r="379" spans="1:20" s="325" customFormat="1" ht="18" customHeight="1">
      <c r="A379" s="224" t="s">
        <v>805</v>
      </c>
      <c r="B379" s="260"/>
      <c r="C379" s="318">
        <v>0</v>
      </c>
      <c r="D379" s="260"/>
      <c r="E379" s="334"/>
      <c r="H379" s="334"/>
      <c r="I379" s="334"/>
    </row>
    <row r="380" spans="1:20" s="325" customFormat="1" ht="18" customHeight="1">
      <c r="A380" s="224" t="s">
        <v>806</v>
      </c>
      <c r="B380" s="260"/>
      <c r="C380" s="318">
        <f>Assets!H461</f>
        <v>22.68</v>
      </c>
      <c r="D380" s="260"/>
      <c r="E380" s="334"/>
      <c r="H380" s="334"/>
      <c r="I380" s="334"/>
    </row>
    <row r="381" spans="1:20" s="325" customFormat="1" ht="18" customHeight="1">
      <c r="A381" s="224" t="s">
        <v>801</v>
      </c>
      <c r="B381" s="260"/>
      <c r="C381" s="318">
        <f>Assets!B463</f>
        <v>12.75</v>
      </c>
      <c r="D381" s="260"/>
      <c r="E381" s="334"/>
      <c r="H381" s="334"/>
      <c r="I381" s="334"/>
    </row>
    <row r="382" spans="1:20" s="325" customFormat="1" ht="18" customHeight="1">
      <c r="A382" s="224" t="s">
        <v>803</v>
      </c>
      <c r="B382" s="260"/>
      <c r="C382" s="318">
        <f>Assets!B474</f>
        <v>52.18</v>
      </c>
      <c r="D382" s="260"/>
      <c r="E382" s="334"/>
      <c r="H382" s="334"/>
      <c r="I382" s="334"/>
    </row>
    <row r="383" spans="1:20" s="229" customFormat="1" ht="18" customHeight="1">
      <c r="A383" s="224" t="s">
        <v>318</v>
      </c>
      <c r="B383" s="222"/>
      <c r="C383" s="318">
        <f>Assets!N464</f>
        <v>0.18343949044585986</v>
      </c>
      <c r="D383" s="222"/>
      <c r="H383" s="291"/>
      <c r="I383" s="291"/>
      <c r="L383" s="2"/>
      <c r="M383" s="2"/>
      <c r="N383" s="2"/>
      <c r="O383" s="2"/>
      <c r="P383" s="2"/>
      <c r="Q383" s="2"/>
      <c r="R383" s="2"/>
      <c r="S383" s="2"/>
      <c r="T383" s="2"/>
    </row>
    <row r="384" spans="1:20" s="229" customFormat="1" ht="18" customHeight="1">
      <c r="A384" s="224" t="s">
        <v>319</v>
      </c>
      <c r="B384" s="222"/>
      <c r="C384" s="318">
        <f>Assets!N465</f>
        <v>-1.3388535031847137</v>
      </c>
      <c r="D384" s="222"/>
      <c r="H384" s="291"/>
      <c r="I384" s="291"/>
      <c r="L384" s="2"/>
      <c r="M384" s="2"/>
      <c r="N384" s="2"/>
      <c r="O384" s="2"/>
      <c r="P384" s="2"/>
      <c r="Q384" s="2"/>
      <c r="R384" s="2"/>
      <c r="S384" s="2"/>
      <c r="T384" s="2"/>
    </row>
    <row r="385" spans="1:20" s="229" customFormat="1" ht="18" customHeight="1">
      <c r="A385" s="224" t="s">
        <v>293</v>
      </c>
      <c r="B385" s="222" t="s">
        <v>23</v>
      </c>
      <c r="C385" s="318">
        <f>D349*C383+C384*D348</f>
        <v>0</v>
      </c>
      <c r="D385" s="222"/>
      <c r="H385" s="291"/>
      <c r="I385" s="291"/>
      <c r="L385" s="2"/>
      <c r="M385" s="2"/>
      <c r="N385" s="2"/>
      <c r="O385" s="2"/>
      <c r="P385" s="2"/>
      <c r="Q385" s="2"/>
      <c r="R385" s="2"/>
      <c r="S385" s="2"/>
      <c r="T385" s="2"/>
    </row>
    <row r="386" spans="1:20" s="229" customFormat="1" ht="18" customHeight="1">
      <c r="A386" s="224" t="s">
        <v>287</v>
      </c>
      <c r="B386" s="222" t="s">
        <v>23</v>
      </c>
      <c r="C386" s="318">
        <f>Assets!C464-Assets!H474</f>
        <v>1.9999999999999991</v>
      </c>
      <c r="D386" s="222"/>
      <c r="H386" s="291"/>
      <c r="I386" s="291"/>
      <c r="L386" s="2"/>
      <c r="M386" s="2"/>
      <c r="N386" s="2"/>
      <c r="O386" s="2"/>
      <c r="P386" s="2"/>
      <c r="Q386" s="2"/>
      <c r="R386" s="2"/>
      <c r="S386" s="2"/>
      <c r="T386" s="2"/>
    </row>
    <row r="387" spans="1:20" s="229" customFormat="1" ht="18" customHeight="1">
      <c r="A387" s="224" t="s">
        <v>288</v>
      </c>
      <c r="B387" s="222" t="s">
        <v>273</v>
      </c>
      <c r="C387" s="318">
        <f>Assets!H461</f>
        <v>22.68</v>
      </c>
      <c r="D387" s="222"/>
      <c r="H387" s="291"/>
      <c r="I387" s="291"/>
      <c r="L387" s="2"/>
      <c r="M387" s="2"/>
      <c r="N387" s="2"/>
      <c r="O387" s="2"/>
      <c r="P387" s="2"/>
      <c r="Q387" s="2"/>
      <c r="R387" s="2"/>
      <c r="S387" s="2"/>
      <c r="T387" s="2"/>
    </row>
    <row r="388" spans="1:20" s="229" customFormat="1" ht="18" customHeight="1">
      <c r="A388" s="224" t="s">
        <v>294</v>
      </c>
      <c r="B388" s="222" t="s">
        <v>23</v>
      </c>
      <c r="C388" s="318">
        <f>D350*C386/C387</f>
        <v>0</v>
      </c>
      <c r="D388" s="222"/>
      <c r="H388" s="291"/>
      <c r="I388" s="291"/>
    </row>
    <row r="389" spans="1:20" s="229" customFormat="1" ht="18" customHeight="1">
      <c r="A389" s="238" t="s">
        <v>317</v>
      </c>
      <c r="B389" s="260" t="s">
        <v>23</v>
      </c>
      <c r="C389" s="318">
        <f>C385-C388</f>
        <v>0</v>
      </c>
      <c r="D389" s="222"/>
      <c r="H389" s="291"/>
      <c r="I389" s="291"/>
    </row>
    <row r="390" spans="1:20" s="229" customFormat="1" ht="18" customHeight="1">
      <c r="A390" s="224" t="s">
        <v>716</v>
      </c>
      <c r="B390" s="260" t="s">
        <v>23</v>
      </c>
      <c r="C390" s="340">
        <f>C389+C86*D348</f>
        <v>0</v>
      </c>
      <c r="D390" s="222"/>
      <c r="H390" s="291"/>
      <c r="I390" s="291"/>
    </row>
    <row r="391" spans="1:20" s="325" customFormat="1" ht="18" customHeight="1">
      <c r="A391" s="224" t="s">
        <v>612</v>
      </c>
      <c r="B391" s="260" t="s">
        <v>23</v>
      </c>
      <c r="C391" s="340">
        <f>D349*Assets!C475+Assets!C476*D348</f>
        <v>0</v>
      </c>
      <c r="D391" s="222"/>
      <c r="H391" s="334"/>
      <c r="I391" s="334"/>
    </row>
    <row r="392" spans="1:20" s="229" customFormat="1" ht="18" customHeight="1">
      <c r="A392" s="202"/>
      <c r="B392" s="202"/>
      <c r="C392" s="233"/>
      <c r="D392" s="291"/>
      <c r="E392" s="291"/>
      <c r="F392" s="291"/>
      <c r="G392" s="291"/>
      <c r="H392" s="291"/>
      <c r="I392" s="291"/>
    </row>
    <row r="393" spans="1:20" s="229" customFormat="1" ht="18" customHeight="1" thickBot="1">
      <c r="A393" s="384" t="s">
        <v>93</v>
      </c>
      <c r="B393" s="202"/>
      <c r="C393" s="84"/>
      <c r="D393" s="291"/>
      <c r="E393" s="291"/>
      <c r="F393" s="291"/>
      <c r="G393" s="291"/>
      <c r="H393" s="291"/>
      <c r="I393" s="291"/>
    </row>
    <row r="394" spans="1:20" s="229" customFormat="1" ht="18" customHeight="1">
      <c r="A394" s="387" t="s">
        <v>715</v>
      </c>
      <c r="B394" s="202"/>
      <c r="C394" s="232"/>
      <c r="E394" s="113"/>
      <c r="F394" s="291"/>
      <c r="G394" s="291"/>
      <c r="H394" s="291"/>
      <c r="I394" s="291"/>
    </row>
    <row r="395" spans="1:20" s="229" customFormat="1" ht="18" customHeight="1">
      <c r="A395" s="59" t="s">
        <v>146</v>
      </c>
      <c r="B395" s="59" t="s">
        <v>273</v>
      </c>
      <c r="C395" s="186">
        <f>Assets!B532</f>
        <v>13.607771099999999</v>
      </c>
      <c r="E395" s="291"/>
      <c r="F395" s="291"/>
      <c r="G395" s="291"/>
      <c r="H395" s="291"/>
      <c r="I395" s="291"/>
    </row>
    <row r="396" spans="1:20" s="229" customFormat="1" ht="18" customHeight="1">
      <c r="A396" s="59" t="s">
        <v>149</v>
      </c>
      <c r="B396" s="295" t="s">
        <v>273</v>
      </c>
      <c r="C396" s="225">
        <f>Assets!B533</f>
        <v>53.977492030000001</v>
      </c>
      <c r="D396" s="225"/>
      <c r="E396" s="225"/>
      <c r="F396" s="2"/>
      <c r="G396" s="2"/>
      <c r="H396" s="2"/>
      <c r="I396" s="2"/>
      <c r="J396" s="2"/>
      <c r="K396" s="2"/>
    </row>
    <row r="397" spans="1:20" s="229" customFormat="1" ht="18" customHeight="1">
      <c r="A397" s="387" t="s">
        <v>714</v>
      </c>
      <c r="B397" s="225"/>
      <c r="C397" s="225"/>
      <c r="D397" s="225"/>
      <c r="E397" s="225"/>
      <c r="F397" s="2"/>
      <c r="G397" s="2"/>
      <c r="H397" s="2"/>
      <c r="I397" s="2"/>
      <c r="J397" s="2"/>
      <c r="K397" s="2"/>
    </row>
    <row r="398" spans="1:20" s="229" customFormat="1" ht="18" customHeight="1">
      <c r="A398" s="59" t="s">
        <v>79</v>
      </c>
      <c r="B398" s="321" t="s">
        <v>36</v>
      </c>
      <c r="C398" s="321">
        <f>(E349*Assets!E532+Assets!F532*E348)+C87*E348</f>
        <v>0</v>
      </c>
      <c r="D398" s="225"/>
      <c r="E398" s="225"/>
      <c r="F398" s="2"/>
      <c r="G398" s="2"/>
      <c r="H398" s="2"/>
      <c r="I398" s="2"/>
      <c r="J398" s="2"/>
      <c r="K398" s="2"/>
    </row>
    <row r="399" spans="1:20" s="229" customFormat="1" ht="18" customHeight="1">
      <c r="A399" s="388" t="s">
        <v>539</v>
      </c>
      <c r="B399" s="70"/>
      <c r="C399" s="186"/>
      <c r="D399" s="225"/>
      <c r="E399" s="225"/>
      <c r="F399" s="2"/>
      <c r="G399" s="2"/>
      <c r="H399" s="2"/>
      <c r="I399" s="2"/>
      <c r="J399" s="2"/>
      <c r="K399" s="2"/>
    </row>
    <row r="400" spans="1:20" s="229" customFormat="1" ht="18" customHeight="1">
      <c r="A400" s="224" t="s">
        <v>535</v>
      </c>
      <c r="B400" s="70" t="s">
        <v>19</v>
      </c>
      <c r="C400" s="126" t="e">
        <f ca="1">J155</f>
        <v>#NAME?</v>
      </c>
      <c r="D400" s="225"/>
      <c r="E400" s="225"/>
      <c r="F400" s="2"/>
      <c r="G400" s="2"/>
      <c r="H400" s="2"/>
      <c r="I400" s="2"/>
      <c r="J400" s="2"/>
      <c r="K400" s="2"/>
    </row>
    <row r="401" spans="1:11" s="229" customFormat="1" ht="18" customHeight="1">
      <c r="A401" s="224" t="s">
        <v>533</v>
      </c>
      <c r="B401" s="70" t="s">
        <v>27</v>
      </c>
      <c r="C401" s="186" t="e">
        <f ca="1">L155</f>
        <v>#NAME?</v>
      </c>
      <c r="D401" s="225"/>
      <c r="E401" s="225"/>
      <c r="F401" s="2"/>
      <c r="G401" s="2"/>
      <c r="H401" s="2"/>
      <c r="I401" s="2"/>
      <c r="J401" s="2"/>
      <c r="K401" s="2"/>
    </row>
    <row r="402" spans="1:11" s="229" customFormat="1" ht="18" customHeight="1">
      <c r="A402" s="224" t="s">
        <v>536</v>
      </c>
      <c r="B402" s="70" t="s">
        <v>537</v>
      </c>
      <c r="C402" s="186">
        <f>C157</f>
        <v>2.7132499999999999</v>
      </c>
      <c r="D402" s="225"/>
      <c r="E402" s="225"/>
      <c r="F402" s="2"/>
      <c r="G402" s="2"/>
      <c r="H402" s="2"/>
      <c r="I402" s="2"/>
      <c r="J402" s="2"/>
      <c r="K402" s="2"/>
    </row>
    <row r="403" spans="1:11" s="229" customFormat="1" ht="18" customHeight="1">
      <c r="A403" s="224" t="s">
        <v>534</v>
      </c>
      <c r="B403" s="70" t="s">
        <v>19</v>
      </c>
      <c r="C403" s="126" t="e">
        <f ca="1">_xll.StmPSH(C402,C401,1)</f>
        <v>#NAME?</v>
      </c>
      <c r="D403" s="225"/>
      <c r="E403" s="225"/>
      <c r="F403" s="2"/>
      <c r="G403" s="2"/>
      <c r="H403" s="2"/>
      <c r="I403" s="2"/>
      <c r="J403" s="2"/>
      <c r="K403" s="2"/>
    </row>
    <row r="404" spans="1:11" s="229" customFormat="1" ht="18" customHeight="1">
      <c r="A404" s="224" t="s">
        <v>540</v>
      </c>
      <c r="B404" s="70" t="s">
        <v>36</v>
      </c>
      <c r="C404" s="186" t="e">
        <f ca="1">(C400-C403)*(E349/3.6)/1000</f>
        <v>#NAME?</v>
      </c>
      <c r="D404" s="225"/>
      <c r="E404" s="225"/>
      <c r="F404" s="2"/>
      <c r="G404" s="2"/>
      <c r="H404" s="2"/>
      <c r="I404" s="2"/>
      <c r="J404" s="2"/>
      <c r="K404" s="2"/>
    </row>
    <row r="405" spans="1:11" s="229" customFormat="1" ht="18" customHeight="1">
      <c r="A405" s="93" t="s">
        <v>538</v>
      </c>
      <c r="B405" s="248" t="s">
        <v>3</v>
      </c>
      <c r="C405" s="248">
        <f ca="1">IFERROR(C398/C404,0)</f>
        <v>0</v>
      </c>
      <c r="D405" s="225"/>
      <c r="E405" s="225"/>
      <c r="F405" s="291"/>
      <c r="G405" s="291"/>
      <c r="H405" s="291"/>
      <c r="I405" s="291"/>
    </row>
    <row r="406" spans="1:11" s="229" customFormat="1" ht="18" customHeight="1">
      <c r="A406" s="202"/>
      <c r="B406" s="225"/>
      <c r="C406" s="225"/>
      <c r="D406" s="225"/>
      <c r="E406" s="225"/>
      <c r="F406" s="291"/>
      <c r="G406" s="291"/>
      <c r="H406" s="291"/>
      <c r="I406" s="291"/>
    </row>
    <row r="407" spans="1:11" s="229" customFormat="1" ht="18" customHeight="1" thickBot="1">
      <c r="A407" s="384" t="s">
        <v>124</v>
      </c>
      <c r="B407" s="225"/>
      <c r="C407" s="225"/>
      <c r="D407" s="225"/>
      <c r="E407" s="225"/>
      <c r="F407" s="291"/>
      <c r="G407" s="291"/>
      <c r="H407" s="291"/>
      <c r="I407" s="291"/>
    </row>
    <row r="408" spans="1:11" s="229" customFormat="1" ht="18" customHeight="1">
      <c r="A408" s="387" t="s">
        <v>774</v>
      </c>
      <c r="B408" s="225"/>
      <c r="C408" s="225"/>
      <c r="D408" s="225"/>
      <c r="E408" s="225"/>
    </row>
    <row r="409" spans="1:11" s="229" customFormat="1" ht="18" customHeight="1">
      <c r="A409" s="59" t="s">
        <v>146</v>
      </c>
      <c r="B409" s="295" t="s">
        <v>273</v>
      </c>
      <c r="C409" s="225">
        <f>Assets!B565</f>
        <v>18.75</v>
      </c>
      <c r="D409" s="225"/>
      <c r="E409" s="225"/>
    </row>
    <row r="410" spans="1:11" s="229" customFormat="1" ht="18" customHeight="1">
      <c r="A410" s="59" t="s">
        <v>149</v>
      </c>
      <c r="B410" s="295" t="s">
        <v>273</v>
      </c>
      <c r="C410" s="225">
        <f>Assets!B563</f>
        <v>30</v>
      </c>
      <c r="D410" s="225"/>
      <c r="E410" s="225"/>
    </row>
    <row r="411" spans="1:11" s="229" customFormat="1" ht="18" customHeight="1">
      <c r="A411" s="202" t="s">
        <v>157</v>
      </c>
      <c r="B411" s="225"/>
      <c r="C411" s="225"/>
      <c r="D411" s="225"/>
      <c r="E411" s="225"/>
    </row>
    <row r="412" spans="1:11" s="229" customFormat="1" ht="18" customHeight="1">
      <c r="A412" s="59" t="s">
        <v>79</v>
      </c>
      <c r="B412" s="321" t="s">
        <v>36</v>
      </c>
      <c r="C412" s="321">
        <f>(F349*Assets!E563+Assets!F563*F348)/1000</f>
        <v>0</v>
      </c>
      <c r="D412" s="225"/>
      <c r="E412" s="225"/>
    </row>
    <row r="413" spans="1:11" s="229" customFormat="1" ht="18" customHeight="1">
      <c r="A413" s="388" t="s">
        <v>539</v>
      </c>
      <c r="B413" s="225"/>
      <c r="C413" s="225"/>
      <c r="D413" s="225"/>
      <c r="E413" s="225"/>
    </row>
    <row r="414" spans="1:11" s="229" customFormat="1" ht="18" customHeight="1">
      <c r="A414" s="224" t="s">
        <v>535</v>
      </c>
      <c r="B414" s="70" t="s">
        <v>19</v>
      </c>
      <c r="C414" s="225" t="e">
        <f ca="1">J155</f>
        <v>#NAME?</v>
      </c>
      <c r="D414" s="225"/>
      <c r="E414" s="225"/>
    </row>
    <row r="415" spans="1:11" s="229" customFormat="1" ht="18" customHeight="1">
      <c r="A415" s="224" t="s">
        <v>533</v>
      </c>
      <c r="B415" s="70" t="s">
        <v>27</v>
      </c>
      <c r="C415" s="225" t="e">
        <f ca="1">L155</f>
        <v>#NAME?</v>
      </c>
      <c r="D415" s="225"/>
      <c r="E415" s="225"/>
    </row>
    <row r="416" spans="1:11" s="229" customFormat="1" ht="18" customHeight="1">
      <c r="A416" s="224" t="s">
        <v>536</v>
      </c>
      <c r="B416" s="70" t="s">
        <v>537</v>
      </c>
      <c r="C416" s="225">
        <f>C157</f>
        <v>2.7132499999999999</v>
      </c>
      <c r="D416" s="225"/>
      <c r="E416" s="225"/>
    </row>
    <row r="417" spans="1:5" s="229" customFormat="1" ht="18" customHeight="1">
      <c r="A417" s="224" t="s">
        <v>534</v>
      </c>
      <c r="B417" s="70" t="s">
        <v>19</v>
      </c>
      <c r="C417" s="126" t="e">
        <f ca="1">_xll.StmPSH(C416,C415,1)</f>
        <v>#NAME?</v>
      </c>
      <c r="D417" s="225"/>
      <c r="E417" s="225"/>
    </row>
    <row r="418" spans="1:5" s="229" customFormat="1" ht="18" customHeight="1">
      <c r="A418" s="224" t="s">
        <v>540</v>
      </c>
      <c r="B418" s="70" t="s">
        <v>36</v>
      </c>
      <c r="C418" s="186" t="e">
        <f ca="1">(C414-C417)*(F355/3.6)/1000</f>
        <v>#NAME?</v>
      </c>
      <c r="D418" s="225"/>
      <c r="E418" s="225"/>
    </row>
    <row r="419" spans="1:5" s="229" customFormat="1" ht="18" customHeight="1">
      <c r="A419" s="93" t="s">
        <v>538</v>
      </c>
      <c r="B419" s="225" t="s">
        <v>3</v>
      </c>
      <c r="C419" s="248">
        <f ca="1">IFERROR(C412/C418,0)</f>
        <v>0</v>
      </c>
      <c r="D419" s="225"/>
      <c r="E419" s="225"/>
    </row>
    <row r="420" spans="1:5" s="325" customFormat="1" ht="18" customHeight="1">
      <c r="B420" s="321"/>
      <c r="C420" s="352"/>
      <c r="D420" s="321"/>
      <c r="E420" s="321"/>
    </row>
    <row r="421" spans="1:5" s="325" customFormat="1" ht="18" customHeight="1" thickBot="1">
      <c r="A421" s="385" t="s">
        <v>685</v>
      </c>
      <c r="B421" s="128"/>
      <c r="C421" s="128"/>
      <c r="D421" s="314"/>
      <c r="E421" s="314"/>
    </row>
    <row r="422" spans="1:5" s="325" customFormat="1" ht="18" customHeight="1">
      <c r="A422" s="33" t="s">
        <v>1012</v>
      </c>
      <c r="C422" s="260"/>
      <c r="D422" s="315"/>
      <c r="E422" s="315"/>
    </row>
    <row r="423" spans="1:5" s="325" customFormat="1" ht="18" customHeight="1">
      <c r="A423" s="222" t="s">
        <v>662</v>
      </c>
      <c r="B423" s="222" t="s">
        <v>537</v>
      </c>
      <c r="C423" s="318">
        <f>C89</f>
        <v>24</v>
      </c>
      <c r="D423" s="314"/>
      <c r="E423" s="314"/>
    </row>
    <row r="424" spans="1:5" s="325" customFormat="1" ht="18" customHeight="1">
      <c r="A424" s="298" t="s">
        <v>663</v>
      </c>
      <c r="B424" s="222" t="s">
        <v>18</v>
      </c>
      <c r="C424" s="318">
        <f>C90</f>
        <v>370</v>
      </c>
      <c r="D424" s="314"/>
      <c r="E424" s="314"/>
    </row>
    <row r="425" spans="1:5" s="325" customFormat="1" ht="18" customHeight="1">
      <c r="A425" s="298" t="s">
        <v>664</v>
      </c>
      <c r="B425" s="298" t="s">
        <v>537</v>
      </c>
      <c r="C425" s="318">
        <f>C91</f>
        <v>2.7</v>
      </c>
      <c r="D425" s="314"/>
      <c r="E425" s="314"/>
    </row>
    <row r="426" spans="1:5" s="325" customFormat="1" ht="18" customHeight="1">
      <c r="A426" s="222" t="s">
        <v>661</v>
      </c>
      <c r="B426" s="314" t="s">
        <v>273</v>
      </c>
      <c r="C426" s="386">
        <f>G349</f>
        <v>22</v>
      </c>
      <c r="D426" s="314"/>
      <c r="E426" s="314"/>
    </row>
    <row r="427" spans="1:5" s="325" customFormat="1" ht="18" customHeight="1">
      <c r="A427" s="314" t="s">
        <v>636</v>
      </c>
      <c r="B427" s="314" t="s">
        <v>19</v>
      </c>
      <c r="C427" s="324" t="e">
        <f ca="1">_xll.StmPTH(C423,C424,1)</f>
        <v>#NAME?</v>
      </c>
      <c r="D427" s="222"/>
      <c r="E427" s="222"/>
    </row>
    <row r="428" spans="1:5" s="325" customFormat="1" ht="18" customHeight="1">
      <c r="A428" s="314" t="s">
        <v>638</v>
      </c>
      <c r="B428" s="314" t="s">
        <v>27</v>
      </c>
      <c r="C428" s="321" t="e">
        <f ca="1">_xll.StmPTS(C423,C424,1)</f>
        <v>#NAME?</v>
      </c>
      <c r="D428" s="128"/>
      <c r="E428" s="298"/>
    </row>
    <row r="429" spans="1:5" s="325" customFormat="1" ht="18" customHeight="1">
      <c r="A429" s="314" t="s">
        <v>639</v>
      </c>
      <c r="B429" s="314" t="s">
        <v>19</v>
      </c>
      <c r="C429" s="324" t="e">
        <f ca="1">_xll.StmPSH(C425,C428,1)</f>
        <v>#NAME?</v>
      </c>
      <c r="D429" s="128"/>
      <c r="E429" s="298" t="s">
        <v>677</v>
      </c>
    </row>
    <row r="430" spans="1:5" s="325" customFormat="1" ht="18" customHeight="1">
      <c r="A430" s="314" t="s">
        <v>678</v>
      </c>
      <c r="B430" s="314" t="s">
        <v>19</v>
      </c>
      <c r="C430" s="324" t="e">
        <f ca="1">C427-C429</f>
        <v>#NAME?</v>
      </c>
      <c r="D430" s="128"/>
      <c r="E430" s="128"/>
    </row>
    <row r="431" spans="1:5" s="325" customFormat="1" ht="18" customHeight="1">
      <c r="A431" s="314" t="s">
        <v>643</v>
      </c>
      <c r="B431" s="314"/>
      <c r="C431" s="324" t="e">
        <f ca="1">(Assets!C606/Assets!C605)*C430*Assets!C594</f>
        <v>#NAME?</v>
      </c>
      <c r="D431" s="128"/>
      <c r="E431" s="128"/>
    </row>
    <row r="432" spans="1:5" s="325" customFormat="1" ht="18" customHeight="1">
      <c r="A432" s="314" t="s">
        <v>644</v>
      </c>
      <c r="B432" s="314"/>
      <c r="C432" s="324" t="e">
        <f ca="1">(Assets!C606+1)*C430/Assets!C605</f>
        <v>#NAME?</v>
      </c>
      <c r="D432" s="128"/>
      <c r="E432" s="128"/>
    </row>
    <row r="433" spans="1:7" s="325" customFormat="1" ht="18" customHeight="1">
      <c r="A433" s="314" t="s">
        <v>665</v>
      </c>
      <c r="B433" s="314" t="s">
        <v>9</v>
      </c>
      <c r="C433" s="324" t="e">
        <f ca="1">C432*C426-C431*G348</f>
        <v>#NAME?</v>
      </c>
      <c r="D433" s="128"/>
      <c r="E433" s="128"/>
    </row>
    <row r="434" spans="1:7" s="325" customFormat="1" ht="18" customHeight="1">
      <c r="A434" s="314" t="s">
        <v>666</v>
      </c>
      <c r="B434" s="314" t="s">
        <v>9</v>
      </c>
      <c r="C434" s="324" t="e">
        <f ca="1">C433*Assets!C584</f>
        <v>#NAME?</v>
      </c>
      <c r="D434" s="128"/>
      <c r="E434" s="128"/>
    </row>
    <row r="435" spans="1:7" s="325" customFormat="1" ht="18" customHeight="1">
      <c r="A435" s="260" t="s">
        <v>681</v>
      </c>
      <c r="B435" s="315" t="s">
        <v>9</v>
      </c>
      <c r="C435" s="324">
        <f>C92*G348</f>
        <v>200</v>
      </c>
      <c r="D435" s="321"/>
      <c r="E435" s="321"/>
    </row>
    <row r="436" spans="1:7" s="325" customFormat="1" ht="18" customHeight="1">
      <c r="A436" s="298" t="s">
        <v>680</v>
      </c>
      <c r="B436" s="315" t="s">
        <v>9</v>
      </c>
      <c r="C436" s="324" t="e">
        <f ca="1">C435+C434</f>
        <v>#NAME?</v>
      </c>
      <c r="D436" s="321"/>
      <c r="E436" s="321"/>
    </row>
    <row r="437" spans="1:7" s="325" customFormat="1" ht="18" customHeight="1">
      <c r="A437" s="298"/>
      <c r="B437" s="315"/>
      <c r="C437" s="324"/>
      <c r="D437" s="321"/>
      <c r="E437" s="321"/>
    </row>
    <row r="438" spans="1:7" s="325" customFormat="1" ht="18" customHeight="1">
      <c r="A438" s="42" t="s">
        <v>1013</v>
      </c>
      <c r="B438" s="315"/>
      <c r="C438" s="324"/>
      <c r="D438" s="321"/>
      <c r="E438" s="321"/>
    </row>
    <row r="439" spans="1:7" s="325" customFormat="1" ht="18" customHeight="1">
      <c r="A439" s="298"/>
      <c r="B439" s="315"/>
      <c r="C439" s="499" t="s">
        <v>46</v>
      </c>
      <c r="D439" s="557" t="s">
        <v>45</v>
      </c>
      <c r="E439" s="321"/>
    </row>
    <row r="440" spans="1:7" s="325" customFormat="1" ht="18" customHeight="1">
      <c r="A440" s="298" t="s">
        <v>1015</v>
      </c>
      <c r="B440" s="315"/>
      <c r="C440" s="321">
        <v>9.2399999999999996E-2</v>
      </c>
      <c r="D440" s="321">
        <v>2.5499999999999998E-2</v>
      </c>
      <c r="E440" s="321"/>
      <c r="F440" s="325" t="s">
        <v>1014</v>
      </c>
    </row>
    <row r="441" spans="1:7" s="325" customFormat="1" ht="18" customHeight="1">
      <c r="A441" s="298" t="s">
        <v>680</v>
      </c>
      <c r="B441" s="315" t="s">
        <v>23</v>
      </c>
      <c r="C441" s="321">
        <f>C440*G349+G348*D440</f>
        <v>2.0583</v>
      </c>
      <c r="D441" s="321"/>
      <c r="E441" s="321"/>
    </row>
    <row r="442" spans="1:7" s="325" customFormat="1" ht="18" customHeight="1">
      <c r="A442" s="298"/>
      <c r="B442" s="315"/>
      <c r="C442" s="321"/>
      <c r="D442" s="321"/>
      <c r="E442" s="321"/>
    </row>
    <row r="443" spans="1:7" s="325" customFormat="1" ht="18" customHeight="1">
      <c r="A443" s="298" t="s">
        <v>333</v>
      </c>
      <c r="B443" s="315" t="s">
        <v>273</v>
      </c>
      <c r="C443" s="321">
        <v>15</v>
      </c>
      <c r="D443" s="321">
        <f>C443+2.5</f>
        <v>17.5</v>
      </c>
      <c r="E443" s="321">
        <f t="shared" ref="E443" si="11">D443+2.5</f>
        <v>20</v>
      </c>
      <c r="F443" s="321">
        <v>23</v>
      </c>
      <c r="G443" s="321"/>
    </row>
    <row r="444" spans="1:7" s="325" customFormat="1" ht="18" customHeight="1">
      <c r="A444" s="298" t="s">
        <v>1016</v>
      </c>
      <c r="B444" s="315" t="s">
        <v>23</v>
      </c>
      <c r="C444" s="321">
        <f>C443*$C$440+$D$440</f>
        <v>1.4115</v>
      </c>
      <c r="D444" s="321">
        <f t="shared" ref="D444:F444" si="12">D443*$C$440+$D$440</f>
        <v>1.6425000000000001</v>
      </c>
      <c r="E444" s="321">
        <f t="shared" si="12"/>
        <v>1.8734999999999999</v>
      </c>
      <c r="F444" s="321">
        <f t="shared" si="12"/>
        <v>2.1507000000000001</v>
      </c>
    </row>
    <row r="445" spans="1:7" s="325" customFormat="1" ht="18" customHeight="1">
      <c r="A445" s="298"/>
      <c r="B445" s="315"/>
      <c r="C445" s="321"/>
      <c r="D445" s="321"/>
      <c r="E445" s="321"/>
    </row>
    <row r="446" spans="1:7" s="325" customFormat="1" ht="18" customHeight="1">
      <c r="A446" s="42" t="s">
        <v>1043</v>
      </c>
      <c r="B446" s="315"/>
      <c r="C446" s="321"/>
      <c r="D446" s="321"/>
      <c r="E446" s="321"/>
    </row>
    <row r="447" spans="1:7" s="325" customFormat="1" ht="18" customHeight="1">
      <c r="A447" s="42"/>
      <c r="B447" s="315"/>
      <c r="C447" s="321"/>
      <c r="D447" s="321"/>
      <c r="E447" s="321"/>
    </row>
    <row r="448" spans="1:7" s="325" customFormat="1" ht="18" customHeight="1">
      <c r="A448" s="325" t="s">
        <v>333</v>
      </c>
      <c r="B448" s="315" t="s">
        <v>273</v>
      </c>
      <c r="C448" s="321">
        <v>15</v>
      </c>
      <c r="D448" s="321">
        <v>23</v>
      </c>
      <c r="E448" s="321"/>
    </row>
    <row r="449" spans="1:12" s="325" customFormat="1" ht="18" customHeight="1">
      <c r="A449" s="325" t="s">
        <v>1016</v>
      </c>
      <c r="B449" s="315" t="s">
        <v>23</v>
      </c>
      <c r="C449" s="321">
        <v>1.41</v>
      </c>
      <c r="D449" s="321">
        <v>1.9</v>
      </c>
      <c r="E449" s="321"/>
    </row>
    <row r="450" spans="1:12" s="325" customFormat="1" ht="18" customHeight="1">
      <c r="A450" s="298"/>
      <c r="B450" s="315"/>
      <c r="C450" s="324"/>
      <c r="D450" s="321"/>
      <c r="E450" s="321"/>
    </row>
    <row r="451" spans="1:12" s="325" customFormat="1" ht="18" customHeight="1">
      <c r="A451" s="298"/>
      <c r="B451" s="315"/>
      <c r="C451" s="499" t="s">
        <v>46</v>
      </c>
      <c r="D451" s="557" t="s">
        <v>45</v>
      </c>
      <c r="E451" s="321"/>
    </row>
    <row r="452" spans="1:12" s="325" customFormat="1" ht="18" customHeight="1">
      <c r="A452" s="298" t="s">
        <v>1044</v>
      </c>
      <c r="B452" s="315"/>
      <c r="C452" s="321">
        <f>SLOPE(C449:D449,C448:D448)</f>
        <v>6.1249999999999999E-2</v>
      </c>
      <c r="D452" s="321">
        <f>INTERCEPT(C449:D449,C448:D448)</f>
        <v>0.49124999999999974</v>
      </c>
      <c r="E452" s="321"/>
    </row>
    <row r="453" spans="1:12" s="325" customFormat="1" ht="18" customHeight="1">
      <c r="A453" s="298" t="s">
        <v>680</v>
      </c>
      <c r="B453" s="315" t="s">
        <v>23</v>
      </c>
      <c r="C453" s="321">
        <v>1.9</v>
      </c>
      <c r="D453" s="321"/>
      <c r="E453" s="321"/>
    </row>
    <row r="454" spans="1:12" s="229" customFormat="1" ht="18" customHeight="1">
      <c r="B454" s="225"/>
      <c r="C454" s="225"/>
      <c r="D454" s="225"/>
      <c r="E454" s="225"/>
    </row>
    <row r="455" spans="1:12" s="229" customFormat="1" ht="18" customHeight="1" thickBot="1">
      <c r="A455" s="375" t="s">
        <v>243</v>
      </c>
      <c r="B455" s="401"/>
      <c r="C455" s="401"/>
      <c r="D455" s="401"/>
      <c r="E455" s="401"/>
      <c r="F455" s="137"/>
      <c r="G455" s="137"/>
      <c r="H455" s="137"/>
      <c r="I455" s="137"/>
      <c r="J455" s="137"/>
      <c r="K455" s="137"/>
      <c r="L455" s="137"/>
    </row>
    <row r="456" spans="1:12" s="229" customFormat="1" ht="18" customHeight="1" thickTop="1">
      <c r="A456" s="407" t="s">
        <v>285</v>
      </c>
      <c r="B456" s="407"/>
      <c r="C456" s="407"/>
      <c r="D456" s="407"/>
      <c r="E456" s="407"/>
      <c r="F456" s="115"/>
      <c r="G456" s="115"/>
      <c r="H456" s="115"/>
      <c r="I456" s="115"/>
    </row>
    <row r="457" spans="1:12" s="229" customFormat="1" ht="18" customHeight="1">
      <c r="A457" s="291"/>
      <c r="B457" s="291"/>
      <c r="C457" s="289" t="s">
        <v>47</v>
      </c>
      <c r="D457" s="289" t="s">
        <v>60</v>
      </c>
      <c r="E457" s="289" t="s">
        <v>313</v>
      </c>
      <c r="F457" s="290" t="s">
        <v>171</v>
      </c>
      <c r="G457" s="290" t="s">
        <v>172</v>
      </c>
      <c r="H457" s="290" t="s">
        <v>965</v>
      </c>
    </row>
    <row r="458" spans="1:12" s="229" customFormat="1" ht="18" customHeight="1">
      <c r="A458" s="235" t="s">
        <v>134</v>
      </c>
      <c r="B458" s="235" t="s">
        <v>83</v>
      </c>
      <c r="C458" s="402">
        <f>E40</f>
        <v>0</v>
      </c>
      <c r="D458" s="402">
        <f>E41</f>
        <v>0</v>
      </c>
      <c r="E458" s="402">
        <f>E42</f>
        <v>0</v>
      </c>
      <c r="F458" s="405">
        <f>E48</f>
        <v>1</v>
      </c>
      <c r="G458" s="405">
        <f>E49</f>
        <v>1</v>
      </c>
      <c r="H458" s="331">
        <f>E47</f>
        <v>0</v>
      </c>
    </row>
    <row r="459" spans="1:12" s="229" customFormat="1" ht="18" customHeight="1">
      <c r="A459" s="235" t="s">
        <v>135</v>
      </c>
      <c r="B459" s="235" t="s">
        <v>273</v>
      </c>
      <c r="C459" s="403">
        <f>E22</f>
        <v>0</v>
      </c>
      <c r="D459" s="403">
        <f>E23</f>
        <v>0</v>
      </c>
      <c r="E459" s="403">
        <f>E24</f>
        <v>0</v>
      </c>
      <c r="F459" s="404">
        <f>E30</f>
        <v>5.8800515000000004</v>
      </c>
      <c r="G459" s="404">
        <f>E31</f>
        <v>4</v>
      </c>
      <c r="H459" s="331">
        <f>E29</f>
        <v>0</v>
      </c>
    </row>
    <row r="460" spans="1:12" s="229" customFormat="1" ht="18" customHeight="1">
      <c r="A460" s="235"/>
      <c r="B460" s="235"/>
      <c r="C460" s="86"/>
      <c r="D460" s="86"/>
      <c r="E460" s="86"/>
      <c r="F460" s="325"/>
      <c r="G460" s="325"/>
    </row>
    <row r="461" spans="1:12" s="229" customFormat="1" ht="18" customHeight="1">
      <c r="A461" s="408" t="s">
        <v>286</v>
      </c>
      <c r="B461" s="408"/>
      <c r="C461" s="408"/>
      <c r="D461" s="408"/>
      <c r="E461" s="408"/>
      <c r="F461" s="116"/>
      <c r="G461" s="116"/>
      <c r="H461" s="116"/>
      <c r="I461" s="116"/>
    </row>
    <row r="462" spans="1:12" s="229" customFormat="1" ht="18" customHeight="1">
      <c r="A462" s="234"/>
      <c r="B462" s="234"/>
      <c r="C462" s="290" t="str">
        <f>C457</f>
        <v>B5</v>
      </c>
      <c r="D462" s="504" t="s">
        <v>60</v>
      </c>
      <c r="E462" s="504" t="s">
        <v>313</v>
      </c>
      <c r="F462" s="290" t="str">
        <f>F457</f>
        <v>MP-1</v>
      </c>
      <c r="G462" s="290" t="str">
        <f>G457</f>
        <v>MP-2</v>
      </c>
      <c r="H462" s="290" t="str">
        <f>H457</f>
        <v>Aux. boiler</v>
      </c>
    </row>
    <row r="463" spans="1:12" s="229" customFormat="1" ht="18" customHeight="1">
      <c r="A463" s="234" t="s">
        <v>136</v>
      </c>
      <c r="B463" s="234" t="s">
        <v>8</v>
      </c>
      <c r="C463" s="351" t="e">
        <f t="shared" ref="C463:E465" ca="1" si="13">C475</f>
        <v>#NAME?</v>
      </c>
      <c r="D463" s="81" t="e">
        <f t="shared" ca="1" si="13"/>
        <v>#NAME?</v>
      </c>
      <c r="E463" s="81" t="e">
        <f t="shared" ca="1" si="13"/>
        <v>#NAME?</v>
      </c>
      <c r="F463" s="536" t="e">
        <f ca="1">IF(Operator!$F$5="Variable",Model!C485,Model!C495)</f>
        <v>#NAME?</v>
      </c>
      <c r="G463" s="536" t="e">
        <f ca="1">IF(Operator!$F$5="Variable",Model!D485,Model!D495)</f>
        <v>#NAME?</v>
      </c>
      <c r="H463" s="351" t="e">
        <f ca="1">F475</f>
        <v>#NAME?</v>
      </c>
    </row>
    <row r="464" spans="1:12" s="229" customFormat="1" ht="18" customHeight="1">
      <c r="A464" s="234" t="s">
        <v>0</v>
      </c>
      <c r="B464" s="302" t="s">
        <v>273</v>
      </c>
      <c r="C464" s="331">
        <f t="shared" si="13"/>
        <v>0</v>
      </c>
      <c r="D464" s="86">
        <f t="shared" si="13"/>
        <v>0</v>
      </c>
      <c r="E464" s="86">
        <f t="shared" si="13"/>
        <v>0</v>
      </c>
      <c r="F464" s="331">
        <f>C489</f>
        <v>3.0897741038487626E-2</v>
      </c>
      <c r="G464" s="331">
        <f>D489</f>
        <v>0.04</v>
      </c>
      <c r="H464" s="340">
        <f>F476</f>
        <v>0</v>
      </c>
    </row>
    <row r="465" spans="1:11" s="229" customFormat="1" ht="18" customHeight="1">
      <c r="A465" s="235" t="s">
        <v>33</v>
      </c>
      <c r="B465" s="235" t="s">
        <v>273</v>
      </c>
      <c r="C465" s="331">
        <f t="shared" si="13"/>
        <v>0</v>
      </c>
      <c r="D465" s="86">
        <f t="shared" si="13"/>
        <v>0</v>
      </c>
      <c r="E465" s="86">
        <f t="shared" si="13"/>
        <v>0</v>
      </c>
      <c r="F465" s="331">
        <f>C490</f>
        <v>5.9109492410384883</v>
      </c>
      <c r="G465" s="331">
        <f>D490</f>
        <v>4.04</v>
      </c>
      <c r="H465" s="340">
        <f>F477</f>
        <v>0</v>
      </c>
    </row>
    <row r="466" spans="1:11" s="229" customFormat="1" ht="18" customHeight="1">
      <c r="A466" s="235" t="s">
        <v>196</v>
      </c>
      <c r="B466" s="235" t="s">
        <v>273</v>
      </c>
      <c r="C466" s="331">
        <f>C459</f>
        <v>0</v>
      </c>
      <c r="D466" s="86">
        <f>D471</f>
        <v>0</v>
      </c>
      <c r="E466" s="86">
        <f>E471</f>
        <v>0</v>
      </c>
      <c r="F466" s="331">
        <f>C482</f>
        <v>5.8800515000000004</v>
      </c>
      <c r="G466" s="331">
        <f>D482</f>
        <v>4</v>
      </c>
      <c r="H466" s="340">
        <f>F471</f>
        <v>0</v>
      </c>
    </row>
    <row r="467" spans="1:11" s="229" customFormat="1" ht="18" customHeight="1">
      <c r="A467" s="235"/>
      <c r="B467" s="235"/>
      <c r="C467" s="86"/>
      <c r="D467" s="86"/>
      <c r="E467" s="86"/>
      <c r="F467" s="325"/>
      <c r="G467" s="325"/>
    </row>
    <row r="468" spans="1:11" s="229" customFormat="1" ht="18" customHeight="1">
      <c r="A468" s="87" t="s">
        <v>908</v>
      </c>
      <c r="B468" s="291"/>
      <c r="C468" s="291"/>
      <c r="D468" s="291"/>
      <c r="E468" s="291"/>
      <c r="F468" s="291"/>
      <c r="G468" s="291"/>
      <c r="H468" s="291"/>
      <c r="I468" s="291"/>
      <c r="J468" s="291"/>
    </row>
    <row r="469" spans="1:11" s="229" customFormat="1" ht="18" customHeight="1">
      <c r="C469" s="395" t="s">
        <v>168</v>
      </c>
      <c r="D469" s="395" t="str">
        <f>D462</f>
        <v>B7</v>
      </c>
      <c r="E469" s="395" t="str">
        <f>E462</f>
        <v>B9</v>
      </c>
      <c r="F469" s="290" t="s">
        <v>965</v>
      </c>
      <c r="H469" s="85"/>
      <c r="I469" s="234"/>
      <c r="J469" s="320"/>
      <c r="K469" s="291"/>
    </row>
    <row r="470" spans="1:11" s="229" customFormat="1" ht="18" customHeight="1">
      <c r="A470" s="278" t="s">
        <v>137</v>
      </c>
      <c r="B470" s="127" t="s">
        <v>83</v>
      </c>
      <c r="C470" s="279">
        <f t="shared" ref="C470:E471" si="14">C458</f>
        <v>0</v>
      </c>
      <c r="D470" s="279">
        <f t="shared" si="14"/>
        <v>0</v>
      </c>
      <c r="E470" s="279">
        <f t="shared" si="14"/>
        <v>0</v>
      </c>
      <c r="F470" s="340">
        <f>H458</f>
        <v>0</v>
      </c>
      <c r="H470" s="117"/>
      <c r="J470" s="320"/>
      <c r="K470" s="291"/>
    </row>
    <row r="471" spans="1:11" s="229" customFormat="1" ht="18" customHeight="1">
      <c r="A471" s="278" t="s">
        <v>869</v>
      </c>
      <c r="B471" s="127" t="s">
        <v>273</v>
      </c>
      <c r="C471" s="279">
        <f t="shared" si="14"/>
        <v>0</v>
      </c>
      <c r="D471" s="279">
        <f t="shared" si="14"/>
        <v>0</v>
      </c>
      <c r="E471" s="279">
        <f t="shared" si="14"/>
        <v>0</v>
      </c>
      <c r="F471" s="340">
        <f>H459</f>
        <v>0</v>
      </c>
      <c r="H471" s="117"/>
      <c r="J471" s="291"/>
      <c r="K471" s="291"/>
    </row>
    <row r="472" spans="1:11" s="325" customFormat="1" ht="18" customHeight="1">
      <c r="A472" s="280" t="str">
        <f t="shared" ref="A472:E473" si="15">A96</f>
        <v>Gross efficiency</v>
      </c>
      <c r="B472" s="280" t="str">
        <f t="shared" si="15"/>
        <v>%</v>
      </c>
      <c r="C472" s="281">
        <f t="shared" si="15"/>
        <v>0.8</v>
      </c>
      <c r="D472" s="281">
        <f t="shared" si="15"/>
        <v>0.8</v>
      </c>
      <c r="E472" s="281">
        <f t="shared" si="15"/>
        <v>0.8</v>
      </c>
      <c r="F472" s="332">
        <f>J96</f>
        <v>0.65</v>
      </c>
      <c r="H472" s="117"/>
      <c r="J472" s="334"/>
      <c r="K472" s="334"/>
    </row>
    <row r="473" spans="1:11" s="325" customFormat="1" ht="18" customHeight="1">
      <c r="A473" s="280" t="str">
        <f t="shared" si="15"/>
        <v>Blowdown rate</v>
      </c>
      <c r="B473" s="280" t="str">
        <f t="shared" si="15"/>
        <v>%</v>
      </c>
      <c r="C473" s="281">
        <f t="shared" si="15"/>
        <v>0.01</v>
      </c>
      <c r="D473" s="281">
        <f t="shared" si="15"/>
        <v>0.01</v>
      </c>
      <c r="E473" s="281">
        <f t="shared" si="15"/>
        <v>0.01</v>
      </c>
      <c r="F473" s="332">
        <f>J97</f>
        <v>0.01</v>
      </c>
      <c r="J473" s="334"/>
      <c r="K473" s="334"/>
    </row>
    <row r="474" spans="1:11" s="325" customFormat="1" ht="18" customHeight="1">
      <c r="A474" s="94" t="s">
        <v>872</v>
      </c>
      <c r="B474" s="127" t="s">
        <v>8</v>
      </c>
      <c r="C474" s="214" t="e">
        <f ca="1">(C471/3.6)*$I$148</f>
        <v>#NAME?</v>
      </c>
      <c r="D474" s="214" t="e">
        <f ca="1">(D471/3.6)*$I$148</f>
        <v>#NAME?</v>
      </c>
      <c r="E474" s="214" t="e">
        <f ca="1">(E471/3.6)*$I$148</f>
        <v>#NAME?</v>
      </c>
      <c r="F474" s="214" t="e">
        <f ca="1">(F471/3.6)*$I$149</f>
        <v>#NAME?</v>
      </c>
      <c r="J474" s="334"/>
      <c r="K474" s="334"/>
    </row>
    <row r="475" spans="1:11" s="325" customFormat="1" ht="18" customHeight="1">
      <c r="A475" s="95" t="s">
        <v>870</v>
      </c>
      <c r="B475" s="127" t="s">
        <v>8</v>
      </c>
      <c r="C475" s="179" t="e">
        <f ca="1">C474*(1/C472)</f>
        <v>#NAME?</v>
      </c>
      <c r="D475" s="179" t="e">
        <f ca="1">D474*(1/D472)</f>
        <v>#NAME?</v>
      </c>
      <c r="E475" s="179" t="e">
        <f ca="1">E474*(1/E472)</f>
        <v>#NAME?</v>
      </c>
      <c r="F475" s="345" t="e">
        <f ca="1">F474*(1/F472)</f>
        <v>#NAME?</v>
      </c>
      <c r="H475" s="117"/>
      <c r="J475" s="334"/>
      <c r="K475" s="334"/>
    </row>
    <row r="476" spans="1:11" s="325" customFormat="1" ht="18" customHeight="1">
      <c r="A476" s="96" t="s">
        <v>0</v>
      </c>
      <c r="B476" s="127" t="s">
        <v>273</v>
      </c>
      <c r="C476" s="282">
        <f>C471*C473</f>
        <v>0</v>
      </c>
      <c r="D476" s="282">
        <f>D471*D473</f>
        <v>0</v>
      </c>
      <c r="E476" s="282">
        <f>E471*E473</f>
        <v>0</v>
      </c>
      <c r="F476" s="282">
        <f>F471*F473</f>
        <v>0</v>
      </c>
      <c r="H476" s="117"/>
      <c r="J476" s="334"/>
      <c r="K476" s="334"/>
    </row>
    <row r="477" spans="1:11" s="325" customFormat="1" ht="18" customHeight="1">
      <c r="A477" s="95" t="s">
        <v>871</v>
      </c>
      <c r="B477" s="127" t="str">
        <f>B476</f>
        <v>t/h</v>
      </c>
      <c r="C477" s="282">
        <f>C476+C471</f>
        <v>0</v>
      </c>
      <c r="D477" s="282">
        <f>D476+D471</f>
        <v>0</v>
      </c>
      <c r="E477" s="282">
        <f>E476+E471</f>
        <v>0</v>
      </c>
      <c r="F477" s="282">
        <f>F476+F471</f>
        <v>0</v>
      </c>
      <c r="H477" s="117"/>
      <c r="J477" s="334"/>
      <c r="K477" s="334"/>
    </row>
    <row r="478" spans="1:11" s="325" customFormat="1" ht="18" customHeight="1">
      <c r="A478" s="95"/>
      <c r="B478" s="127"/>
      <c r="C478" s="282"/>
      <c r="D478" s="282"/>
      <c r="E478" s="282"/>
      <c r="F478" s="282"/>
      <c r="G478" s="282"/>
      <c r="H478" s="117"/>
      <c r="J478" s="334"/>
      <c r="K478" s="334"/>
    </row>
    <row r="479" spans="1:11" s="325" customFormat="1" ht="18" customHeight="1">
      <c r="A479" s="534" t="s">
        <v>1019</v>
      </c>
      <c r="E479" s="282"/>
      <c r="F479" s="282"/>
      <c r="G479" s="282"/>
      <c r="H479" s="117"/>
      <c r="J479" s="334"/>
      <c r="K479" s="334"/>
    </row>
    <row r="480" spans="1:11" s="325" customFormat="1" ht="18" customHeight="1">
      <c r="A480" s="95"/>
      <c r="B480" s="127"/>
      <c r="C480" s="395" t="str">
        <f>F462</f>
        <v>MP-1</v>
      </c>
      <c r="D480" s="395" t="str">
        <f>G462</f>
        <v>MP-2</v>
      </c>
      <c r="E480" s="282"/>
      <c r="F480" s="282"/>
      <c r="G480" s="282"/>
      <c r="H480" s="117"/>
      <c r="J480" s="334"/>
      <c r="K480" s="334"/>
    </row>
    <row r="481" spans="1:11" s="325" customFormat="1" ht="18" customHeight="1">
      <c r="A481" s="95" t="s">
        <v>137</v>
      </c>
      <c r="B481" s="127" t="s">
        <v>83</v>
      </c>
      <c r="C481" s="279">
        <f>F458</f>
        <v>1</v>
      </c>
      <c r="D481" s="279">
        <f>G458</f>
        <v>1</v>
      </c>
      <c r="E481" s="282"/>
      <c r="F481" s="282"/>
      <c r="G481" s="282"/>
      <c r="H481" s="117"/>
      <c r="J481" s="334"/>
      <c r="K481" s="334"/>
    </row>
    <row r="482" spans="1:11" s="325" customFormat="1" ht="18" customHeight="1">
      <c r="A482" s="95" t="s">
        <v>869</v>
      </c>
      <c r="B482" s="127" t="s">
        <v>273</v>
      </c>
      <c r="C482" s="279">
        <f>F459</f>
        <v>5.8800515000000004</v>
      </c>
      <c r="D482" s="279">
        <f>G459</f>
        <v>4</v>
      </c>
      <c r="E482" s="282"/>
      <c r="F482" s="282"/>
      <c r="G482" s="282"/>
      <c r="H482" s="117"/>
      <c r="J482" s="334"/>
      <c r="K482" s="334"/>
    </row>
    <row r="483" spans="1:11" s="325" customFormat="1" ht="18" customHeight="1">
      <c r="A483" s="95" t="s">
        <v>896</v>
      </c>
      <c r="B483" s="127" t="s">
        <v>19</v>
      </c>
      <c r="C483" s="484" t="e">
        <f ca="1">$I$150</f>
        <v>#NAME?</v>
      </c>
      <c r="D483" s="484" t="e">
        <f ca="1">$I$150</f>
        <v>#NAME?</v>
      </c>
      <c r="E483" s="282"/>
      <c r="F483" s="282"/>
      <c r="G483" s="282"/>
      <c r="H483" s="117"/>
      <c r="J483" s="334"/>
      <c r="K483" s="334"/>
    </row>
    <row r="484" spans="1:11" s="325" customFormat="1" ht="18" customHeight="1">
      <c r="A484" s="95" t="s">
        <v>868</v>
      </c>
      <c r="B484" s="127" t="s">
        <v>273</v>
      </c>
      <c r="C484" s="484">
        <f>Assets!$K$779</f>
        <v>20.507061395666256</v>
      </c>
      <c r="D484" s="484">
        <f>Assets!$K$779</f>
        <v>20.507061395666256</v>
      </c>
      <c r="E484" s="282"/>
      <c r="F484" s="282"/>
      <c r="G484" s="282"/>
      <c r="H484" s="117"/>
      <c r="J484" s="334"/>
      <c r="K484" s="334"/>
    </row>
    <row r="485" spans="1:11" s="325" customFormat="1" ht="18" customHeight="1">
      <c r="A485" s="95" t="s">
        <v>909</v>
      </c>
      <c r="B485" s="127" t="s">
        <v>327</v>
      </c>
      <c r="C485" s="484" t="e">
        <f ca="1">C483*(F98*(C482/3.6)+G98*(C484/3.6)*C481)</f>
        <v>#NAME?</v>
      </c>
      <c r="D485" s="484" t="e">
        <f ca="1">D483*(H98*(D482/3.6)+I98*(D484/3.6)*D481)</f>
        <v>#NAME?</v>
      </c>
      <c r="E485" s="282"/>
      <c r="F485" s="282"/>
      <c r="G485" s="282"/>
      <c r="H485" s="117"/>
      <c r="J485" s="334"/>
      <c r="K485" s="334"/>
    </row>
    <row r="486" spans="1:11" s="325" customFormat="1" ht="18" customHeight="1">
      <c r="A486" s="95" t="s">
        <v>910</v>
      </c>
      <c r="B486" s="127" t="s">
        <v>8</v>
      </c>
      <c r="C486" s="484" t="e">
        <f ca="1">(C482/3.6)*C483</f>
        <v>#NAME?</v>
      </c>
      <c r="D486" s="484" t="e">
        <f ca="1">(D482/3.6)*D483</f>
        <v>#NAME?</v>
      </c>
      <c r="E486" s="282"/>
      <c r="F486" s="282"/>
      <c r="G486" s="282"/>
      <c r="H486" s="117"/>
      <c r="J486" s="334"/>
      <c r="K486" s="334"/>
    </row>
    <row r="487" spans="1:11" s="325" customFormat="1" ht="18" customHeight="1">
      <c r="A487" s="95" t="s">
        <v>873</v>
      </c>
      <c r="B487" s="127" t="s">
        <v>3</v>
      </c>
      <c r="C487" s="491">
        <f ca="1">IFERROR(C486/C485,0)</f>
        <v>0</v>
      </c>
      <c r="D487" s="491">
        <f ca="1">IFERROR(D486/D485,0)</f>
        <v>0</v>
      </c>
      <c r="E487" s="282"/>
      <c r="F487" s="282"/>
      <c r="G487" s="282"/>
      <c r="H487" s="117"/>
      <c r="J487" s="334"/>
      <c r="K487" s="334"/>
    </row>
    <row r="488" spans="1:11" s="325" customFormat="1" ht="18" customHeight="1">
      <c r="A488" s="95" t="s">
        <v>31</v>
      </c>
      <c r="B488" s="127" t="s">
        <v>3</v>
      </c>
      <c r="C488" s="281">
        <f>G98</f>
        <v>5.2546718406271823E-3</v>
      </c>
      <c r="D488" s="281">
        <f>H99</f>
        <v>0.01</v>
      </c>
      <c r="E488" s="282"/>
      <c r="F488" s="282"/>
      <c r="G488" s="282"/>
      <c r="H488" s="117"/>
      <c r="J488" s="334"/>
      <c r="K488" s="334"/>
    </row>
    <row r="489" spans="1:11" s="229" customFormat="1" ht="18" customHeight="1">
      <c r="A489" s="229" t="s">
        <v>0</v>
      </c>
      <c r="B489" s="229" t="s">
        <v>273</v>
      </c>
      <c r="C489" s="282">
        <f>C482*C488</f>
        <v>3.0897741038487626E-2</v>
      </c>
      <c r="D489" s="282">
        <f>D482*D488</f>
        <v>0.04</v>
      </c>
      <c r="H489" s="118"/>
      <c r="J489" s="291"/>
      <c r="K489" s="291"/>
    </row>
    <row r="490" spans="1:11" s="229" customFormat="1" ht="18" customHeight="1">
      <c r="A490" s="229" t="s">
        <v>871</v>
      </c>
      <c r="B490" s="229" t="s">
        <v>273</v>
      </c>
      <c r="C490" s="282">
        <f>C489+C482</f>
        <v>5.9109492410384883</v>
      </c>
      <c r="D490" s="282">
        <f>D489+D482</f>
        <v>4.04</v>
      </c>
      <c r="H490" s="85"/>
      <c r="J490" s="291"/>
      <c r="K490" s="291"/>
    </row>
    <row r="491" spans="1:11" s="325" customFormat="1" ht="18" customHeight="1">
      <c r="C491" s="282"/>
      <c r="D491" s="282"/>
      <c r="H491" s="329"/>
      <c r="J491" s="334"/>
      <c r="K491" s="334"/>
    </row>
    <row r="492" spans="1:11" s="325" customFormat="1" ht="18" customHeight="1">
      <c r="A492" s="42" t="s">
        <v>1020</v>
      </c>
      <c r="C492" s="282"/>
      <c r="D492" s="282"/>
      <c r="H492" s="329"/>
      <c r="J492" s="334"/>
      <c r="K492" s="334"/>
    </row>
    <row r="493" spans="1:11" s="325" customFormat="1" ht="18" customHeight="1">
      <c r="A493" s="325" t="s">
        <v>910</v>
      </c>
      <c r="B493" s="325" t="s">
        <v>8</v>
      </c>
      <c r="C493" s="345" t="e">
        <f ca="1">(C482/3.6)*C483</f>
        <v>#NAME?</v>
      </c>
      <c r="D493" s="345" t="e">
        <f ca="1">(D482/3.6)*D483</f>
        <v>#NAME?</v>
      </c>
      <c r="H493" s="329"/>
      <c r="J493" s="334"/>
      <c r="K493" s="334"/>
    </row>
    <row r="494" spans="1:11" s="325" customFormat="1" ht="18" customHeight="1">
      <c r="A494" s="325" t="s">
        <v>873</v>
      </c>
      <c r="B494" s="325" t="s">
        <v>1021</v>
      </c>
      <c r="C494" s="535">
        <f>F96</f>
        <v>0.8</v>
      </c>
      <c r="D494" s="535">
        <f>H96</f>
        <v>0.8</v>
      </c>
      <c r="H494" s="329"/>
      <c r="J494" s="334"/>
      <c r="K494" s="334"/>
    </row>
    <row r="495" spans="1:11" s="325" customFormat="1" ht="18" customHeight="1">
      <c r="A495" s="325" t="s">
        <v>870</v>
      </c>
      <c r="B495" s="325" t="s">
        <v>327</v>
      </c>
      <c r="C495" s="345" t="e">
        <f ca="1">C493/C494</f>
        <v>#NAME?</v>
      </c>
      <c r="D495" s="345" t="e">
        <f ca="1">D493/D494</f>
        <v>#NAME?</v>
      </c>
      <c r="H495" s="329"/>
      <c r="J495" s="334"/>
      <c r="K495" s="334"/>
    </row>
    <row r="496" spans="1:11" s="325" customFormat="1" ht="18" customHeight="1">
      <c r="A496" s="325" t="s">
        <v>1024</v>
      </c>
      <c r="C496" s="282"/>
      <c r="D496" s="282"/>
      <c r="H496" s="329"/>
      <c r="J496" s="334"/>
      <c r="K496" s="334"/>
    </row>
    <row r="497" spans="1:12" s="325" customFormat="1" ht="18" customHeight="1">
      <c r="C497" s="282"/>
      <c r="D497" s="282"/>
      <c r="H497" s="329"/>
      <c r="J497" s="334"/>
      <c r="K497" s="334"/>
    </row>
    <row r="498" spans="1:12" s="229" customFormat="1" ht="18" customHeight="1">
      <c r="J498" s="291"/>
      <c r="K498" s="291"/>
      <c r="L498" s="291"/>
    </row>
    <row r="499" spans="1:12" s="229" customFormat="1" ht="18" customHeight="1">
      <c r="A499" s="291" t="s">
        <v>182</v>
      </c>
      <c r="J499" s="291"/>
      <c r="K499" s="291"/>
      <c r="L499" s="291"/>
    </row>
    <row r="500" spans="1:12" s="229" customFormat="1" ht="18" customHeight="1">
      <c r="I500" s="291"/>
      <c r="J500" s="291"/>
      <c r="K500" s="291"/>
      <c r="L500" s="291"/>
    </row>
    <row r="501" spans="1:12" s="229" customFormat="1" ht="18" customHeight="1" thickBot="1">
      <c r="A501" s="375" t="s">
        <v>244</v>
      </c>
      <c r="B501" s="390"/>
      <c r="C501" s="390"/>
      <c r="D501" s="390"/>
      <c r="E501" s="390"/>
      <c r="F501" s="137"/>
      <c r="G501" s="137"/>
      <c r="H501" s="137"/>
      <c r="I501" s="137"/>
      <c r="J501" s="137"/>
      <c r="K501" s="137"/>
    </row>
    <row r="502" spans="1:12" s="229" customFormat="1" ht="18" customHeight="1" thickTop="1">
      <c r="A502" s="407" t="s">
        <v>285</v>
      </c>
      <c r="B502" s="407"/>
      <c r="C502" s="407"/>
      <c r="D502" s="407"/>
      <c r="E502" s="407"/>
    </row>
    <row r="503" spans="1:12" s="229" customFormat="1" ht="18" customHeight="1">
      <c r="A503" s="291" t="s">
        <v>138</v>
      </c>
      <c r="B503" s="303" t="s">
        <v>273</v>
      </c>
      <c r="C503" s="30">
        <f>SUM(C466:E466)</f>
        <v>0</v>
      </c>
      <c r="D503" s="334"/>
    </row>
    <row r="504" spans="1:12" s="229" customFormat="1" ht="18" customHeight="1">
      <c r="A504" s="229" t="s">
        <v>139</v>
      </c>
      <c r="B504" s="299" t="s">
        <v>273</v>
      </c>
      <c r="C504" s="107">
        <f ca="1">SUM(C309:D311)+H459</f>
        <v>45.744131999338265</v>
      </c>
      <c r="D504" s="325"/>
    </row>
    <row r="505" spans="1:12" s="229" customFormat="1" ht="18" customHeight="1">
      <c r="A505" s="229" t="s">
        <v>173</v>
      </c>
      <c r="B505" s="299" t="s">
        <v>273</v>
      </c>
      <c r="C505" s="107" t="e">
        <f ca="1">SUM(F466:G466,C624)</f>
        <v>#NAME?</v>
      </c>
      <c r="D505" s="325"/>
    </row>
    <row r="506" spans="1:12" s="229" customFormat="1" ht="18" customHeight="1">
      <c r="A506" s="229" t="s">
        <v>339</v>
      </c>
      <c r="B506" s="299" t="s">
        <v>273</v>
      </c>
      <c r="C506" s="107">
        <v>0</v>
      </c>
      <c r="D506" s="325"/>
      <c r="E506" s="340"/>
    </row>
    <row r="507" spans="1:12" s="229" customFormat="1" ht="18" customHeight="1">
      <c r="A507" s="291" t="s">
        <v>32</v>
      </c>
      <c r="B507" s="291" t="s">
        <v>18</v>
      </c>
      <c r="C507" s="30">
        <f>C108</f>
        <v>80</v>
      </c>
      <c r="D507" s="334"/>
      <c r="E507" s="320"/>
      <c r="I507" s="291"/>
      <c r="J507" s="291"/>
      <c r="K507" s="291"/>
    </row>
    <row r="508" spans="1:12" s="229" customFormat="1" ht="18" customHeight="1">
      <c r="A508" s="229" t="s">
        <v>342</v>
      </c>
      <c r="B508" s="299" t="s">
        <v>273</v>
      </c>
      <c r="C508" s="340" t="e">
        <f ca="1">SUM(C464:H464)+SUM(C313:D313)+C649</f>
        <v>#NAME?</v>
      </c>
      <c r="D508" s="325"/>
      <c r="E508" s="340"/>
      <c r="I508" s="291"/>
      <c r="J508" s="291"/>
      <c r="K508" s="291"/>
    </row>
    <row r="509" spans="1:12" s="229" customFormat="1" ht="18" customHeight="1">
      <c r="A509" s="229" t="s">
        <v>343</v>
      </c>
      <c r="B509" s="299" t="s">
        <v>273</v>
      </c>
      <c r="C509" s="107" t="e">
        <f ca="1">SUM(C552:E552)</f>
        <v>#NAME?</v>
      </c>
      <c r="D509" s="325"/>
      <c r="E509" s="340"/>
      <c r="I509" s="291"/>
      <c r="J509" s="291"/>
      <c r="K509" s="291"/>
    </row>
    <row r="510" spans="1:12" s="229" customFormat="1" ht="18" customHeight="1">
      <c r="C510" s="234"/>
      <c r="D510" s="325"/>
      <c r="E510" s="351"/>
      <c r="I510" s="291"/>
      <c r="J510" s="291"/>
      <c r="K510" s="291"/>
    </row>
    <row r="511" spans="1:12" s="229" customFormat="1" ht="18" customHeight="1">
      <c r="A511" s="408" t="s">
        <v>286</v>
      </c>
      <c r="B511" s="408"/>
      <c r="C511" s="408"/>
      <c r="D511" s="408"/>
      <c r="E511" s="408"/>
      <c r="I511" s="291"/>
      <c r="J511" s="291"/>
      <c r="K511" s="291"/>
    </row>
    <row r="512" spans="1:12" s="229" customFormat="1" ht="18" customHeight="1">
      <c r="A512" s="119" t="s">
        <v>84</v>
      </c>
      <c r="B512" s="119" t="s">
        <v>273</v>
      </c>
      <c r="C512" s="107" t="e">
        <f ca="1">J538</f>
        <v>#NAME?</v>
      </c>
      <c r="D512" s="119"/>
      <c r="E512" s="340"/>
      <c r="I512" s="291"/>
      <c r="J512" s="291"/>
      <c r="K512" s="291"/>
    </row>
    <row r="513" spans="1:13" s="229" customFormat="1" ht="18" customHeight="1">
      <c r="A513" s="119" t="s">
        <v>85</v>
      </c>
      <c r="B513" s="119" t="s">
        <v>273</v>
      </c>
      <c r="C513" s="107" t="e">
        <f ca="1">J534</f>
        <v>#NAME?</v>
      </c>
      <c r="D513" s="119"/>
      <c r="E513" s="340"/>
      <c r="I513" s="291"/>
      <c r="J513" s="291"/>
      <c r="K513" s="291"/>
    </row>
    <row r="514" spans="1:13" s="229" customFormat="1" ht="18" customHeight="1">
      <c r="D514" s="325"/>
      <c r="E514" s="325"/>
      <c r="I514" s="291"/>
      <c r="J514" s="291"/>
      <c r="K514" s="291"/>
    </row>
    <row r="515" spans="1:13" s="229" customFormat="1" ht="18" customHeight="1">
      <c r="A515" s="70" t="s">
        <v>529</v>
      </c>
      <c r="B515" s="30"/>
      <c r="D515" s="320"/>
      <c r="E515" s="325"/>
      <c r="F515" s="108"/>
      <c r="I515" s="291"/>
      <c r="J515" s="291"/>
      <c r="K515" s="291"/>
    </row>
    <row r="516" spans="1:13" s="229" customFormat="1" ht="18" customHeight="1">
      <c r="A516" s="224" t="s">
        <v>86</v>
      </c>
      <c r="B516" s="294" t="s">
        <v>273</v>
      </c>
      <c r="C516" s="120">
        <f>C102*(MPLENZ+LPLENZ)</f>
        <v>29.44107576687502</v>
      </c>
      <c r="D516" s="320"/>
      <c r="E516" s="120"/>
      <c r="F516" s="108"/>
      <c r="I516" s="291"/>
      <c r="J516" s="291"/>
      <c r="K516" s="291"/>
    </row>
    <row r="517" spans="1:13" s="229" customFormat="1" ht="18" customHeight="1">
      <c r="A517" s="238" t="s">
        <v>87</v>
      </c>
      <c r="B517" s="294" t="s">
        <v>273</v>
      </c>
      <c r="C517" s="120">
        <f>C103*(MPBLUE+LPBLUE)</f>
        <v>12.95</v>
      </c>
      <c r="D517" s="320"/>
      <c r="E517" s="120"/>
      <c r="F517" s="108"/>
      <c r="I517" s="291"/>
      <c r="J517" s="291"/>
      <c r="K517" s="291"/>
    </row>
    <row r="518" spans="1:13" s="229" customFormat="1" ht="18" customHeight="1">
      <c r="A518" s="238" t="s">
        <v>248</v>
      </c>
      <c r="B518" s="294" t="s">
        <v>273</v>
      </c>
      <c r="C518" s="120">
        <f>C104*(PFD!U21+PFD!U27)</f>
        <v>0.46904270833333339</v>
      </c>
      <c r="D518" s="320"/>
      <c r="E518" s="120"/>
      <c r="F518" s="108"/>
      <c r="I518" s="291"/>
      <c r="J518" s="291"/>
      <c r="K518" s="291"/>
    </row>
    <row r="519" spans="1:13" s="229" customFormat="1" ht="18" customHeight="1">
      <c r="A519" s="238" t="s">
        <v>58</v>
      </c>
      <c r="B519" s="294" t="s">
        <v>273</v>
      </c>
      <c r="C519" s="108">
        <f>C355</f>
        <v>0</v>
      </c>
      <c r="D519" s="320"/>
      <c r="E519" s="331"/>
      <c r="F519" s="108"/>
      <c r="I519" s="291"/>
      <c r="J519" s="291"/>
      <c r="K519" s="291"/>
    </row>
    <row r="520" spans="1:13" s="229" customFormat="1" ht="18" customHeight="1">
      <c r="A520" s="238"/>
      <c r="B520" s="30"/>
      <c r="C520" s="108"/>
      <c r="D520" s="320"/>
      <c r="E520" s="331"/>
      <c r="F520" s="108"/>
      <c r="I520" s="291"/>
      <c r="J520" s="291"/>
      <c r="K520" s="291"/>
    </row>
    <row r="521" spans="1:13" s="229" customFormat="1" ht="18" customHeight="1">
      <c r="A521" s="186" t="s">
        <v>530</v>
      </c>
      <c r="B521" s="30"/>
      <c r="C521" s="120"/>
      <c r="D521" s="320"/>
      <c r="E521" s="120"/>
      <c r="I521" s="291"/>
      <c r="J521" s="291"/>
      <c r="K521" s="291"/>
    </row>
    <row r="522" spans="1:13" s="229" customFormat="1" ht="18" customHeight="1">
      <c r="A522" s="222" t="s">
        <v>360</v>
      </c>
      <c r="B522" s="222" t="s">
        <v>19</v>
      </c>
      <c r="C522" s="85" t="e">
        <f ca="1">_xll.StmTQH(E159,1,1)</f>
        <v>#NAME?</v>
      </c>
      <c r="D522" s="260"/>
      <c r="E522" s="329"/>
      <c r="F522" s="291"/>
      <c r="G522" s="291"/>
      <c r="H522" s="291"/>
      <c r="I522" s="291"/>
      <c r="J522" s="291"/>
      <c r="K522" s="291"/>
    </row>
    <row r="523" spans="1:13" s="229" customFormat="1" ht="18" customHeight="1">
      <c r="A523" s="70" t="s">
        <v>361</v>
      </c>
      <c r="B523" s="70" t="s">
        <v>19</v>
      </c>
      <c r="C523" s="85" t="e">
        <f ca="1">J157</f>
        <v>#NAME?</v>
      </c>
      <c r="D523" s="298"/>
      <c r="E523" s="329"/>
      <c r="F523" s="291"/>
      <c r="G523" s="291"/>
      <c r="H523" s="291"/>
      <c r="I523" s="291"/>
      <c r="J523" s="291"/>
      <c r="K523" s="291"/>
    </row>
    <row r="524" spans="1:13" s="229" customFormat="1" ht="18" customHeight="1">
      <c r="A524" s="70" t="s">
        <v>362</v>
      </c>
      <c r="B524" s="70" t="s">
        <v>19</v>
      </c>
      <c r="C524" s="85" t="e">
        <f ca="1">_xll.StmTQH(C107,0,1)</f>
        <v>#NAME?</v>
      </c>
      <c r="D524" s="298"/>
      <c r="E524" s="329"/>
      <c r="F524" s="291"/>
      <c r="G524" s="291"/>
      <c r="H524" s="291"/>
      <c r="I524" s="291"/>
      <c r="J524" s="291"/>
      <c r="K524" s="291"/>
    </row>
    <row r="525" spans="1:13" s="325" customFormat="1" ht="18" customHeight="1">
      <c r="C525" s="332"/>
      <c r="F525" s="360"/>
    </row>
    <row r="526" spans="1:13" s="229" customFormat="1" ht="18" customHeight="1">
      <c r="A526" s="42" t="s">
        <v>416</v>
      </c>
      <c r="B526" s="42"/>
      <c r="C526" s="174">
        <v>0</v>
      </c>
      <c r="D526" s="174">
        <f>C526+1</f>
        <v>1</v>
      </c>
      <c r="E526" s="174">
        <f t="shared" ref="E526:L526" si="16">D526+1</f>
        <v>2</v>
      </c>
      <c r="F526" s="174">
        <f t="shared" si="16"/>
        <v>3</v>
      </c>
      <c r="G526" s="174">
        <f t="shared" si="16"/>
        <v>4</v>
      </c>
      <c r="H526" s="174">
        <f t="shared" si="16"/>
        <v>5</v>
      </c>
      <c r="I526" s="174">
        <f t="shared" si="16"/>
        <v>6</v>
      </c>
      <c r="J526" s="174">
        <f t="shared" si="16"/>
        <v>7</v>
      </c>
      <c r="K526" s="174">
        <f t="shared" si="16"/>
        <v>8</v>
      </c>
      <c r="L526" s="174">
        <f t="shared" si="16"/>
        <v>9</v>
      </c>
    </row>
    <row r="527" spans="1:13" s="229" customFormat="1" ht="18" customHeight="1">
      <c r="A527" s="229" t="s">
        <v>239</v>
      </c>
      <c r="B527" s="299" t="s">
        <v>273</v>
      </c>
      <c r="C527" s="107" t="e">
        <f ca="1">SUM(C503:C506)</f>
        <v>#NAME?</v>
      </c>
      <c r="D527" s="107" t="e">
        <f t="shared" ref="D527:L527" ca="1" si="17">C527</f>
        <v>#NAME?</v>
      </c>
      <c r="E527" s="330" t="e">
        <f t="shared" ca="1" si="17"/>
        <v>#NAME?</v>
      </c>
      <c r="F527" s="330" t="e">
        <f t="shared" ca="1" si="17"/>
        <v>#NAME?</v>
      </c>
      <c r="G527" s="330" t="e">
        <f t="shared" ca="1" si="17"/>
        <v>#NAME?</v>
      </c>
      <c r="H527" s="107" t="e">
        <f t="shared" ca="1" si="17"/>
        <v>#NAME?</v>
      </c>
      <c r="I527" s="107" t="e">
        <f t="shared" ca="1" si="17"/>
        <v>#NAME?</v>
      </c>
      <c r="J527" s="107" t="e">
        <f t="shared" ca="1" si="17"/>
        <v>#NAME?</v>
      </c>
      <c r="K527" s="107" t="e">
        <f t="shared" ca="1" si="17"/>
        <v>#NAME?</v>
      </c>
      <c r="L527" s="107" t="e">
        <f t="shared" ca="1" si="17"/>
        <v>#NAME?</v>
      </c>
    </row>
    <row r="528" spans="1:13" s="325" customFormat="1" ht="18" customHeight="1">
      <c r="A528" s="325" t="s">
        <v>982</v>
      </c>
      <c r="B528" s="325" t="s">
        <v>273</v>
      </c>
      <c r="C528" s="516"/>
      <c r="D528" s="340"/>
      <c r="E528" s="340"/>
      <c r="F528" s="340"/>
      <c r="G528" s="340"/>
      <c r="H528" s="340"/>
      <c r="I528" s="340"/>
      <c r="J528" s="340"/>
      <c r="K528" s="340"/>
      <c r="L528" s="340"/>
      <c r="M528" s="517" t="s">
        <v>987</v>
      </c>
    </row>
    <row r="529" spans="1:12" s="229" customFormat="1" ht="18" customHeight="1">
      <c r="A529" s="229" t="s">
        <v>0</v>
      </c>
      <c r="B529" s="325" t="s">
        <v>273</v>
      </c>
      <c r="C529" s="340" t="e">
        <f ca="1">C508</f>
        <v>#NAME?</v>
      </c>
      <c r="D529" s="340" t="e">
        <f t="shared" ref="D529:L529" ca="1" si="18">C529</f>
        <v>#NAME?</v>
      </c>
      <c r="E529" s="340" t="e">
        <f t="shared" ca="1" si="18"/>
        <v>#NAME?</v>
      </c>
      <c r="F529" s="330" t="e">
        <f t="shared" ca="1" si="18"/>
        <v>#NAME?</v>
      </c>
      <c r="G529" s="330" t="e">
        <f t="shared" ca="1" si="18"/>
        <v>#NAME?</v>
      </c>
      <c r="H529" s="107" t="e">
        <f t="shared" ca="1" si="18"/>
        <v>#NAME?</v>
      </c>
      <c r="I529" s="107" t="e">
        <f t="shared" ca="1" si="18"/>
        <v>#NAME?</v>
      </c>
      <c r="J529" s="107" t="e">
        <f t="shared" ca="1" si="18"/>
        <v>#NAME?</v>
      </c>
      <c r="K529" s="107" t="e">
        <f t="shared" ca="1" si="18"/>
        <v>#NAME?</v>
      </c>
      <c r="L529" s="107" t="e">
        <f t="shared" ca="1" si="18"/>
        <v>#NAME?</v>
      </c>
    </row>
    <row r="530" spans="1:12" s="229" customFormat="1" ht="18" customHeight="1">
      <c r="A530" s="229" t="s">
        <v>343</v>
      </c>
      <c r="B530" s="325" t="s">
        <v>273</v>
      </c>
      <c r="C530" s="340" t="e">
        <f ca="1">C509</f>
        <v>#NAME?</v>
      </c>
      <c r="D530" s="340" t="e">
        <f t="shared" ref="D530:L530" ca="1" si="19">C530</f>
        <v>#NAME?</v>
      </c>
      <c r="E530" s="340" t="e">
        <f t="shared" ca="1" si="19"/>
        <v>#NAME?</v>
      </c>
      <c r="F530" s="107" t="e">
        <f t="shared" ca="1" si="19"/>
        <v>#NAME?</v>
      </c>
      <c r="G530" s="107" t="e">
        <f t="shared" ca="1" si="19"/>
        <v>#NAME?</v>
      </c>
      <c r="H530" s="107" t="e">
        <f t="shared" ca="1" si="19"/>
        <v>#NAME?</v>
      </c>
      <c r="I530" s="107" t="e">
        <f t="shared" ca="1" si="19"/>
        <v>#NAME?</v>
      </c>
      <c r="J530" s="107" t="e">
        <f t="shared" ca="1" si="19"/>
        <v>#NAME?</v>
      </c>
      <c r="K530" s="107" t="e">
        <f t="shared" ca="1" si="19"/>
        <v>#NAME?</v>
      </c>
      <c r="L530" s="107" t="e">
        <f t="shared" ca="1" si="19"/>
        <v>#NAME?</v>
      </c>
    </row>
    <row r="531" spans="1:12" s="229" customFormat="1" ht="18" customHeight="1">
      <c r="A531" s="229" t="s">
        <v>237</v>
      </c>
      <c r="B531" s="325" t="s">
        <v>273</v>
      </c>
      <c r="C531" s="531">
        <v>1</v>
      </c>
      <c r="D531" s="340" t="e">
        <f t="shared" ref="D531:L531" ca="1" si="20">C538</f>
        <v>#NAME?</v>
      </c>
      <c r="E531" s="340" t="e">
        <f t="shared" ca="1" si="20"/>
        <v>#NAME?</v>
      </c>
      <c r="F531" s="107" t="e">
        <f t="shared" ca="1" si="20"/>
        <v>#NAME?</v>
      </c>
      <c r="G531" s="107" t="e">
        <f t="shared" ca="1" si="20"/>
        <v>#NAME?</v>
      </c>
      <c r="H531" s="107" t="e">
        <f t="shared" ca="1" si="20"/>
        <v>#NAME?</v>
      </c>
      <c r="I531" s="107" t="e">
        <f t="shared" ca="1" si="20"/>
        <v>#NAME?</v>
      </c>
      <c r="J531" s="107" t="e">
        <f t="shared" ca="1" si="20"/>
        <v>#NAME?</v>
      </c>
      <c r="K531" s="107" t="e">
        <f t="shared" ca="1" si="20"/>
        <v>#NAME?</v>
      </c>
      <c r="L531" s="107" t="e">
        <f t="shared" ca="1" si="20"/>
        <v>#NAME?</v>
      </c>
    </row>
    <row r="532" spans="1:12" s="229" customFormat="1" ht="18" customHeight="1">
      <c r="A532" s="229" t="s">
        <v>608</v>
      </c>
      <c r="B532" s="325" t="s">
        <v>273</v>
      </c>
      <c r="C532" s="340" t="e">
        <f ca="1">C527+C529+C530+C528</f>
        <v>#NAME?</v>
      </c>
      <c r="D532" s="340" t="e">
        <f t="shared" ref="D532:L532" ca="1" si="21">D527+D529+D530+D528</f>
        <v>#NAME?</v>
      </c>
      <c r="E532" s="340" t="e">
        <f t="shared" ca="1" si="21"/>
        <v>#NAME?</v>
      </c>
      <c r="F532" s="340" t="e">
        <f t="shared" ca="1" si="21"/>
        <v>#NAME?</v>
      </c>
      <c r="G532" s="340" t="e">
        <f t="shared" ca="1" si="21"/>
        <v>#NAME?</v>
      </c>
      <c r="H532" s="340" t="e">
        <f t="shared" ca="1" si="21"/>
        <v>#NAME?</v>
      </c>
      <c r="I532" s="340" t="e">
        <f t="shared" ca="1" si="21"/>
        <v>#NAME?</v>
      </c>
      <c r="J532" s="340" t="e">
        <f t="shared" ca="1" si="21"/>
        <v>#NAME?</v>
      </c>
      <c r="K532" s="340" t="e">
        <f t="shared" ca="1" si="21"/>
        <v>#NAME?</v>
      </c>
      <c r="L532" s="340" t="e">
        <f t="shared" ca="1" si="21"/>
        <v>#NAME?</v>
      </c>
    </row>
    <row r="533" spans="1:12" s="229" customFormat="1" ht="18" customHeight="1">
      <c r="A533" s="268" t="s">
        <v>509</v>
      </c>
      <c r="B533" s="325"/>
      <c r="C533" s="340"/>
      <c r="D533" s="340"/>
      <c r="E533" s="340"/>
      <c r="F533" s="107"/>
      <c r="G533" s="107"/>
      <c r="H533" s="107"/>
      <c r="I533" s="107"/>
      <c r="J533" s="107"/>
      <c r="K533" s="107"/>
      <c r="L533" s="107"/>
    </row>
    <row r="534" spans="1:12" s="229" customFormat="1" ht="18" customHeight="1">
      <c r="A534" s="229" t="s">
        <v>985</v>
      </c>
      <c r="B534" s="325" t="s">
        <v>273</v>
      </c>
      <c r="C534" s="340" t="e">
        <f t="shared" ref="C534:L534" ca="1" si="22">C532+$C$105*C531-C531</f>
        <v>#NAME?</v>
      </c>
      <c r="D534" s="340" t="e">
        <f t="shared" ca="1" si="22"/>
        <v>#NAME?</v>
      </c>
      <c r="E534" s="340" t="e">
        <f t="shared" ca="1" si="22"/>
        <v>#NAME?</v>
      </c>
      <c r="F534" s="340" t="e">
        <f t="shared" ca="1" si="22"/>
        <v>#NAME?</v>
      </c>
      <c r="G534" s="340" t="e">
        <f t="shared" ca="1" si="22"/>
        <v>#NAME?</v>
      </c>
      <c r="H534" s="340" t="e">
        <f t="shared" ca="1" si="22"/>
        <v>#NAME?</v>
      </c>
      <c r="I534" s="340" t="e">
        <f t="shared" ca="1" si="22"/>
        <v>#NAME?</v>
      </c>
      <c r="J534" s="340" t="e">
        <f t="shared" ca="1" si="22"/>
        <v>#NAME?</v>
      </c>
      <c r="K534" s="340" t="e">
        <f t="shared" ca="1" si="22"/>
        <v>#NAME?</v>
      </c>
      <c r="L534" s="340" t="e">
        <f t="shared" ca="1" si="22"/>
        <v>#NAME?</v>
      </c>
    </row>
    <row r="535" spans="1:12" s="325" customFormat="1" ht="18" customHeight="1">
      <c r="A535" s="325" t="s">
        <v>983</v>
      </c>
      <c r="B535" s="325" t="s">
        <v>18</v>
      </c>
      <c r="C535" s="340">
        <v>95</v>
      </c>
      <c r="D535" s="340">
        <f t="shared" ref="D535:L535" si="23">TMUact</f>
        <v>95</v>
      </c>
      <c r="E535" s="340">
        <f t="shared" si="23"/>
        <v>95</v>
      </c>
      <c r="F535" s="340">
        <f t="shared" si="23"/>
        <v>95</v>
      </c>
      <c r="G535" s="340">
        <f t="shared" si="23"/>
        <v>95</v>
      </c>
      <c r="H535" s="340">
        <f t="shared" si="23"/>
        <v>95</v>
      </c>
      <c r="I535" s="340">
        <f t="shared" si="23"/>
        <v>95</v>
      </c>
      <c r="J535" s="340">
        <f t="shared" si="23"/>
        <v>95</v>
      </c>
      <c r="K535" s="340">
        <f t="shared" si="23"/>
        <v>95</v>
      </c>
      <c r="L535" s="340">
        <f t="shared" si="23"/>
        <v>95</v>
      </c>
    </row>
    <row r="536" spans="1:12" s="325" customFormat="1" ht="18" customHeight="1">
      <c r="A536" s="325" t="s">
        <v>986</v>
      </c>
      <c r="B536" s="325" t="s">
        <v>19</v>
      </c>
      <c r="C536" s="351">
        <v>398.01853947466174</v>
      </c>
      <c r="D536" s="351">
        <f t="shared" ref="D536:L536" si="24">hMUact</f>
        <v>398.01853947466174</v>
      </c>
      <c r="E536" s="351">
        <f t="shared" si="24"/>
        <v>398.01853947466174</v>
      </c>
      <c r="F536" s="351">
        <f t="shared" si="24"/>
        <v>398.01853947466174</v>
      </c>
      <c r="G536" s="351">
        <f t="shared" si="24"/>
        <v>398.01853947466174</v>
      </c>
      <c r="H536" s="351">
        <f t="shared" si="24"/>
        <v>398.01853947466174</v>
      </c>
      <c r="I536" s="351">
        <f t="shared" si="24"/>
        <v>398.01853947466174</v>
      </c>
      <c r="J536" s="351">
        <f t="shared" si="24"/>
        <v>398.01853947466174</v>
      </c>
      <c r="K536" s="351">
        <f t="shared" si="24"/>
        <v>398.01853947466174</v>
      </c>
      <c r="L536" s="351">
        <f t="shared" si="24"/>
        <v>398.01853947466174</v>
      </c>
    </row>
    <row r="537" spans="1:12" s="325" customFormat="1" ht="18" customHeight="1">
      <c r="C537" s="340"/>
      <c r="D537" s="340"/>
      <c r="E537" s="340"/>
      <c r="F537" s="320"/>
      <c r="G537" s="320"/>
      <c r="H537" s="320"/>
      <c r="I537" s="320"/>
      <c r="J537" s="320"/>
      <c r="K537" s="320"/>
      <c r="L537" s="320"/>
    </row>
    <row r="538" spans="1:12" s="229" customFormat="1" ht="18" customHeight="1">
      <c r="A538" s="229" t="s">
        <v>238</v>
      </c>
      <c r="B538" s="299" t="s">
        <v>273</v>
      </c>
      <c r="C538" s="122" t="e">
        <f t="shared" ref="C538:L538" ca="1" si="25">3.6*((C532/3.6)*(hBFW-C536)-(0/3.6)*(0-C536)) / (hDA-C536-$C$105*(hVENT-C536))</f>
        <v>#NAME?</v>
      </c>
      <c r="D538" s="122" t="e">
        <f t="shared" ca="1" si="25"/>
        <v>#NAME?</v>
      </c>
      <c r="E538" s="122" t="e">
        <f t="shared" ca="1" si="25"/>
        <v>#NAME?</v>
      </c>
      <c r="F538" s="122" t="e">
        <f t="shared" ca="1" si="25"/>
        <v>#NAME?</v>
      </c>
      <c r="G538" s="122" t="e">
        <f t="shared" ca="1" si="25"/>
        <v>#NAME?</v>
      </c>
      <c r="H538" s="122" t="e">
        <f t="shared" ca="1" si="25"/>
        <v>#NAME?</v>
      </c>
      <c r="I538" s="122" t="e">
        <f t="shared" ca="1" si="25"/>
        <v>#NAME?</v>
      </c>
      <c r="J538" s="122" t="e">
        <f t="shared" ca="1" si="25"/>
        <v>#NAME?</v>
      </c>
      <c r="K538" s="122" t="e">
        <f t="shared" ca="1" si="25"/>
        <v>#NAME?</v>
      </c>
      <c r="L538" s="122" t="e">
        <f t="shared" ca="1" si="25"/>
        <v>#NAME?</v>
      </c>
    </row>
    <row r="539" spans="1:12" s="325" customFormat="1" ht="18" customHeight="1">
      <c r="C539" s="334"/>
      <c r="D539" s="320"/>
      <c r="E539" s="320"/>
      <c r="F539" s="320"/>
      <c r="G539" s="320"/>
      <c r="H539" s="320"/>
      <c r="I539" s="320"/>
      <c r="J539" s="320"/>
      <c r="K539" s="320"/>
      <c r="L539" s="320"/>
    </row>
    <row r="540" spans="1:12" s="229" customFormat="1" ht="18" customHeight="1">
      <c r="A540" s="229" t="s">
        <v>300</v>
      </c>
      <c r="C540" s="80" t="s">
        <v>301</v>
      </c>
      <c r="D540" s="39" t="s">
        <v>302</v>
      </c>
      <c r="E540" s="66" t="s">
        <v>303</v>
      </c>
      <c r="F540" s="291"/>
      <c r="G540" s="291"/>
      <c r="H540" s="291"/>
      <c r="I540" s="291"/>
      <c r="J540" s="291"/>
      <c r="K540" s="291"/>
    </row>
    <row r="541" spans="1:12" s="229" customFormat="1" ht="18" customHeight="1">
      <c r="A541" s="70" t="s">
        <v>417</v>
      </c>
      <c r="B541" s="298" t="s">
        <v>273</v>
      </c>
      <c r="C541" s="320" t="e">
        <f ca="1">L534+L531</f>
        <v>#NAME?</v>
      </c>
      <c r="D541" s="320" t="e">
        <f ca="1">J532+J531*C105</f>
        <v>#NAME?</v>
      </c>
      <c r="E541" s="235" t="e">
        <f ca="1">D541-C541</f>
        <v>#NAME?</v>
      </c>
      <c r="F541" s="291"/>
      <c r="G541" s="291"/>
      <c r="H541" s="291"/>
      <c r="I541" s="291"/>
      <c r="J541" s="291"/>
      <c r="K541" s="291"/>
    </row>
    <row r="542" spans="1:12" s="229" customFormat="1" ht="18" customHeight="1">
      <c r="A542" s="70" t="s">
        <v>418</v>
      </c>
      <c r="B542" s="70" t="s">
        <v>8</v>
      </c>
      <c r="C542" s="235" t="e">
        <f ca="1">L534*L536/3.6+L531*hDA/3.6</f>
        <v>#NAME?</v>
      </c>
      <c r="D542" s="235" t="e">
        <f ca="1">J532*hBFW/3.6+J531*C105*hVENT/3.6</f>
        <v>#NAME?</v>
      </c>
      <c r="E542" s="235" t="e">
        <f ca="1">D542-C542</f>
        <v>#NAME?</v>
      </c>
      <c r="F542" s="291"/>
      <c r="G542" s="291"/>
      <c r="H542" s="291"/>
      <c r="I542" s="291"/>
      <c r="J542" s="291"/>
      <c r="K542" s="291"/>
    </row>
    <row r="543" spans="1:12" s="229" customFormat="1" ht="18" customHeight="1">
      <c r="A543" s="291"/>
      <c r="B543" s="291"/>
      <c r="C543" s="291"/>
      <c r="D543" s="291"/>
      <c r="E543" s="291"/>
      <c r="F543" s="291"/>
      <c r="G543" s="291"/>
      <c r="H543" s="291"/>
      <c r="I543" s="291"/>
      <c r="J543" s="291"/>
    </row>
    <row r="544" spans="1:12" s="229" customFormat="1" ht="18" customHeight="1" thickBot="1">
      <c r="A544" s="375" t="s">
        <v>245</v>
      </c>
      <c r="B544" s="390"/>
      <c r="C544" s="390"/>
      <c r="D544" s="390"/>
      <c r="E544" s="390"/>
      <c r="F544" s="137"/>
      <c r="G544" s="137"/>
      <c r="H544" s="137"/>
      <c r="I544" s="137"/>
      <c r="J544" s="137"/>
    </row>
    <row r="545" spans="1:10" s="229" customFormat="1" ht="18" customHeight="1" thickTop="1">
      <c r="A545" s="407" t="s">
        <v>285</v>
      </c>
      <c r="B545" s="407"/>
      <c r="C545" s="407"/>
      <c r="D545" s="407"/>
      <c r="E545" s="407"/>
      <c r="F545" s="320"/>
      <c r="I545" s="291"/>
      <c r="J545" s="291"/>
    </row>
    <row r="546" spans="1:10" s="229" customFormat="1" ht="18" customHeight="1">
      <c r="A546" s="61"/>
      <c r="C546" s="309" t="s">
        <v>61</v>
      </c>
      <c r="D546" s="309" t="s">
        <v>62</v>
      </c>
      <c r="E546" s="309" t="s">
        <v>63</v>
      </c>
      <c r="F546" s="30"/>
      <c r="G546" s="30"/>
      <c r="H546" s="30"/>
      <c r="I546" s="291"/>
      <c r="J546" s="334"/>
    </row>
    <row r="547" spans="1:10" s="229" customFormat="1" ht="18" customHeight="1">
      <c r="A547" s="61" t="s">
        <v>176</v>
      </c>
      <c r="B547" s="299" t="s">
        <v>273</v>
      </c>
      <c r="C547" s="107">
        <f>PFD!D7</f>
        <v>0</v>
      </c>
      <c r="D547" s="107" t="e">
        <f ca="1">PFD!S15</f>
        <v>#NAME?</v>
      </c>
      <c r="E547" s="30" t="e">
        <f ca="1">PFD!S23</f>
        <v>#NAME?</v>
      </c>
      <c r="F547" s="30"/>
      <c r="G547" s="30"/>
      <c r="H547" s="30"/>
      <c r="I547" s="291"/>
      <c r="J547" s="291"/>
    </row>
    <row r="548" spans="1:10" s="325" customFormat="1" ht="18" customHeight="1">
      <c r="A548" s="61"/>
      <c r="C548" s="340"/>
      <c r="D548" s="340"/>
      <c r="E548" s="320"/>
      <c r="F548" s="320"/>
      <c r="G548" s="320"/>
      <c r="H548" s="320"/>
      <c r="I548" s="334"/>
      <c r="J548" s="334"/>
    </row>
    <row r="549" spans="1:10" s="229" customFormat="1" ht="18" customHeight="1">
      <c r="A549" s="408" t="s">
        <v>286</v>
      </c>
      <c r="B549" s="408"/>
      <c r="C549" s="408"/>
      <c r="D549" s="408"/>
      <c r="E549" s="408"/>
      <c r="F549" s="30"/>
      <c r="G549" s="30"/>
      <c r="H549" s="30"/>
      <c r="I549" s="291"/>
      <c r="J549" s="291"/>
    </row>
    <row r="550" spans="1:10" s="229" customFormat="1" ht="18" customHeight="1">
      <c r="C550" s="406" t="str">
        <f>C546</f>
        <v>EHP - HP</v>
      </c>
      <c r="D550" s="406" t="str">
        <f>D546</f>
        <v>HP - MP</v>
      </c>
      <c r="E550" s="406" t="str">
        <f>E546</f>
        <v>MP - LP</v>
      </c>
      <c r="F550" s="33"/>
      <c r="G550" s="291"/>
      <c r="H550" s="291"/>
      <c r="I550" s="291"/>
      <c r="J550" s="291"/>
    </row>
    <row r="551" spans="1:10" s="229" customFormat="1" ht="18" customHeight="1">
      <c r="A551" s="229" t="s">
        <v>78</v>
      </c>
      <c r="B551" s="299" t="s">
        <v>273</v>
      </c>
      <c r="C551" s="233" t="e">
        <f t="shared" ref="C551:E552" ca="1" si="26">C563</f>
        <v>#NAME?</v>
      </c>
      <c r="D551" s="233" t="e">
        <f t="shared" ca="1" si="26"/>
        <v>#NAME?</v>
      </c>
      <c r="E551" s="233" t="e">
        <f t="shared" ca="1" si="26"/>
        <v>#NAME?</v>
      </c>
      <c r="F551" s="291"/>
      <c r="G551" s="291"/>
      <c r="H551" s="291"/>
      <c r="I551" s="291"/>
      <c r="J551" s="291"/>
    </row>
    <row r="552" spans="1:10" s="229" customFormat="1" ht="18" customHeight="1">
      <c r="A552" s="229" t="s">
        <v>65</v>
      </c>
      <c r="B552" s="299" t="s">
        <v>273</v>
      </c>
      <c r="C552" s="233" t="e">
        <f t="shared" ca="1" si="26"/>
        <v>#NAME?</v>
      </c>
      <c r="D552" s="233" t="e">
        <f t="shared" ca="1" si="26"/>
        <v>#NAME?</v>
      </c>
      <c r="E552" s="233" t="e">
        <f t="shared" ca="1" si="26"/>
        <v>#NAME?</v>
      </c>
      <c r="F552" s="291"/>
      <c r="G552" s="291"/>
      <c r="H552" s="291"/>
      <c r="I552" s="291"/>
      <c r="J552" s="291"/>
    </row>
    <row r="553" spans="1:10" s="229" customFormat="1" ht="18" customHeight="1">
      <c r="C553" s="235"/>
      <c r="D553" s="291"/>
      <c r="E553" s="291"/>
      <c r="F553" s="291"/>
      <c r="G553" s="291"/>
      <c r="H553" s="291"/>
      <c r="I553" s="291"/>
      <c r="J553" s="291"/>
    </row>
    <row r="554" spans="1:10" s="229" customFormat="1" ht="18" customHeight="1">
      <c r="A554" s="87" t="s">
        <v>140</v>
      </c>
      <c r="B554" s="291"/>
      <c r="C554" s="291"/>
      <c r="D554" s="291"/>
      <c r="E554" s="291"/>
      <c r="F554" s="291"/>
      <c r="G554" s="291"/>
      <c r="H554" s="291"/>
      <c r="I554" s="291"/>
      <c r="J554" s="291"/>
    </row>
    <row r="555" spans="1:10" s="229" customFormat="1" ht="18" customHeight="1">
      <c r="A555" s="87" t="s">
        <v>141</v>
      </c>
      <c r="B555" s="291"/>
      <c r="C555" s="291"/>
      <c r="D555" s="291"/>
      <c r="E555" s="291"/>
      <c r="F555" s="291"/>
      <c r="G555" s="291"/>
      <c r="H555" s="291"/>
      <c r="I555" s="291"/>
      <c r="J555" s="291"/>
    </row>
    <row r="556" spans="1:10" s="229" customFormat="1" ht="18" customHeight="1">
      <c r="A556" s="123" t="str">
        <f>A111</f>
        <v>Desuperheat water temperature</v>
      </c>
      <c r="B556" s="123" t="s">
        <v>18</v>
      </c>
      <c r="C556" s="124">
        <f>C111</f>
        <v>105</v>
      </c>
      <c r="E556" s="291"/>
      <c r="F556" s="291"/>
      <c r="G556" s="291"/>
      <c r="H556" s="291"/>
      <c r="I556" s="291"/>
      <c r="J556" s="291"/>
    </row>
    <row r="557" spans="1:10" s="229" customFormat="1" ht="18" customHeight="1">
      <c r="A557" s="291" t="s">
        <v>64</v>
      </c>
      <c r="B557" s="291" t="s">
        <v>19</v>
      </c>
      <c r="C557" s="235" t="e">
        <f ca="1">_xll.StmTQH(C556,0,1)</f>
        <v>#NAME?</v>
      </c>
      <c r="E557" s="291"/>
      <c r="F557" s="291"/>
      <c r="G557" s="291"/>
      <c r="H557" s="291"/>
      <c r="I557" s="291"/>
      <c r="J557" s="291"/>
    </row>
    <row r="558" spans="1:10" s="229" customFormat="1" ht="18" customHeight="1">
      <c r="I558" s="291"/>
      <c r="J558" s="291"/>
    </row>
    <row r="559" spans="1:10" s="229" customFormat="1" ht="18" customHeight="1">
      <c r="A559" s="291"/>
      <c r="B559" s="291"/>
      <c r="C559" s="62" t="s">
        <v>61</v>
      </c>
      <c r="D559" s="233" t="s">
        <v>62</v>
      </c>
      <c r="E559" s="233" t="s">
        <v>63</v>
      </c>
      <c r="F559" s="30"/>
      <c r="G559" s="30"/>
      <c r="H559" s="30"/>
      <c r="I559" s="291"/>
      <c r="J559" s="291"/>
    </row>
    <row r="560" spans="1:10" s="229" customFormat="1" ht="18" customHeight="1">
      <c r="A560" s="119" t="s">
        <v>51</v>
      </c>
      <c r="B560" s="294" t="s">
        <v>273</v>
      </c>
      <c r="C560" s="233">
        <f>C547</f>
        <v>0</v>
      </c>
      <c r="D560" s="233" t="e">
        <f ca="1">D547</f>
        <v>#NAME?</v>
      </c>
      <c r="E560" s="233" t="e">
        <f ca="1">E547</f>
        <v>#NAME?</v>
      </c>
      <c r="F560" s="291"/>
      <c r="G560" s="291"/>
      <c r="H560" s="291"/>
      <c r="I560" s="291"/>
      <c r="J560" s="291"/>
    </row>
    <row r="561" spans="1:12" s="229" customFormat="1" ht="18" customHeight="1">
      <c r="A561" s="125" t="s">
        <v>167</v>
      </c>
      <c r="B561" s="229" t="s">
        <v>19</v>
      </c>
      <c r="C561" s="232" t="e">
        <f ca="1">J154</f>
        <v>#NAME?</v>
      </c>
      <c r="D561" s="233" t="e">
        <f ca="1">J155</f>
        <v>#NAME?</v>
      </c>
      <c r="E561" s="233" t="e">
        <f ca="1">J156</f>
        <v>#NAME?</v>
      </c>
      <c r="F561" s="291"/>
      <c r="G561" s="291"/>
      <c r="H561" s="291"/>
      <c r="I561" s="291"/>
      <c r="J561" s="291"/>
    </row>
    <row r="562" spans="1:12" s="229" customFormat="1" ht="18" customHeight="1">
      <c r="A562" s="119" t="s">
        <v>30</v>
      </c>
      <c r="B562" s="30" t="s">
        <v>19</v>
      </c>
      <c r="C562" s="233" t="e">
        <f ca="1">C561</f>
        <v>#NAME?</v>
      </c>
      <c r="D562" s="233" t="e">
        <f ca="1">J156</f>
        <v>#NAME?</v>
      </c>
      <c r="E562" s="233" t="e">
        <f ca="1">J157</f>
        <v>#NAME?</v>
      </c>
      <c r="F562" s="291"/>
      <c r="G562" s="291"/>
      <c r="H562" s="291"/>
      <c r="I562" s="291"/>
      <c r="J562" s="291"/>
    </row>
    <row r="563" spans="1:12" s="229" customFormat="1" ht="18" customHeight="1">
      <c r="A563" s="125" t="s">
        <v>78</v>
      </c>
      <c r="B563" s="301" t="s">
        <v>273</v>
      </c>
      <c r="C563" s="233" t="e">
        <f ca="1">(C560/3.6)*(C561-$C$557)/(C562-$C$557)*3.6</f>
        <v>#NAME?</v>
      </c>
      <c r="D563" s="233" t="e">
        <f ca="1">(D560/3.6)*(D561-$C$557)/(D562-$C$557)*3.6</f>
        <v>#NAME?</v>
      </c>
      <c r="E563" s="233" t="e">
        <f ca="1">(E560/3.6)*(E561-$C$557)/(E562-$C$557)*3.6</f>
        <v>#NAME?</v>
      </c>
      <c r="F563" s="291"/>
      <c r="G563" s="291"/>
      <c r="H563" s="291"/>
      <c r="I563" s="291"/>
      <c r="J563" s="291"/>
    </row>
    <row r="564" spans="1:12" s="229" customFormat="1" ht="18" customHeight="1">
      <c r="A564" s="125" t="s">
        <v>41</v>
      </c>
      <c r="B564" s="301" t="s">
        <v>273</v>
      </c>
      <c r="C564" s="233" t="e">
        <f ca="1">C563-C560</f>
        <v>#NAME?</v>
      </c>
      <c r="D564" s="233" t="e">
        <f ca="1">D563-D560</f>
        <v>#NAME?</v>
      </c>
      <c r="E564" s="233" t="e">
        <f ca="1">E563-E560</f>
        <v>#NAME?</v>
      </c>
      <c r="F564" s="235"/>
      <c r="G564" s="291"/>
      <c r="H564" s="291"/>
      <c r="I564" s="291"/>
      <c r="J564" s="291"/>
    </row>
    <row r="565" spans="1:12" s="229" customFormat="1" ht="18" customHeight="1">
      <c r="I565" s="291"/>
      <c r="J565" s="291"/>
    </row>
    <row r="566" spans="1:12" s="229" customFormat="1" ht="18" customHeight="1" thickBot="1">
      <c r="A566" s="375" t="s">
        <v>212</v>
      </c>
      <c r="B566" s="391"/>
      <c r="C566" s="375"/>
      <c r="D566" s="375"/>
      <c r="E566" s="375"/>
      <c r="F566" s="291"/>
      <c r="G566" s="291"/>
      <c r="H566" s="291"/>
      <c r="I566" s="291"/>
      <c r="J566" s="291"/>
      <c r="K566" s="291"/>
    </row>
    <row r="567" spans="1:12" s="229" customFormat="1" ht="18" customHeight="1" thickTop="1">
      <c r="A567" s="407" t="s">
        <v>285</v>
      </c>
      <c r="B567" s="407"/>
      <c r="C567" s="407"/>
      <c r="D567" s="407"/>
      <c r="E567" s="407"/>
      <c r="H567" s="291"/>
      <c r="I567" s="291"/>
      <c r="J567" s="291"/>
      <c r="K567" s="291"/>
    </row>
    <row r="568" spans="1:12" s="229" customFormat="1" ht="18" customHeight="1">
      <c r="A568" s="74"/>
      <c r="C568" s="74" t="s">
        <v>776</v>
      </c>
      <c r="H568" s="291"/>
      <c r="I568" s="291"/>
      <c r="J568" s="291"/>
      <c r="K568" s="291"/>
    </row>
    <row r="569" spans="1:12" s="229" customFormat="1" ht="18" customHeight="1">
      <c r="A569" s="275" t="s">
        <v>168</v>
      </c>
      <c r="B569" s="70" t="s">
        <v>83</v>
      </c>
      <c r="C569" s="85">
        <f t="shared" ref="C569:C578" si="27">E40</f>
        <v>0</v>
      </c>
      <c r="D569" s="85"/>
      <c r="E569" s="85"/>
      <c r="F569" s="85"/>
      <c r="G569" s="85"/>
      <c r="H569" s="85"/>
      <c r="I569" s="85"/>
      <c r="J569" s="114"/>
      <c r="K569" s="114"/>
      <c r="L569" s="106"/>
    </row>
    <row r="570" spans="1:12" s="229" customFormat="1" ht="18" customHeight="1">
      <c r="A570" s="275" t="s">
        <v>60</v>
      </c>
      <c r="B570" s="70" t="s">
        <v>83</v>
      </c>
      <c r="C570" s="300">
        <f t="shared" si="27"/>
        <v>0</v>
      </c>
      <c r="D570" s="85"/>
      <c r="E570" s="85"/>
      <c r="F570" s="85"/>
      <c r="G570" s="85"/>
      <c r="H570" s="85"/>
      <c r="I570" s="85"/>
      <c r="J570" s="114"/>
      <c r="K570" s="114"/>
      <c r="L570" s="106"/>
    </row>
    <row r="571" spans="1:12" s="229" customFormat="1" ht="18" customHeight="1">
      <c r="A571" s="275" t="s">
        <v>313</v>
      </c>
      <c r="B571" s="70" t="s">
        <v>83</v>
      </c>
      <c r="C571" s="300">
        <f t="shared" si="27"/>
        <v>0</v>
      </c>
      <c r="D571" s="85"/>
      <c r="E571" s="85"/>
      <c r="F571" s="85"/>
      <c r="G571" s="85"/>
      <c r="H571" s="85"/>
      <c r="I571" s="85"/>
      <c r="J571" s="114"/>
      <c r="K571" s="114"/>
      <c r="L571" s="106"/>
    </row>
    <row r="572" spans="1:12" s="229" customFormat="1" ht="18" customHeight="1">
      <c r="A572" s="275" t="s">
        <v>28</v>
      </c>
      <c r="B572" s="70" t="s">
        <v>83</v>
      </c>
      <c r="C572" s="85">
        <f t="shared" si="27"/>
        <v>1</v>
      </c>
      <c r="D572" s="85"/>
      <c r="E572" s="85"/>
      <c r="F572" s="85"/>
      <c r="G572" s="85"/>
      <c r="H572" s="85"/>
      <c r="I572" s="85"/>
      <c r="J572" s="114"/>
      <c r="K572" s="114"/>
      <c r="L572" s="106"/>
    </row>
    <row r="573" spans="1:12" s="229" customFormat="1" ht="18" customHeight="1">
      <c r="A573" s="275" t="s">
        <v>29</v>
      </c>
      <c r="B573" s="70" t="s">
        <v>83</v>
      </c>
      <c r="C573" s="300">
        <f t="shared" si="27"/>
        <v>1</v>
      </c>
      <c r="D573" s="85"/>
      <c r="E573" s="85"/>
      <c r="F573" s="85"/>
      <c r="G573" s="85"/>
      <c r="H573" s="85"/>
      <c r="I573" s="85"/>
      <c r="J573" s="114"/>
      <c r="K573" s="114"/>
      <c r="L573" s="106"/>
    </row>
    <row r="574" spans="1:12" s="229" customFormat="1" ht="18" customHeight="1">
      <c r="A574" s="275" t="s">
        <v>10</v>
      </c>
      <c r="B574" s="70" t="s">
        <v>83</v>
      </c>
      <c r="C574" s="114">
        <f t="shared" si="27"/>
        <v>1</v>
      </c>
      <c r="D574" s="85"/>
      <c r="E574" s="85"/>
      <c r="F574" s="85"/>
      <c r="G574" s="85"/>
      <c r="H574" s="85"/>
      <c r="I574" s="85"/>
      <c r="J574" s="114"/>
      <c r="K574" s="114"/>
      <c r="L574" s="106"/>
    </row>
    <row r="575" spans="1:12" s="229" customFormat="1" ht="18" customHeight="1">
      <c r="A575" s="275" t="s">
        <v>11</v>
      </c>
      <c r="B575" s="70" t="s">
        <v>83</v>
      </c>
      <c r="C575" s="114">
        <f t="shared" si="27"/>
        <v>0</v>
      </c>
      <c r="D575" s="85"/>
      <c r="E575" s="85"/>
      <c r="F575" s="85"/>
      <c r="G575" s="85"/>
      <c r="H575" s="85"/>
      <c r="I575" s="85"/>
      <c r="J575" s="114"/>
      <c r="K575" s="114"/>
      <c r="L575" s="106"/>
    </row>
    <row r="576" spans="1:12" s="325" customFormat="1" ht="18" customHeight="1">
      <c r="A576" s="275" t="s">
        <v>965</v>
      </c>
      <c r="B576" s="298" t="s">
        <v>83</v>
      </c>
      <c r="C576" s="114">
        <f t="shared" si="27"/>
        <v>0</v>
      </c>
      <c r="D576" s="329"/>
      <c r="E576" s="329"/>
      <c r="F576" s="329"/>
      <c r="G576" s="329"/>
      <c r="H576" s="329"/>
      <c r="I576" s="329"/>
      <c r="J576" s="114"/>
      <c r="K576" s="114"/>
      <c r="L576" s="106"/>
    </row>
    <row r="577" spans="1:12" s="229" customFormat="1" ht="18" customHeight="1">
      <c r="A577" s="275" t="s">
        <v>171</v>
      </c>
      <c r="B577" s="70" t="s">
        <v>83</v>
      </c>
      <c r="C577" s="85">
        <f t="shared" si="27"/>
        <v>1</v>
      </c>
      <c r="D577" s="85"/>
      <c r="E577" s="85"/>
      <c r="F577" s="85"/>
      <c r="G577" s="85"/>
      <c r="H577" s="85"/>
      <c r="I577" s="85"/>
      <c r="J577" s="114"/>
      <c r="K577" s="114"/>
      <c r="L577" s="106"/>
    </row>
    <row r="578" spans="1:12" s="229" customFormat="1" ht="18" customHeight="1">
      <c r="A578" s="275" t="s">
        <v>172</v>
      </c>
      <c r="B578" s="70" t="s">
        <v>83</v>
      </c>
      <c r="C578" s="300">
        <f t="shared" si="27"/>
        <v>1</v>
      </c>
      <c r="D578" s="85"/>
      <c r="E578" s="85"/>
      <c r="F578" s="85"/>
      <c r="G578" s="85"/>
      <c r="H578" s="85"/>
      <c r="I578" s="85"/>
      <c r="J578" s="114"/>
      <c r="K578" s="114"/>
      <c r="L578" s="106"/>
    </row>
    <row r="579" spans="1:12" s="229" customFormat="1" ht="18" customHeight="1">
      <c r="A579" s="275" t="s">
        <v>488</v>
      </c>
      <c r="B579" s="70" t="s">
        <v>83</v>
      </c>
      <c r="C579" s="106">
        <f>E55</f>
        <v>1</v>
      </c>
      <c r="D579" s="85"/>
      <c r="E579" s="85"/>
      <c r="F579" s="85"/>
      <c r="G579" s="85"/>
      <c r="H579" s="85"/>
      <c r="I579" s="85"/>
      <c r="J579" s="114"/>
      <c r="K579" s="114"/>
      <c r="L579" s="106"/>
    </row>
    <row r="580" spans="1:12" s="325" customFormat="1" ht="18" customHeight="1">
      <c r="A580" s="275" t="str">
        <f t="shared" ref="A580:B583" si="28">A56</f>
        <v>Import</v>
      </c>
      <c r="B580" s="275" t="str">
        <f t="shared" si="28"/>
        <v>bin.</v>
      </c>
      <c r="C580" s="343">
        <f>E56</f>
        <v>0</v>
      </c>
      <c r="D580" s="275"/>
      <c r="F580" s="329"/>
      <c r="G580" s="329"/>
      <c r="H580" s="329"/>
      <c r="I580" s="329"/>
      <c r="J580" s="114"/>
      <c r="K580" s="114"/>
      <c r="L580" s="106"/>
    </row>
    <row r="581" spans="1:12" s="325" customFormat="1" ht="18" customHeight="1">
      <c r="A581" s="275" t="str">
        <f t="shared" si="28"/>
        <v>Export</v>
      </c>
      <c r="B581" s="275" t="str">
        <f t="shared" si="28"/>
        <v>bin.</v>
      </c>
      <c r="C581" s="343">
        <f>E57</f>
        <v>1</v>
      </c>
      <c r="D581" s="275"/>
      <c r="F581" s="329"/>
      <c r="G581" s="329"/>
      <c r="H581" s="329"/>
      <c r="I581" s="329"/>
      <c r="J581" s="114"/>
      <c r="K581" s="114"/>
      <c r="L581" s="106"/>
    </row>
    <row r="582" spans="1:12" s="325" customFormat="1" ht="18" customHeight="1">
      <c r="A582" s="275" t="str">
        <f t="shared" si="28"/>
        <v>Import</v>
      </c>
      <c r="B582" s="275" t="str">
        <f t="shared" si="28"/>
        <v>MW</v>
      </c>
      <c r="C582" s="343">
        <f>E58</f>
        <v>0</v>
      </c>
      <c r="D582" s="275"/>
      <c r="F582" s="329"/>
      <c r="G582" s="329"/>
      <c r="H582" s="329"/>
      <c r="I582" s="329"/>
      <c r="J582" s="114"/>
      <c r="K582" s="114"/>
      <c r="L582" s="106"/>
    </row>
    <row r="583" spans="1:12" s="325" customFormat="1" ht="18" customHeight="1">
      <c r="A583" s="275" t="str">
        <f t="shared" si="28"/>
        <v>Export</v>
      </c>
      <c r="B583" s="275" t="str">
        <f t="shared" si="28"/>
        <v>MW</v>
      </c>
      <c r="C583" s="343">
        <f>E59</f>
        <v>4.1237348999999996</v>
      </c>
      <c r="D583" s="275"/>
      <c r="F583" s="329"/>
      <c r="G583" s="329"/>
      <c r="H583" s="329"/>
      <c r="I583" s="329"/>
      <c r="J583" s="114"/>
      <c r="K583" s="114"/>
      <c r="L583" s="106"/>
    </row>
    <row r="584" spans="1:12" s="229" customFormat="1" ht="18" customHeight="1">
      <c r="A584" s="182"/>
      <c r="D584" s="291"/>
      <c r="E584" s="291"/>
      <c r="F584" s="291"/>
      <c r="G584" s="291"/>
      <c r="H584" s="291"/>
      <c r="I584" s="291"/>
      <c r="J584" s="291"/>
      <c r="K584" s="291"/>
    </row>
    <row r="585" spans="1:12" s="229" customFormat="1" ht="18" customHeight="1">
      <c r="A585" s="408" t="s">
        <v>286</v>
      </c>
      <c r="B585" s="408"/>
      <c r="C585" s="408"/>
      <c r="D585" s="408"/>
      <c r="E585" s="408"/>
      <c r="F585" s="291"/>
      <c r="G585" s="291"/>
      <c r="H585" s="291"/>
      <c r="I585" s="291"/>
      <c r="J585" s="291"/>
      <c r="K585" s="291"/>
    </row>
    <row r="586" spans="1:12" s="229" customFormat="1" ht="18" customHeight="1">
      <c r="A586" s="277" t="s">
        <v>622</v>
      </c>
      <c r="B586" s="229" t="s">
        <v>9</v>
      </c>
      <c r="C586" s="521">
        <f>C614</f>
        <v>943.22048099999995</v>
      </c>
      <c r="E586" s="222"/>
      <c r="F586" s="291"/>
      <c r="G586" s="291"/>
      <c r="H586" s="291"/>
      <c r="I586" s="291"/>
      <c r="J586" s="291"/>
      <c r="K586" s="291"/>
    </row>
    <row r="587" spans="1:12" s="229" customFormat="1" ht="18" customHeight="1">
      <c r="C587" s="235"/>
      <c r="E587" s="222"/>
      <c r="F587" s="291"/>
      <c r="G587" s="291"/>
      <c r="H587" s="291"/>
      <c r="I587" s="291"/>
      <c r="J587" s="291"/>
      <c r="K587" s="291"/>
    </row>
    <row r="588" spans="1:12" s="229" customFormat="1" ht="18" customHeight="1">
      <c r="A588" s="268" t="s">
        <v>541</v>
      </c>
      <c r="B588" s="291"/>
      <c r="C588" s="235"/>
      <c r="D588" s="291"/>
      <c r="E588" s="291"/>
      <c r="F588" s="291"/>
      <c r="G588" s="291"/>
      <c r="H588" s="291"/>
      <c r="I588" s="291"/>
      <c r="J588" s="291"/>
      <c r="K588" s="291"/>
    </row>
    <row r="589" spans="1:12" s="229" customFormat="1" ht="18" customHeight="1">
      <c r="A589" s="229" t="s">
        <v>252</v>
      </c>
      <c r="B589" s="229" t="s">
        <v>9</v>
      </c>
      <c r="C589" s="234">
        <f>C569*$C$115</f>
        <v>0</v>
      </c>
    </row>
    <row r="590" spans="1:12" s="229" customFormat="1" ht="18" customHeight="1">
      <c r="A590" s="229" t="s">
        <v>253</v>
      </c>
      <c r="B590" s="229" t="s">
        <v>9</v>
      </c>
      <c r="C590" s="234">
        <f>C570*$C$115</f>
        <v>0</v>
      </c>
    </row>
    <row r="591" spans="1:12" s="229" customFormat="1" ht="18" customHeight="1">
      <c r="A591" s="229" t="s">
        <v>254</v>
      </c>
      <c r="B591" s="229" t="s">
        <v>9</v>
      </c>
      <c r="C591" s="234">
        <f>C571*$C$115</f>
        <v>0</v>
      </c>
    </row>
    <row r="592" spans="1:12" s="229" customFormat="1" ht="18" customHeight="1">
      <c r="A592" s="229" t="s">
        <v>257</v>
      </c>
      <c r="B592" s="229" t="s">
        <v>9</v>
      </c>
      <c r="C592" s="234">
        <f>C120*C572</f>
        <v>180</v>
      </c>
    </row>
    <row r="593" spans="1:5" s="229" customFormat="1" ht="18" customHeight="1">
      <c r="A593" s="229" t="s">
        <v>258</v>
      </c>
      <c r="B593" s="229" t="s">
        <v>9</v>
      </c>
      <c r="C593" s="234">
        <f>C121*C573</f>
        <v>60</v>
      </c>
    </row>
    <row r="594" spans="1:5" s="229" customFormat="1" ht="18" customHeight="1">
      <c r="A594" s="229" t="s">
        <v>255</v>
      </c>
      <c r="B594" s="229" t="s">
        <v>9</v>
      </c>
      <c r="C594" s="234">
        <f>C574*C117</f>
        <v>70</v>
      </c>
    </row>
    <row r="595" spans="1:5" s="229" customFormat="1" ht="18" customHeight="1">
      <c r="A595" s="229" t="s">
        <v>256</v>
      </c>
      <c r="B595" s="229" t="s">
        <v>9</v>
      </c>
      <c r="C595" s="234">
        <f>C118*C575</f>
        <v>0</v>
      </c>
    </row>
    <row r="596" spans="1:5" s="325" customFormat="1" ht="18" customHeight="1">
      <c r="A596" s="325" t="s">
        <v>979</v>
      </c>
      <c r="B596" s="325" t="s">
        <v>9</v>
      </c>
      <c r="C596" s="351">
        <f>C119*C576</f>
        <v>0</v>
      </c>
    </row>
    <row r="597" spans="1:5" s="229" customFormat="1" ht="18" customHeight="1">
      <c r="A597" s="229" t="s">
        <v>259</v>
      </c>
      <c r="B597" s="229" t="s">
        <v>9</v>
      </c>
      <c r="C597" s="234">
        <f>C122*C577</f>
        <v>50</v>
      </c>
    </row>
    <row r="598" spans="1:5" s="229" customFormat="1" ht="18" customHeight="1">
      <c r="A598" s="229" t="s">
        <v>260</v>
      </c>
      <c r="B598" s="229" t="s">
        <v>9</v>
      </c>
      <c r="C598" s="234">
        <f>C122*C578</f>
        <v>50</v>
      </c>
    </row>
    <row r="599" spans="1:5" s="229" customFormat="1" ht="18" customHeight="1">
      <c r="A599" s="229" t="s">
        <v>233</v>
      </c>
      <c r="B599" s="229" t="s">
        <v>9</v>
      </c>
      <c r="C599" s="234">
        <f>C579*C123</f>
        <v>30</v>
      </c>
    </row>
    <row r="600" spans="1:5" s="229" customFormat="1" ht="18" customHeight="1">
      <c r="A600" s="229" t="str">
        <f>A114</f>
        <v>Demin</v>
      </c>
      <c r="B600" s="229" t="s">
        <v>9</v>
      </c>
      <c r="C600" s="234">
        <f>C114</f>
        <v>200</v>
      </c>
      <c r="E600" s="70" t="s">
        <v>542</v>
      </c>
    </row>
    <row r="601" spans="1:5" s="229" customFormat="1" ht="18" customHeight="1">
      <c r="A601" s="229" t="s">
        <v>584</v>
      </c>
      <c r="B601" s="229" t="s">
        <v>9</v>
      </c>
      <c r="C601" s="234">
        <f>C116</f>
        <v>207</v>
      </c>
      <c r="E601" s="70" t="s">
        <v>542</v>
      </c>
    </row>
    <row r="602" spans="1:5" s="325" customFormat="1" ht="18" customHeight="1">
      <c r="A602" s="268" t="s">
        <v>844</v>
      </c>
      <c r="C602" s="351"/>
      <c r="E602" s="298"/>
    </row>
    <row r="603" spans="1:5" s="325" customFormat="1" ht="18" customHeight="1">
      <c r="A603" s="325" t="s">
        <v>835</v>
      </c>
      <c r="B603" s="325" t="s">
        <v>9</v>
      </c>
      <c r="C603" s="331">
        <v>0</v>
      </c>
      <c r="E603" s="298"/>
    </row>
    <row r="604" spans="1:5" s="325" customFormat="1" ht="18" customHeight="1">
      <c r="A604" s="325" t="s">
        <v>836</v>
      </c>
      <c r="B604" s="325" t="s">
        <v>9</v>
      </c>
      <c r="C604" s="331">
        <f>C124</f>
        <v>20</v>
      </c>
      <c r="E604" s="298"/>
    </row>
    <row r="605" spans="1:5" s="325" customFormat="1" ht="18" customHeight="1">
      <c r="A605" s="325" t="s">
        <v>837</v>
      </c>
      <c r="B605" s="325" t="s">
        <v>23</v>
      </c>
      <c r="C605" s="331">
        <v>0</v>
      </c>
      <c r="E605" s="298"/>
    </row>
    <row r="606" spans="1:5" s="325" customFormat="1" ht="18" customHeight="1">
      <c r="A606" s="325" t="s">
        <v>838</v>
      </c>
      <c r="B606" s="325" t="s">
        <v>23</v>
      </c>
      <c r="C606" s="331">
        <f>C67</f>
        <v>6</v>
      </c>
      <c r="E606" s="298"/>
    </row>
    <row r="607" spans="1:5" s="325" customFormat="1" ht="18" customHeight="1">
      <c r="A607" s="325" t="s">
        <v>46</v>
      </c>
      <c r="C607" s="331">
        <f>SLOPE(C603:C604,C605:C606)</f>
        <v>3.3333333333333335</v>
      </c>
      <c r="E607" s="298"/>
    </row>
    <row r="608" spans="1:5" s="325" customFormat="1" ht="18" customHeight="1">
      <c r="A608" s="325" t="s">
        <v>45</v>
      </c>
      <c r="C608" s="331">
        <f>INTERCEPT(C603:C604,C605:C606)</f>
        <v>0</v>
      </c>
      <c r="E608" s="298"/>
    </row>
    <row r="609" spans="1:5" s="325" customFormat="1" ht="18" customHeight="1">
      <c r="A609" s="325" t="s">
        <v>839</v>
      </c>
      <c r="B609" s="325" t="s">
        <v>9</v>
      </c>
      <c r="C609" s="351">
        <f>C582*C607+C580*C608</f>
        <v>0</v>
      </c>
      <c r="E609" s="298"/>
    </row>
    <row r="610" spans="1:5" s="325" customFormat="1" ht="18" customHeight="1">
      <c r="A610" s="325" t="s">
        <v>840</v>
      </c>
      <c r="B610" s="325" t="s">
        <v>9</v>
      </c>
      <c r="C610" s="351">
        <f>C583*C607+C581*C608</f>
        <v>13.745782999999999</v>
      </c>
      <c r="E610" s="298"/>
    </row>
    <row r="611" spans="1:5" s="325" customFormat="1" ht="18" customHeight="1">
      <c r="A611" s="325" t="s">
        <v>861</v>
      </c>
      <c r="B611" s="325" t="s">
        <v>9</v>
      </c>
      <c r="C611" s="351">
        <f>1000*$C$125*C582</f>
        <v>0</v>
      </c>
      <c r="E611" s="298"/>
    </row>
    <row r="612" spans="1:5" s="325" customFormat="1" ht="18" customHeight="1">
      <c r="A612" s="325" t="s">
        <v>862</v>
      </c>
      <c r="B612" s="325" t="s">
        <v>9</v>
      </c>
      <c r="C612" s="351">
        <f>1000*$C$125*C583</f>
        <v>82.474697999999989</v>
      </c>
      <c r="E612" s="298"/>
    </row>
    <row r="613" spans="1:5" s="229" customFormat="1" ht="18" customHeight="1">
      <c r="A613" s="70" t="s">
        <v>583</v>
      </c>
      <c r="B613" s="229" t="s">
        <v>9</v>
      </c>
      <c r="C613" s="234">
        <f>SUM(C589:C601,C609:C610,C611:C612)</f>
        <v>943.22048099999995</v>
      </c>
    </row>
    <row r="614" spans="1:5" s="229" customFormat="1" ht="18" customHeight="1">
      <c r="A614" s="70" t="s">
        <v>622</v>
      </c>
      <c r="B614" s="229" t="s">
        <v>9</v>
      </c>
      <c r="C614" s="234">
        <f>+C613</f>
        <v>943.22048099999995</v>
      </c>
    </row>
    <row r="615" spans="1:5" s="229" customFormat="1" ht="18" customHeight="1">
      <c r="C615" s="234"/>
    </row>
    <row r="616" spans="1:5" s="229" customFormat="1" ht="18" customHeight="1" thickBot="1">
      <c r="A616" s="389" t="s">
        <v>233</v>
      </c>
      <c r="B616" s="375"/>
      <c r="C616" s="375"/>
      <c r="D616" s="391"/>
      <c r="E616" s="391"/>
    </row>
    <row r="617" spans="1:5" s="229" customFormat="1" ht="18" customHeight="1" thickTop="1">
      <c r="A617" s="409" t="s">
        <v>285</v>
      </c>
      <c r="B617" s="407"/>
      <c r="C617" s="407"/>
      <c r="D617" s="407"/>
      <c r="E617" s="407"/>
    </row>
    <row r="618" spans="1:5" s="229" customFormat="1" ht="18" customHeight="1">
      <c r="A618" s="229" t="str">
        <f>A55</f>
        <v>GE on/off</v>
      </c>
      <c r="B618" s="229" t="s">
        <v>222</v>
      </c>
      <c r="C618" s="81">
        <f>E55</f>
        <v>1</v>
      </c>
    </row>
    <row r="619" spans="1:5" s="229" customFormat="1" ht="18" customHeight="1">
      <c r="A619" s="229" t="s">
        <v>228</v>
      </c>
      <c r="B619" s="229" t="s">
        <v>3</v>
      </c>
      <c r="C619" s="81">
        <f>E39</f>
        <v>100</v>
      </c>
    </row>
    <row r="620" spans="1:5" s="229" customFormat="1" ht="18" customHeight="1"/>
    <row r="621" spans="1:5" s="229" customFormat="1" ht="18" customHeight="1">
      <c r="A621" s="408" t="s">
        <v>286</v>
      </c>
      <c r="B621" s="408"/>
      <c r="C621" s="408"/>
      <c r="D621" s="408"/>
      <c r="E621" s="408"/>
    </row>
    <row r="622" spans="1:5" s="229" customFormat="1" ht="18" customHeight="1">
      <c r="A622" s="229" t="s">
        <v>229</v>
      </c>
      <c r="B622" s="229" t="s">
        <v>230</v>
      </c>
      <c r="C622" s="81">
        <f ca="1">C645</f>
        <v>5319.6629213483138</v>
      </c>
    </row>
    <row r="623" spans="1:5" s="229" customFormat="1" ht="18" customHeight="1">
      <c r="A623" s="229" t="s">
        <v>73</v>
      </c>
      <c r="B623" s="229" t="s">
        <v>23</v>
      </c>
      <c r="C623" s="350">
        <f ca="1">C641/1000</f>
        <v>2</v>
      </c>
    </row>
    <row r="624" spans="1:5" s="229" customFormat="1" ht="18" customHeight="1">
      <c r="A624" s="229" t="str">
        <f t="shared" ref="A624:C624" si="29">A648</f>
        <v>MP steam generation</v>
      </c>
      <c r="B624" s="325" t="str">
        <f t="shared" si="29"/>
        <v>t/h</v>
      </c>
      <c r="C624" s="340" t="e">
        <f t="shared" ca="1" si="29"/>
        <v>#NAME?</v>
      </c>
    </row>
    <row r="625" spans="1:8" s="325" customFormat="1" ht="18" customHeight="1">
      <c r="A625" s="325" t="s">
        <v>930</v>
      </c>
      <c r="B625" s="325" t="s">
        <v>8</v>
      </c>
      <c r="C625" s="81">
        <f ca="1">C642</f>
        <v>907.58245479474022</v>
      </c>
    </row>
    <row r="626" spans="1:8" s="325" customFormat="1" ht="18" customHeight="1">
      <c r="A626" s="325" t="s">
        <v>931</v>
      </c>
      <c r="B626" s="325" t="s">
        <v>8</v>
      </c>
      <c r="C626" s="81">
        <f ca="1">C643</f>
        <v>1050.3333333333335</v>
      </c>
    </row>
    <row r="627" spans="1:8" s="325" customFormat="1" ht="18" customHeight="1">
      <c r="A627" s="325" t="s">
        <v>932</v>
      </c>
      <c r="B627" s="325" t="s">
        <v>8</v>
      </c>
      <c r="C627" s="81">
        <f ca="1">C644</f>
        <v>0</v>
      </c>
    </row>
    <row r="628" spans="1:8" s="229" customFormat="1" ht="18" customHeight="1">
      <c r="A628" s="229" t="s">
        <v>0</v>
      </c>
      <c r="B628" s="299" t="s">
        <v>273</v>
      </c>
      <c r="C628" s="81" t="e">
        <f ca="1">C649</f>
        <v>#NAME?</v>
      </c>
    </row>
    <row r="629" spans="1:8" s="229" customFormat="1" ht="18" customHeight="1">
      <c r="C629" s="233"/>
    </row>
    <row r="630" spans="1:8" s="229" customFormat="1" ht="18" customHeight="1">
      <c r="A630" s="229" t="s">
        <v>495</v>
      </c>
      <c r="B630" s="220"/>
      <c r="C630" s="220"/>
      <c r="D630" s="220"/>
      <c r="E630" s="220"/>
    </row>
    <row r="631" spans="1:8" s="229" customFormat="1" ht="18" customHeight="1">
      <c r="A631" s="229" t="s">
        <v>496</v>
      </c>
      <c r="B631" s="220"/>
      <c r="C631" s="220"/>
      <c r="D631" s="220"/>
      <c r="E631" s="220"/>
    </row>
    <row r="632" spans="1:8" s="229" customFormat="1" ht="18" customHeight="1">
      <c r="A632" s="220"/>
      <c r="B632" s="220"/>
      <c r="C632" s="220"/>
      <c r="D632" s="220"/>
      <c r="E632" s="220"/>
    </row>
    <row r="633" spans="1:8" s="229" customFormat="1" ht="18" customHeight="1">
      <c r="B633" s="315"/>
      <c r="C633" s="499" t="str">
        <f>Operator!C24</f>
        <v>2 MWe NOx 250</v>
      </c>
      <c r="D633" s="319"/>
      <c r="E633" s="319"/>
      <c r="F633" s="493" t="s">
        <v>8</v>
      </c>
      <c r="G633" s="327" t="s">
        <v>3</v>
      </c>
    </row>
    <row r="634" spans="1:8" s="229" customFormat="1" ht="18" customHeight="1">
      <c r="A634" s="315" t="str">
        <f>Assets!I720</f>
        <v>Output</v>
      </c>
      <c r="B634" s="315"/>
      <c r="C634" s="321">
        <f ca="1">OFFSET(Assets!J$720,MATCH($A634,Assets!$I$720:$I$724,0)-1,MATCH(Model!$C$633,Assets!$J$718:$S$718,0)-1)</f>
        <v>20</v>
      </c>
      <c r="D634" s="321">
        <f ca="1">OFFSET(Assets!K$720,MATCH($A634,Assets!$I$720:$I$724,0)-1,MATCH(Model!$C$633,Assets!$J$718:$S$718,0)-1)</f>
        <v>0</v>
      </c>
      <c r="E634" s="321"/>
      <c r="F634" s="324">
        <f ca="1">C634*100+D634</f>
        <v>2000</v>
      </c>
      <c r="G634" s="267">
        <f ca="1">F634/$F$638</f>
        <v>0.37596367092618022</v>
      </c>
      <c r="H634" s="321"/>
    </row>
    <row r="635" spans="1:8" s="229" customFormat="1" ht="18" customHeight="1">
      <c r="A635" s="315" t="str">
        <f>Assets!I721</f>
        <v>Exhaust</v>
      </c>
      <c r="B635" s="315"/>
      <c r="C635" s="321">
        <f ca="1">OFFSET(Assets!J$720,MATCH($A635,Assets!$I$720:$I$724,0)-1,MATCH(Model!$C$633,Assets!$J$718:$S$718,0)-1)</f>
        <v>6.1710480802490446</v>
      </c>
      <c r="D635" s="321">
        <f ca="1">OFFSET(Assets!K$720,MATCH($A635,Assets!$I$720:$I$724,0)-1,MATCH(Model!$C$633,Assets!$J$718:$S$718,0)-1)</f>
        <v>290.4776467698357</v>
      </c>
      <c r="E635" s="321"/>
      <c r="F635" s="324">
        <f ca="1">C635*100+D635</f>
        <v>907.58245479474022</v>
      </c>
      <c r="G635" s="267">
        <f ca="1">F635/$F$638</f>
        <v>0.17060901568641226</v>
      </c>
      <c r="H635" s="321"/>
    </row>
    <row r="636" spans="1:8" s="229" customFormat="1" ht="18" customHeight="1">
      <c r="A636" s="315" t="str">
        <f>Assets!I722</f>
        <v>Jacket</v>
      </c>
      <c r="B636" s="315"/>
      <c r="C636" s="321">
        <f ca="1">OFFSET(Assets!J$720,MATCH($A636,Assets!$I$720:$I$724,0)-1,MATCH(Model!$C$633,Assets!$J$718:$S$718,0)-1)</f>
        <v>9.8000000000000007</v>
      </c>
      <c r="D636" s="321">
        <f ca="1">OFFSET(Assets!K$720,MATCH($A636,Assets!$I$720:$I$724,0)-1,MATCH(Model!$C$633,Assets!$J$718:$S$718,0)-1)</f>
        <v>70.333333333333371</v>
      </c>
      <c r="E636" s="321"/>
      <c r="F636" s="324">
        <f ca="1">C636*100+D636</f>
        <v>1050.3333333333335</v>
      </c>
      <c r="G636" s="267">
        <f ca="1">F636/$F$638</f>
        <v>0.19744358784806568</v>
      </c>
      <c r="H636" s="321"/>
    </row>
    <row r="637" spans="1:8" s="229" customFormat="1" ht="18" customHeight="1">
      <c r="A637" s="315" t="str">
        <f>Assets!I723</f>
        <v>Lube oil</v>
      </c>
      <c r="B637" s="315"/>
      <c r="C637" s="321">
        <f ca="1">IFERROR(OFFSET(Assets!J$720,MATCH($A637,Assets!$I$720:$I$724,0)-1,MATCH(Model!$C$633,Assets!$J$718:$S$718,0)-1),0)</f>
        <v>0</v>
      </c>
      <c r="D637" s="321">
        <f ca="1">IFERROR(OFFSET(Assets!K$720,MATCH($A637,Assets!$I$720:$I$724,0)-1,MATCH(Model!$C$633,Assets!$J$718:$S$718,0)-1),0)</f>
        <v>0</v>
      </c>
      <c r="E637" s="321"/>
      <c r="F637" s="324">
        <f ca="1">C637*100+D637</f>
        <v>0</v>
      </c>
      <c r="G637" s="267">
        <f ca="1">F637/$F$638</f>
        <v>0</v>
      </c>
      <c r="H637" s="321"/>
    </row>
    <row r="638" spans="1:8" s="229" customFormat="1" ht="18" customHeight="1">
      <c r="A638" s="315" t="str">
        <f>Assets!I724</f>
        <v>Fuel input (gross)</v>
      </c>
      <c r="B638" s="315"/>
      <c r="C638" s="321">
        <f ca="1">OFFSET(Assets!J$720,MATCH($A638,Assets!$I$720:$I$724,0)-1,MATCH(Model!$C$633,Assets!$J$718:$S$718,0)-1)</f>
        <v>48.157303370786515</v>
      </c>
      <c r="D638" s="321">
        <f ca="1">OFFSET(Assets!K$720,MATCH($A638,Assets!$I$720:$I$724,0)-1,MATCH(Model!$C$633,Assets!$J$718:$S$718,0)-1)</f>
        <v>503.93258426966258</v>
      </c>
      <c r="E638" s="321"/>
      <c r="F638" s="324">
        <f ca="1">C638*100+D638</f>
        <v>5319.6629213483138</v>
      </c>
      <c r="G638" s="267">
        <f ca="1">F638/$F$638</f>
        <v>1</v>
      </c>
      <c r="H638" s="321"/>
    </row>
    <row r="639" spans="1:8" s="229" customFormat="1" ht="18" customHeight="1">
      <c r="A639" s="220"/>
      <c r="B639" s="220"/>
      <c r="C639" s="220"/>
      <c r="D639" s="220"/>
      <c r="E639" s="220"/>
    </row>
    <row r="640" spans="1:8" s="229" customFormat="1" ht="18" customHeight="1">
      <c r="A640" s="220" t="s">
        <v>494</v>
      </c>
      <c r="B640" s="220"/>
      <c r="C640" s="220"/>
      <c r="D640" s="220"/>
      <c r="E640" s="220"/>
    </row>
    <row r="641" spans="1:15" s="229" customFormat="1" ht="18" customHeight="1">
      <c r="A641" s="220" t="str">
        <f>A634</f>
        <v>Output</v>
      </c>
      <c r="B641" s="220" t="s">
        <v>9</v>
      </c>
      <c r="C641" s="324">
        <f ca="1">C634*$C$619+D634*$C$618</f>
        <v>2000</v>
      </c>
      <c r="D641" s="225"/>
      <c r="E641" s="220"/>
    </row>
    <row r="642" spans="1:15" s="229" customFormat="1" ht="18" customHeight="1">
      <c r="A642" s="220" t="str">
        <f>A635</f>
        <v>Exhaust</v>
      </c>
      <c r="B642" s="220" t="s">
        <v>8</v>
      </c>
      <c r="C642" s="324">
        <f ca="1">(C635*$C$619+D635*$C$618)</f>
        <v>907.58245479474022</v>
      </c>
      <c r="D642" s="225"/>
      <c r="E642" s="220"/>
    </row>
    <row r="643" spans="1:15" s="229" customFormat="1" ht="18" customHeight="1">
      <c r="A643" s="220" t="str">
        <f>A636</f>
        <v>Jacket</v>
      </c>
      <c r="B643" s="315" t="s">
        <v>8</v>
      </c>
      <c r="C643" s="324">
        <f ca="1">C636*$C$619+D636*$C$618</f>
        <v>1050.3333333333335</v>
      </c>
      <c r="D643" s="225"/>
      <c r="E643" s="220"/>
    </row>
    <row r="644" spans="1:15" s="229" customFormat="1" ht="18" customHeight="1">
      <c r="A644" s="220" t="str">
        <f>A637</f>
        <v>Lube oil</v>
      </c>
      <c r="B644" s="315" t="s">
        <v>8</v>
      </c>
      <c r="C644" s="324">
        <f ca="1">C637*$C$619+D637*$C$618</f>
        <v>0</v>
      </c>
      <c r="D644" s="225"/>
      <c r="E644" s="220"/>
    </row>
    <row r="645" spans="1:15" s="229" customFormat="1" ht="18" customHeight="1">
      <c r="A645" s="220" t="str">
        <f>A638</f>
        <v>Fuel input (gross)</v>
      </c>
      <c r="B645" s="315" t="s">
        <v>327</v>
      </c>
      <c r="C645" s="324">
        <f ca="1">C638*$C$619+D638*$C$618</f>
        <v>5319.6629213483138</v>
      </c>
      <c r="D645" s="225"/>
      <c r="E645" s="220"/>
    </row>
    <row r="646" spans="1:15" s="325" customFormat="1" ht="18" customHeight="1">
      <c r="A646" s="315" t="s">
        <v>938</v>
      </c>
      <c r="B646" s="315" t="s">
        <v>8</v>
      </c>
      <c r="C646" s="324">
        <f ca="1">C642</f>
        <v>907.58245479474022</v>
      </c>
      <c r="D646" s="321"/>
      <c r="E646" s="315"/>
    </row>
    <row r="647" spans="1:15" s="325" customFormat="1" ht="18" customHeight="1">
      <c r="A647" s="315" t="s">
        <v>960</v>
      </c>
      <c r="B647" s="315" t="s">
        <v>8</v>
      </c>
      <c r="C647" s="324">
        <f ca="1">SUM(C646:C646)</f>
        <v>907.58245479474022</v>
      </c>
      <c r="D647" s="321"/>
      <c r="E647" s="315"/>
    </row>
    <row r="648" spans="1:15" s="325" customFormat="1" ht="18" customHeight="1">
      <c r="A648" s="220" t="s">
        <v>939</v>
      </c>
      <c r="B648" s="293" t="s">
        <v>273</v>
      </c>
      <c r="C648" s="320" t="e">
        <f ca="1">3.6*C647/I151</f>
        <v>#NAME?</v>
      </c>
      <c r="D648" s="321"/>
      <c r="E648" s="315"/>
    </row>
    <row r="649" spans="1:15" s="229" customFormat="1" ht="18" customHeight="1">
      <c r="A649" s="220" t="s">
        <v>0</v>
      </c>
      <c r="B649" s="293" t="s">
        <v>273</v>
      </c>
      <c r="C649" s="321" t="e">
        <f ca="1">SUM(C648:C648)*C128</f>
        <v>#NAME?</v>
      </c>
      <c r="D649" s="220"/>
      <c r="E649" s="220"/>
    </row>
    <row r="650" spans="1:15" s="229" customFormat="1" ht="18" customHeight="1">
      <c r="A650" s="70" t="s">
        <v>499</v>
      </c>
      <c r="B650" s="70" t="s">
        <v>3</v>
      </c>
      <c r="C650" s="497">
        <f ca="1">IFERROR(C641/C645,0)</f>
        <v>0.37596367092618022</v>
      </c>
    </row>
    <row r="651" spans="1:15" s="229" customFormat="1" ht="18" customHeight="1">
      <c r="A651" s="70" t="s">
        <v>951</v>
      </c>
      <c r="B651" s="70" t="s">
        <v>3</v>
      </c>
      <c r="C651" s="497">
        <f ca="1">IFERROR(SUM(C672,C647)/C645,0)</f>
        <v>0</v>
      </c>
      <c r="E651" s="498"/>
      <c r="F651" s="498"/>
    </row>
    <row r="652" spans="1:15" s="325" customFormat="1" ht="18" customHeight="1">
      <c r="A652" s="298" t="s">
        <v>952</v>
      </c>
      <c r="B652" s="298" t="s">
        <v>3</v>
      </c>
      <c r="C652" s="497">
        <f ca="1">SUM(C642:C644)/C645</f>
        <v>0.36805260353447794</v>
      </c>
    </row>
    <row r="653" spans="1:15" s="229" customFormat="1" ht="18" customHeight="1">
      <c r="A653" s="57"/>
      <c r="B653" s="57"/>
      <c r="C653" s="57"/>
      <c r="D653" s="57"/>
      <c r="E653" s="57"/>
      <c r="F653" s="57"/>
      <c r="G653" s="57"/>
    </row>
    <row r="654" spans="1:15" s="229" customFormat="1" ht="18" customHeight="1" thickBot="1">
      <c r="A654" s="391" t="s">
        <v>519</v>
      </c>
      <c r="B654" s="391"/>
      <c r="C654" s="411"/>
      <c r="D654" s="375"/>
      <c r="E654" s="375"/>
      <c r="F654" s="291"/>
      <c r="G654" s="291"/>
      <c r="H654" s="291"/>
      <c r="I654" s="238"/>
      <c r="J654" s="238"/>
      <c r="K654" s="233"/>
      <c r="M654" s="291"/>
      <c r="N654" s="291"/>
      <c r="O654" s="291"/>
    </row>
    <row r="655" spans="1:15" s="325" customFormat="1" ht="18" customHeight="1" thickTop="1">
      <c r="A655" s="269" t="s">
        <v>623</v>
      </c>
      <c r="B655" s="238"/>
      <c r="C655" s="353"/>
      <c r="D655" s="334"/>
      <c r="E655" s="334"/>
      <c r="F655" s="334"/>
      <c r="G655" s="334"/>
      <c r="H655" s="334"/>
      <c r="I655" s="238"/>
      <c r="J655" s="238"/>
      <c r="K655" s="350"/>
      <c r="M655" s="334"/>
      <c r="N655" s="334"/>
      <c r="O655" s="334"/>
    </row>
    <row r="656" spans="1:15" s="325" customFormat="1" ht="18" customHeight="1">
      <c r="A656" s="269"/>
      <c r="B656" s="238"/>
      <c r="C656" s="353"/>
      <c r="D656" s="334"/>
      <c r="E656" s="334"/>
      <c r="F656" s="334"/>
      <c r="G656" s="334"/>
      <c r="H656" s="334"/>
      <c r="I656" s="238"/>
      <c r="J656" s="238"/>
      <c r="K656" s="350"/>
      <c r="M656" s="334"/>
      <c r="N656" s="334"/>
      <c r="O656" s="334"/>
    </row>
    <row r="657" spans="1:15" s="325" customFormat="1" ht="18" customHeight="1">
      <c r="A657" s="182" t="str">
        <f t="shared" ref="A657:B659" si="30">A625</f>
        <v>Exhaust heat to BFW preheat</v>
      </c>
      <c r="B657" s="182" t="str">
        <f t="shared" si="30"/>
        <v>kW</v>
      </c>
      <c r="C657" s="405">
        <v>0</v>
      </c>
      <c r="D657" s="334"/>
      <c r="E657" s="334"/>
      <c r="F657" s="334"/>
      <c r="G657" s="334"/>
      <c r="H657" s="334"/>
      <c r="I657" s="238"/>
      <c r="J657" s="238"/>
      <c r="K657" s="350"/>
      <c r="M657" s="334"/>
      <c r="N657" s="334"/>
      <c r="O657" s="334"/>
    </row>
    <row r="658" spans="1:15" s="325" customFormat="1" ht="18" customHeight="1">
      <c r="A658" s="182" t="str">
        <f t="shared" si="30"/>
        <v>Jacket heat to BFW preheat</v>
      </c>
      <c r="B658" s="182" t="str">
        <f t="shared" si="30"/>
        <v>kW</v>
      </c>
      <c r="C658" s="405">
        <f ca="1">C626</f>
        <v>1050.3333333333335</v>
      </c>
      <c r="D658" s="334"/>
      <c r="E658" s="334"/>
      <c r="F658" s="334"/>
      <c r="G658" s="334"/>
      <c r="H658" s="334"/>
      <c r="I658" s="238"/>
      <c r="J658" s="238"/>
      <c r="K658" s="350"/>
      <c r="M658" s="334"/>
      <c r="N658" s="334"/>
      <c r="O658" s="334"/>
    </row>
    <row r="659" spans="1:15" s="325" customFormat="1" ht="18" customHeight="1">
      <c r="A659" s="182" t="str">
        <f t="shared" si="30"/>
        <v>Lube oil heat to BFW preheat</v>
      </c>
      <c r="B659" s="182" t="str">
        <f t="shared" si="30"/>
        <v>kW</v>
      </c>
      <c r="C659" s="405">
        <f ca="1">C627</f>
        <v>0</v>
      </c>
      <c r="D659" s="334"/>
      <c r="E659" s="334"/>
      <c r="F659" s="334"/>
      <c r="G659" s="334"/>
      <c r="H659" s="334"/>
      <c r="I659" s="238"/>
      <c r="J659" s="238"/>
      <c r="K659" s="350"/>
      <c r="M659" s="334"/>
      <c r="N659" s="334"/>
      <c r="O659" s="334"/>
    </row>
    <row r="660" spans="1:15" s="229" customFormat="1" ht="18" customHeight="1">
      <c r="A660" s="182" t="s">
        <v>933</v>
      </c>
      <c r="B660" s="182" t="s">
        <v>8</v>
      </c>
      <c r="C660" s="402">
        <f ca="1">SUM(C657:C659)</f>
        <v>1050.3333333333335</v>
      </c>
      <c r="D660" s="291"/>
      <c r="E660" s="291"/>
      <c r="F660" s="291"/>
      <c r="G660" s="291"/>
      <c r="H660" s="291"/>
      <c r="I660" s="238"/>
      <c r="J660" s="238"/>
      <c r="K660" s="233"/>
      <c r="M660" s="291"/>
      <c r="N660" s="291"/>
      <c r="O660" s="291"/>
    </row>
    <row r="661" spans="1:15" s="229" customFormat="1" ht="18" customHeight="1">
      <c r="B661" s="238"/>
      <c r="C661" s="251"/>
      <c r="D661" s="291"/>
      <c r="E661" s="291"/>
      <c r="F661" s="291"/>
      <c r="G661" s="291"/>
      <c r="H661" s="291"/>
      <c r="I661" s="291"/>
      <c r="J661" s="291"/>
      <c r="K661" s="291"/>
      <c r="M661" s="291"/>
      <c r="N661" s="291"/>
      <c r="O661" s="291"/>
    </row>
    <row r="662" spans="1:15" s="229" customFormat="1" ht="18" customHeight="1">
      <c r="A662" s="363" t="s">
        <v>505</v>
      </c>
      <c r="B662" s="363"/>
      <c r="C662" s="406">
        <v>0</v>
      </c>
      <c r="D662" s="412">
        <f>C662+1</f>
        <v>1</v>
      </c>
      <c r="E662" s="412">
        <v>2</v>
      </c>
      <c r="F662" s="412">
        <v>3</v>
      </c>
      <c r="G662" s="174">
        <v>4</v>
      </c>
      <c r="H662" s="174">
        <v>5</v>
      </c>
      <c r="I662" s="174">
        <v>6</v>
      </c>
      <c r="J662" s="174">
        <v>7</v>
      </c>
      <c r="K662" s="174">
        <v>8</v>
      </c>
      <c r="L662" s="174">
        <v>9</v>
      </c>
      <c r="M662" s="291"/>
      <c r="N662" s="291"/>
      <c r="O662" s="291"/>
    </row>
    <row r="663" spans="1:15" s="229" customFormat="1" ht="18" customHeight="1">
      <c r="A663" s="238" t="s">
        <v>466</v>
      </c>
      <c r="B663" s="238" t="s">
        <v>230</v>
      </c>
      <c r="C663" s="351"/>
      <c r="D663" s="81">
        <f ca="1">C660</f>
        <v>1050.3333333333335</v>
      </c>
      <c r="E663" s="235">
        <f t="shared" ref="E663:L663" ca="1" si="31">D663</f>
        <v>1050.3333333333335</v>
      </c>
      <c r="F663" s="235">
        <f t="shared" ca="1" si="31"/>
        <v>1050.3333333333335</v>
      </c>
      <c r="G663" s="235">
        <f t="shared" ca="1" si="31"/>
        <v>1050.3333333333335</v>
      </c>
      <c r="H663" s="235">
        <f t="shared" ca="1" si="31"/>
        <v>1050.3333333333335</v>
      </c>
      <c r="I663" s="235">
        <f t="shared" ca="1" si="31"/>
        <v>1050.3333333333335</v>
      </c>
      <c r="J663" s="235">
        <f t="shared" ca="1" si="31"/>
        <v>1050.3333333333335</v>
      </c>
      <c r="K663" s="235">
        <f t="shared" ca="1" si="31"/>
        <v>1050.3333333333335</v>
      </c>
      <c r="L663" s="235">
        <f t="shared" ca="1" si="31"/>
        <v>1050.3333333333335</v>
      </c>
      <c r="M663" s="291"/>
      <c r="N663" s="291"/>
      <c r="O663" s="291"/>
    </row>
    <row r="664" spans="1:15" s="229" customFormat="1" ht="18" customHeight="1">
      <c r="A664" s="238" t="s">
        <v>467</v>
      </c>
      <c r="B664" s="238" t="s">
        <v>273</v>
      </c>
      <c r="C664" s="351"/>
      <c r="D664" s="86" t="e">
        <f ca="1">L534</f>
        <v>#NAME?</v>
      </c>
      <c r="E664" s="86" t="e">
        <f t="shared" ref="E664:L664" ca="1" si="32">D664</f>
        <v>#NAME?</v>
      </c>
      <c r="F664" s="86" t="e">
        <f t="shared" ca="1" si="32"/>
        <v>#NAME?</v>
      </c>
      <c r="G664" s="86" t="e">
        <f t="shared" ca="1" si="32"/>
        <v>#NAME?</v>
      </c>
      <c r="H664" s="86" t="e">
        <f t="shared" ca="1" si="32"/>
        <v>#NAME?</v>
      </c>
      <c r="I664" s="86" t="e">
        <f t="shared" ca="1" si="32"/>
        <v>#NAME?</v>
      </c>
      <c r="J664" s="86" t="e">
        <f t="shared" ca="1" si="32"/>
        <v>#NAME?</v>
      </c>
      <c r="K664" s="86" t="e">
        <f t="shared" ca="1" si="32"/>
        <v>#NAME?</v>
      </c>
      <c r="L664" s="86" t="e">
        <f t="shared" ca="1" si="32"/>
        <v>#NAME?</v>
      </c>
      <c r="M664" s="291"/>
      <c r="N664" s="291"/>
      <c r="O664" s="291"/>
    </row>
    <row r="665" spans="1:15" s="229" customFormat="1" ht="18" customHeight="1">
      <c r="A665" s="238" t="s">
        <v>468</v>
      </c>
      <c r="B665" s="238" t="s">
        <v>18</v>
      </c>
      <c r="C665" s="351"/>
      <c r="D665" s="86">
        <f>C101</f>
        <v>80</v>
      </c>
      <c r="E665" s="120">
        <f>D665</f>
        <v>80</v>
      </c>
      <c r="F665" s="120">
        <f t="shared" ref="F665:L666" si="33">E665</f>
        <v>80</v>
      </c>
      <c r="G665" s="120">
        <f t="shared" si="33"/>
        <v>80</v>
      </c>
      <c r="H665" s="120">
        <f t="shared" si="33"/>
        <v>80</v>
      </c>
      <c r="I665" s="120">
        <f t="shared" si="33"/>
        <v>80</v>
      </c>
      <c r="J665" s="120">
        <f t="shared" si="33"/>
        <v>80</v>
      </c>
      <c r="K665" s="120">
        <f t="shared" si="33"/>
        <v>80</v>
      </c>
      <c r="L665" s="120">
        <f t="shared" si="33"/>
        <v>80</v>
      </c>
      <c r="M665" s="291"/>
      <c r="N665" s="291"/>
      <c r="O665" s="291"/>
    </row>
    <row r="666" spans="1:15" s="229" customFormat="1" ht="18" customHeight="1">
      <c r="A666" s="238" t="s">
        <v>469</v>
      </c>
      <c r="B666" s="238" t="s">
        <v>18</v>
      </c>
      <c r="C666" s="351"/>
      <c r="D666" s="81">
        <f>C109</f>
        <v>95</v>
      </c>
      <c r="E666" s="235">
        <f>D666</f>
        <v>95</v>
      </c>
      <c r="F666" s="235">
        <f t="shared" si="33"/>
        <v>95</v>
      </c>
      <c r="G666" s="235">
        <f t="shared" si="33"/>
        <v>95</v>
      </c>
      <c r="H666" s="235">
        <f t="shared" si="33"/>
        <v>95</v>
      </c>
      <c r="I666" s="235">
        <f t="shared" si="33"/>
        <v>95</v>
      </c>
      <c r="J666" s="235">
        <f t="shared" si="33"/>
        <v>95</v>
      </c>
      <c r="K666" s="235">
        <f t="shared" si="33"/>
        <v>95</v>
      </c>
      <c r="L666" s="235">
        <f t="shared" si="33"/>
        <v>95</v>
      </c>
      <c r="M666" s="291"/>
      <c r="N666" s="291"/>
      <c r="O666" s="291"/>
    </row>
    <row r="667" spans="1:15" s="229" customFormat="1" ht="18" customHeight="1">
      <c r="A667" s="238" t="s">
        <v>470</v>
      </c>
      <c r="B667" s="238" t="s">
        <v>230</v>
      </c>
      <c r="C667" s="351"/>
      <c r="D667" s="351" t="e">
        <f ca="1">(D664/3.6)*AVERAGE(_xll.StmTQC(D665,0,1),_xll.StmTQC(D666,0,1))*(D666-D665)</f>
        <v>#NAME?</v>
      </c>
      <c r="E667" s="351" t="e">
        <f t="shared" ref="E667:L667" ca="1" si="34">(E664/3.6)*4.184*(E666-E665)</f>
        <v>#NAME?</v>
      </c>
      <c r="F667" s="351" t="e">
        <f t="shared" ca="1" si="34"/>
        <v>#NAME?</v>
      </c>
      <c r="G667" s="351" t="e">
        <f t="shared" ca="1" si="34"/>
        <v>#NAME?</v>
      </c>
      <c r="H667" s="351" t="e">
        <f t="shared" ca="1" si="34"/>
        <v>#NAME?</v>
      </c>
      <c r="I667" s="351" t="e">
        <f t="shared" ca="1" si="34"/>
        <v>#NAME?</v>
      </c>
      <c r="J667" s="351" t="e">
        <f t="shared" ca="1" si="34"/>
        <v>#NAME?</v>
      </c>
      <c r="K667" s="351" t="e">
        <f t="shared" ca="1" si="34"/>
        <v>#NAME?</v>
      </c>
      <c r="L667" s="351" t="e">
        <f t="shared" ca="1" si="34"/>
        <v>#NAME?</v>
      </c>
      <c r="M667" s="291"/>
      <c r="N667" s="291"/>
      <c r="O667" s="291"/>
    </row>
    <row r="668" spans="1:15" s="229" customFormat="1" ht="18" customHeight="1">
      <c r="A668" s="238" t="s">
        <v>471</v>
      </c>
      <c r="B668" s="238" t="s">
        <v>230</v>
      </c>
      <c r="C668" s="351"/>
      <c r="D668" s="81" t="e">
        <f t="shared" ref="D668:L668" ca="1" si="35">MIN(D667,D663)</f>
        <v>#NAME?</v>
      </c>
      <c r="E668" s="81" t="e">
        <f t="shared" ca="1" si="35"/>
        <v>#NAME?</v>
      </c>
      <c r="F668" s="81" t="e">
        <f t="shared" ca="1" si="35"/>
        <v>#NAME?</v>
      </c>
      <c r="G668" s="81" t="e">
        <f t="shared" ca="1" si="35"/>
        <v>#NAME?</v>
      </c>
      <c r="H668" s="81" t="e">
        <f t="shared" ca="1" si="35"/>
        <v>#NAME?</v>
      </c>
      <c r="I668" s="81" t="e">
        <f t="shared" ca="1" si="35"/>
        <v>#NAME?</v>
      </c>
      <c r="J668" s="81" t="e">
        <f t="shared" ca="1" si="35"/>
        <v>#NAME?</v>
      </c>
      <c r="K668" s="81" t="e">
        <f t="shared" ca="1" si="35"/>
        <v>#NAME?</v>
      </c>
      <c r="L668" s="81" t="e">
        <f t="shared" ca="1" si="35"/>
        <v>#NAME?</v>
      </c>
      <c r="M668" s="291"/>
      <c r="N668" s="291"/>
      <c r="O668" s="291"/>
    </row>
    <row r="669" spans="1:15" s="229" customFormat="1" ht="18" customHeight="1">
      <c r="A669" s="238" t="s">
        <v>299</v>
      </c>
      <c r="B669" s="238" t="s">
        <v>18</v>
      </c>
      <c r="C669" s="331">
        <f>C108</f>
        <v>80</v>
      </c>
      <c r="D669" s="81" t="e">
        <f t="shared" ref="D669:L669" ca="1" si="36">D668/((D664/3.6)*4.184)+D665</f>
        <v>#NAME?</v>
      </c>
      <c r="E669" s="81" t="e">
        <f t="shared" ca="1" si="36"/>
        <v>#NAME?</v>
      </c>
      <c r="F669" s="81" t="e">
        <f t="shared" ca="1" si="36"/>
        <v>#NAME?</v>
      </c>
      <c r="G669" s="81" t="e">
        <f t="shared" ca="1" si="36"/>
        <v>#NAME?</v>
      </c>
      <c r="H669" s="81" t="e">
        <f t="shared" ca="1" si="36"/>
        <v>#NAME?</v>
      </c>
      <c r="I669" s="81" t="e">
        <f t="shared" ca="1" si="36"/>
        <v>#NAME?</v>
      </c>
      <c r="J669" s="81" t="e">
        <f t="shared" ca="1" si="36"/>
        <v>#NAME?</v>
      </c>
      <c r="K669" s="81" t="e">
        <f t="shared" ca="1" si="36"/>
        <v>#NAME?</v>
      </c>
      <c r="L669" s="81" t="e">
        <f t="shared" ca="1" si="36"/>
        <v>#NAME?</v>
      </c>
      <c r="M669" s="291"/>
      <c r="N669" s="291"/>
      <c r="O669" s="291"/>
    </row>
    <row r="670" spans="1:15" s="229" customFormat="1" ht="18" customHeight="1">
      <c r="A670" s="238" t="s">
        <v>504</v>
      </c>
      <c r="B670" s="238" t="s">
        <v>19</v>
      </c>
      <c r="C670" s="81" t="e">
        <f ca="1">_xll.StmTQH(C669,0,1)</f>
        <v>#NAME?</v>
      </c>
      <c r="D670" s="81" t="e">
        <f ca="1">_xll.StmTQH(D669,0,1)</f>
        <v>#NAME?</v>
      </c>
      <c r="E670" s="81" t="e">
        <f ca="1">_xll.StmTQH(E669,0,1)</f>
        <v>#NAME?</v>
      </c>
      <c r="F670" s="81" t="e">
        <f ca="1">_xll.StmTQH(F669,0,1)</f>
        <v>#NAME?</v>
      </c>
      <c r="G670" s="81" t="e">
        <f ca="1">_xll.StmTQH(G669,0,1)</f>
        <v>#NAME?</v>
      </c>
      <c r="H670" s="81" t="e">
        <f ca="1">_xll.StmTQH(H669,0,1)</f>
        <v>#NAME?</v>
      </c>
      <c r="I670" s="81" t="e">
        <f ca="1">_xll.StmTQH(I669,0,1)</f>
        <v>#NAME?</v>
      </c>
      <c r="J670" s="81" t="e">
        <f ca="1">_xll.StmTQH(J669,0,1)</f>
        <v>#NAME?</v>
      </c>
      <c r="K670" s="81" t="e">
        <f ca="1">_xll.StmTQH(K669,0,1)</f>
        <v>#NAME?</v>
      </c>
      <c r="L670" s="81" t="e">
        <f ca="1">_xll.StmTQH(L669,0,1)</f>
        <v>#NAME?</v>
      </c>
      <c r="M670" s="291"/>
      <c r="N670" s="291"/>
      <c r="O670" s="291"/>
    </row>
    <row r="671" spans="1:15" s="325" customFormat="1" ht="18" customHeight="1">
      <c r="A671" s="238"/>
      <c r="B671" s="238"/>
      <c r="C671" s="81"/>
      <c r="D671" s="81"/>
      <c r="E671" s="81"/>
      <c r="F671" s="81"/>
      <c r="G671" s="81"/>
      <c r="H671" s="81"/>
      <c r="I671" s="81"/>
      <c r="J671" s="81"/>
      <c r="K671" s="81"/>
      <c r="L671" s="81"/>
      <c r="M671" s="334"/>
      <c r="N671" s="334"/>
      <c r="O671" s="334"/>
    </row>
    <row r="672" spans="1:15" s="325" customFormat="1" ht="18" customHeight="1">
      <c r="A672" s="238" t="s">
        <v>934</v>
      </c>
      <c r="B672" s="238" t="s">
        <v>8</v>
      </c>
      <c r="C672" s="81" t="e">
        <f ca="1">L668</f>
        <v>#NAME?</v>
      </c>
      <c r="D672" s="81"/>
      <c r="E672" s="81"/>
      <c r="F672" s="81"/>
      <c r="G672" s="81"/>
      <c r="H672" s="81"/>
      <c r="I672" s="81"/>
      <c r="J672" s="81"/>
      <c r="K672" s="81"/>
      <c r="L672" s="81"/>
      <c r="M672" s="334"/>
      <c r="N672" s="334"/>
      <c r="O672" s="334"/>
    </row>
    <row r="673" spans="1:15" s="325" customFormat="1" ht="18" customHeight="1">
      <c r="A673" s="238" t="s">
        <v>935</v>
      </c>
      <c r="B673" s="238" t="s">
        <v>8</v>
      </c>
      <c r="C673" s="81" t="e">
        <f ca="1">MIN(C672,C658)</f>
        <v>#NAME?</v>
      </c>
      <c r="D673" s="81"/>
      <c r="E673" s="81"/>
      <c r="F673" s="81"/>
      <c r="G673" s="81"/>
      <c r="H673" s="81"/>
      <c r="I673" s="81"/>
      <c r="J673" s="81"/>
      <c r="K673" s="81"/>
      <c r="L673" s="81"/>
      <c r="M673" s="334"/>
      <c r="N673" s="334"/>
      <c r="O673" s="334"/>
    </row>
    <row r="674" spans="1:15" s="325" customFormat="1" ht="18" customHeight="1">
      <c r="A674" s="238" t="s">
        <v>936</v>
      </c>
      <c r="B674" s="238" t="s">
        <v>8</v>
      </c>
      <c r="C674" s="81" t="e">
        <f ca="1">MIN(C672-C673,C659)</f>
        <v>#NAME?</v>
      </c>
      <c r="D674" s="81"/>
      <c r="E674" s="81"/>
      <c r="F674" s="81"/>
      <c r="G674" s="81"/>
      <c r="H674" s="81"/>
      <c r="I674" s="81"/>
      <c r="J674" s="81"/>
      <c r="K674" s="81"/>
      <c r="L674" s="81"/>
      <c r="M674" s="334"/>
      <c r="N674" s="334"/>
      <c r="O674" s="334"/>
    </row>
    <row r="675" spans="1:15" s="325" customFormat="1" ht="18" customHeight="1">
      <c r="A675" s="238" t="s">
        <v>948</v>
      </c>
      <c r="B675" s="238" t="s">
        <v>8</v>
      </c>
      <c r="C675" s="81" t="e">
        <f ca="1">C658-C673</f>
        <v>#NAME?</v>
      </c>
      <c r="D675" s="81"/>
      <c r="E675" s="81"/>
      <c r="F675" s="81"/>
      <c r="G675" s="81"/>
      <c r="H675" s="81"/>
      <c r="I675" s="81"/>
      <c r="J675" s="81"/>
      <c r="K675" s="81"/>
      <c r="L675" s="81"/>
      <c r="M675" s="334"/>
      <c r="N675" s="334"/>
      <c r="O675" s="334"/>
    </row>
    <row r="676" spans="1:15" s="325" customFormat="1" ht="18" customHeight="1">
      <c r="A676" s="238" t="s">
        <v>949</v>
      </c>
      <c r="B676" s="238" t="s">
        <v>8</v>
      </c>
      <c r="C676" s="81" t="e">
        <f ca="1">C659-C674</f>
        <v>#NAME?</v>
      </c>
      <c r="D676" s="81"/>
      <c r="E676" s="81"/>
      <c r="F676" s="81"/>
      <c r="G676" s="81"/>
      <c r="H676" s="81"/>
      <c r="I676" s="81"/>
      <c r="J676" s="81"/>
      <c r="K676" s="81"/>
      <c r="L676" s="81"/>
      <c r="M676" s="334"/>
      <c r="N676" s="334"/>
      <c r="O676" s="334"/>
    </row>
    <row r="677" spans="1:15" s="325" customFormat="1" ht="18" customHeight="1">
      <c r="A677" s="238" t="s">
        <v>950</v>
      </c>
      <c r="B677" s="238" t="s">
        <v>8</v>
      </c>
      <c r="C677" s="81" t="e">
        <f ca="1">SUM(C675:C676)</f>
        <v>#NAME?</v>
      </c>
      <c r="D677" s="81"/>
      <c r="E677" s="81"/>
      <c r="F677" s="81"/>
      <c r="G677" s="81"/>
      <c r="H677" s="81"/>
      <c r="I677" s="81"/>
      <c r="J677" s="81"/>
      <c r="K677" s="81"/>
      <c r="L677" s="81"/>
      <c r="M677" s="334"/>
      <c r="N677" s="334"/>
      <c r="O677" s="334"/>
    </row>
    <row r="678" spans="1:15" s="325" customFormat="1" ht="18" customHeight="1">
      <c r="A678" s="238" t="s">
        <v>937</v>
      </c>
      <c r="B678" s="238" t="s">
        <v>8</v>
      </c>
      <c r="C678" s="81" t="e">
        <f ca="1">C672-SUM(C673:C674)</f>
        <v>#NAME?</v>
      </c>
      <c r="D678" s="81"/>
      <c r="E678" s="81"/>
      <c r="F678" s="81"/>
      <c r="G678" s="81"/>
      <c r="H678" s="81"/>
      <c r="I678" s="81"/>
      <c r="J678" s="81"/>
      <c r="K678" s="81"/>
      <c r="L678" s="81"/>
      <c r="M678" s="334"/>
      <c r="N678" s="334"/>
      <c r="O678" s="334"/>
    </row>
    <row r="679" spans="1:15" s="325" customFormat="1" ht="18" customHeight="1">
      <c r="A679" s="238" t="s">
        <v>959</v>
      </c>
      <c r="B679" s="238" t="s">
        <v>8</v>
      </c>
      <c r="C679" s="81" t="e">
        <f ca="1">C657-C678</f>
        <v>#NAME?</v>
      </c>
      <c r="D679" s="81"/>
      <c r="E679" s="81"/>
      <c r="F679" s="81"/>
      <c r="G679" s="81"/>
      <c r="H679" s="81"/>
      <c r="I679" s="81"/>
      <c r="J679" s="81"/>
      <c r="K679" s="81"/>
      <c r="L679" s="81"/>
      <c r="M679" s="334"/>
      <c r="N679" s="334"/>
      <c r="O679" s="334"/>
    </row>
    <row r="680" spans="1:15" s="325" customFormat="1" ht="18" customHeight="1">
      <c r="A680" s="238" t="s">
        <v>209</v>
      </c>
      <c r="B680" s="238" t="s">
        <v>8</v>
      </c>
      <c r="C680" s="81" t="e">
        <f ca="1">C660-(C672+hEXHrig)</f>
        <v>#NAME?</v>
      </c>
      <c r="D680" s="81"/>
      <c r="E680" s="81"/>
      <c r="F680" s="81"/>
      <c r="G680" s="81"/>
      <c r="H680" s="81"/>
      <c r="I680" s="81"/>
      <c r="J680" s="81"/>
      <c r="K680" s="81"/>
      <c r="L680" s="81"/>
      <c r="M680" s="334"/>
      <c r="N680" s="334"/>
      <c r="O680" s="334"/>
    </row>
    <row r="681" spans="1:15" s="325" customFormat="1" ht="18" customHeight="1">
      <c r="A681" s="238"/>
      <c r="B681" s="238"/>
      <c r="C681" s="81"/>
      <c r="D681" s="81"/>
      <c r="E681" s="81"/>
      <c r="F681" s="81"/>
      <c r="G681" s="81"/>
      <c r="H681" s="81"/>
      <c r="I681" s="81"/>
      <c r="J681" s="81"/>
      <c r="K681" s="81"/>
      <c r="L681" s="81"/>
      <c r="M681" s="334"/>
      <c r="N681" s="334"/>
      <c r="O681" s="334"/>
    </row>
    <row r="682" spans="1:15" s="325" customFormat="1" ht="18" customHeight="1" thickBot="1">
      <c r="A682" s="375" t="s">
        <v>311</v>
      </c>
      <c r="B682" s="391"/>
      <c r="C682" s="391"/>
      <c r="D682" s="391"/>
      <c r="E682" s="391"/>
      <c r="F682" s="81"/>
      <c r="G682" s="81"/>
      <c r="H682" s="81"/>
      <c r="I682" s="81"/>
      <c r="J682" s="81"/>
      <c r="K682" s="81"/>
      <c r="L682" s="81"/>
      <c r="M682" s="334"/>
      <c r="N682" s="334"/>
      <c r="O682" s="334"/>
    </row>
    <row r="683" spans="1:15" s="325" customFormat="1" ht="18" customHeight="1" thickTop="1">
      <c r="A683" s="70" t="s">
        <v>312</v>
      </c>
      <c r="B683" s="229"/>
      <c r="C683" s="229"/>
      <c r="D683" s="229"/>
      <c r="E683" s="229"/>
      <c r="F683" s="81"/>
      <c r="G683" s="81"/>
      <c r="H683" s="81"/>
      <c r="I683" s="81"/>
      <c r="J683" s="81"/>
      <c r="K683" s="81"/>
      <c r="L683" s="81"/>
      <c r="M683" s="334"/>
      <c r="N683" s="334"/>
      <c r="O683" s="334"/>
    </row>
    <row r="684" spans="1:15" s="325" customFormat="1" ht="18" customHeight="1">
      <c r="A684" s="39"/>
      <c r="B684" s="222"/>
      <c r="C684" s="222"/>
      <c r="D684" s="222"/>
      <c r="E684" s="222"/>
      <c r="F684" s="81"/>
      <c r="G684" s="81"/>
      <c r="H684" s="81"/>
      <c r="I684" s="81"/>
      <c r="J684" s="81"/>
      <c r="K684" s="81"/>
      <c r="L684" s="81"/>
      <c r="M684" s="334"/>
      <c r="N684" s="334"/>
      <c r="O684" s="334"/>
    </row>
    <row r="685" spans="1:15" s="325" customFormat="1" ht="18" customHeight="1">
      <c r="A685" s="39"/>
      <c r="B685" s="222"/>
      <c r="C685" s="62" t="s">
        <v>86</v>
      </c>
      <c r="D685" s="62" t="s">
        <v>87</v>
      </c>
      <c r="E685" s="62" t="s">
        <v>248</v>
      </c>
      <c r="F685" s="81"/>
      <c r="G685" s="81"/>
      <c r="H685" s="81"/>
      <c r="I685" s="81"/>
      <c r="J685" s="81"/>
      <c r="K685" s="81"/>
      <c r="L685" s="81"/>
      <c r="M685" s="334"/>
      <c r="N685" s="334"/>
      <c r="O685" s="334"/>
    </row>
    <row r="686" spans="1:15" s="325" customFormat="1" ht="18" customHeight="1">
      <c r="A686" s="222" t="s">
        <v>304</v>
      </c>
      <c r="B686" s="222" t="s">
        <v>422</v>
      </c>
      <c r="C686" s="237">
        <v>20.5</v>
      </c>
      <c r="D686" s="237">
        <f>C686</f>
        <v>20.5</v>
      </c>
      <c r="E686" s="222"/>
      <c r="F686" s="81"/>
      <c r="G686" s="81"/>
      <c r="H686" s="81"/>
      <c r="I686" s="81"/>
      <c r="J686" s="81"/>
      <c r="K686" s="81"/>
      <c r="L686" s="81"/>
      <c r="M686" s="334"/>
      <c r="N686" s="334"/>
      <c r="O686" s="334"/>
    </row>
    <row r="687" spans="1:15" s="325" customFormat="1" ht="18" customHeight="1">
      <c r="A687" s="222" t="s">
        <v>305</v>
      </c>
      <c r="B687" s="222" t="s">
        <v>422</v>
      </c>
      <c r="C687" s="237">
        <f>10*4.032</f>
        <v>40.32</v>
      </c>
      <c r="D687" s="237">
        <v>44.99</v>
      </c>
      <c r="E687" s="222"/>
      <c r="F687" s="81"/>
      <c r="G687" s="81"/>
      <c r="H687" s="81"/>
      <c r="I687" s="81"/>
      <c r="J687" s="81"/>
      <c r="K687" s="81"/>
      <c r="L687" s="81"/>
      <c r="M687" s="334"/>
      <c r="N687" s="334"/>
      <c r="O687" s="334"/>
    </row>
    <row r="688" spans="1:15" s="325" customFormat="1" ht="18" customHeight="1">
      <c r="A688" s="222" t="s">
        <v>567</v>
      </c>
      <c r="B688" s="222" t="s">
        <v>3</v>
      </c>
      <c r="C688" s="348">
        <f>C133</f>
        <v>1</v>
      </c>
      <c r="D688" s="348">
        <f>C133</f>
        <v>1</v>
      </c>
      <c r="E688" s="187"/>
      <c r="F688" s="81"/>
      <c r="G688" s="81"/>
      <c r="H688" s="81"/>
      <c r="I688" s="81"/>
      <c r="J688" s="81"/>
      <c r="K688" s="81"/>
      <c r="L688" s="81"/>
      <c r="M688" s="334"/>
      <c r="N688" s="334"/>
      <c r="O688" s="334"/>
    </row>
    <row r="689" spans="1:15" s="325" customFormat="1" ht="18" customHeight="1">
      <c r="A689" s="222" t="s">
        <v>306</v>
      </c>
      <c r="B689" s="222" t="s">
        <v>179</v>
      </c>
      <c r="C689" s="237">
        <v>21.5</v>
      </c>
      <c r="D689" s="237">
        <v>24.12</v>
      </c>
      <c r="E689" s="222"/>
      <c r="F689" s="81"/>
      <c r="G689" s="81"/>
      <c r="H689" s="81"/>
      <c r="I689" s="81"/>
      <c r="J689" s="81"/>
      <c r="K689" s="81"/>
      <c r="L689" s="81"/>
      <c r="M689" s="334"/>
      <c r="N689" s="334"/>
      <c r="O689" s="334"/>
    </row>
    <row r="690" spans="1:15" s="325" customFormat="1" ht="18" customHeight="1">
      <c r="A690" s="222" t="s">
        <v>307</v>
      </c>
      <c r="B690" s="222" t="s">
        <v>179</v>
      </c>
      <c r="C690" s="237">
        <v>20.72</v>
      </c>
      <c r="D690" s="237">
        <v>23.24</v>
      </c>
      <c r="E690" s="222"/>
      <c r="F690" s="81"/>
      <c r="G690" s="81"/>
      <c r="H690" s="81"/>
      <c r="I690" s="81"/>
      <c r="J690" s="81"/>
      <c r="K690" s="81"/>
      <c r="L690" s="81"/>
      <c r="M690" s="334"/>
      <c r="N690" s="334"/>
      <c r="O690" s="334"/>
    </row>
    <row r="691" spans="1:15" s="325" customFormat="1" ht="18" customHeight="1">
      <c r="A691" s="222" t="s">
        <v>249</v>
      </c>
      <c r="B691" s="222" t="s">
        <v>179</v>
      </c>
      <c r="C691" s="237">
        <f>Operator!$C$31</f>
        <v>0.26</v>
      </c>
      <c r="D691" s="237">
        <f>Operator!$C$31</f>
        <v>0.26</v>
      </c>
      <c r="E691" s="237">
        <f>Operator!$C$31</f>
        <v>0.26</v>
      </c>
      <c r="F691" s="81"/>
      <c r="G691" s="81"/>
      <c r="H691" s="81"/>
      <c r="I691" s="81"/>
      <c r="J691" s="81"/>
      <c r="K691" s="81"/>
      <c r="L691" s="81"/>
      <c r="M691" s="334"/>
      <c r="N691" s="334"/>
      <c r="O691" s="334"/>
    </row>
    <row r="692" spans="1:15" s="325" customFormat="1" ht="18" customHeight="1">
      <c r="A692" s="222" t="s">
        <v>309</v>
      </c>
      <c r="B692" s="222" t="s">
        <v>308</v>
      </c>
      <c r="C692" s="237">
        <f>($C$106-10)*4.186/3.6</f>
        <v>81.394444444444431</v>
      </c>
      <c r="D692" s="237">
        <f>($C$106-10)*4.186/3.6</f>
        <v>81.394444444444431</v>
      </c>
      <c r="E692" s="237">
        <f>($C$106-10)*4.186/3.6</f>
        <v>81.394444444444431</v>
      </c>
      <c r="F692" s="81"/>
      <c r="G692" s="81"/>
      <c r="H692" s="81"/>
      <c r="I692" s="81"/>
      <c r="J692" s="81"/>
      <c r="K692" s="81"/>
      <c r="L692" s="81"/>
      <c r="M692" s="334"/>
      <c r="N692" s="334"/>
      <c r="O692" s="334"/>
    </row>
    <row r="693" spans="1:15" s="325" customFormat="1" ht="18" customHeight="1">
      <c r="A693" s="222" t="s">
        <v>251</v>
      </c>
      <c r="B693" s="222" t="s">
        <v>34</v>
      </c>
      <c r="C693" s="237">
        <f>Operator!$C$28/0.84</f>
        <v>1.859298666074362</v>
      </c>
      <c r="D693" s="237">
        <f>Operator!$C$28/0.9</f>
        <v>1.7353454216694044</v>
      </c>
      <c r="E693" s="237">
        <f>Operator!$C$28/0.9</f>
        <v>1.7353454216694044</v>
      </c>
      <c r="F693" s="81"/>
      <c r="G693" s="81"/>
      <c r="H693" s="81"/>
      <c r="I693" s="81"/>
      <c r="J693" s="81"/>
      <c r="K693" s="81"/>
      <c r="L693" s="81"/>
      <c r="M693" s="334"/>
      <c r="N693" s="334"/>
      <c r="O693" s="334"/>
    </row>
    <row r="694" spans="1:15" s="325" customFormat="1" ht="18" customHeight="1">
      <c r="A694" s="222" t="str">
        <f>A693</f>
        <v>Condensate Heat Credit</v>
      </c>
      <c r="B694" s="222" t="s">
        <v>179</v>
      </c>
      <c r="C694" s="237">
        <f>C693*C692/100</f>
        <v>1.513365819814193</v>
      </c>
      <c r="D694" s="237">
        <f>D693*D692/100</f>
        <v>1.4124747651599134</v>
      </c>
      <c r="E694" s="237">
        <f>E693*E692/100</f>
        <v>1.4124747651599134</v>
      </c>
      <c r="F694" s="81"/>
      <c r="G694" s="81"/>
      <c r="H694" s="81"/>
      <c r="I694" s="81"/>
      <c r="J694" s="81"/>
      <c r="K694" s="81"/>
      <c r="L694" s="81"/>
      <c r="M694" s="334"/>
      <c r="N694" s="334"/>
      <c r="O694" s="334"/>
    </row>
    <row r="695" spans="1:15" s="325" customFormat="1" ht="18" customHeight="1">
      <c r="A695" s="222" t="s">
        <v>109</v>
      </c>
      <c r="B695" s="222" t="s">
        <v>179</v>
      </c>
      <c r="C695" s="237">
        <f>(Operator!$C$28*10/C686)*(C689*0.98)+(C689*0.02)*C688</f>
        <v>16.482368405422889</v>
      </c>
      <c r="D695" s="237">
        <f>(Operator!$C$28*10/D686)*(D689*0.98)+(D689*0.02)*D688</f>
        <v>18.490917485525582</v>
      </c>
      <c r="E695" s="237">
        <f>steampriceMPBLUEopr</f>
        <v>18.490917485525582</v>
      </c>
      <c r="F695" s="81"/>
      <c r="G695" s="81"/>
      <c r="H695" s="81"/>
      <c r="I695" s="81"/>
      <c r="J695" s="81"/>
      <c r="K695" s="81"/>
      <c r="L695" s="81"/>
      <c r="M695" s="334"/>
      <c r="N695" s="334"/>
      <c r="O695" s="334"/>
    </row>
    <row r="696" spans="1:15" s="325" customFormat="1" ht="18" customHeight="1">
      <c r="A696" s="222" t="s">
        <v>110</v>
      </c>
      <c r="B696" s="222" t="s">
        <v>179</v>
      </c>
      <c r="C696" s="237">
        <f>(Operator!$C$28*10/C686)*(C690*0.98)+(C690*0.02)*C688</f>
        <v>15.884403412109871</v>
      </c>
      <c r="D696" s="237">
        <f>(Operator!$C$28*10/D686)*(D690*0.98)+(D690*0.02)*D688</f>
        <v>17.816290313582691</v>
      </c>
      <c r="E696" s="237">
        <v>0</v>
      </c>
      <c r="F696" s="81"/>
      <c r="G696" s="81"/>
      <c r="H696" s="81"/>
      <c r="I696" s="81"/>
      <c r="J696" s="81"/>
      <c r="K696" s="81"/>
      <c r="L696" s="81"/>
      <c r="M696" s="334"/>
      <c r="N696" s="334"/>
      <c r="O696" s="334"/>
    </row>
    <row r="697" spans="1:15" s="325" customFormat="1" ht="18" customHeight="1">
      <c r="A697" s="222" t="s">
        <v>94</v>
      </c>
      <c r="B697" s="222" t="s">
        <v>432</v>
      </c>
      <c r="C697" s="237">
        <f>(Operator!$C$28/C686)*C687*10</f>
        <v>30.718153493433832</v>
      </c>
      <c r="D697" s="237">
        <f>(Operator!$C$28*10/D686)*D687</f>
        <v>34.276034862837008</v>
      </c>
      <c r="E697" s="237">
        <f>(oprIMPORT-1)*10</f>
        <v>69.532803645401813</v>
      </c>
      <c r="F697" s="81"/>
      <c r="G697" s="81"/>
      <c r="H697" s="81"/>
      <c r="I697" s="81"/>
      <c r="J697" s="81"/>
      <c r="K697" s="81"/>
      <c r="L697" s="81"/>
      <c r="M697" s="334"/>
      <c r="N697" s="334"/>
      <c r="O697" s="334"/>
    </row>
    <row r="698" spans="1:15" s="325" customFormat="1" ht="18" customHeight="1">
      <c r="A698" s="238"/>
      <c r="B698" s="238"/>
      <c r="C698" s="81"/>
      <c r="D698" s="81"/>
      <c r="E698" s="81"/>
      <c r="F698" s="81"/>
      <c r="G698" s="81"/>
      <c r="H698" s="81"/>
      <c r="I698" s="81"/>
      <c r="J698" s="81"/>
      <c r="K698" s="81"/>
      <c r="L698" s="81"/>
      <c r="M698" s="334"/>
      <c r="N698" s="334"/>
      <c r="O698" s="334"/>
    </row>
    <row r="699" spans="1:15" s="325" customFormat="1" ht="18" customHeight="1">
      <c r="A699" s="238"/>
      <c r="B699" s="238"/>
      <c r="C699" s="81"/>
      <c r="D699" s="81"/>
      <c r="E699" s="81"/>
      <c r="F699" s="81"/>
      <c r="G699" s="81"/>
      <c r="H699" s="81"/>
      <c r="I699" s="81"/>
      <c r="J699" s="81"/>
      <c r="K699" s="81"/>
      <c r="L699" s="81"/>
      <c r="M699" s="334"/>
      <c r="N699" s="334"/>
      <c r="O699" s="334"/>
    </row>
    <row r="700" spans="1:15" s="325" customFormat="1" ht="18" customHeight="1">
      <c r="A700" s="238"/>
      <c r="B700" s="238"/>
      <c r="C700" s="81"/>
      <c r="D700" s="81"/>
      <c r="E700" s="81"/>
      <c r="F700" s="81"/>
      <c r="G700" s="81"/>
      <c r="H700" s="81"/>
      <c r="I700" s="81"/>
      <c r="J700" s="81"/>
      <c r="K700" s="81"/>
      <c r="L700" s="81"/>
      <c r="M700" s="334"/>
      <c r="N700" s="334"/>
      <c r="O700" s="334"/>
    </row>
    <row r="701" spans="1:15" s="325" customFormat="1" ht="18" customHeight="1">
      <c r="A701" s="238"/>
      <c r="B701" s="238"/>
      <c r="C701" s="81"/>
      <c r="D701" s="81"/>
      <c r="E701" s="81"/>
      <c r="F701" s="81"/>
      <c r="G701" s="81"/>
      <c r="H701" s="81"/>
      <c r="I701" s="81"/>
      <c r="J701" s="81"/>
      <c r="K701" s="81"/>
      <c r="L701" s="81"/>
      <c r="M701" s="334"/>
      <c r="N701" s="334"/>
      <c r="O701" s="334"/>
    </row>
    <row r="702" spans="1:15" s="325" customFormat="1" ht="18" customHeight="1">
      <c r="A702" s="238"/>
      <c r="B702" s="238"/>
      <c r="C702" s="81"/>
      <c r="D702" s="81"/>
      <c r="E702" s="81"/>
      <c r="F702" s="81"/>
      <c r="G702" s="81"/>
      <c r="H702" s="81"/>
      <c r="I702" s="81"/>
      <c r="J702" s="81"/>
      <c r="K702" s="81"/>
      <c r="L702" s="81"/>
      <c r="M702" s="334"/>
      <c r="N702" s="334"/>
      <c r="O702" s="334"/>
    </row>
    <row r="703" spans="1:15" s="325" customFormat="1" ht="18" customHeight="1">
      <c r="A703" s="238"/>
      <c r="B703" s="238"/>
      <c r="C703" s="81"/>
      <c r="D703" s="81"/>
      <c r="E703" s="81"/>
      <c r="F703" s="81"/>
      <c r="G703" s="81"/>
      <c r="H703" s="81"/>
      <c r="I703" s="81"/>
      <c r="J703" s="81"/>
      <c r="K703" s="81"/>
      <c r="L703" s="81"/>
      <c r="M703" s="334"/>
      <c r="N703" s="334"/>
      <c r="O703" s="334"/>
    </row>
    <row r="704" spans="1:15" s="325" customFormat="1" ht="18" customHeight="1">
      <c r="A704" s="238"/>
      <c r="B704" s="238"/>
      <c r="C704" s="81"/>
      <c r="D704" s="81"/>
      <c r="E704" s="81"/>
      <c r="F704" s="81"/>
      <c r="G704" s="81"/>
      <c r="H704" s="81"/>
      <c r="I704" s="81"/>
      <c r="J704" s="81"/>
      <c r="K704" s="81"/>
      <c r="L704" s="81"/>
      <c r="M704" s="334"/>
      <c r="N704" s="334"/>
      <c r="O704" s="334"/>
    </row>
    <row r="705" spans="1:16" s="325" customFormat="1" ht="18" customHeight="1">
      <c r="A705" s="238"/>
      <c r="B705" s="238"/>
      <c r="C705" s="81"/>
      <c r="D705" s="81"/>
      <c r="E705" s="81"/>
      <c r="F705" s="81"/>
      <c r="G705" s="81"/>
      <c r="H705" s="81"/>
      <c r="I705" s="81"/>
      <c r="J705" s="81"/>
      <c r="K705" s="81"/>
      <c r="L705" s="81"/>
      <c r="M705" s="334"/>
      <c r="N705" s="334"/>
      <c r="O705" s="334"/>
    </row>
    <row r="706" spans="1:16" s="325" customFormat="1" ht="18" customHeight="1">
      <c r="A706" s="238"/>
      <c r="B706" s="238"/>
      <c r="C706" s="81"/>
      <c r="D706" s="81"/>
      <c r="E706" s="81"/>
      <c r="F706" s="81"/>
      <c r="G706" s="81"/>
      <c r="H706" s="81"/>
      <c r="I706" s="81"/>
      <c r="J706" s="81"/>
      <c r="K706" s="81"/>
      <c r="L706" s="81"/>
      <c r="M706" s="334"/>
      <c r="N706" s="334"/>
      <c r="O706" s="334"/>
    </row>
    <row r="707" spans="1:16" s="325" customFormat="1" ht="18" customHeight="1">
      <c r="A707" s="238"/>
      <c r="B707" s="238"/>
      <c r="C707" s="81"/>
      <c r="D707" s="81"/>
      <c r="E707" s="81"/>
      <c r="F707" s="81"/>
      <c r="G707" s="81"/>
      <c r="H707" s="81"/>
      <c r="I707" s="81"/>
      <c r="J707" s="81"/>
      <c r="K707" s="81"/>
      <c r="L707" s="81"/>
      <c r="M707" s="334"/>
      <c r="N707" s="334"/>
      <c r="O707" s="334"/>
    </row>
    <row r="708" spans="1:16" s="299" customFormat="1" ht="18" customHeight="1">
      <c r="A708" s="238"/>
      <c r="B708" s="238"/>
      <c r="C708" s="233"/>
      <c r="D708" s="233"/>
      <c r="E708" s="233"/>
      <c r="F708" s="233"/>
      <c r="G708" s="233"/>
      <c r="H708" s="233"/>
      <c r="I708" s="233"/>
      <c r="J708" s="233"/>
      <c r="K708" s="233"/>
      <c r="L708" s="233"/>
      <c r="M708" s="303"/>
      <c r="N708" s="303"/>
      <c r="O708" s="303"/>
    </row>
    <row r="709" spans="1:16" s="229" customFormat="1" ht="18" customHeight="1">
      <c r="A709" s="238"/>
      <c r="B709" s="238"/>
      <c r="C709" s="233"/>
      <c r="D709" s="233"/>
      <c r="E709" s="233"/>
      <c r="F709" s="233"/>
      <c r="G709" s="233"/>
      <c r="H709" s="291"/>
      <c r="I709" s="291"/>
      <c r="J709" s="291"/>
      <c r="K709" s="291"/>
      <c r="M709" s="291"/>
      <c r="N709" s="291"/>
      <c r="O709" s="291"/>
    </row>
    <row r="710" spans="1:16" s="229" customFormat="1" ht="18" customHeight="1" thickBot="1">
      <c r="A710" s="375" t="s">
        <v>780</v>
      </c>
      <c r="B710" s="391"/>
      <c r="C710" s="375"/>
      <c r="D710" s="375"/>
      <c r="E710" s="375"/>
      <c r="F710" s="334"/>
      <c r="G710" s="334"/>
      <c r="H710" s="334"/>
      <c r="I710" s="334"/>
      <c r="J710" s="334"/>
      <c r="K710" s="334"/>
      <c r="L710" s="334"/>
      <c r="M710" s="334"/>
      <c r="N710" s="334"/>
      <c r="P710" s="42"/>
    </row>
    <row r="711" spans="1:16" s="229" customFormat="1" ht="18" customHeight="1" thickTop="1">
      <c r="C711" s="363" t="s">
        <v>599</v>
      </c>
      <c r="D711" s="182"/>
      <c r="E711" s="364" t="s">
        <v>1034</v>
      </c>
      <c r="F711" s="236"/>
    </row>
    <row r="712" spans="1:16" s="229" customFormat="1" ht="18" customHeight="1">
      <c r="A712" s="98"/>
      <c r="B712" s="98"/>
      <c r="C712" s="327" t="s">
        <v>89</v>
      </c>
      <c r="D712" s="327" t="s">
        <v>90</v>
      </c>
      <c r="E712" s="62" t="s">
        <v>89</v>
      </c>
      <c r="F712" s="62" t="s">
        <v>90</v>
      </c>
    </row>
    <row r="713" spans="1:16" s="229" customFormat="1" ht="18" customHeight="1">
      <c r="A713" s="182" t="str">
        <f>PFD!C40</f>
        <v>EHP 1 steam gen.</v>
      </c>
      <c r="B713" s="182" t="str">
        <f>PFD!D40</f>
        <v>t/h</v>
      </c>
      <c r="C713" s="351">
        <f t="shared" ref="C713:D728" si="37">C22</f>
        <v>12</v>
      </c>
      <c r="D713" s="351">
        <f t="shared" si="37"/>
        <v>40</v>
      </c>
      <c r="E713" s="86">
        <f t="shared" ref="E713:E725" si="38">C22</f>
        <v>12</v>
      </c>
      <c r="F713" s="86">
        <f t="shared" ref="F713:F725" si="39">D22</f>
        <v>40</v>
      </c>
    </row>
    <row r="714" spans="1:16" s="229" customFormat="1" ht="18" customHeight="1">
      <c r="A714" s="182" t="str">
        <f>PFD!C41</f>
        <v>EHP 2 steam gen.</v>
      </c>
      <c r="B714" s="182" t="str">
        <f>PFD!D41</f>
        <v>t/h</v>
      </c>
      <c r="C714" s="351">
        <f t="shared" si="37"/>
        <v>12</v>
      </c>
      <c r="D714" s="351">
        <f t="shared" si="37"/>
        <v>40</v>
      </c>
      <c r="E714" s="86">
        <f t="shared" si="38"/>
        <v>12</v>
      </c>
      <c r="F714" s="86">
        <f t="shared" si="39"/>
        <v>40</v>
      </c>
    </row>
    <row r="715" spans="1:16" s="229" customFormat="1" ht="18" customHeight="1">
      <c r="A715" s="182" t="str">
        <f>PFD!C42</f>
        <v>EHP 3 steam gen.</v>
      </c>
      <c r="B715" s="182" t="str">
        <f>PFD!D42</f>
        <v>t/h</v>
      </c>
      <c r="C715" s="351">
        <f t="shared" si="37"/>
        <v>12</v>
      </c>
      <c r="D715" s="351">
        <f t="shared" si="37"/>
        <v>40</v>
      </c>
      <c r="E715" s="86">
        <f t="shared" si="38"/>
        <v>12</v>
      </c>
      <c r="F715" s="86">
        <f t="shared" si="39"/>
        <v>40</v>
      </c>
    </row>
    <row r="716" spans="1:16" s="229" customFormat="1" ht="18" customHeight="1">
      <c r="A716" s="182" t="str">
        <f>PFD!C43</f>
        <v>GT1 fire rate</v>
      </c>
      <c r="B716" s="182" t="str">
        <f>PFD!D43</f>
        <v>%</v>
      </c>
      <c r="C716" s="351">
        <f t="shared" si="37"/>
        <v>50</v>
      </c>
      <c r="D716" s="351">
        <f t="shared" si="37"/>
        <v>100</v>
      </c>
      <c r="E716" s="86">
        <f t="shared" si="38"/>
        <v>50</v>
      </c>
      <c r="F716" s="86">
        <f t="shared" si="39"/>
        <v>100</v>
      </c>
    </row>
    <row r="717" spans="1:16" s="229" customFormat="1" ht="18" customHeight="1">
      <c r="A717" s="182" t="str">
        <f>PFD!C44</f>
        <v>GT2 fire rate</v>
      </c>
      <c r="B717" s="182" t="str">
        <f>PFD!D44</f>
        <v>%</v>
      </c>
      <c r="C717" s="351">
        <f t="shared" si="37"/>
        <v>50</v>
      </c>
      <c r="D717" s="351">
        <f t="shared" si="37"/>
        <v>100</v>
      </c>
      <c r="E717" s="86">
        <f t="shared" si="38"/>
        <v>50</v>
      </c>
      <c r="F717" s="86">
        <f t="shared" si="39"/>
        <v>100</v>
      </c>
    </row>
    <row r="718" spans="1:16" s="229" customFormat="1" ht="18" customHeight="1">
      <c r="A718" s="182" t="str">
        <f>PFD!C45</f>
        <v>WHB-1 supp. firing.</v>
      </c>
      <c r="B718" s="182" t="str">
        <f>PFD!D45</f>
        <v>t/h</v>
      </c>
      <c r="C718" s="351">
        <f t="shared" si="37"/>
        <v>4</v>
      </c>
      <c r="D718" s="351">
        <f t="shared" si="37"/>
        <v>20.162507475638879</v>
      </c>
      <c r="E718" s="86">
        <f t="shared" si="38"/>
        <v>4</v>
      </c>
      <c r="F718" s="86">
        <f t="shared" si="39"/>
        <v>20.162507475638879</v>
      </c>
    </row>
    <row r="719" spans="1:16" s="229" customFormat="1" ht="18" customHeight="1">
      <c r="A719" s="182" t="str">
        <f>PFD!C46</f>
        <v>WHB-2 supp. firing.</v>
      </c>
      <c r="B719" s="182" t="str">
        <f>PFD!D46</f>
        <v>t/h</v>
      </c>
      <c r="C719" s="351">
        <f t="shared" si="37"/>
        <v>4</v>
      </c>
      <c r="D719" s="351">
        <f t="shared" si="37"/>
        <v>20.162507475638879</v>
      </c>
      <c r="E719" s="86">
        <f t="shared" si="38"/>
        <v>4</v>
      </c>
      <c r="F719" s="86">
        <f t="shared" si="39"/>
        <v>20.162507475638879</v>
      </c>
    </row>
    <row r="720" spans="1:16" s="325" customFormat="1" ht="18" customHeight="1">
      <c r="A720" s="182" t="str">
        <f>PFD!C47</f>
        <v>Aux. boiler steam</v>
      </c>
      <c r="B720" s="182" t="str">
        <f>PFD!D47</f>
        <v>t/h</v>
      </c>
      <c r="C720" s="351">
        <f t="shared" si="37"/>
        <v>10</v>
      </c>
      <c r="D720" s="351">
        <f t="shared" si="37"/>
        <v>32</v>
      </c>
      <c r="E720" s="86">
        <f t="shared" si="38"/>
        <v>10</v>
      </c>
      <c r="F720" s="86">
        <f t="shared" si="39"/>
        <v>32</v>
      </c>
    </row>
    <row r="721" spans="1:6" s="229" customFormat="1" ht="18" customHeight="1">
      <c r="A721" s="182" t="str">
        <f>PFD!C48</f>
        <v>MP-1 steam gen.</v>
      </c>
      <c r="B721" s="182" t="str">
        <f>PFD!D48</f>
        <v>t/h</v>
      </c>
      <c r="C721" s="351">
        <f t="shared" si="37"/>
        <v>4</v>
      </c>
      <c r="D721" s="351">
        <f t="shared" si="37"/>
        <v>22</v>
      </c>
      <c r="E721" s="86">
        <f t="shared" si="38"/>
        <v>4</v>
      </c>
      <c r="F721" s="86">
        <f t="shared" si="39"/>
        <v>22</v>
      </c>
    </row>
    <row r="722" spans="1:6" s="229" customFormat="1" ht="18" customHeight="1">
      <c r="A722" s="182" t="str">
        <f>PFD!C49</f>
        <v>MP-2 steam gen</v>
      </c>
      <c r="B722" s="182" t="str">
        <f>PFD!D49</f>
        <v>t/h</v>
      </c>
      <c r="C722" s="351">
        <f t="shared" si="37"/>
        <v>4</v>
      </c>
      <c r="D722" s="351">
        <f t="shared" si="37"/>
        <v>22</v>
      </c>
      <c r="E722" s="86">
        <f t="shared" si="38"/>
        <v>4</v>
      </c>
      <c r="F722" s="86">
        <f t="shared" si="39"/>
        <v>22</v>
      </c>
    </row>
    <row r="723" spans="1:6" s="229" customFormat="1" ht="18" customHeight="1">
      <c r="A723" s="182" t="str">
        <f>PFD!C50</f>
        <v>ST2 HP inlet flow</v>
      </c>
      <c r="B723" s="182" t="str">
        <f>PFD!D50</f>
        <v>t/h</v>
      </c>
      <c r="C723" s="351">
        <f t="shared" si="37"/>
        <v>4.3091277999999997</v>
      </c>
      <c r="D723" s="351">
        <f t="shared" si="37"/>
        <v>39.008946399999999</v>
      </c>
      <c r="E723" s="86">
        <f t="shared" si="38"/>
        <v>4.3091277999999997</v>
      </c>
      <c r="F723" s="86">
        <f t="shared" si="39"/>
        <v>39.008946399999999</v>
      </c>
    </row>
    <row r="724" spans="1:6" s="229" customFormat="1" ht="18" customHeight="1">
      <c r="A724" s="182" t="str">
        <f>PFD!C51</f>
        <v>ST2 LP extract. flow</v>
      </c>
      <c r="B724" s="182" t="str">
        <f>PFD!D51</f>
        <v>t/h</v>
      </c>
      <c r="C724" s="351">
        <f t="shared" si="37"/>
        <v>0</v>
      </c>
      <c r="D724" s="351">
        <f t="shared" si="37"/>
        <v>36.287391999999997</v>
      </c>
      <c r="E724" s="86">
        <f t="shared" si="38"/>
        <v>0</v>
      </c>
      <c r="F724" s="86">
        <f t="shared" si="39"/>
        <v>36.287391999999997</v>
      </c>
    </row>
    <row r="725" spans="1:6" s="229" customFormat="1" ht="18" customHeight="1">
      <c r="A725" s="182" t="str">
        <f>PFD!C52</f>
        <v>ST5 EHP inlet flow</v>
      </c>
      <c r="B725" s="182" t="str">
        <f>PFD!D52</f>
        <v>t/h</v>
      </c>
      <c r="C725" s="351">
        <f t="shared" si="37"/>
        <v>12.75</v>
      </c>
      <c r="D725" s="351">
        <f t="shared" si="37"/>
        <v>52.18</v>
      </c>
      <c r="E725" s="75">
        <f t="shared" si="38"/>
        <v>12.75</v>
      </c>
      <c r="F725" s="75">
        <f t="shared" si="39"/>
        <v>52.18</v>
      </c>
    </row>
    <row r="726" spans="1:6" s="229" customFormat="1" ht="18" customHeight="1">
      <c r="A726" s="182" t="str">
        <f>PFD!C53</f>
        <v>ST5 MP extract. flow</v>
      </c>
      <c r="B726" s="182" t="str">
        <f>PFD!D53</f>
        <v>t/h</v>
      </c>
      <c r="C726" s="351">
        <f t="shared" si="37"/>
        <v>0</v>
      </c>
      <c r="D726" s="351">
        <f t="shared" si="37"/>
        <v>22.68</v>
      </c>
      <c r="E726" s="75">
        <f>C726</f>
        <v>0</v>
      </c>
      <c r="F726" s="75">
        <f>D726</f>
        <v>22.68</v>
      </c>
    </row>
    <row r="727" spans="1:6" s="229" customFormat="1" ht="18" customHeight="1">
      <c r="A727" s="182" t="str">
        <f>PFD!C54</f>
        <v>ST6 HP inlet flow</v>
      </c>
      <c r="B727" s="182" t="str">
        <f>PFD!D54</f>
        <v>t/h</v>
      </c>
      <c r="C727" s="351">
        <f t="shared" si="37"/>
        <v>13.607771099999999</v>
      </c>
      <c r="D727" s="351">
        <f t="shared" si="37"/>
        <v>53.977492030000001</v>
      </c>
      <c r="E727" s="86">
        <f>C36</f>
        <v>13.607771099999999</v>
      </c>
      <c r="F727" s="86">
        <f>D36</f>
        <v>53.977492030000001</v>
      </c>
    </row>
    <row r="728" spans="1:6" s="229" customFormat="1" ht="18" customHeight="1">
      <c r="A728" s="182" t="str">
        <f>PFD!C55</f>
        <v>ST7 HP inlet flow</v>
      </c>
      <c r="B728" s="182" t="str">
        <f>PFD!D55</f>
        <v>t/h</v>
      </c>
      <c r="C728" s="351">
        <f t="shared" si="37"/>
        <v>18.75</v>
      </c>
      <c r="D728" s="351">
        <f t="shared" si="37"/>
        <v>30</v>
      </c>
      <c r="E728" s="86">
        <f>C37</f>
        <v>18.75</v>
      </c>
      <c r="F728" s="86">
        <f>D37</f>
        <v>30</v>
      </c>
    </row>
    <row r="729" spans="1:6" s="325" customFormat="1" ht="18" customHeight="1">
      <c r="A729" s="182" t="str">
        <f>PFD!C56</f>
        <v>ST5 HP inlet flow</v>
      </c>
      <c r="B729" s="182" t="str">
        <f>PFD!D56</f>
        <v>t/h</v>
      </c>
      <c r="C729" s="351">
        <f>C725</f>
        <v>12.75</v>
      </c>
      <c r="D729" s="351">
        <f>C93</f>
        <v>22</v>
      </c>
      <c r="E729" s="86">
        <f>C729</f>
        <v>12.75</v>
      </c>
      <c r="F729" s="86">
        <f>D729</f>
        <v>22</v>
      </c>
    </row>
    <row r="730" spans="1:6" s="229" customFormat="1" ht="18" customHeight="1">
      <c r="A730" s="182" t="str">
        <f>PFD!C57</f>
        <v>GE Load</v>
      </c>
      <c r="B730" s="182" t="str">
        <f>PFD!D57</f>
        <v>%</v>
      </c>
      <c r="C730" s="351">
        <f t="shared" ref="C730:D746" si="40">C39</f>
        <v>100</v>
      </c>
      <c r="D730" s="351">
        <f t="shared" si="40"/>
        <v>100</v>
      </c>
      <c r="E730" s="86">
        <f>C39</f>
        <v>100</v>
      </c>
      <c r="F730" s="86">
        <f>D39</f>
        <v>100</v>
      </c>
    </row>
    <row r="731" spans="1:6" s="229" customFormat="1" ht="18" customHeight="1">
      <c r="A731" s="238" t="s">
        <v>341</v>
      </c>
      <c r="B731" s="236" t="s">
        <v>193</v>
      </c>
      <c r="C731" s="331">
        <f t="shared" si="40"/>
        <v>0</v>
      </c>
      <c r="D731" s="331">
        <f t="shared" si="40"/>
        <v>1</v>
      </c>
      <c r="E731" s="120">
        <f>IF(Operator!C8="ON",1,0)</f>
        <v>0</v>
      </c>
      <c r="F731" s="120">
        <f>IF(Operator!C8="OFF",0,1)</f>
        <v>0</v>
      </c>
    </row>
    <row r="732" spans="1:6" s="229" customFormat="1" ht="18" customHeight="1">
      <c r="A732" s="182" t="str">
        <f>PFD!C59</f>
        <v>B7 on/off</v>
      </c>
      <c r="B732" s="236" t="str">
        <f t="shared" ref="B732:B742" si="41">B731</f>
        <v>bin</v>
      </c>
      <c r="C732" s="331">
        <f t="shared" si="40"/>
        <v>0</v>
      </c>
      <c r="D732" s="331">
        <f t="shared" si="40"/>
        <v>1</v>
      </c>
      <c r="E732" s="120">
        <f>IF(Operator!C9="ON",1,0)</f>
        <v>0</v>
      </c>
      <c r="F732" s="120">
        <f>IF(Operator!C9="OFF",0,1)</f>
        <v>0</v>
      </c>
    </row>
    <row r="733" spans="1:6" s="229" customFormat="1" ht="18" customHeight="1">
      <c r="A733" s="182" t="str">
        <f>PFD!C60</f>
        <v>B9 on/off</v>
      </c>
      <c r="B733" s="236" t="str">
        <f t="shared" si="41"/>
        <v>bin</v>
      </c>
      <c r="C733" s="331">
        <f t="shared" si="40"/>
        <v>0</v>
      </c>
      <c r="D733" s="331">
        <f t="shared" si="40"/>
        <v>1</v>
      </c>
      <c r="E733" s="120">
        <f>IF(Operator!C10="ON",1,0)</f>
        <v>0</v>
      </c>
      <c r="F733" s="120">
        <f>IF(Operator!C10="OFF",0,1)</f>
        <v>0</v>
      </c>
    </row>
    <row r="734" spans="1:6" s="229" customFormat="1" ht="18" customHeight="1">
      <c r="A734" s="363" t="str">
        <f>PFD!C61</f>
        <v>GT1 on/off</v>
      </c>
      <c r="B734" s="364" t="str">
        <f>B733</f>
        <v>bin</v>
      </c>
      <c r="C734" s="331">
        <f t="shared" si="40"/>
        <v>0</v>
      </c>
      <c r="D734" s="331">
        <f t="shared" si="40"/>
        <v>1</v>
      </c>
      <c r="E734" s="120">
        <f>IF(Operator!C11="ON",1,0)</f>
        <v>1</v>
      </c>
      <c r="F734" s="120">
        <f>IF(Operator!C11="OFF",0,1)</f>
        <v>1</v>
      </c>
    </row>
    <row r="735" spans="1:6" s="229" customFormat="1" ht="18" customHeight="1">
      <c r="A735" s="363" t="str">
        <f>PFD!C62</f>
        <v>GT2 on/off</v>
      </c>
      <c r="B735" s="364" t="str">
        <f t="shared" si="41"/>
        <v>bin</v>
      </c>
      <c r="C735" s="331">
        <f t="shared" si="40"/>
        <v>0</v>
      </c>
      <c r="D735" s="331">
        <f t="shared" si="40"/>
        <v>1</v>
      </c>
      <c r="E735" s="120">
        <f>IF(Operator!C12="ON",1,0)</f>
        <v>1</v>
      </c>
      <c r="F735" s="120">
        <f>IF(Operator!C12="OFF",0,1)</f>
        <v>1</v>
      </c>
    </row>
    <row r="736" spans="1:6" s="229" customFormat="1" ht="18" customHeight="1">
      <c r="A736" s="182" t="str">
        <f>PFD!C63</f>
        <v>WHB 1 Supp on/off</v>
      </c>
      <c r="B736" s="236" t="str">
        <f t="shared" si="41"/>
        <v>bin</v>
      </c>
      <c r="C736" s="331">
        <f t="shared" si="40"/>
        <v>0</v>
      </c>
      <c r="D736" s="331">
        <f t="shared" si="40"/>
        <v>1</v>
      </c>
      <c r="E736" s="120">
        <f>IF(Operator!C13="ON",1,0)</f>
        <v>0</v>
      </c>
      <c r="F736" s="120">
        <f>IF(Operator!C13="OFF",0,1)</f>
        <v>1</v>
      </c>
    </row>
    <row r="737" spans="1:6" s="229" customFormat="1" ht="18" customHeight="1">
      <c r="A737" s="182" t="str">
        <f>PFD!C64</f>
        <v>WHB2 Supp on/off</v>
      </c>
      <c r="B737" s="236" t="str">
        <f t="shared" si="41"/>
        <v>bin</v>
      </c>
      <c r="C737" s="331">
        <f t="shared" si="40"/>
        <v>0</v>
      </c>
      <c r="D737" s="331">
        <f t="shared" si="40"/>
        <v>1</v>
      </c>
      <c r="E737" s="120">
        <f>IF(Operator!C14="ON",1,0)</f>
        <v>0</v>
      </c>
      <c r="F737" s="120">
        <f>IF(Operator!C14="OFF",0,1)</f>
        <v>0</v>
      </c>
    </row>
    <row r="738" spans="1:6" s="325" customFormat="1" ht="18" customHeight="1">
      <c r="A738" s="182" t="str">
        <f>PFD!C65</f>
        <v>Aux. boiler on/off</v>
      </c>
      <c r="B738" s="236" t="str">
        <f t="shared" si="41"/>
        <v>bin</v>
      </c>
      <c r="C738" s="331">
        <f t="shared" si="40"/>
        <v>0</v>
      </c>
      <c r="D738" s="331">
        <f t="shared" si="40"/>
        <v>1</v>
      </c>
      <c r="E738" s="120">
        <f>IF(Operator!C15="ON",1,0)</f>
        <v>0</v>
      </c>
      <c r="F738" s="120">
        <f>IF(Operator!C15="OFF",0,1)</f>
        <v>0</v>
      </c>
    </row>
    <row r="739" spans="1:6" s="229" customFormat="1" ht="18" customHeight="1">
      <c r="A739" s="182" t="str">
        <f>PFD!C66</f>
        <v>MP-1 on/off</v>
      </c>
      <c r="B739" s="236" t="str">
        <f>B737</f>
        <v>bin</v>
      </c>
      <c r="C739" s="331">
        <f t="shared" si="40"/>
        <v>0</v>
      </c>
      <c r="D739" s="331">
        <f t="shared" si="40"/>
        <v>1</v>
      </c>
      <c r="E739" s="120">
        <f>IF(Operator!C16="ON",1,0)</f>
        <v>1</v>
      </c>
      <c r="F739" s="120">
        <f>IF(Operator!C16="OFF",0,1)</f>
        <v>1</v>
      </c>
    </row>
    <row r="740" spans="1:6" s="229" customFormat="1" ht="18" customHeight="1">
      <c r="A740" s="182" t="str">
        <f>PFD!C67</f>
        <v>MP-2 on/off</v>
      </c>
      <c r="B740" s="236" t="str">
        <f t="shared" si="41"/>
        <v>bin</v>
      </c>
      <c r="C740" s="331">
        <f t="shared" si="40"/>
        <v>0</v>
      </c>
      <c r="D740" s="331">
        <f t="shared" si="40"/>
        <v>1</v>
      </c>
      <c r="E740" s="120">
        <f>IF(Operator!C17="ON",1,0)</f>
        <v>1</v>
      </c>
      <c r="F740" s="120">
        <f>IF(Operator!C17="OFF",0,1)</f>
        <v>1</v>
      </c>
    </row>
    <row r="741" spans="1:6" s="229" customFormat="1" ht="18" customHeight="1">
      <c r="A741" s="182" t="str">
        <f>PFD!C68</f>
        <v>ST2 on/off</v>
      </c>
      <c r="B741" s="236" t="str">
        <f>B740</f>
        <v>bin</v>
      </c>
      <c r="C741" s="331">
        <f t="shared" si="40"/>
        <v>0</v>
      </c>
      <c r="D741" s="331">
        <f t="shared" si="40"/>
        <v>1</v>
      </c>
      <c r="E741" s="120">
        <f>IF(Operator!C18="ON",1,0)</f>
        <v>0</v>
      </c>
      <c r="F741" s="120">
        <f>IF(Operator!C18="OFF",0,1)</f>
        <v>0</v>
      </c>
    </row>
    <row r="742" spans="1:6" s="229" customFormat="1" ht="18" customHeight="1">
      <c r="A742" s="182" t="str">
        <f>PFD!C69</f>
        <v>ST5 on/off</v>
      </c>
      <c r="B742" s="236" t="str">
        <f t="shared" si="41"/>
        <v>bin</v>
      </c>
      <c r="C742" s="331">
        <f t="shared" si="40"/>
        <v>0</v>
      </c>
      <c r="D742" s="331">
        <f t="shared" si="40"/>
        <v>1</v>
      </c>
      <c r="E742" s="120">
        <f>IF(Operator!C19="ON",1,0)</f>
        <v>0</v>
      </c>
      <c r="F742" s="120">
        <f>IF(Operator!C19="OFF",0,1)</f>
        <v>0</v>
      </c>
    </row>
    <row r="743" spans="1:6" s="229" customFormat="1" ht="18" customHeight="1">
      <c r="A743" s="182" t="str">
        <f>PFD!C70</f>
        <v>ST6 on/off</v>
      </c>
      <c r="B743" s="236" t="str">
        <f>B742</f>
        <v>bin</v>
      </c>
      <c r="C743" s="331">
        <f t="shared" si="40"/>
        <v>0</v>
      </c>
      <c r="D743" s="331">
        <f t="shared" si="40"/>
        <v>1</v>
      </c>
      <c r="E743" s="120">
        <f>IF(Operator!C20="ON",1,0)</f>
        <v>0</v>
      </c>
      <c r="F743" s="120">
        <f>IF(Operator!C20="OFF",0,1)</f>
        <v>1</v>
      </c>
    </row>
    <row r="744" spans="1:6" s="229" customFormat="1" ht="18" customHeight="1">
      <c r="A744" s="182" t="str">
        <f>PFD!C71</f>
        <v>ST7 on/off</v>
      </c>
      <c r="B744" s="182" t="str">
        <f>PFD!D71</f>
        <v>bin.</v>
      </c>
      <c r="C744" s="331">
        <f t="shared" si="40"/>
        <v>0</v>
      </c>
      <c r="D744" s="331">
        <f t="shared" si="40"/>
        <v>1</v>
      </c>
      <c r="E744" s="120">
        <f>IF(Operator!C21="ON",1,0)</f>
        <v>0</v>
      </c>
      <c r="F744" s="120">
        <f>IF(Operator!C21="OFF",0,1)</f>
        <v>0</v>
      </c>
    </row>
    <row r="745" spans="1:6" s="325" customFormat="1" ht="18" customHeight="1">
      <c r="A745" s="182" t="str">
        <f>PFD!C72</f>
        <v>ST5 HP on/off</v>
      </c>
      <c r="B745" s="182" t="str">
        <f>PFD!D72</f>
        <v>bin.</v>
      </c>
      <c r="C745" s="331">
        <f t="shared" si="40"/>
        <v>0</v>
      </c>
      <c r="D745" s="331">
        <f t="shared" si="40"/>
        <v>1</v>
      </c>
      <c r="E745" s="331">
        <f>IF(Operator!C22="ON",1,0)</f>
        <v>0</v>
      </c>
      <c r="F745" s="331">
        <f>IF(Operator!C22="OFF",0,1)</f>
        <v>1</v>
      </c>
    </row>
    <row r="746" spans="1:6" s="229" customFormat="1" ht="18" customHeight="1">
      <c r="A746" s="182" t="str">
        <f>PFD!C73</f>
        <v>GE on/off</v>
      </c>
      <c r="B746" s="236" t="str">
        <f>B744</f>
        <v>bin.</v>
      </c>
      <c r="C746" s="331">
        <f t="shared" si="40"/>
        <v>0</v>
      </c>
      <c r="D746" s="331">
        <f t="shared" si="40"/>
        <v>1</v>
      </c>
      <c r="E746" s="120">
        <f>IF(Operator!C23="ON",1,0)</f>
        <v>1</v>
      </c>
      <c r="F746" s="120">
        <f>IF(Operator!C23="OFF",0,1)</f>
        <v>1</v>
      </c>
    </row>
    <row r="747" spans="1:6" s="229" customFormat="1" ht="18" customHeight="1">
      <c r="A747" s="434" t="str">
        <f>PFD!C74</f>
        <v>Import</v>
      </c>
      <c r="B747" s="434" t="str">
        <f>B744</f>
        <v>bin.</v>
      </c>
      <c r="C747" s="311">
        <v>0</v>
      </c>
      <c r="D747" s="311">
        <v>1</v>
      </c>
      <c r="E747" s="311">
        <v>0</v>
      </c>
      <c r="F747" s="311">
        <v>1</v>
      </c>
    </row>
    <row r="748" spans="1:6" s="229" customFormat="1" ht="18" customHeight="1">
      <c r="A748" s="434" t="str">
        <f>PFD!C75</f>
        <v>Export</v>
      </c>
      <c r="B748" s="434" t="s">
        <v>193</v>
      </c>
      <c r="C748" s="311">
        <v>0</v>
      </c>
      <c r="D748" s="311">
        <v>1</v>
      </c>
      <c r="E748" s="311">
        <v>0</v>
      </c>
      <c r="F748" s="311">
        <v>1</v>
      </c>
    </row>
    <row r="749" spans="1:6" s="229" customFormat="1" ht="18" customHeight="1">
      <c r="A749" s="434" t="str">
        <f>PFD!C76</f>
        <v>Import</v>
      </c>
      <c r="B749" s="434" t="s">
        <v>36</v>
      </c>
      <c r="C749" s="311">
        <v>0</v>
      </c>
      <c r="D749" s="311">
        <f>$C$67</f>
        <v>6</v>
      </c>
      <c r="E749" s="311">
        <v>0</v>
      </c>
      <c r="F749" s="311">
        <f>C67</f>
        <v>6</v>
      </c>
    </row>
    <row r="750" spans="1:6" s="229" customFormat="1" ht="18" customHeight="1">
      <c r="A750" s="434" t="str">
        <f>PFD!C77</f>
        <v>Export</v>
      </c>
      <c r="B750" s="434" t="s">
        <v>36</v>
      </c>
      <c r="C750" s="311">
        <v>0</v>
      </c>
      <c r="D750" s="311">
        <f>$C$67</f>
        <v>6</v>
      </c>
      <c r="E750" s="311">
        <v>0</v>
      </c>
      <c r="F750" s="311">
        <f>F749</f>
        <v>6</v>
      </c>
    </row>
    <row r="751" spans="1:6" s="229" customFormat="1" ht="18" customHeight="1"/>
    <row r="752" spans="1:6" s="229" customFormat="1" ht="18" customHeight="1"/>
    <row r="753" s="325" customFormat="1" ht="18" customHeight="1"/>
    <row r="754" s="229" customFormat="1" ht="18" customHeight="1"/>
    <row r="755" s="229" customFormat="1" ht="18" customHeight="1"/>
    <row r="756" s="229" customFormat="1" ht="18" customHeight="1"/>
    <row r="757" s="229" customFormat="1" ht="18" customHeight="1"/>
  </sheetData>
  <hyperlinks>
    <hyperlink ref="E1" location="AREAgasturbines" display="GT Model" xr:uid="{00000000-0004-0000-0400-000000000000}"/>
    <hyperlink ref="F1" location="AREAsteamturbines" display="ST Model" xr:uid="{00000000-0004-0000-0400-000001000000}"/>
    <hyperlink ref="G1" location="AREAboilers" display="Boilers" xr:uid="{00000000-0004-0000-0400-000002000000}"/>
    <hyperlink ref="H1" location="AREAdacalc" display="Deaerator" xr:uid="{00000000-0004-0000-0400-000003000000}"/>
    <hyperlink ref="J1" location="AREAparasitics" display="Parasitics" xr:uid="{00000000-0004-0000-0400-000004000000}"/>
    <hyperlink ref="I1" location="AREAgasengine" display="Gas Engine" xr:uid="{00000000-0004-0000-0400-000005000000}"/>
    <hyperlink ref="K1" location="custtariffscalcarea" display="Cust. Tariffs" xr:uid="{00000000-0004-0000-0400-000006000000}"/>
    <hyperlink ref="D1" location="AREAassumptions" display="Assumptions" xr:uid="{00000000-0004-0000-0400-000007000000}"/>
    <hyperlink ref="B1" location="variablesAREA" display="Variables" xr:uid="{00000000-0004-0000-0400-000008000000}"/>
    <hyperlink ref="C1" location="thermAREA" display="Steam table" xr:uid="{00000000-0004-0000-0400-000009000000}"/>
    <hyperlink ref="L1" location="AREArigsim" display="Rig. Sim." xr:uid="{00000000-0004-0000-0400-00000A000000}"/>
  </hyperlinks>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K28"/>
  <sheetViews>
    <sheetView zoomScaleNormal="100" workbookViewId="0">
      <pane ySplit="1" topLeftCell="A2" activePane="bottomLeft" state="frozen"/>
      <selection pane="bottomLeft" activeCell="C6" sqref="C6"/>
    </sheetView>
  </sheetViews>
  <sheetFormatPr baseColWidth="10" defaultColWidth="12.6640625" defaultRowHeight="15"/>
  <cols>
    <col min="1" max="1" width="27.6640625" style="142" customWidth="1"/>
    <col min="2" max="2" width="9.6640625" style="142" customWidth="1"/>
    <col min="3" max="3" width="12.6640625" style="142" customWidth="1"/>
    <col min="4" max="4" width="3.6640625" style="142" customWidth="1"/>
    <col min="5" max="5" width="23" style="142" bestFit="1" customWidth="1"/>
    <col min="6" max="6" width="9.6640625" style="142" customWidth="1"/>
    <col min="7" max="7" width="12.5" style="142" customWidth="1"/>
    <col min="8" max="8" width="3.83203125" style="142" customWidth="1"/>
    <col min="9" max="9" width="24.33203125" style="142" bestFit="1" customWidth="1"/>
    <col min="10" max="10" width="9.6640625" style="142" customWidth="1"/>
    <col min="11" max="16384" width="12.6640625" style="142"/>
  </cols>
  <sheetData>
    <row r="1" spans="1:11" ht="21" thickBot="1">
      <c r="A1" s="377" t="s">
        <v>185</v>
      </c>
    </row>
    <row r="2" spans="1:11" ht="16" thickTop="1"/>
    <row r="3" spans="1:11" ht="18" thickBot="1">
      <c r="A3" s="453" t="s">
        <v>452</v>
      </c>
      <c r="B3" s="453"/>
      <c r="C3" s="453"/>
      <c r="D3" s="246"/>
      <c r="E3" s="453" t="s">
        <v>461</v>
      </c>
      <c r="F3" s="453"/>
      <c r="G3" s="453"/>
      <c r="H3" s="246"/>
      <c r="I3" s="453" t="s">
        <v>463</v>
      </c>
      <c r="J3" s="474"/>
      <c r="K3" s="474"/>
    </row>
    <row r="4" spans="1:11" ht="16" thickTop="1">
      <c r="A4" s="246" t="s">
        <v>35</v>
      </c>
      <c r="B4" s="142" t="s">
        <v>34</v>
      </c>
      <c r="C4" s="473">
        <f>Operator!C28</f>
        <v>1.5618108795024641</v>
      </c>
      <c r="E4" s="144" t="str">
        <f t="shared" ref="E4:E9" si="0">A4</f>
        <v>Gas</v>
      </c>
      <c r="F4" s="472" t="s">
        <v>321</v>
      </c>
      <c r="G4" s="144" t="e">
        <f ca="1">Model!C191</f>
        <v>#NAME?</v>
      </c>
      <c r="I4" s="144" t="str">
        <f>E4</f>
        <v>Gas</v>
      </c>
      <c r="J4" s="144" t="s">
        <v>235</v>
      </c>
      <c r="K4" s="475" t="e">
        <f ca="1">C4*G4/100</f>
        <v>#NAME?</v>
      </c>
    </row>
    <row r="5" spans="1:11">
      <c r="A5" s="246" t="s">
        <v>426</v>
      </c>
      <c r="B5" s="142" t="s">
        <v>179</v>
      </c>
      <c r="C5" s="532">
        <f>Operator!C31</f>
        <v>0.26</v>
      </c>
      <c r="E5" s="144" t="str">
        <f t="shared" si="0"/>
        <v>Raw Water</v>
      </c>
      <c r="F5" s="142" t="s">
        <v>273</v>
      </c>
      <c r="G5" s="471">
        <f>PFD!Q33</f>
        <v>95</v>
      </c>
      <c r="I5" s="144" t="str">
        <f>E5</f>
        <v>Raw Water</v>
      </c>
      <c r="J5" s="142" t="s">
        <v>235</v>
      </c>
      <c r="K5" s="475">
        <f>C5*G5</f>
        <v>24.7</v>
      </c>
    </row>
    <row r="6" spans="1:11">
      <c r="A6" s="246" t="s">
        <v>121</v>
      </c>
      <c r="B6" s="142" t="s">
        <v>273</v>
      </c>
      <c r="C6" s="471" t="e">
        <f ca="1">Model!L527</f>
        <v>#NAME?</v>
      </c>
      <c r="E6" s="144" t="str">
        <f t="shared" si="0"/>
        <v>Total Steam Produced</v>
      </c>
      <c r="F6" s="246" t="s">
        <v>420</v>
      </c>
      <c r="G6" s="471">
        <f>Model!C134</f>
        <v>4.0271837410016033E-2</v>
      </c>
      <c r="I6" s="472" t="s">
        <v>476</v>
      </c>
      <c r="J6" s="142" t="s">
        <v>235</v>
      </c>
      <c r="K6" s="475" t="e">
        <f ca="1">C6*G6</f>
        <v>#NAME?</v>
      </c>
    </row>
    <row r="7" spans="1:11">
      <c r="A7" s="246" t="s">
        <v>458</v>
      </c>
      <c r="B7" s="246" t="s">
        <v>179</v>
      </c>
      <c r="C7" s="471">
        <f>Model!C691+Model!C694</f>
        <v>1.7733658198141931</v>
      </c>
      <c r="E7" s="144" t="str">
        <f t="shared" si="0"/>
        <v>CR, Lenzing</v>
      </c>
      <c r="F7" s="142" t="s">
        <v>273</v>
      </c>
      <c r="G7" s="471">
        <f>Model!C516</f>
        <v>29.44107576687502</v>
      </c>
      <c r="I7" s="144" t="str">
        <f t="shared" ref="I7:I12" si="1">E7</f>
        <v>CR, Lenzing</v>
      </c>
      <c r="J7" s="142" t="s">
        <v>235</v>
      </c>
      <c r="K7" s="475">
        <f>C7*G7</f>
        <v>52.209797463536091</v>
      </c>
    </row>
    <row r="8" spans="1:11">
      <c r="A8" s="246" t="s">
        <v>460</v>
      </c>
      <c r="B8" s="246" t="s">
        <v>179</v>
      </c>
      <c r="C8" s="471">
        <f>Model!D691+Model!D694</f>
        <v>1.6724747651599134</v>
      </c>
      <c r="E8" s="144" t="str">
        <f t="shared" si="0"/>
        <v>CR, Bluestar</v>
      </c>
      <c r="F8" s="142" t="s">
        <v>273</v>
      </c>
      <c r="G8" s="471">
        <f>Model!C517</f>
        <v>12.95</v>
      </c>
      <c r="I8" s="144" t="str">
        <f t="shared" si="1"/>
        <v>CR, Bluestar</v>
      </c>
      <c r="J8" s="142" t="s">
        <v>235</v>
      </c>
      <c r="K8" s="475">
        <f>C8*G8</f>
        <v>21.658548208820879</v>
      </c>
    </row>
    <row r="9" spans="1:11">
      <c r="A9" s="246" t="s">
        <v>459</v>
      </c>
      <c r="B9" s="246" t="s">
        <v>179</v>
      </c>
      <c r="C9" s="471">
        <f>Model!E691+Model!E694</f>
        <v>1.6724747651599134</v>
      </c>
      <c r="E9" s="144" t="str">
        <f t="shared" si="0"/>
        <v>CR, TAL</v>
      </c>
      <c r="F9" s="142" t="s">
        <v>273</v>
      </c>
      <c r="G9" s="471">
        <f>Model!C518</f>
        <v>0.46904270833333339</v>
      </c>
      <c r="I9" s="144" t="str">
        <f t="shared" si="1"/>
        <v>CR, TAL</v>
      </c>
      <c r="J9" s="142" t="s">
        <v>235</v>
      </c>
      <c r="K9" s="475">
        <f>C9*G9</f>
        <v>0.78446209346976159</v>
      </c>
    </row>
    <row r="10" spans="1:11">
      <c r="A10" s="246" t="s">
        <v>455</v>
      </c>
      <c r="B10" s="142" t="s">
        <v>83</v>
      </c>
      <c r="C10" s="471">
        <f>Model!D301</f>
        <v>1</v>
      </c>
      <c r="E10" s="472" t="s">
        <v>456</v>
      </c>
      <c r="F10" s="142" t="s">
        <v>250</v>
      </c>
      <c r="G10" s="471">
        <f>Model!D81</f>
        <v>24</v>
      </c>
      <c r="I10" s="144" t="str">
        <f t="shared" si="1"/>
        <v>GT 2 Maintenance</v>
      </c>
      <c r="J10" s="246" t="s">
        <v>235</v>
      </c>
      <c r="K10" s="475">
        <f>G10*C10</f>
        <v>24</v>
      </c>
    </row>
    <row r="11" spans="1:11">
      <c r="A11" s="246" t="s">
        <v>457</v>
      </c>
      <c r="B11" s="246" t="s">
        <v>356</v>
      </c>
      <c r="C11" s="471">
        <f>Model!C129</f>
        <v>0.8</v>
      </c>
      <c r="E11" s="472" t="s">
        <v>335</v>
      </c>
      <c r="F11" s="246" t="s">
        <v>321</v>
      </c>
      <c r="G11" s="471">
        <f ca="1">Model!C623*1000</f>
        <v>2000</v>
      </c>
      <c r="I11" s="472" t="s">
        <v>457</v>
      </c>
      <c r="J11" s="246" t="s">
        <v>235</v>
      </c>
      <c r="K11" s="475">
        <f ca="1">C11*G11/100</f>
        <v>16</v>
      </c>
    </row>
    <row r="12" spans="1:11">
      <c r="A12" s="246" t="s">
        <v>454</v>
      </c>
      <c r="B12" s="246" t="s">
        <v>356</v>
      </c>
      <c r="C12" s="473">
        <f>Operator!C29</f>
        <v>7.9532803645401815</v>
      </c>
      <c r="E12" s="144" t="str">
        <f>A12</f>
        <v>Power Import</v>
      </c>
      <c r="F12" s="246" t="s">
        <v>321</v>
      </c>
      <c r="G12" s="144">
        <f>PFD!Z16*1000</f>
        <v>0</v>
      </c>
      <c r="I12" s="144" t="str">
        <f t="shared" si="1"/>
        <v>Power Import</v>
      </c>
      <c r="J12" s="142" t="s">
        <v>235</v>
      </c>
      <c r="K12" s="475">
        <f>C12*G12/100</f>
        <v>0</v>
      </c>
    </row>
    <row r="13" spans="1:11">
      <c r="I13" s="144" t="s">
        <v>463</v>
      </c>
      <c r="J13" s="144" t="s">
        <v>235</v>
      </c>
      <c r="K13" s="475" t="e">
        <f ca="1">SUM(K4:K12)</f>
        <v>#NAME?</v>
      </c>
    </row>
    <row r="14" spans="1:11" ht="18" thickBot="1">
      <c r="A14" s="453" t="s">
        <v>453</v>
      </c>
      <c r="B14" s="453"/>
      <c r="C14" s="453"/>
      <c r="D14" s="246"/>
      <c r="E14" s="453" t="s">
        <v>462</v>
      </c>
      <c r="F14" s="453"/>
      <c r="G14" s="453"/>
      <c r="H14" s="246"/>
      <c r="I14" s="453" t="s">
        <v>464</v>
      </c>
      <c r="J14" s="474"/>
      <c r="K14" s="474"/>
    </row>
    <row r="15" spans="1:11" ht="16" thickTop="1">
      <c r="A15" s="142" t="s">
        <v>443</v>
      </c>
      <c r="B15" s="246" t="s">
        <v>179</v>
      </c>
      <c r="C15" s="471">
        <f>steampriceMPLENZopr</f>
        <v>16.482368405422889</v>
      </c>
      <c r="E15" s="246" t="s">
        <v>443</v>
      </c>
      <c r="F15" s="142" t="s">
        <v>273</v>
      </c>
      <c r="G15" s="471">
        <f>oprMPLENZ</f>
        <v>14.352411416666678</v>
      </c>
      <c r="I15" s="144" t="str">
        <f>E15</f>
        <v>MP Steam, Lenzing</v>
      </c>
      <c r="J15" s="142" t="s">
        <v>235</v>
      </c>
      <c r="K15" s="475">
        <f t="shared" ref="K15:K23" si="2">C15*G15</f>
        <v>236.56173247569762</v>
      </c>
    </row>
    <row r="16" spans="1:11">
      <c r="A16" s="246" t="s">
        <v>446</v>
      </c>
      <c r="B16" s="246" t="s">
        <v>179</v>
      </c>
      <c r="C16" s="471">
        <f>steampriceLPLENZopr</f>
        <v>15.884403412109871</v>
      </c>
      <c r="E16" s="246" t="s">
        <v>446</v>
      </c>
      <c r="F16" s="142" t="s">
        <v>273</v>
      </c>
      <c r="G16" s="471">
        <f>oprLPLENZ</f>
        <v>19.881397614583346</v>
      </c>
      <c r="I16" s="144" t="str">
        <f t="shared" ref="I16:I24" si="3">E16</f>
        <v>LP Steam, Lenzing</v>
      </c>
      <c r="J16" s="142" t="s">
        <v>235</v>
      </c>
      <c r="K16" s="475">
        <f t="shared" si="2"/>
        <v>315.80414010660076</v>
      </c>
    </row>
    <row r="17" spans="1:11">
      <c r="A17" s="142" t="s">
        <v>444</v>
      </c>
      <c r="B17" s="246" t="s">
        <v>179</v>
      </c>
      <c r="C17" s="471">
        <f>steampriceMPBLUEopr</f>
        <v>18.490917485525582</v>
      </c>
      <c r="E17" s="142" t="s">
        <v>444</v>
      </c>
      <c r="F17" s="142" t="s">
        <v>273</v>
      </c>
      <c r="G17" s="471">
        <f>MPBLUE</f>
        <v>13.5</v>
      </c>
      <c r="I17" s="144" t="str">
        <f t="shared" si="3"/>
        <v>MP Steam, Bluestar</v>
      </c>
      <c r="J17" s="142" t="s">
        <v>235</v>
      </c>
      <c r="K17" s="475">
        <f t="shared" si="2"/>
        <v>249.62738605459535</v>
      </c>
    </row>
    <row r="18" spans="1:11">
      <c r="A18" s="246" t="s">
        <v>447</v>
      </c>
      <c r="B18" s="246" t="s">
        <v>179</v>
      </c>
      <c r="C18" s="471">
        <f>steampriceLPBLUEopr</f>
        <v>17.816290313582691</v>
      </c>
      <c r="E18" s="246" t="s">
        <v>447</v>
      </c>
      <c r="F18" s="142" t="s">
        <v>273</v>
      </c>
      <c r="G18" s="471">
        <f>LPBLUE</f>
        <v>5</v>
      </c>
      <c r="I18" s="144" t="str">
        <f t="shared" si="3"/>
        <v>LP Steam, Bluestar</v>
      </c>
      <c r="J18" s="142" t="s">
        <v>235</v>
      </c>
      <c r="K18" s="475">
        <f t="shared" si="2"/>
        <v>89.081451567913462</v>
      </c>
    </row>
    <row r="19" spans="1:11">
      <c r="A19" s="142" t="s">
        <v>445</v>
      </c>
      <c r="B19" s="246" t="s">
        <v>179</v>
      </c>
      <c r="C19" s="471">
        <f>Model!E695</f>
        <v>18.490917485525582</v>
      </c>
      <c r="E19" s="142" t="s">
        <v>445</v>
      </c>
      <c r="F19" s="142" t="s">
        <v>273</v>
      </c>
      <c r="G19" s="471">
        <f>oprMPTAL</f>
        <v>0.72160416666666671</v>
      </c>
      <c r="I19" s="144" t="str">
        <f t="shared" si="3"/>
        <v>MP Steam, TAL</v>
      </c>
      <c r="J19" s="142" t="s">
        <v>235</v>
      </c>
      <c r="K19" s="475">
        <f t="shared" si="2"/>
        <v>13.343123103044784</v>
      </c>
    </row>
    <row r="20" spans="1:11">
      <c r="A20" s="246" t="s">
        <v>448</v>
      </c>
      <c r="B20" s="246" t="s">
        <v>179</v>
      </c>
      <c r="C20" s="471">
        <f>Model!E696</f>
        <v>0</v>
      </c>
      <c r="E20" s="246" t="s">
        <v>448</v>
      </c>
      <c r="F20" s="142" t="s">
        <v>273</v>
      </c>
      <c r="G20" s="471">
        <f>oprLPTAL</f>
        <v>0</v>
      </c>
      <c r="I20" s="144" t="str">
        <f t="shared" si="3"/>
        <v>LP Steam, TAL</v>
      </c>
      <c r="J20" s="142" t="s">
        <v>235</v>
      </c>
      <c r="K20" s="475">
        <f t="shared" si="2"/>
        <v>0</v>
      </c>
    </row>
    <row r="21" spans="1:11">
      <c r="A21" s="246" t="s">
        <v>449</v>
      </c>
      <c r="B21" s="246" t="s">
        <v>422</v>
      </c>
      <c r="C21" s="471">
        <f>Model!C697</f>
        <v>30.718153493433832</v>
      </c>
      <c r="E21" s="246" t="s">
        <v>449</v>
      </c>
      <c r="F21" s="246" t="s">
        <v>320</v>
      </c>
      <c r="G21" s="471">
        <f>electLENZ</f>
        <v>7.3210433851836889</v>
      </c>
      <c r="I21" s="144" t="str">
        <f t="shared" si="3"/>
        <v>Power, Lenzing</v>
      </c>
      <c r="J21" s="142" t="s">
        <v>235</v>
      </c>
      <c r="K21" s="475">
        <f t="shared" si="2"/>
        <v>224.88893443816099</v>
      </c>
    </row>
    <row r="22" spans="1:11">
      <c r="A22" s="246" t="s">
        <v>450</v>
      </c>
      <c r="B22" s="246" t="s">
        <v>422</v>
      </c>
      <c r="C22" s="471">
        <f>Model!D697</f>
        <v>34.276034862837008</v>
      </c>
      <c r="E22" s="246" t="s">
        <v>450</v>
      </c>
      <c r="F22" s="246" t="s">
        <v>320</v>
      </c>
      <c r="G22" s="471">
        <f>electBLUE</f>
        <v>2.5</v>
      </c>
      <c r="I22" s="144" t="str">
        <f t="shared" si="3"/>
        <v>Power, Bluestar</v>
      </c>
      <c r="J22" s="142" t="s">
        <v>235</v>
      </c>
      <c r="K22" s="475">
        <f t="shared" si="2"/>
        <v>85.69008715709252</v>
      </c>
    </row>
    <row r="23" spans="1:11">
      <c r="A23" s="246" t="s">
        <v>451</v>
      </c>
      <c r="B23" s="246" t="s">
        <v>422</v>
      </c>
      <c r="C23" s="471">
        <f>Model!E697</f>
        <v>69.532803645401813</v>
      </c>
      <c r="E23" s="246" t="s">
        <v>451</v>
      </c>
      <c r="F23" s="246" t="s">
        <v>320</v>
      </c>
      <c r="G23" s="471">
        <f>Operator!C43</f>
        <v>1.45684472851427</v>
      </c>
      <c r="I23" s="144" t="str">
        <f t="shared" si="3"/>
        <v>Power, TAL</v>
      </c>
      <c r="J23" s="142" t="s">
        <v>235</v>
      </c>
      <c r="K23" s="475">
        <f t="shared" si="2"/>
        <v>101.29849844962145</v>
      </c>
    </row>
    <row r="24" spans="1:11">
      <c r="A24" s="246" t="s">
        <v>106</v>
      </c>
      <c r="B24" s="246" t="s">
        <v>356</v>
      </c>
      <c r="C24" s="473">
        <f>Operator!C30</f>
        <v>4.3551477472475444</v>
      </c>
      <c r="E24" s="472" t="s">
        <v>106</v>
      </c>
      <c r="F24" s="246" t="s">
        <v>321</v>
      </c>
      <c r="G24" s="144">
        <f>PFD!Z17*1000</f>
        <v>4123.7348999999995</v>
      </c>
      <c r="I24" s="144" t="str">
        <f t="shared" si="3"/>
        <v>Export Power</v>
      </c>
      <c r="J24" s="142" t="s">
        <v>235</v>
      </c>
      <c r="K24" s="475">
        <f>C24*G24/100</f>
        <v>179.59474759981077</v>
      </c>
    </row>
    <row r="25" spans="1:11">
      <c r="I25" s="142" t="s">
        <v>464</v>
      </c>
      <c r="J25" s="142" t="s">
        <v>235</v>
      </c>
      <c r="K25" s="475">
        <f>SUM(K15:K24)</f>
        <v>1495.8901009525378</v>
      </c>
    </row>
    <row r="26" spans="1:11">
      <c r="I26" s="142" t="s">
        <v>431</v>
      </c>
      <c r="J26" s="142" t="s">
        <v>235</v>
      </c>
      <c r="K26" s="475" t="e">
        <f ca="1">K25-K13</f>
        <v>#NAME?</v>
      </c>
    </row>
    <row r="27" spans="1:11">
      <c r="I27" s="142" t="s">
        <v>544</v>
      </c>
      <c r="J27" s="142" t="s">
        <v>235</v>
      </c>
      <c r="K27" s="475">
        <f ca="1">K10+K11</f>
        <v>40</v>
      </c>
    </row>
    <row r="28" spans="1:11">
      <c r="I28" s="142" t="s">
        <v>545</v>
      </c>
      <c r="J28" s="142" t="s">
        <v>235</v>
      </c>
      <c r="K28" s="475" t="e">
        <f ca="1">K26+K27</f>
        <v>#NAME?</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6"/>
    <pageSetUpPr autoPageBreaks="0"/>
  </sheetPr>
  <dimension ref="A1:I817"/>
  <sheetViews>
    <sheetView zoomScale="60" zoomScaleNormal="60" workbookViewId="0">
      <pane xSplit="2" topLeftCell="C1" activePane="topRight" state="frozen"/>
      <selection pane="topRight" activeCell="E4" sqref="E4:E817"/>
    </sheetView>
  </sheetViews>
  <sheetFormatPr baseColWidth="10" defaultColWidth="32.1640625" defaultRowHeight="15"/>
  <cols>
    <col min="1" max="1" width="44.6640625" customWidth="1"/>
    <col min="2" max="2" width="10.1640625" bestFit="1" customWidth="1"/>
    <col min="9" max="9" width="32.1640625" style="315"/>
  </cols>
  <sheetData>
    <row r="1" spans="1:9" s="3" customFormat="1" ht="21" thickBot="1">
      <c r="A1" s="376" t="s">
        <v>186</v>
      </c>
      <c r="C1" s="221" t="s">
        <v>425</v>
      </c>
      <c r="D1" s="319" t="str">
        <f>Operator!D1</f>
        <v>BAU</v>
      </c>
      <c r="E1" s="319" t="str">
        <f>Operator!E1</f>
        <v>B* - 1 GT ENG</v>
      </c>
      <c r="F1" s="319" t="str">
        <f>Operator!F1</f>
        <v>B* - 2 GT</v>
      </c>
      <c r="G1" s="319" t="str">
        <f>Operator!G1</f>
        <v>B* - 2 GT ENG</v>
      </c>
      <c r="H1" s="319" t="str">
        <f>Operator!H1</f>
        <v>B* - 2 GT ENG ST6</v>
      </c>
      <c r="I1" s="319"/>
    </row>
    <row r="2" spans="1:9" ht="16" thickTop="1">
      <c r="D2" s="315"/>
      <c r="E2" s="315"/>
    </row>
    <row r="3" spans="1:9" s="220" customFormat="1">
      <c r="D3" s="315"/>
      <c r="E3" s="315"/>
      <c r="I3" s="315"/>
    </row>
    <row r="4" spans="1:9" s="314" customFormat="1">
      <c r="A4" s="314" t="s">
        <v>807</v>
      </c>
      <c r="C4" s="449">
        <f ca="1">date</f>
        <v>43288.414831018519</v>
      </c>
      <c r="D4" s="449">
        <v>42446.436885069445</v>
      </c>
      <c r="E4" s="449">
        <v>42446.436931481483</v>
      </c>
      <c r="F4"/>
      <c r="G4"/>
      <c r="H4"/>
      <c r="I4" s="315"/>
    </row>
    <row r="5" spans="1:9" s="315" customFormat="1" ht="18" thickBot="1">
      <c r="A5" s="375" t="s">
        <v>800</v>
      </c>
      <c r="B5" s="375"/>
      <c r="C5" s="449"/>
      <c r="D5" s="449"/>
      <c r="E5" s="449"/>
      <c r="F5"/>
      <c r="G5"/>
      <c r="H5"/>
    </row>
    <row r="6" spans="1:9" s="314" customFormat="1" ht="16" thickTop="1">
      <c r="A6" s="314" t="s">
        <v>808</v>
      </c>
      <c r="C6" s="449">
        <f ca="1">NOW()</f>
        <v>43288.414831018519</v>
      </c>
      <c r="D6" s="449">
        <v>42446.436885069445</v>
      </c>
      <c r="E6" s="449">
        <v>42446.436931481483</v>
      </c>
      <c r="F6"/>
      <c r="G6"/>
      <c r="H6"/>
      <c r="I6" s="315"/>
    </row>
    <row r="7" spans="1:9" s="315" customFormat="1">
      <c r="A7" s="315" t="str">
        <f>A778</f>
        <v>Hourly Site Energy Margin</v>
      </c>
      <c r="B7" s="315" t="str">
        <f>B778</f>
        <v>£</v>
      </c>
      <c r="C7" s="451" t="e">
        <f ca="1">C778</f>
        <v>#NAME?</v>
      </c>
      <c r="D7" s="451">
        <v>66.24908549454085</v>
      </c>
      <c r="E7" s="451">
        <v>195.71943593251467</v>
      </c>
      <c r="F7"/>
      <c r="G7"/>
      <c r="H7"/>
    </row>
    <row r="8" spans="1:9" s="315" customFormat="1">
      <c r="A8" s="315" t="str">
        <f>A777</f>
        <v>Hourly Site Maintenance</v>
      </c>
      <c r="B8" s="315" t="str">
        <f>B777</f>
        <v>£</v>
      </c>
      <c r="C8" s="451">
        <f ca="1">C777</f>
        <v>40</v>
      </c>
      <c r="D8" s="451">
        <v>16</v>
      </c>
      <c r="E8" s="451">
        <v>40</v>
      </c>
      <c r="F8"/>
      <c r="G8"/>
      <c r="H8"/>
    </row>
    <row r="9" spans="1:9" s="315" customFormat="1">
      <c r="A9" s="315" t="str">
        <f>A776</f>
        <v>Hourly Margin</v>
      </c>
      <c r="B9" s="315" t="str">
        <f>B776</f>
        <v>£</v>
      </c>
      <c r="C9" s="451" t="e">
        <f ca="1">C776</f>
        <v>#NAME?</v>
      </c>
      <c r="D9" s="451">
        <v>50.24908549454085</v>
      </c>
      <c r="E9" s="451">
        <v>155.71943593251467</v>
      </c>
      <c r="F9"/>
      <c r="G9"/>
      <c r="H9"/>
    </row>
    <row r="10" spans="1:9" s="293" customFormat="1">
      <c r="A10" s="293" t="str">
        <f>Model!A163</f>
        <v>Plant net power generation</v>
      </c>
      <c r="B10" s="315" t="str">
        <f>Model!B163</f>
        <v>MWe</v>
      </c>
      <c r="C10" s="350">
        <f ca="1">Model!C163</f>
        <v>15.401622984003186</v>
      </c>
      <c r="D10" s="350">
        <v>9.5288785311144544</v>
      </c>
      <c r="E10" s="350">
        <v>15.401622984003186</v>
      </c>
      <c r="F10"/>
      <c r="G10"/>
      <c r="H10"/>
      <c r="I10" s="315"/>
    </row>
    <row r="11" spans="1:9" s="293" customFormat="1">
      <c r="A11" s="260" t="str">
        <f>Model!A165</f>
        <v>HP gas use</v>
      </c>
      <c r="B11" s="260" t="str">
        <f>Model!B165</f>
        <v>MW HHV</v>
      </c>
      <c r="C11" s="350">
        <f ca="1">Model!C165</f>
        <v>45.799573501622653</v>
      </c>
      <c r="D11" s="350">
        <v>23.299533651698304</v>
      </c>
      <c r="E11" s="350">
        <v>45.799573501622653</v>
      </c>
      <c r="F11"/>
      <c r="G11"/>
      <c r="H11"/>
      <c r="I11" s="315"/>
    </row>
    <row r="12" spans="1:9" s="293" customFormat="1">
      <c r="A12" s="260" t="str">
        <f>Model!A166</f>
        <v>LP gas use</v>
      </c>
      <c r="B12" s="260" t="str">
        <f>Model!B166</f>
        <v>MW HHV</v>
      </c>
      <c r="C12" s="350" t="e">
        <f ca="1">Model!C166</f>
        <v>#NAME?</v>
      </c>
      <c r="D12" s="350">
        <v>26.584123553595582</v>
      </c>
      <c r="E12" s="350">
        <v>30.939924908757654</v>
      </c>
      <c r="F12"/>
      <c r="G12"/>
      <c r="H12"/>
      <c r="I12" s="315"/>
    </row>
    <row r="13" spans="1:9" s="293" customFormat="1">
      <c r="A13" s="260" t="str">
        <f>Model!A167</f>
        <v>Export (Import)</v>
      </c>
      <c r="B13" s="260" t="str">
        <f>Model!B167</f>
        <v>MWe</v>
      </c>
      <c r="C13" s="350">
        <f>Model!C167</f>
        <v>4.1237348999999996</v>
      </c>
      <c r="D13" s="350">
        <v>0.75099042000000005</v>
      </c>
      <c r="E13" s="350">
        <v>4.1237348999999996</v>
      </c>
      <c r="F13"/>
      <c r="G13"/>
      <c r="H13"/>
      <c r="I13" s="315"/>
    </row>
    <row r="14" spans="1:9" s="315" customFormat="1">
      <c r="A14" s="315" t="str">
        <f>Model!A168</f>
        <v>Humber parasitics</v>
      </c>
      <c r="B14" s="315" t="str">
        <f>Model!B168</f>
        <v>kWe</v>
      </c>
      <c r="C14" s="81">
        <f>Model!C168</f>
        <v>943.22048099999995</v>
      </c>
      <c r="D14" s="81">
        <v>804.52310980000004</v>
      </c>
      <c r="E14" s="81">
        <v>943.22048099999995</v>
      </c>
      <c r="F14"/>
      <c r="G14"/>
      <c r="H14"/>
    </row>
    <row r="15" spans="1:9" s="315" customFormat="1">
      <c r="A15" s="315" t="str">
        <f>Model!A170</f>
        <v>Plant electrical efficiency</v>
      </c>
      <c r="B15" s="315" t="str">
        <f>Model!B170</f>
        <v>%</v>
      </c>
      <c r="C15" s="353" t="e">
        <f ca="1">Model!C170</f>
        <v>#NAME?</v>
      </c>
      <c r="D15" s="353">
        <v>0.19102205140851633</v>
      </c>
      <c r="E15" s="353">
        <v>0.20070007366532197</v>
      </c>
      <c r="F15"/>
      <c r="G15"/>
      <c r="H15"/>
    </row>
    <row r="16" spans="1:9" s="315" customFormat="1">
      <c r="A16" s="315" t="str">
        <f>Model!A171</f>
        <v>Plant thermal efficiency</v>
      </c>
      <c r="B16" s="315" t="str">
        <f>Model!B171</f>
        <v>%</v>
      </c>
      <c r="C16" s="353" t="e">
        <f ca="1">Model!C171</f>
        <v>#NAME?</v>
      </c>
      <c r="D16" s="353">
        <v>0.48298449737055926</v>
      </c>
      <c r="E16" s="353">
        <v>0.48109850855217801</v>
      </c>
      <c r="F16"/>
      <c r="G16"/>
      <c r="H16"/>
    </row>
    <row r="17" spans="1:8" s="315" customFormat="1">
      <c r="A17" s="315" t="str">
        <f>Model!A172</f>
        <v>Plant efficiency</v>
      </c>
      <c r="B17" s="315" t="str">
        <f>Model!B172</f>
        <v>%</v>
      </c>
      <c r="C17" s="353" t="e">
        <f ca="1">Model!C172</f>
        <v>#NAME?</v>
      </c>
      <c r="D17" s="353">
        <v>0.67400654877907562</v>
      </c>
      <c r="E17" s="353">
        <v>0.6817985822175</v>
      </c>
      <c r="F17"/>
      <c r="G17"/>
      <c r="H17"/>
    </row>
    <row r="18" spans="1:8" s="315" customFormat="1">
      <c r="A18" s="315" t="s">
        <v>706</v>
      </c>
      <c r="B18" s="315" t="s">
        <v>23</v>
      </c>
      <c r="C18" s="350">
        <f>SUM(C342,C345,C348,C351,C354)</f>
        <v>2.0583</v>
      </c>
      <c r="D18" s="350">
        <v>2.0326101203999998</v>
      </c>
      <c r="E18" s="350">
        <v>2.0583</v>
      </c>
      <c r="F18"/>
      <c r="G18"/>
      <c r="H18"/>
    </row>
    <row r="19" spans="1:8" s="315" customFormat="1" ht="18" thickBot="1">
      <c r="A19" s="456" t="s">
        <v>183</v>
      </c>
      <c r="B19" s="456"/>
      <c r="C19" s="350"/>
      <c r="D19" s="350"/>
      <c r="E19" s="350"/>
      <c r="F19"/>
      <c r="G19"/>
      <c r="H19"/>
    </row>
    <row r="20" spans="1:8" s="315" customFormat="1" ht="16" thickTop="1">
      <c r="A20" s="40" t="s">
        <v>797</v>
      </c>
      <c r="B20" s="436"/>
      <c r="C20" s="437" t="str">
        <f>Operator!C8</f>
        <v>OFF</v>
      </c>
      <c r="D20" s="437" t="s">
        <v>88</v>
      </c>
      <c r="E20" s="437" t="s">
        <v>88</v>
      </c>
      <c r="F20"/>
      <c r="G20"/>
      <c r="H20"/>
    </row>
    <row r="21" spans="1:8" s="315" customFormat="1">
      <c r="A21" s="40" t="s">
        <v>798</v>
      </c>
      <c r="B21" s="436"/>
      <c r="C21" s="437" t="str">
        <f>Operator!C9</f>
        <v>OFF</v>
      </c>
      <c r="D21" s="437" t="s">
        <v>88</v>
      </c>
      <c r="E21" s="437" t="s">
        <v>88</v>
      </c>
      <c r="F21"/>
      <c r="G21"/>
      <c r="H21"/>
    </row>
    <row r="22" spans="1:8" s="315" customFormat="1">
      <c r="A22" s="40" t="s">
        <v>799</v>
      </c>
      <c r="B22" s="436"/>
      <c r="C22" s="437" t="str">
        <f>Operator!C10</f>
        <v>OFF</v>
      </c>
      <c r="D22" s="437" t="s">
        <v>88</v>
      </c>
      <c r="E22" s="437" t="s">
        <v>88</v>
      </c>
      <c r="F22"/>
      <c r="G22"/>
      <c r="H22"/>
    </row>
    <row r="23" spans="1:8" s="315" customFormat="1">
      <c r="A23" s="40" t="s">
        <v>566</v>
      </c>
      <c r="B23" s="436"/>
      <c r="C23" s="437" t="str">
        <f>Operator!C11</f>
        <v>ON</v>
      </c>
      <c r="D23" s="437" t="s">
        <v>217</v>
      </c>
      <c r="E23" s="437" t="s">
        <v>217</v>
      </c>
      <c r="F23"/>
      <c r="G23"/>
      <c r="H23"/>
    </row>
    <row r="24" spans="1:8" s="315" customFormat="1">
      <c r="A24" s="40" t="s">
        <v>29</v>
      </c>
      <c r="B24" s="436"/>
      <c r="C24" s="437" t="str">
        <f>Operator!C12</f>
        <v>ON</v>
      </c>
      <c r="D24" s="437" t="s">
        <v>88</v>
      </c>
      <c r="E24" s="437" t="s">
        <v>217</v>
      </c>
      <c r="F24"/>
      <c r="G24"/>
      <c r="H24"/>
    </row>
    <row r="25" spans="1:8" s="315" customFormat="1">
      <c r="A25" s="40" t="s">
        <v>180</v>
      </c>
      <c r="B25" s="436"/>
      <c r="C25" s="437" t="str">
        <f>Operator!C13</f>
        <v>ON/OFF</v>
      </c>
      <c r="D25" s="437" t="s">
        <v>247</v>
      </c>
      <c r="E25" s="437" t="s">
        <v>247</v>
      </c>
      <c r="F25"/>
      <c r="G25"/>
      <c r="H25"/>
    </row>
    <row r="26" spans="1:8" s="315" customFormat="1">
      <c r="A26" s="40" t="s">
        <v>181</v>
      </c>
      <c r="B26" s="436"/>
      <c r="C26" s="437" t="str">
        <f>Operator!C14</f>
        <v>OFF</v>
      </c>
      <c r="D26" s="437" t="s">
        <v>88</v>
      </c>
      <c r="E26" s="437" t="s">
        <v>88</v>
      </c>
      <c r="F26"/>
      <c r="G26"/>
      <c r="H26"/>
    </row>
    <row r="27" spans="1:8" s="315" customFormat="1">
      <c r="A27" s="40" t="s">
        <v>967</v>
      </c>
      <c r="B27" s="436"/>
      <c r="C27" s="437" t="str">
        <f>Operator!C15</f>
        <v>OFF</v>
      </c>
      <c r="D27" s="437" t="s">
        <v>88</v>
      </c>
      <c r="E27" s="437" t="s">
        <v>88</v>
      </c>
      <c r="F27"/>
      <c r="G27"/>
      <c r="H27"/>
    </row>
    <row r="28" spans="1:8" s="315" customFormat="1">
      <c r="A28" s="40" t="s">
        <v>123</v>
      </c>
      <c r="B28" s="436"/>
      <c r="C28" s="437" t="str">
        <f>Operator!C16</f>
        <v>ON</v>
      </c>
      <c r="D28" s="437" t="s">
        <v>217</v>
      </c>
      <c r="E28" s="437" t="s">
        <v>217</v>
      </c>
      <c r="F28"/>
      <c r="G28"/>
      <c r="H28"/>
    </row>
    <row r="29" spans="1:8" s="315" customFormat="1">
      <c r="A29" s="40" t="s">
        <v>122</v>
      </c>
      <c r="B29" s="436"/>
      <c r="C29" s="437" t="str">
        <f>Operator!C17</f>
        <v>ON</v>
      </c>
      <c r="D29" s="437" t="s">
        <v>217</v>
      </c>
      <c r="E29" s="437" t="s">
        <v>217</v>
      </c>
      <c r="F29"/>
      <c r="G29"/>
      <c r="H29"/>
    </row>
    <row r="30" spans="1:8" s="315" customFormat="1">
      <c r="A30" s="40" t="s">
        <v>91</v>
      </c>
      <c r="B30" s="436"/>
      <c r="C30" s="437" t="str">
        <f>Operator!C18</f>
        <v>OFF</v>
      </c>
      <c r="D30" s="437" t="s">
        <v>88</v>
      </c>
      <c r="E30" s="437" t="s">
        <v>88</v>
      </c>
      <c r="F30"/>
      <c r="G30"/>
      <c r="H30"/>
    </row>
    <row r="31" spans="1:8" s="315" customFormat="1">
      <c r="A31" s="40" t="s">
        <v>92</v>
      </c>
      <c r="B31" s="436"/>
      <c r="C31" s="437" t="str">
        <f>Operator!C19</f>
        <v>OFF</v>
      </c>
      <c r="D31" s="437" t="s">
        <v>88</v>
      </c>
      <c r="E31" s="437" t="s">
        <v>88</v>
      </c>
      <c r="F31"/>
      <c r="G31"/>
      <c r="H31"/>
    </row>
    <row r="32" spans="1:8" s="315" customFormat="1">
      <c r="A32" s="40" t="s">
        <v>93</v>
      </c>
      <c r="B32" s="436"/>
      <c r="C32" s="437" t="str">
        <f>Operator!C20</f>
        <v>ON/OFF</v>
      </c>
      <c r="D32" s="437" t="s">
        <v>247</v>
      </c>
      <c r="E32" s="437" t="s">
        <v>247</v>
      </c>
      <c r="F32"/>
      <c r="G32"/>
      <c r="H32"/>
    </row>
    <row r="33" spans="1:8" s="315" customFormat="1">
      <c r="A33" s="40" t="s">
        <v>124</v>
      </c>
      <c r="B33" s="436"/>
      <c r="C33" s="437" t="str">
        <f>Operator!C21</f>
        <v>OFF</v>
      </c>
      <c r="D33" s="437" t="s">
        <v>88</v>
      </c>
      <c r="E33" s="437" t="s">
        <v>88</v>
      </c>
      <c r="F33"/>
      <c r="G33"/>
      <c r="H33"/>
    </row>
    <row r="34" spans="1:8" s="315" customFormat="1">
      <c r="A34" s="40" t="s">
        <v>783</v>
      </c>
      <c r="B34" s="436"/>
      <c r="C34" s="437" t="str">
        <f>Operator!C22</f>
        <v>ON/OFF</v>
      </c>
      <c r="D34" s="437" t="s">
        <v>247</v>
      </c>
      <c r="E34" s="437" t="s">
        <v>247</v>
      </c>
      <c r="F34"/>
      <c r="G34"/>
      <c r="H34"/>
    </row>
    <row r="35" spans="1:8" s="315" customFormat="1">
      <c r="A35" s="40" t="s">
        <v>233</v>
      </c>
      <c r="B35" s="436"/>
      <c r="C35" s="437" t="str">
        <f>Operator!C23</f>
        <v>ON</v>
      </c>
      <c r="D35" s="437" t="s">
        <v>217</v>
      </c>
      <c r="E35" s="437" t="s">
        <v>217</v>
      </c>
      <c r="F35"/>
      <c r="G35"/>
      <c r="H35"/>
    </row>
    <row r="36" spans="1:8" s="315" customFormat="1">
      <c r="A36" s="436" t="s">
        <v>953</v>
      </c>
      <c r="B36" s="436"/>
      <c r="C36" s="452" t="e">
        <f>Operator!#REF!</f>
        <v>#REF!</v>
      </c>
      <c r="D36" s="452" t="e">
        <v>#REF!</v>
      </c>
      <c r="E36" s="452" t="e">
        <v>#REF!</v>
      </c>
      <c r="F36"/>
      <c r="G36"/>
      <c r="H36"/>
    </row>
    <row r="37" spans="1:8" s="315" customFormat="1">
      <c r="A37" s="436"/>
      <c r="B37" s="436"/>
      <c r="C37" s="350"/>
      <c r="D37" s="350"/>
      <c r="E37" s="350"/>
      <c r="F37"/>
      <c r="G37"/>
      <c r="H37"/>
    </row>
    <row r="38" spans="1:8" s="315" customFormat="1">
      <c r="A38" s="290" t="s">
        <v>580</v>
      </c>
      <c r="B38" s="359"/>
      <c r="C38" s="350"/>
      <c r="D38" s="350"/>
      <c r="E38" s="350"/>
      <c r="F38"/>
      <c r="G38"/>
      <c r="H38"/>
    </row>
    <row r="39" spans="1:8" s="315" customFormat="1">
      <c r="A39" s="359" t="s">
        <v>427</v>
      </c>
      <c r="B39" s="359" t="s">
        <v>356</v>
      </c>
      <c r="C39" s="350">
        <f>Operator!C28</f>
        <v>1.5618108795024641</v>
      </c>
      <c r="D39" s="350">
        <v>1.5618108795024641</v>
      </c>
      <c r="E39" s="350">
        <v>1.5618108795024641</v>
      </c>
      <c r="F39"/>
      <c r="G39"/>
      <c r="H39"/>
    </row>
    <row r="40" spans="1:8" s="315" customFormat="1">
      <c r="A40" s="359" t="s">
        <v>37</v>
      </c>
      <c r="B40" s="359" t="s">
        <v>356</v>
      </c>
      <c r="C40" s="350">
        <f>Operator!C29</f>
        <v>7.9532803645401815</v>
      </c>
      <c r="D40" s="350">
        <v>7.9532803645401815</v>
      </c>
      <c r="E40" s="350">
        <v>7.9532803645401815</v>
      </c>
      <c r="F40"/>
      <c r="G40"/>
      <c r="H40"/>
    </row>
    <row r="41" spans="1:8" s="315" customFormat="1">
      <c r="A41" s="359" t="s">
        <v>38</v>
      </c>
      <c r="B41" s="359" t="s">
        <v>356</v>
      </c>
      <c r="C41" s="350">
        <f>Operator!C30</f>
        <v>4.3551477472475444</v>
      </c>
      <c r="D41" s="350">
        <v>4.3551477472475444</v>
      </c>
      <c r="E41" s="350">
        <v>4.3551477472475444</v>
      </c>
      <c r="F41"/>
      <c r="G41"/>
      <c r="H41"/>
    </row>
    <row r="42" spans="1:8" s="315" customFormat="1">
      <c r="A42" s="359" t="s">
        <v>426</v>
      </c>
      <c r="B42" s="359" t="s">
        <v>356</v>
      </c>
      <c r="C42" s="350">
        <f>Operator!C31</f>
        <v>0.26</v>
      </c>
      <c r="D42" s="350">
        <v>0.26</v>
      </c>
      <c r="E42" s="350">
        <v>0.26</v>
      </c>
      <c r="F42"/>
      <c r="G42"/>
      <c r="H42"/>
    </row>
    <row r="43" spans="1:8" s="315" customFormat="1">
      <c r="A43" s="290" t="s">
        <v>108</v>
      </c>
      <c r="B43" s="436"/>
      <c r="C43" s="350"/>
      <c r="D43" s="350"/>
      <c r="E43" s="350"/>
      <c r="F43"/>
      <c r="G43"/>
      <c r="H43"/>
    </row>
    <row r="44" spans="1:8" s="315" customFormat="1">
      <c r="A44" s="359" t="s">
        <v>86</v>
      </c>
      <c r="B44" s="436" t="s">
        <v>273</v>
      </c>
      <c r="C44" s="350">
        <f>Operator!C33</f>
        <v>14.352411416666678</v>
      </c>
      <c r="D44" s="350">
        <v>14.352411416666678</v>
      </c>
      <c r="E44" s="350">
        <v>14.352411416666678</v>
      </c>
      <c r="F44"/>
      <c r="G44"/>
      <c r="H44"/>
    </row>
    <row r="45" spans="1:8" s="315" customFormat="1">
      <c r="A45" s="359" t="s">
        <v>87</v>
      </c>
      <c r="B45" s="436" t="s">
        <v>273</v>
      </c>
      <c r="C45" s="350">
        <f>Operator!C34</f>
        <v>13.5</v>
      </c>
      <c r="D45" s="350">
        <v>0</v>
      </c>
      <c r="E45" s="350">
        <v>13.5</v>
      </c>
      <c r="F45"/>
      <c r="G45"/>
      <c r="H45"/>
    </row>
    <row r="46" spans="1:8" s="315" customFormat="1">
      <c r="A46" s="359" t="s">
        <v>248</v>
      </c>
      <c r="B46" s="436" t="s">
        <v>273</v>
      </c>
      <c r="C46" s="350">
        <f>Operator!C35</f>
        <v>0.72160416666666671</v>
      </c>
      <c r="D46" s="350">
        <v>0.72160416666666671</v>
      </c>
      <c r="E46" s="350">
        <v>0.72160416666666671</v>
      </c>
      <c r="F46"/>
      <c r="G46"/>
      <c r="H46"/>
    </row>
    <row r="47" spans="1:8" s="315" customFormat="1">
      <c r="A47" s="290" t="s">
        <v>107</v>
      </c>
      <c r="B47" s="436"/>
      <c r="C47" s="350"/>
      <c r="D47" s="350"/>
      <c r="E47" s="350"/>
      <c r="F47"/>
      <c r="G47"/>
      <c r="H47"/>
    </row>
    <row r="48" spans="1:8" s="315" customFormat="1">
      <c r="A48" s="359" t="s">
        <v>86</v>
      </c>
      <c r="B48" s="436" t="s">
        <v>273</v>
      </c>
      <c r="C48" s="350">
        <f>Operator!C37</f>
        <v>19.881397614583346</v>
      </c>
      <c r="D48" s="350">
        <v>19.881397614583346</v>
      </c>
      <c r="E48" s="350">
        <v>19.881397614583346</v>
      </c>
      <c r="F48"/>
      <c r="G48"/>
      <c r="H48"/>
    </row>
    <row r="49" spans="1:8" s="315" customFormat="1">
      <c r="A49" s="359" t="s">
        <v>87</v>
      </c>
      <c r="B49" s="436" t="s">
        <v>273</v>
      </c>
      <c r="C49" s="350">
        <f>Operator!C38</f>
        <v>5</v>
      </c>
      <c r="D49" s="350">
        <v>0</v>
      </c>
      <c r="E49" s="350">
        <v>5</v>
      </c>
      <c r="F49"/>
      <c r="G49"/>
      <c r="H49"/>
    </row>
    <row r="50" spans="1:8" s="315" customFormat="1">
      <c r="A50" s="359" t="s">
        <v>248</v>
      </c>
      <c r="B50" s="436" t="s">
        <v>273</v>
      </c>
      <c r="C50" s="350">
        <f>Operator!C39</f>
        <v>0</v>
      </c>
      <c r="D50" s="350">
        <v>0</v>
      </c>
      <c r="E50" s="350">
        <v>0</v>
      </c>
      <c r="F50"/>
      <c r="G50"/>
      <c r="H50"/>
    </row>
    <row r="51" spans="1:8" s="315" customFormat="1">
      <c r="A51" s="290" t="s">
        <v>1031</v>
      </c>
      <c r="B51" s="436"/>
      <c r="C51" s="350"/>
      <c r="D51" s="350"/>
      <c r="E51" s="350"/>
      <c r="F51"/>
      <c r="G51"/>
      <c r="H51"/>
    </row>
    <row r="52" spans="1:8" s="315" customFormat="1">
      <c r="A52" s="359" t="s">
        <v>86</v>
      </c>
      <c r="B52" s="359" t="s">
        <v>23</v>
      </c>
      <c r="C52" s="350">
        <f>Operator!C41</f>
        <v>7.3210433851836889</v>
      </c>
      <c r="D52" s="350">
        <v>7.3210433851836889</v>
      </c>
      <c r="E52" s="350">
        <v>7.3210433851836889</v>
      </c>
      <c r="F52"/>
      <c r="G52"/>
      <c r="H52"/>
    </row>
    <row r="53" spans="1:8" s="315" customFormat="1">
      <c r="A53" s="359" t="s">
        <v>87</v>
      </c>
      <c r="B53" s="359" t="s">
        <v>23</v>
      </c>
      <c r="C53" s="350">
        <f>Operator!C42</f>
        <v>2.5</v>
      </c>
      <c r="D53" s="350">
        <v>0</v>
      </c>
      <c r="E53" s="350">
        <v>2.5</v>
      </c>
      <c r="F53"/>
      <c r="G53"/>
      <c r="H53"/>
    </row>
    <row r="54" spans="1:8" s="315" customFormat="1">
      <c r="A54" s="359" t="s">
        <v>248</v>
      </c>
      <c r="B54" s="359" t="s">
        <v>23</v>
      </c>
      <c r="C54" s="350">
        <f>Operator!C43</f>
        <v>1.45684472851427</v>
      </c>
      <c r="D54" s="350">
        <v>1.45684472851427</v>
      </c>
      <c r="E54" s="350">
        <v>1.45684472851427</v>
      </c>
      <c r="F54"/>
      <c r="G54"/>
      <c r="H54"/>
    </row>
    <row r="55" spans="1:8" s="315" customFormat="1">
      <c r="A55" s="359" t="s">
        <v>784</v>
      </c>
      <c r="B55" s="359"/>
      <c r="C55" s="430">
        <f ca="1">Operator!C3</f>
        <v>43288.414831018519</v>
      </c>
      <c r="D55" s="430">
        <v>42446.436885069445</v>
      </c>
      <c r="E55" s="430">
        <v>42446.436931481483</v>
      </c>
      <c r="F55"/>
      <c r="G55"/>
      <c r="H55"/>
    </row>
    <row r="56" spans="1:8" s="315" customFormat="1">
      <c r="A56" s="359" t="s">
        <v>781</v>
      </c>
      <c r="B56" s="359" t="s">
        <v>18</v>
      </c>
      <c r="C56" s="452">
        <f>Operator!C25</f>
        <v>15</v>
      </c>
      <c r="D56" s="452">
        <v>15</v>
      </c>
      <c r="E56" s="452">
        <v>15</v>
      </c>
      <c r="F56"/>
      <c r="G56"/>
      <c r="H56"/>
    </row>
    <row r="57" spans="1:8" s="315" customFormat="1">
      <c r="A57" s="359" t="s">
        <v>785</v>
      </c>
      <c r="B57" s="359"/>
      <c r="C57" s="194" t="str">
        <f>Operator!C4</f>
        <v>Open Solver</v>
      </c>
      <c r="D57" s="194" t="s">
        <v>594</v>
      </c>
      <c r="E57" s="194" t="s">
        <v>594</v>
      </c>
      <c r="F57"/>
      <c r="G57"/>
      <c r="H57"/>
    </row>
    <row r="58" spans="1:8" s="315" customFormat="1">
      <c r="A58" s="359" t="s">
        <v>787</v>
      </c>
      <c r="B58" s="359"/>
      <c r="C58" s="452">
        <f>Operator!C5</f>
        <v>2</v>
      </c>
      <c r="D58" s="452">
        <v>2</v>
      </c>
      <c r="E58" s="452">
        <v>2</v>
      </c>
      <c r="F58"/>
      <c r="G58"/>
      <c r="H58"/>
    </row>
    <row r="59" spans="1:8" s="315" customFormat="1">
      <c r="A59" s="359" t="s">
        <v>834</v>
      </c>
      <c r="B59" s="359"/>
      <c r="C59" s="194" t="str">
        <f>Operator!C6</f>
        <v>No</v>
      </c>
      <c r="D59" s="194" t="s">
        <v>995</v>
      </c>
      <c r="E59" s="194" t="s">
        <v>995</v>
      </c>
      <c r="F59"/>
      <c r="G59"/>
      <c r="H59"/>
    </row>
    <row r="60" spans="1:8" s="315" customFormat="1">
      <c r="A60" s="359" t="s">
        <v>1017</v>
      </c>
      <c r="B60" s="359"/>
      <c r="C60" s="350"/>
      <c r="D60" s="350"/>
      <c r="E60" s="350"/>
      <c r="F60"/>
      <c r="G60"/>
      <c r="H60"/>
    </row>
    <row r="61" spans="1:8" s="315" customFormat="1">
      <c r="A61" s="359" t="s">
        <v>953</v>
      </c>
      <c r="B61" s="359"/>
      <c r="C61" s="452" t="str">
        <f>Operator!C24</f>
        <v>2 MWe NOx 250</v>
      </c>
      <c r="D61" s="452" t="s">
        <v>595</v>
      </c>
      <c r="E61" s="452" t="s">
        <v>595</v>
      </c>
      <c r="F61"/>
      <c r="G61"/>
      <c r="H61"/>
    </row>
    <row r="62" spans="1:8" s="315" customFormat="1">
      <c r="A62" s="359" t="s">
        <v>1018</v>
      </c>
      <c r="B62" s="359"/>
      <c r="C62" s="452" t="str">
        <f>Operator!F4</f>
        <v>Data</v>
      </c>
      <c r="D62" s="452" t="s">
        <v>818</v>
      </c>
      <c r="E62" s="452" t="s">
        <v>818</v>
      </c>
      <c r="F62"/>
      <c r="G62"/>
      <c r="H62"/>
    </row>
    <row r="63" spans="1:8" s="315" customFormat="1">
      <c r="A63" s="359" t="s">
        <v>1025</v>
      </c>
      <c r="B63" s="359"/>
      <c r="C63" s="452" t="str">
        <f>Operator!F5</f>
        <v>Constant</v>
      </c>
      <c r="D63" s="452" t="s">
        <v>1026</v>
      </c>
      <c r="E63" s="452" t="s">
        <v>1026</v>
      </c>
      <c r="F63"/>
      <c r="G63"/>
      <c r="H63"/>
    </row>
    <row r="64" spans="1:8" s="315" customFormat="1">
      <c r="A64" s="359" t="s">
        <v>1029</v>
      </c>
      <c r="B64" s="359"/>
      <c r="C64" s="452" t="str">
        <f>Operator!F6</f>
        <v>Constant</v>
      </c>
      <c r="D64" s="452" t="s">
        <v>1026</v>
      </c>
      <c r="E64" s="452" t="s">
        <v>1026</v>
      </c>
      <c r="F64"/>
      <c r="G64"/>
      <c r="H64"/>
    </row>
    <row r="65" spans="1:9" s="315" customFormat="1">
      <c r="A65" s="350"/>
      <c r="B65" s="350"/>
      <c r="C65" s="350"/>
      <c r="D65" s="350"/>
      <c r="E65" s="350"/>
      <c r="F65"/>
      <c r="G65"/>
      <c r="H65"/>
    </row>
    <row r="66" spans="1:9" s="293" customFormat="1" ht="21" thickBot="1">
      <c r="A66" s="447" t="s">
        <v>624</v>
      </c>
      <c r="B66" s="376"/>
      <c r="C66" s="353"/>
      <c r="D66" s="353"/>
      <c r="E66" s="353"/>
      <c r="F66"/>
      <c r="G66"/>
      <c r="H66"/>
      <c r="I66" s="315"/>
    </row>
    <row r="67" spans="1:9" s="293" customFormat="1" ht="19" thickTop="1" thickBot="1">
      <c r="A67" s="375" t="str">
        <f>IF(Model!A61=0,"",Model!A61)</f>
        <v>Assumptions</v>
      </c>
      <c r="B67" s="391" t="str">
        <f>IF(Model!B61=0,"",Model!B61)</f>
        <v/>
      </c>
      <c r="D67" s="315"/>
      <c r="E67" s="315"/>
      <c r="F67"/>
      <c r="G67"/>
      <c r="H67"/>
      <c r="I67" s="315"/>
    </row>
    <row r="68" spans="1:9" s="293" customFormat="1" ht="16" thickTop="1">
      <c r="A68" s="410" t="str">
        <f>IF(Model!A62=0,"",Model!A62)</f>
        <v>Site Assumptions</v>
      </c>
      <c r="B68" s="410" t="str">
        <f>IF(Model!B62=0,"",Model!B62)</f>
        <v/>
      </c>
      <c r="C68" s="410"/>
      <c r="D68" s="410"/>
      <c r="E68" s="410"/>
      <c r="F68"/>
      <c r="G68"/>
      <c r="H68"/>
      <c r="I68" s="315"/>
    </row>
    <row r="69" spans="1:9" s="293" customFormat="1">
      <c r="A69" s="315" t="str">
        <f>IF(Model!A63=0,"",Model!A63)</f>
        <v>Atmospheric Pressure</v>
      </c>
      <c r="B69" s="226" t="str">
        <f>IF(Model!B63=0,"",Model!B63)</f>
        <v>bar</v>
      </c>
      <c r="C69" s="441">
        <f>IF(ISBLANK(Model!C63),"",Model!C63)</f>
        <v>1.01325</v>
      </c>
      <c r="D69" s="441">
        <v>1.01325</v>
      </c>
      <c r="E69" s="441">
        <v>1.01325</v>
      </c>
      <c r="F69"/>
      <c r="G69"/>
      <c r="H69"/>
      <c r="I69" s="315"/>
    </row>
    <row r="70" spans="1:9" s="293" customFormat="1">
      <c r="A70" s="315" t="str">
        <f>IF(Model!A64=0,"",Model!A64)</f>
        <v>Ambient temperature</v>
      </c>
      <c r="B70" s="440" t="str">
        <f>IF(Model!B64=0,"",Model!B64)</f>
        <v>C</v>
      </c>
      <c r="C70" s="341">
        <f>IF(ISBLANK(Model!C64),"",Model!C64)</f>
        <v>15</v>
      </c>
      <c r="D70" s="341">
        <v>15</v>
      </c>
      <c r="E70" s="341">
        <v>15</v>
      </c>
      <c r="F70"/>
      <c r="G70"/>
      <c r="H70"/>
      <c r="I70" s="315"/>
    </row>
    <row r="71" spans="1:9" s="293" customFormat="1">
      <c r="A71" s="315" t="str">
        <f>IF(Model!A65=0,"",Model!A65)</f>
        <v>Energy content of natural gas</v>
      </c>
      <c r="B71" s="238" t="str">
        <f>IF(Model!B65=0,"",Model!B65)</f>
        <v>MJ/m3 std</v>
      </c>
      <c r="C71" s="327">
        <f>IF(ISBLANK(Model!C65),"",Model!C65)</f>
        <v>39.4</v>
      </c>
      <c r="D71" s="327">
        <v>39.4</v>
      </c>
      <c r="E71" s="327">
        <v>39.4</v>
      </c>
      <c r="F71"/>
      <c r="G71"/>
      <c r="H71"/>
      <c r="I71" s="315"/>
    </row>
    <row r="72" spans="1:9" s="293" customFormat="1">
      <c r="A72" s="315" t="str">
        <f>IF(Model!A66=0,"",Model!A66)</f>
        <v>Energy content of natural gas</v>
      </c>
      <c r="B72" s="238" t="str">
        <f>IF(Model!B66=0,"",Model!B66)</f>
        <v>kWh/m3</v>
      </c>
      <c r="C72" s="328">
        <f>IF(ISBLANK(Model!C66),"",Model!C66)</f>
        <v>10.944444444444445</v>
      </c>
      <c r="D72" s="328">
        <v>10.944444444444445</v>
      </c>
      <c r="E72" s="328">
        <v>10.944444444444445</v>
      </c>
      <c r="F72"/>
      <c r="G72"/>
      <c r="H72"/>
      <c r="I72" s="315"/>
    </row>
    <row r="73" spans="1:9" s="293" customFormat="1">
      <c r="A73" s="315" t="str">
        <f>IF(Model!A67=0,"",Model!A67)</f>
        <v>Site import/export limit</v>
      </c>
      <c r="B73" s="182" t="str">
        <f>IF(Model!B67=0,"",Model!B67)</f>
        <v>MWe</v>
      </c>
      <c r="C73" s="328">
        <f>IF(ISBLANK(Model!C67),"",Model!C67)</f>
        <v>6</v>
      </c>
      <c r="D73" s="328">
        <v>6</v>
      </c>
      <c r="E73" s="328">
        <v>6</v>
      </c>
      <c r="F73"/>
      <c r="G73"/>
      <c r="H73"/>
      <c r="I73" s="315"/>
    </row>
    <row r="74" spans="1:9" s="293" customFormat="1">
      <c r="A74" s="315" t="str">
        <f>IF(Model!A68=0,"",Model!A68)</f>
        <v>EHP steam losses</v>
      </c>
      <c r="B74" s="182" t="str">
        <f>IF(Model!B68=0,"",Model!B68)</f>
        <v>t/h</v>
      </c>
      <c r="C74" s="328">
        <f>IF(ISBLANK(Model!C68),"",Model!C68)</f>
        <v>0</v>
      </c>
      <c r="D74" s="328">
        <v>0</v>
      </c>
      <c r="E74" s="328">
        <v>0</v>
      </c>
      <c r="F74"/>
      <c r="G74"/>
      <c r="H74"/>
      <c r="I74" s="315"/>
    </row>
    <row r="75" spans="1:9" s="293" customFormat="1">
      <c r="A75" s="315" t="str">
        <f>IF(Model!A69=0,"",Model!A69)</f>
        <v>HP steam losses</v>
      </c>
      <c r="B75" s="440" t="str">
        <f>IF(Model!B69=0,"",Model!B69)</f>
        <v>t/h</v>
      </c>
      <c r="C75" s="341">
        <f>IF(ISBLANK(Model!C69),"",Model!C69)</f>
        <v>1.7</v>
      </c>
      <c r="D75" s="341">
        <v>1.7</v>
      </c>
      <c r="E75" s="341">
        <v>1.7</v>
      </c>
      <c r="F75"/>
      <c r="G75"/>
      <c r="H75"/>
      <c r="I75" s="315"/>
    </row>
    <row r="76" spans="1:9" s="293" customFormat="1">
      <c r="A76" s="315" t="str">
        <f>IF(Model!A70=0,"",Model!A70)</f>
        <v>MP steam losses</v>
      </c>
      <c r="B76" s="440" t="str">
        <f>IF(Model!B70=0,"",Model!B70)</f>
        <v>t/h</v>
      </c>
      <c r="C76" s="341">
        <f>IF(ISBLANK(Model!C70),"",Model!C70)</f>
        <v>0.2</v>
      </c>
      <c r="D76" s="341">
        <v>0.2</v>
      </c>
      <c r="E76" s="341">
        <v>0.2</v>
      </c>
      <c r="F76"/>
      <c r="G76"/>
      <c r="H76"/>
      <c r="I76" s="315"/>
    </row>
    <row r="77" spans="1:9" s="293" customFormat="1">
      <c r="A77" s="315" t="str">
        <f>IF(Model!A71=0,"",Model!A71)</f>
        <v>LP steam losses</v>
      </c>
      <c r="B77" s="440" t="str">
        <f>IF(Model!B71=0,"",Model!B71)</f>
        <v>t/h</v>
      </c>
      <c r="C77" s="341">
        <f>IF(ISBLANK(Model!C71),"",Model!C71)</f>
        <v>1.1000000000000001</v>
      </c>
      <c r="D77" s="341">
        <v>1.1000000000000001</v>
      </c>
      <c r="E77" s="341">
        <v>1.1000000000000001</v>
      </c>
      <c r="F77"/>
      <c r="G77"/>
      <c r="H77"/>
      <c r="I77" s="315"/>
    </row>
    <row r="78" spans="1:9" s="293" customFormat="1">
      <c r="A78" s="410" t="str">
        <f>IF(Model!A72=0,"",Model!A72)</f>
        <v>Gas Turbine &amp; WHB Assumptions</v>
      </c>
      <c r="B78" s="410" t="str">
        <f>IF(Model!B72=0,"",Model!B72)</f>
        <v/>
      </c>
      <c r="C78" s="410" t="str">
        <f>IF(ISBLANK(Model!C72),"",Model!C72)</f>
        <v/>
      </c>
      <c r="D78" s="410" t="s">
        <v>816</v>
      </c>
      <c r="E78" s="410" t="s">
        <v>816</v>
      </c>
      <c r="F78"/>
      <c r="G78"/>
      <c r="H78"/>
      <c r="I78" s="315"/>
    </row>
    <row r="79" spans="1:9" s="293" customFormat="1">
      <c r="A79" s="334" t="str">
        <f>IF(Model!A73=0,"",Model!A73)</f>
        <v/>
      </c>
      <c r="B79" s="334" t="str">
        <f>IF(Model!B73=0,"",Model!B73)</f>
        <v/>
      </c>
      <c r="C79" s="45" t="str">
        <f>IF(ISBLANK(Model!C73),"",Model!C73)</f>
        <v>GT &amp; WHB 1</v>
      </c>
      <c r="D79" s="45" t="s">
        <v>761</v>
      </c>
      <c r="E79" s="45" t="s">
        <v>761</v>
      </c>
      <c r="F79"/>
      <c r="G79"/>
      <c r="H79"/>
      <c r="I79" s="315"/>
    </row>
    <row r="80" spans="1:9" s="293" customFormat="1">
      <c r="A80" s="325" t="str">
        <f>IF(Model!A74=0,"",Model!A74)</f>
        <v>Supplementary firing efficiency constant a</v>
      </c>
      <c r="B80" s="334" t="str">
        <f>IF(Model!B74=0,"",Model!B74)</f>
        <v/>
      </c>
      <c r="C80" s="340">
        <f>Model!C74</f>
        <v>0.98112147412797979</v>
      </c>
      <c r="D80" s="340">
        <v>0.98112147412797979</v>
      </c>
      <c r="E80" s="340">
        <v>0.98112147412797979</v>
      </c>
      <c r="F80"/>
      <c r="G80"/>
      <c r="H80"/>
      <c r="I80" s="315"/>
    </row>
    <row r="81" spans="1:9" s="315" customFormat="1">
      <c r="A81" s="325" t="str">
        <f>IF(Model!A75=0,"",Model!A75)</f>
        <v>Supplementary firing efficiency constant b</v>
      </c>
      <c r="B81" s="334"/>
      <c r="C81" s="340">
        <f>Model!C75</f>
        <v>3.6625518511483067E-2</v>
      </c>
      <c r="D81" s="340">
        <v>3.6625518511483067E-2</v>
      </c>
      <c r="E81" s="340">
        <v>3.6625518511483067E-2</v>
      </c>
      <c r="F81"/>
      <c r="G81"/>
      <c r="H81"/>
    </row>
    <row r="82" spans="1:9" s="293" customFormat="1">
      <c r="A82" s="298" t="str">
        <f>IF(Model!A77=0,"",Model!A77)</f>
        <v>Adjustment to GT gross power output</v>
      </c>
      <c r="B82" s="348" t="str">
        <f>IF(Model!B77=0,"",Model!B77)</f>
        <v>%</v>
      </c>
      <c r="C82" s="344">
        <f>IF(ISBLANK(Model!C77),"",Model!C77)</f>
        <v>0</v>
      </c>
      <c r="D82" s="344">
        <v>0</v>
      </c>
      <c r="E82" s="344">
        <v>0</v>
      </c>
      <c r="F82"/>
      <c r="G82"/>
      <c r="H82"/>
      <c r="I82" s="315"/>
    </row>
    <row r="83" spans="1:9" s="293" customFormat="1">
      <c r="A83" s="298" t="str">
        <f>IF(Model!A78=0,"",Model!A78)</f>
        <v>Adjustment to GT electric efficiency</v>
      </c>
      <c r="B83" s="325" t="str">
        <f>IF(Model!B78=0,"",Model!B78)</f>
        <v>%</v>
      </c>
      <c r="C83" s="344">
        <f>IF(ISBLANK(Model!C78),"",Model!C78)</f>
        <v>-1.4999999999999999E-2</v>
      </c>
      <c r="D83" s="344">
        <v>-1.4999999999999999E-2</v>
      </c>
      <c r="E83" s="344">
        <v>-1.4999999999999999E-2</v>
      </c>
      <c r="F83"/>
      <c r="G83"/>
      <c r="H83"/>
      <c r="I83" s="315"/>
    </row>
    <row r="84" spans="1:9" s="220" customFormat="1">
      <c r="A84" s="298" t="str">
        <f>IF(Model!A79=0,"",Model!A79)</f>
        <v>Blowdown rate</v>
      </c>
      <c r="B84" s="325" t="str">
        <f>IF(Model!B79=0,"",Model!B79)</f>
        <v>%</v>
      </c>
      <c r="C84" s="344">
        <f>IF(ISBLANK(Model!C79),"",Model!C79)</f>
        <v>0.01</v>
      </c>
      <c r="D84" s="344">
        <v>0.01</v>
      </c>
      <c r="E84" s="344">
        <v>0.01</v>
      </c>
      <c r="F84"/>
      <c r="G84"/>
      <c r="H84"/>
      <c r="I84" s="315"/>
    </row>
    <row r="85" spans="1:9" s="293" customFormat="1">
      <c r="A85" s="298" t="str">
        <f>IF(Model!A80=0,"",Model!A80)</f>
        <v>Maximum output of WHB</v>
      </c>
      <c r="B85" s="325" t="str">
        <f>IF(Model!B80=0,"",Model!B80)</f>
        <v>t/h</v>
      </c>
      <c r="C85" s="331">
        <f>IF(ISBLANK(Model!C80),"",Model!C80)</f>
        <v>32</v>
      </c>
      <c r="D85" s="331">
        <v>32</v>
      </c>
      <c r="E85" s="331">
        <v>32</v>
      </c>
      <c r="F85"/>
      <c r="G85"/>
      <c r="H85"/>
      <c r="I85" s="315"/>
    </row>
    <row r="86" spans="1:9" s="315" customFormat="1">
      <c r="A86" s="298"/>
      <c r="B86" s="325"/>
      <c r="C86" s="45" t="str">
        <f>IF(ISBLANK(Model!D73),"",Model!D73)</f>
        <v>GT &amp; WHB 2</v>
      </c>
      <c r="D86" s="45" t="s">
        <v>762</v>
      </c>
      <c r="E86" s="45" t="s">
        <v>762</v>
      </c>
      <c r="F86"/>
      <c r="G86"/>
      <c r="H86"/>
    </row>
    <row r="87" spans="1:9" s="315" customFormat="1">
      <c r="A87" s="298" t="str">
        <f>IF(Model!A74=0,"",Model!A74)</f>
        <v>Supplementary firing efficiency constant a</v>
      </c>
      <c r="B87" s="298" t="str">
        <f>IF(Model!B74=0,"",Model!B74)</f>
        <v/>
      </c>
      <c r="C87" s="340">
        <f>Model!D74</f>
        <v>0.98112147412797979</v>
      </c>
      <c r="D87" s="340">
        <v>0.98112147412797979</v>
      </c>
      <c r="E87" s="340">
        <v>0.98112147412797979</v>
      </c>
      <c r="F87"/>
      <c r="G87"/>
      <c r="H87"/>
    </row>
    <row r="88" spans="1:9" s="315" customFormat="1">
      <c r="A88" s="298" t="str">
        <f>IF(Model!A75=0,"",Model!A75)</f>
        <v>Supplementary firing efficiency constant b</v>
      </c>
      <c r="B88" s="298"/>
      <c r="C88" s="340">
        <f>Model!D75</f>
        <v>3.6625518511483067E-2</v>
      </c>
      <c r="D88" s="340">
        <v>3.6625518511483067E-2</v>
      </c>
      <c r="E88" s="340">
        <v>3.6625518511483067E-2</v>
      </c>
      <c r="F88"/>
      <c r="G88"/>
      <c r="H88"/>
    </row>
    <row r="89" spans="1:9" s="315" customFormat="1">
      <c r="A89" s="298" t="str">
        <f>IF(Model!A77=0,"",Model!A77)</f>
        <v>Adjustment to GT gross power output</v>
      </c>
      <c r="B89" s="298" t="str">
        <f>IF(Model!B77=0,"",Model!B77)</f>
        <v>%</v>
      </c>
      <c r="C89" s="344">
        <f>IF(ISBLANK(Model!D77),"",Model!D77)</f>
        <v>-0.05</v>
      </c>
      <c r="D89" s="344">
        <v>-0.05</v>
      </c>
      <c r="E89" s="344">
        <v>-0.05</v>
      </c>
      <c r="F89"/>
      <c r="G89"/>
      <c r="H89"/>
    </row>
    <row r="90" spans="1:9" s="315" customFormat="1">
      <c r="A90" s="298" t="str">
        <f>IF(Model!A78=0,"",Model!A78)</f>
        <v>Adjustment to GT electric efficiency</v>
      </c>
      <c r="B90" s="298" t="str">
        <f>IF(Model!B78=0,"",Model!B78)</f>
        <v>%</v>
      </c>
      <c r="C90" s="344">
        <f>IF(ISBLANK(Model!D78),"",Model!D78)</f>
        <v>-3.1E-2</v>
      </c>
      <c r="D90" s="344">
        <v>-3.1E-2</v>
      </c>
      <c r="E90" s="344">
        <v>-3.1E-2</v>
      </c>
      <c r="F90"/>
      <c r="G90"/>
      <c r="H90"/>
    </row>
    <row r="91" spans="1:9" s="315" customFormat="1">
      <c r="A91" s="298" t="str">
        <f>IF(Model!A79=0,"",Model!A79)</f>
        <v>Blowdown rate</v>
      </c>
      <c r="B91" s="298" t="str">
        <f>IF(Model!B79=0,"",Model!B79)</f>
        <v>%</v>
      </c>
      <c r="C91" s="344">
        <f>IF(ISBLANK(Model!D79),"",Model!D79)</f>
        <v>0.01</v>
      </c>
      <c r="D91" s="344">
        <v>0.01</v>
      </c>
      <c r="E91" s="344">
        <v>0.01</v>
      </c>
      <c r="F91"/>
      <c r="G91"/>
      <c r="H91"/>
    </row>
    <row r="92" spans="1:9" s="315" customFormat="1">
      <c r="A92" s="298" t="str">
        <f>IF(Model!A80=0,"",Model!A80)</f>
        <v>Maximum output of WHB</v>
      </c>
      <c r="B92" s="298" t="str">
        <f>IF(Model!B80=0,"",Model!B80)</f>
        <v>t/h</v>
      </c>
      <c r="C92" s="331">
        <f>IF(ISBLANK(Model!D80),"",Model!D80)</f>
        <v>32</v>
      </c>
      <c r="D92" s="331">
        <v>32</v>
      </c>
      <c r="E92" s="331">
        <v>32</v>
      </c>
      <c r="F92"/>
      <c r="G92"/>
      <c r="H92"/>
    </row>
    <row r="93" spans="1:9" s="315" customFormat="1">
      <c r="A93" s="298" t="str">
        <f>IF(Model!A81=0,"",Model!A81)</f>
        <v>Incremental maintenance on GT2</v>
      </c>
      <c r="B93" s="325" t="str">
        <f>IF(Model!B81=0,"",Model!B81)</f>
        <v>£/h</v>
      </c>
      <c r="C93" s="321">
        <f>IF(ISBLANK(Model!D81),"",Model!D81)</f>
        <v>24</v>
      </c>
      <c r="D93" s="321">
        <v>24</v>
      </c>
      <c r="E93" s="321">
        <v>24</v>
      </c>
      <c r="F93"/>
      <c r="G93"/>
      <c r="H93"/>
    </row>
    <row r="94" spans="1:9" s="293" customFormat="1">
      <c r="A94" s="182" t="str">
        <f>IF(Model!A82=0,"",Model!A82)</f>
        <v xml:space="preserve">The maintenance of the lead GT (GT1 in this model) is not considered.  </v>
      </c>
      <c r="B94" s="325" t="str">
        <f>IF(Model!B82=0,"",Model!B82)</f>
        <v/>
      </c>
      <c r="C94" s="321" t="str">
        <f>IF(ISBLANK(Model!C82),"",Model!C82)</f>
        <v/>
      </c>
      <c r="D94" s="321" t="s">
        <v>816</v>
      </c>
      <c r="E94" s="321" t="s">
        <v>816</v>
      </c>
      <c r="F94"/>
      <c r="G94"/>
      <c r="H94"/>
      <c r="I94" s="315"/>
    </row>
    <row r="95" spans="1:9" s="293" customFormat="1">
      <c r="A95" s="410" t="str">
        <f>IF(Model!A83=0,"",Model!A83)</f>
        <v>Steam Turbine Assumptions</v>
      </c>
      <c r="B95" s="410" t="str">
        <f>IF(Model!B83=0,"",Model!B83)</f>
        <v/>
      </c>
      <c r="C95" s="410" t="str">
        <f>IF(ISBLANK(Model!C83),"",Model!C83)</f>
        <v/>
      </c>
      <c r="D95" s="410" t="s">
        <v>816</v>
      </c>
      <c r="E95" s="410" t="s">
        <v>816</v>
      </c>
      <c r="F95"/>
      <c r="G95"/>
      <c r="H95"/>
      <c r="I95" s="315"/>
    </row>
    <row r="96" spans="1:9" s="293" customFormat="1">
      <c r="A96" s="238" t="str">
        <f>IF(Model!A84=0,"",Model!A84)</f>
        <v>Condensate from ST2 is returned into the DA, at the same conditions as entered below in the deaerator assumptions section.</v>
      </c>
      <c r="B96" s="238" t="str">
        <f>IF(Model!B84=0,"",Model!B84)</f>
        <v/>
      </c>
      <c r="C96" s="334" t="str">
        <f>IF(ISBLANK(Model!C84),"",Model!C84)</f>
        <v/>
      </c>
      <c r="D96" s="334" t="s">
        <v>816</v>
      </c>
      <c r="E96" s="334" t="s">
        <v>816</v>
      </c>
      <c r="F96"/>
      <c r="G96"/>
      <c r="H96"/>
      <c r="I96" s="315"/>
    </row>
    <row r="97" spans="1:9" s="293" customFormat="1">
      <c r="A97" s="260" t="str">
        <f>IF(Model!A85=0,"",Model!A85)</f>
        <v>The performance of ST7 is slightly overestimated at flows below 18.75 t/h, due to the shape of the turbine curve.</v>
      </c>
      <c r="B97" s="238" t="str">
        <f>IF(Model!B85=0,"",Model!B85)</f>
        <v/>
      </c>
      <c r="C97" s="334" t="str">
        <f>IF(ISBLANK(Model!C85),"",Model!C85)</f>
        <v/>
      </c>
      <c r="D97" s="334" t="s">
        <v>816</v>
      </c>
      <c r="E97" s="334" t="s">
        <v>816</v>
      </c>
      <c r="F97"/>
      <c r="G97"/>
      <c r="H97"/>
      <c r="I97" s="315"/>
    </row>
    <row r="98" spans="1:9" s="293" customFormat="1">
      <c r="A98" s="238" t="str">
        <f>IF(Model!A86=0,"",Model!A86)</f>
        <v>Adjustment to ST5 turbine curve power output</v>
      </c>
      <c r="B98" s="238" t="str">
        <f>IF(Model!B86=0,"",Model!B86)</f>
        <v>MWe</v>
      </c>
      <c r="C98" s="334">
        <f>IF(ISBLANK(Model!C86),"",Model!C86)</f>
        <v>0</v>
      </c>
      <c r="D98" s="334">
        <v>0</v>
      </c>
      <c r="E98" s="334">
        <v>0</v>
      </c>
      <c r="F98"/>
      <c r="G98"/>
      <c r="H98"/>
      <c r="I98" s="315"/>
    </row>
    <row r="99" spans="1:9" s="293" customFormat="1">
      <c r="A99" s="260" t="str">
        <f>IF(Model!A87=0,"",Model!A87)</f>
        <v>Adjustment to ST6 turbine curve power output</v>
      </c>
      <c r="B99" s="334" t="str">
        <f>IF(Model!B87=0,"",Model!B87)</f>
        <v>MWe</v>
      </c>
      <c r="C99" s="334">
        <f>IF(ISBLANK(Model!C87),"",Model!C87)</f>
        <v>0</v>
      </c>
      <c r="D99" s="334">
        <v>0</v>
      </c>
      <c r="E99" s="334">
        <v>0</v>
      </c>
      <c r="F99"/>
      <c r="G99"/>
      <c r="H99"/>
      <c r="I99" s="315"/>
    </row>
    <row r="100" spans="1:9" s="293" customFormat="1">
      <c r="A100" s="260" t="str">
        <f>IF(Model!A88=0,"",Model!A88)</f>
        <v>Generator efficiency</v>
      </c>
      <c r="B100" s="334" t="str">
        <f>IF(Model!B88=0,"",Model!B88)</f>
        <v>%</v>
      </c>
      <c r="C100" s="373">
        <f>IF(ISBLANK(Model!C88),"",Model!C88)</f>
        <v>0.97499999999999998</v>
      </c>
      <c r="D100" s="373">
        <v>0.97499999999999998</v>
      </c>
      <c r="E100" s="373">
        <v>0.97499999999999998</v>
      </c>
      <c r="F100"/>
      <c r="G100"/>
      <c r="H100"/>
      <c r="I100" s="315"/>
    </row>
    <row r="101" spans="1:9" s="293" customFormat="1">
      <c r="A101" s="260" t="str">
        <f>IF(Model!A89=0,"",Model!A89)</f>
        <v>HP ST5 acutal inlet pressure</v>
      </c>
      <c r="B101" s="260" t="str">
        <f>IF(Model!B89=0,"",Model!B89)</f>
        <v>bar a</v>
      </c>
      <c r="C101" s="320">
        <f>IF(ISBLANK(Model!C89),"",Model!C89)</f>
        <v>24</v>
      </c>
      <c r="D101" s="320">
        <v>24</v>
      </c>
      <c r="E101" s="320">
        <v>24</v>
      </c>
      <c r="F101"/>
      <c r="G101"/>
      <c r="H101"/>
      <c r="I101" s="315"/>
    </row>
    <row r="102" spans="1:9" s="220" customFormat="1">
      <c r="A102" s="298" t="str">
        <f>IF(Model!A90=0,"",Model!A90)</f>
        <v>HP ST5 acutal inlet temperature</v>
      </c>
      <c r="B102" s="260" t="str">
        <f>IF(Model!B90=0,"",Model!B90)</f>
        <v>C</v>
      </c>
      <c r="C102" s="235">
        <f>IF(ISBLANK(Model!C90),"",Model!C90)</f>
        <v>370</v>
      </c>
      <c r="D102" s="235">
        <v>370</v>
      </c>
      <c r="E102" s="235">
        <v>370</v>
      </c>
      <c r="F102"/>
      <c r="G102"/>
      <c r="H102"/>
      <c r="I102" s="315"/>
    </row>
    <row r="103" spans="1:9" s="220" customFormat="1">
      <c r="A103" s="298" t="str">
        <f>IF(Model!A91=0,"",Model!A91)</f>
        <v>HP ST5 actual outlet pressure</v>
      </c>
      <c r="B103" s="298" t="str">
        <f>IF(Model!B91=0,"",Model!B91)</f>
        <v>bar a</v>
      </c>
      <c r="C103" s="320">
        <f>IF(ISBLANK(Model!C91),"",Model!C91)</f>
        <v>2.7</v>
      </c>
      <c r="D103" s="320">
        <v>2.7</v>
      </c>
      <c r="E103" s="320">
        <v>2.7</v>
      </c>
      <c r="F103"/>
      <c r="G103"/>
      <c r="H103"/>
      <c r="I103" s="315"/>
    </row>
    <row r="104" spans="1:9" s="220" customFormat="1">
      <c r="A104" s="260" t="str">
        <f>IF(Model!A92=0,"",Model!A92)</f>
        <v>Fixed amount to add to HP ST5 Willans Line model</v>
      </c>
      <c r="B104" s="298" t="str">
        <f>IF(Model!B92=0,"",Model!B92)</f>
        <v>kWe</v>
      </c>
      <c r="C104" s="235">
        <f>IF(ISBLANK(Model!C92),"",Model!C92)</f>
        <v>200</v>
      </c>
      <c r="D104" s="235">
        <v>200</v>
      </c>
      <c r="E104" s="235">
        <v>200</v>
      </c>
      <c r="F104"/>
      <c r="G104"/>
      <c r="H104"/>
      <c r="I104" s="315"/>
    </row>
    <row r="105" spans="1:9" s="220" customFormat="1">
      <c r="A105" s="260" t="str">
        <f>IF(Model!A93=0,"",Model!A93)</f>
        <v>Maximum flow through HP ST5</v>
      </c>
      <c r="B105" s="298" t="str">
        <f>IF(Model!B93=0,"",Model!B93)</f>
        <v>t/h</v>
      </c>
      <c r="C105" s="235">
        <f>IF(ISBLANK(Model!C93),"",Model!C93)</f>
        <v>22</v>
      </c>
      <c r="D105" s="235">
        <v>22</v>
      </c>
      <c r="E105" s="235">
        <v>22</v>
      </c>
      <c r="F105"/>
      <c r="G105"/>
      <c r="H105"/>
      <c r="I105" s="315"/>
    </row>
    <row r="106" spans="1:9" s="220" customFormat="1">
      <c r="A106" s="410" t="str">
        <f>IF(Model!A94=0,"",Model!A94)</f>
        <v>EHP &amp; MP Boiler Assumptions</v>
      </c>
      <c r="B106" s="410" t="str">
        <f>IF(Model!B94=0,"",Model!B94)</f>
        <v/>
      </c>
      <c r="C106" s="410" t="str">
        <f>IF(ISBLANK(Model!C94),"",Model!C94)</f>
        <v/>
      </c>
      <c r="D106" s="410" t="s">
        <v>816</v>
      </c>
      <c r="E106" s="410" t="s">
        <v>816</v>
      </c>
      <c r="F106"/>
      <c r="G106"/>
      <c r="H106"/>
      <c r="I106" s="315"/>
    </row>
    <row r="107" spans="1:9" s="220" customFormat="1">
      <c r="A107" s="277" t="str">
        <f>IF(Model!A95=0,"",Model!A95)</f>
        <v/>
      </c>
      <c r="B107" s="334" t="str">
        <f>IF(Model!B95=0,"",Model!B95)</f>
        <v/>
      </c>
      <c r="C107" s="400" t="str">
        <f>IF(ISBLANK(Model!C95),"",Model!C95)</f>
        <v>EHP1</v>
      </c>
      <c r="D107" s="400" t="s">
        <v>791</v>
      </c>
      <c r="E107" s="400" t="s">
        <v>791</v>
      </c>
      <c r="F107"/>
      <c r="G107"/>
      <c r="H107"/>
      <c r="I107" s="315"/>
    </row>
    <row r="108" spans="1:9" s="220" customFormat="1">
      <c r="A108" s="277" t="str">
        <f>IF(Model!A96=0,"",Model!A96)</f>
        <v>Gross efficiency</v>
      </c>
      <c r="B108" s="334" t="str">
        <f>IF(Model!B96=0,"",Model!B96)</f>
        <v>%</v>
      </c>
      <c r="C108" s="332">
        <f>IF(ISBLANK(Model!C96),"",Model!C96)</f>
        <v>0.8</v>
      </c>
      <c r="D108" s="332">
        <v>0.8</v>
      </c>
      <c r="E108" s="332">
        <v>0.8</v>
      </c>
      <c r="F108"/>
      <c r="G108"/>
      <c r="H108"/>
      <c r="I108" s="315"/>
    </row>
    <row r="109" spans="1:9" s="220" customFormat="1">
      <c r="A109" s="277" t="str">
        <f>IF(Model!A97=0,"",Model!A97)</f>
        <v>Blowdown rate</v>
      </c>
      <c r="B109" s="334" t="str">
        <f>IF(Model!B97=0,"",Model!B97)</f>
        <v>%</v>
      </c>
      <c r="C109" s="332">
        <f>IF(ISBLANK(Model!C97),"",Model!C97)</f>
        <v>0.01</v>
      </c>
      <c r="D109" s="332">
        <v>0.01</v>
      </c>
      <c r="E109" s="332">
        <v>0.01</v>
      </c>
      <c r="F109"/>
      <c r="G109"/>
      <c r="H109"/>
      <c r="I109" s="315"/>
    </row>
    <row r="110" spans="1:9" s="315" customFormat="1">
      <c r="A110" s="277"/>
      <c r="B110" s="334"/>
      <c r="C110" s="400" t="str">
        <f>IF(ISBLANK(Model!D95),"",Model!D95)</f>
        <v>EHP2</v>
      </c>
      <c r="D110" s="400" t="s">
        <v>792</v>
      </c>
      <c r="E110" s="400" t="s">
        <v>792</v>
      </c>
      <c r="F110"/>
      <c r="G110"/>
      <c r="H110"/>
    </row>
    <row r="111" spans="1:9" s="315" customFormat="1">
      <c r="A111" s="277" t="str">
        <f>A108</f>
        <v>Gross efficiency</v>
      </c>
      <c r="B111" s="277" t="str">
        <f>B108</f>
        <v>%</v>
      </c>
      <c r="C111" s="332">
        <f>IF(ISBLANK(Model!D96),"",Model!D96)</f>
        <v>0.8</v>
      </c>
      <c r="D111" s="332">
        <v>0.8</v>
      </c>
      <c r="E111" s="332">
        <v>0.8</v>
      </c>
      <c r="F111"/>
      <c r="G111"/>
      <c r="H111"/>
    </row>
    <row r="112" spans="1:9" s="315" customFormat="1">
      <c r="A112" s="277" t="str">
        <f>A109</f>
        <v>Blowdown rate</v>
      </c>
      <c r="B112" s="277" t="str">
        <f>B109</f>
        <v>%</v>
      </c>
      <c r="C112" s="332">
        <f>IF(ISBLANK(Model!D97),"",Model!D97)</f>
        <v>0.01</v>
      </c>
      <c r="D112" s="332">
        <v>0.01</v>
      </c>
      <c r="E112" s="332">
        <v>0.01</v>
      </c>
      <c r="F112"/>
      <c r="G112"/>
      <c r="H112"/>
    </row>
    <row r="113" spans="1:9" s="315" customFormat="1">
      <c r="A113" s="277"/>
      <c r="B113" s="334"/>
      <c r="C113" s="400" t="str">
        <f>IF(ISBLANK(Model!E95),"",Model!E95)</f>
        <v>EHP3</v>
      </c>
      <c r="D113" s="400" t="s">
        <v>793</v>
      </c>
      <c r="E113" s="400" t="s">
        <v>793</v>
      </c>
      <c r="F113"/>
      <c r="G113"/>
      <c r="H113"/>
    </row>
    <row r="114" spans="1:9" s="315" customFormat="1">
      <c r="A114" s="277" t="str">
        <f>A111</f>
        <v>Gross efficiency</v>
      </c>
      <c r="B114" s="277" t="str">
        <f>B111</f>
        <v>%</v>
      </c>
      <c r="C114" s="332">
        <f>IF(ISBLANK(Model!E96),"",Model!E96)</f>
        <v>0.8</v>
      </c>
      <c r="D114" s="332">
        <v>0.8</v>
      </c>
      <c r="E114" s="332">
        <v>0.8</v>
      </c>
      <c r="F114"/>
      <c r="G114"/>
      <c r="H114"/>
    </row>
    <row r="115" spans="1:9" s="315" customFormat="1">
      <c r="A115" s="277" t="str">
        <f>A112</f>
        <v>Blowdown rate</v>
      </c>
      <c r="B115" s="277" t="str">
        <f>B112</f>
        <v>%</v>
      </c>
      <c r="C115" s="332">
        <f>IF(ISBLANK(Model!E97),"",Model!E97)</f>
        <v>0.01</v>
      </c>
      <c r="D115" s="332">
        <v>0.01</v>
      </c>
      <c r="E115" s="332">
        <v>0.01</v>
      </c>
      <c r="F115"/>
      <c r="G115"/>
      <c r="H115"/>
    </row>
    <row r="116" spans="1:9" s="315" customFormat="1">
      <c r="A116" s="277"/>
      <c r="B116" s="334"/>
      <c r="C116" s="400" t="s">
        <v>171</v>
      </c>
      <c r="D116" s="400" t="s">
        <v>171</v>
      </c>
      <c r="E116" s="400" t="s">
        <v>171</v>
      </c>
      <c r="F116"/>
      <c r="G116"/>
      <c r="H116"/>
    </row>
    <row r="117" spans="1:9" s="315" customFormat="1">
      <c r="A117" s="277" t="str">
        <f>Model!F95</f>
        <v>MP-1 (a)</v>
      </c>
      <c r="C117" s="340">
        <f>Model!F98</f>
        <v>1.1703824383738488</v>
      </c>
      <c r="D117" s="340">
        <v>1.1703824383738488</v>
      </c>
      <c r="E117" s="340">
        <v>1.1703824383738488</v>
      </c>
      <c r="F117"/>
      <c r="G117"/>
      <c r="H117"/>
    </row>
    <row r="118" spans="1:9" s="315" customFormat="1">
      <c r="A118" s="277" t="str">
        <f>Model!G95</f>
        <v>MP-1 (b)</v>
      </c>
      <c r="B118" s="277"/>
      <c r="C118" s="340">
        <f>Model!G98</f>
        <v>5.2546718406271823E-3</v>
      </c>
      <c r="D118" s="340">
        <v>5.2546718406271823E-3</v>
      </c>
      <c r="E118" s="340">
        <v>5.2546718406271823E-3</v>
      </c>
      <c r="F118"/>
      <c r="G118"/>
      <c r="H118"/>
    </row>
    <row r="119" spans="1:9" s="315" customFormat="1">
      <c r="A119" s="277" t="str">
        <f>A115</f>
        <v>Blowdown rate</v>
      </c>
      <c r="B119" s="277" t="str">
        <f>B115</f>
        <v>%</v>
      </c>
      <c r="C119" s="332">
        <f>IF(ISBLANK(Model!G98),"",Model!G98)</f>
        <v>5.2546718406271823E-3</v>
      </c>
      <c r="D119" s="332">
        <v>5.2546718406271823E-3</v>
      </c>
      <c r="E119" s="332">
        <v>5.2546718406271823E-3</v>
      </c>
      <c r="F119"/>
      <c r="G119"/>
      <c r="H119"/>
    </row>
    <row r="120" spans="1:9" s="315" customFormat="1">
      <c r="A120" s="277"/>
      <c r="B120" s="334"/>
      <c r="C120" s="400" t="s">
        <v>172</v>
      </c>
      <c r="D120" s="400" t="s">
        <v>172</v>
      </c>
      <c r="E120" s="400" t="s">
        <v>172</v>
      </c>
      <c r="F120"/>
      <c r="G120"/>
      <c r="H120"/>
    </row>
    <row r="121" spans="1:9" s="315" customFormat="1">
      <c r="A121" s="277" t="str">
        <f>Model!H95</f>
        <v>MP-2 (a)</v>
      </c>
      <c r="C121" s="340">
        <f>Model!H98</f>
        <v>1.1703824383738488</v>
      </c>
      <c r="D121" s="340">
        <v>1.1703824383738488</v>
      </c>
      <c r="E121" s="340">
        <v>1.1703824383738488</v>
      </c>
      <c r="F121"/>
      <c r="G121"/>
      <c r="H121"/>
    </row>
    <row r="122" spans="1:9" s="315" customFormat="1">
      <c r="A122" s="277" t="str">
        <f>Model!I95</f>
        <v>MP-2 (b)</v>
      </c>
      <c r="B122" s="277"/>
      <c r="C122" s="340">
        <f>Model!I98</f>
        <v>5.2546718406271823E-3</v>
      </c>
      <c r="D122" s="340">
        <v>5.2546718406271823E-3</v>
      </c>
      <c r="E122" s="340">
        <v>5.2546718406271823E-3</v>
      </c>
      <c r="F122"/>
      <c r="G122"/>
      <c r="H122"/>
    </row>
    <row r="123" spans="1:9" s="315" customFormat="1">
      <c r="A123" s="277" t="str">
        <f>A119</f>
        <v>Blowdown rate</v>
      </c>
      <c r="B123" s="277" t="str">
        <f>B119</f>
        <v>%</v>
      </c>
      <c r="C123" s="332">
        <f>IF(ISBLANK(Model!H99),"",Model!H99)</f>
        <v>0.01</v>
      </c>
      <c r="D123" s="332">
        <v>0.01</v>
      </c>
      <c r="E123" s="332">
        <v>0.01</v>
      </c>
      <c r="F123"/>
      <c r="G123"/>
      <c r="H123"/>
    </row>
    <row r="124" spans="1:9" s="315" customFormat="1">
      <c r="A124" s="277"/>
      <c r="B124" s="277"/>
      <c r="C124" s="400" t="str">
        <f>IF(ISBLANK(Model!J95),"",Model!J95)</f>
        <v>Aux. boiler</v>
      </c>
      <c r="D124" s="400" t="s">
        <v>965</v>
      </c>
      <c r="E124" s="400" t="s">
        <v>965</v>
      </c>
      <c r="F124"/>
      <c r="G124"/>
      <c r="H124"/>
    </row>
    <row r="125" spans="1:9" s="315" customFormat="1">
      <c r="A125" s="277" t="str">
        <f>A114</f>
        <v>Gross efficiency</v>
      </c>
      <c r="B125" s="277" t="str">
        <f>B114</f>
        <v>%</v>
      </c>
      <c r="C125" s="332">
        <f>IF(ISBLANK(Model!J96),"",Model!J96)</f>
        <v>0.65</v>
      </c>
      <c r="D125" s="332">
        <v>0.65</v>
      </c>
      <c r="E125" s="332">
        <v>0.65</v>
      </c>
      <c r="F125"/>
      <c r="G125"/>
      <c r="H125"/>
    </row>
    <row r="126" spans="1:9" s="315" customFormat="1">
      <c r="A126" s="277" t="str">
        <f>A115</f>
        <v>Blowdown rate</v>
      </c>
      <c r="B126" s="277" t="str">
        <f>B115</f>
        <v>%</v>
      </c>
      <c r="C126" s="332">
        <f>IF(ISBLANK(Model!J97),"",Model!J97)</f>
        <v>0.01</v>
      </c>
      <c r="D126" s="332">
        <v>0.01</v>
      </c>
      <c r="E126" s="332">
        <v>0.01</v>
      </c>
      <c r="F126"/>
      <c r="G126"/>
      <c r="H126"/>
    </row>
    <row r="127" spans="1:9" s="220" customFormat="1">
      <c r="A127" s="410" t="str">
        <f>IF(Model!A100=0,"",Model!A100)</f>
        <v>Deaerator Assumptions</v>
      </c>
      <c r="B127" s="410" t="str">
        <f>IF(Model!B100=0,"",Model!B100)</f>
        <v/>
      </c>
      <c r="C127" s="410" t="str">
        <f>IF(ISBLANK(Model!C100),"",Model!C100)</f>
        <v/>
      </c>
      <c r="D127" s="410" t="s">
        <v>816</v>
      </c>
      <c r="E127" s="410" t="s">
        <v>816</v>
      </c>
      <c r="F127"/>
      <c r="G127"/>
      <c r="H127"/>
      <c r="I127" s="315"/>
    </row>
    <row r="128" spans="1:9" s="220" customFormat="1">
      <c r="A128" s="298" t="str">
        <f>IF(Model!A102=0,"",Model!A102)</f>
        <v>Lenzing condensate return rate</v>
      </c>
      <c r="B128" s="342" t="str">
        <f>IF(Model!B102=0,"",Model!B102)</f>
        <v>%</v>
      </c>
      <c r="C128" s="109">
        <f>IF(ISBLANK(Model!C102),"",Model!C102)</f>
        <v>0.86</v>
      </c>
      <c r="D128" s="109">
        <v>0.86</v>
      </c>
      <c r="E128" s="109">
        <v>0.86</v>
      </c>
      <c r="F128"/>
      <c r="G128"/>
      <c r="H128"/>
      <c r="I128" s="315"/>
    </row>
    <row r="129" spans="1:9" s="220" customFormat="1">
      <c r="A129" s="298" t="str">
        <f>IF(Model!A103=0,"",Model!A103)</f>
        <v>Bluestar condensate return rate</v>
      </c>
      <c r="B129" s="342" t="str">
        <f>IF(Model!B103=0,"",Model!B103)</f>
        <v>%</v>
      </c>
      <c r="C129" s="332">
        <f>IF(ISBLANK(Model!C103),"",Model!C103)</f>
        <v>0.7</v>
      </c>
      <c r="D129" s="332">
        <v>0.7</v>
      </c>
      <c r="E129" s="332">
        <v>0.7</v>
      </c>
      <c r="F129"/>
      <c r="G129"/>
      <c r="H129"/>
      <c r="I129" s="315"/>
    </row>
    <row r="130" spans="1:9" s="220" customFormat="1">
      <c r="A130" s="315" t="str">
        <f>IF(Model!A104=0,"",Model!A104)</f>
        <v>TAL condensate return rate</v>
      </c>
      <c r="B130" s="315" t="str">
        <f>IF(Model!B104=0,"",Model!B104)</f>
        <v>%</v>
      </c>
      <c r="C130" s="332">
        <f>IF(ISBLANK(Model!C104),"",Model!C104)</f>
        <v>0.65</v>
      </c>
      <c r="D130" s="332">
        <v>0.65</v>
      </c>
      <c r="E130" s="332">
        <v>0.65</v>
      </c>
      <c r="F130"/>
      <c r="G130"/>
      <c r="H130"/>
      <c r="I130" s="315"/>
    </row>
    <row r="131" spans="1:9" s="293" customFormat="1">
      <c r="A131" s="315" t="str">
        <f>IF(Model!A105=0,"",Model!A105)</f>
        <v>Vent steam flow fraction</v>
      </c>
      <c r="B131" s="315" t="str">
        <f>IF(Model!B105=0,"",Model!B105)</f>
        <v>%</v>
      </c>
      <c r="C131" s="109">
        <f>IF(ISBLANK(Model!C105),"",Model!C105)</f>
        <v>0.05</v>
      </c>
      <c r="D131" s="109">
        <v>0.05</v>
      </c>
      <c r="E131" s="109">
        <v>0.05</v>
      </c>
      <c r="F131"/>
      <c r="G131"/>
      <c r="H131"/>
      <c r="I131" s="315"/>
    </row>
    <row r="132" spans="1:9" s="293" customFormat="1">
      <c r="A132" s="315" t="str">
        <f>IF(Model!A106=0,"",Model!A106)</f>
        <v>Condensate return temperature</v>
      </c>
      <c r="B132" s="315" t="str">
        <f>IF(Model!B106=0,"",Model!B106)</f>
        <v>C</v>
      </c>
      <c r="C132" s="81">
        <f>IF(ISBLANK(Model!C106),"",Model!C106)</f>
        <v>80</v>
      </c>
      <c r="D132" s="81">
        <v>80</v>
      </c>
      <c r="E132" s="81">
        <v>80</v>
      </c>
      <c r="F132"/>
      <c r="G132"/>
      <c r="H132"/>
      <c r="I132" s="315"/>
    </row>
    <row r="133" spans="1:9" s="220" customFormat="1">
      <c r="A133" s="315" t="str">
        <f>IF(Model!A107=0,"",Model!A107)</f>
        <v>Boiler feedwater temperature</v>
      </c>
      <c r="B133" s="315" t="str">
        <f>IF(Model!B107=0,"",Model!B107)</f>
        <v>C</v>
      </c>
      <c r="C133" s="439">
        <f>IF(ISBLANK(Model!C107),"",Model!C107)</f>
        <v>105</v>
      </c>
      <c r="D133" s="439">
        <v>105</v>
      </c>
      <c r="E133" s="439">
        <v>105</v>
      </c>
      <c r="F133"/>
      <c r="G133"/>
      <c r="H133"/>
      <c r="I133" s="315"/>
    </row>
    <row r="134" spans="1:9" s="220" customFormat="1">
      <c r="A134" s="315" t="str">
        <f>IF(Model!A108=0,"",Model!A108)</f>
        <v>Makeup water temperature from demin</v>
      </c>
      <c r="B134" s="315" t="str">
        <f>IF(Model!B108=0,"",Model!B108)</f>
        <v>C</v>
      </c>
      <c r="C134" s="439">
        <f>IF(ISBLANK(Model!C108),"",Model!C108)</f>
        <v>80</v>
      </c>
      <c r="D134" s="439">
        <v>80</v>
      </c>
      <c r="E134" s="439">
        <v>80</v>
      </c>
      <c r="F134"/>
      <c r="G134"/>
      <c r="H134"/>
      <c r="I134" s="315"/>
    </row>
    <row r="135" spans="1:9" s="220" customFormat="1">
      <c r="A135" s="315" t="str">
        <f>IF(Model!A109=0,"",Model!A109)</f>
        <v>Maximum MU/CR water temp into deaerator</v>
      </c>
      <c r="B135" s="315" t="str">
        <f>IF(Model!B109=0,"",Model!B109)</f>
        <v>C</v>
      </c>
      <c r="C135" s="439">
        <f>IF(ISBLANK(Model!C109),"",Model!C109)</f>
        <v>95</v>
      </c>
      <c r="D135" s="439">
        <v>95</v>
      </c>
      <c r="E135" s="439">
        <v>95</v>
      </c>
      <c r="F135"/>
      <c r="G135"/>
      <c r="H135"/>
      <c r="I135" s="315"/>
    </row>
    <row r="136" spans="1:9" s="220" customFormat="1">
      <c r="A136" s="410" t="str">
        <f>IF(Model!A110=0,"",Model!A110)</f>
        <v>Desuperheating Water Assumptions</v>
      </c>
      <c r="B136" s="410" t="str">
        <f>IF(Model!B110=0,"",Model!B110)</f>
        <v/>
      </c>
      <c r="C136" s="410" t="str">
        <f>IF(ISBLANK(Model!C110),"",Model!C110)</f>
        <v/>
      </c>
      <c r="D136" s="410" t="s">
        <v>816</v>
      </c>
      <c r="E136" s="410" t="s">
        <v>816</v>
      </c>
      <c r="F136"/>
      <c r="G136"/>
      <c r="H136"/>
      <c r="I136" s="315"/>
    </row>
    <row r="137" spans="1:9" s="220" customFormat="1">
      <c r="A137" s="334" t="str">
        <f>IF(Model!A111=0,"",Model!A111)</f>
        <v>Desuperheat water temperature</v>
      </c>
      <c r="B137" s="334" t="str">
        <f>IF(Model!B111=0,"",Model!B111)</f>
        <v>C</v>
      </c>
      <c r="C137" s="114">
        <f>IF(ISBLANK(Model!C111),"",Model!C111)</f>
        <v>105</v>
      </c>
      <c r="D137" s="114">
        <v>105</v>
      </c>
      <c r="E137" s="114">
        <v>105</v>
      </c>
      <c r="F137"/>
      <c r="G137"/>
      <c r="H137"/>
      <c r="I137" s="315"/>
    </row>
    <row r="138" spans="1:9" s="220" customFormat="1">
      <c r="A138" s="410" t="str">
        <f>IF(Model!A112=0,"",Model!A112)</f>
        <v>HEL Parastics Assumptions</v>
      </c>
      <c r="B138" s="410" t="str">
        <f>IF(Model!B112=0,"",Model!B112)</f>
        <v/>
      </c>
      <c r="C138" s="410" t="str">
        <f>IF(ISBLANK(Model!C112),"",Model!C112)</f>
        <v/>
      </c>
      <c r="D138" s="410" t="s">
        <v>816</v>
      </c>
      <c r="E138" s="410" t="s">
        <v>816</v>
      </c>
      <c r="F138"/>
      <c r="G138"/>
      <c r="H138"/>
      <c r="I138" s="315"/>
    </row>
    <row r="139" spans="1:9" s="220" customFormat="1">
      <c r="A139" s="334" t="str">
        <f>IF(Model!A113=0,"",Model!A113)</f>
        <v xml:space="preserve">Shared services </v>
      </c>
      <c r="B139" s="440" t="str">
        <f>IF(Model!B113=0,"",Model!B113)</f>
        <v>kWe</v>
      </c>
      <c r="C139" s="235">
        <f>IF(ISBLANK(Model!C113),"",Model!C113)</f>
        <v>0</v>
      </c>
      <c r="D139" s="235">
        <v>0</v>
      </c>
      <c r="E139" s="235">
        <v>0</v>
      </c>
      <c r="F139"/>
      <c r="G139"/>
      <c r="H139"/>
      <c r="I139" s="315"/>
    </row>
    <row r="140" spans="1:9" s="220" customFormat="1">
      <c r="A140" s="325" t="str">
        <f>IF(Model!A114=0,"",Model!A114)</f>
        <v>Demin</v>
      </c>
      <c r="B140" s="440" t="str">
        <f>IF(Model!B114=0,"",Model!B114)</f>
        <v>kWe</v>
      </c>
      <c r="C140" s="351">
        <f>IF(ISBLANK(Model!C114),"",Model!C114)</f>
        <v>200</v>
      </c>
      <c r="D140" s="351">
        <v>200</v>
      </c>
      <c r="E140" s="351">
        <v>200</v>
      </c>
      <c r="F140"/>
      <c r="G140"/>
      <c r="H140"/>
      <c r="I140" s="315"/>
    </row>
    <row r="141" spans="1:9" s="220" customFormat="1">
      <c r="A141" s="334" t="str">
        <f>IF(Model!A115=0,"",Model!A115)</f>
        <v>1 EHP boiler</v>
      </c>
      <c r="B141" s="440" t="str">
        <f>IF(Model!B115=0,"",Model!B115)</f>
        <v>kWe</v>
      </c>
      <c r="C141" s="235">
        <f>IF(ISBLANK(Model!C115),"",Model!C115)</f>
        <v>300</v>
      </c>
      <c r="D141" s="235">
        <v>300</v>
      </c>
      <c r="E141" s="235">
        <v>300</v>
      </c>
      <c r="F141"/>
      <c r="G141"/>
      <c r="H141"/>
      <c r="I141" s="315"/>
    </row>
    <row r="142" spans="1:9" s="220" customFormat="1">
      <c r="A142" s="260" t="str">
        <f>IF(Model!A116=0,"",Model!A116)</f>
        <v>Misc. humber parasitics</v>
      </c>
      <c r="B142" s="440" t="str">
        <f>IF(Model!B116=0,"",Model!B116)</f>
        <v>kWe</v>
      </c>
      <c r="C142" s="351">
        <f>IF(ISBLANK(Model!C116),"",Model!C116)</f>
        <v>207</v>
      </c>
      <c r="D142" s="351">
        <v>207</v>
      </c>
      <c r="E142" s="351">
        <v>207</v>
      </c>
      <c r="F142"/>
      <c r="G142"/>
      <c r="H142"/>
      <c r="I142" s="315"/>
    </row>
    <row r="143" spans="1:9" s="220" customFormat="1">
      <c r="A143" s="298" t="str">
        <f>IF(Model!A117=0,"",Model!A117)</f>
        <v>WHB 1 supplementary firing</v>
      </c>
      <c r="B143" s="440" t="str">
        <f>IF(Model!B117=0,"",Model!B117)</f>
        <v>kWe</v>
      </c>
      <c r="C143" s="351">
        <f>IF(ISBLANK(Model!C117),"",Model!C117)</f>
        <v>70</v>
      </c>
      <c r="D143" s="351">
        <v>70</v>
      </c>
      <c r="E143" s="351">
        <v>70</v>
      </c>
      <c r="F143"/>
      <c r="G143"/>
      <c r="H143"/>
      <c r="I143" s="315"/>
    </row>
    <row r="144" spans="1:9" s="220" customFormat="1">
      <c r="A144" s="298" t="str">
        <f>IF(Model!A118=0,"",Model!A118)</f>
        <v>WHB 2 supplementary firing</v>
      </c>
      <c r="B144" s="440" t="str">
        <f>IF(Model!B118=0,"",Model!B118)</f>
        <v>kWe</v>
      </c>
      <c r="C144" s="351">
        <f>IF(ISBLANK(Model!C118),"",Model!C118)</f>
        <v>70</v>
      </c>
      <c r="D144" s="351">
        <v>70</v>
      </c>
      <c r="E144" s="351">
        <v>70</v>
      </c>
      <c r="F144"/>
      <c r="G144"/>
      <c r="H144"/>
      <c r="I144" s="315"/>
    </row>
    <row r="145" spans="1:9" s="315" customFormat="1">
      <c r="A145" s="298" t="str">
        <f>IF(Model!A119=0,"",Model!A119)</f>
        <v>Auxillary boiler parasitics</v>
      </c>
      <c r="B145" s="440" t="str">
        <f>IF(Model!B119=0,"",Model!B119)</f>
        <v>kWe</v>
      </c>
      <c r="C145" s="508">
        <f>IF(Model!C119=0,"",Model!C119)</f>
        <v>120</v>
      </c>
      <c r="D145" s="508">
        <v>120</v>
      </c>
      <c r="E145" s="508">
        <v>120</v>
      </c>
      <c r="F145"/>
      <c r="G145"/>
      <c r="H145"/>
    </row>
    <row r="146" spans="1:9" s="220" customFormat="1">
      <c r="A146" s="325" t="str">
        <f>IF(Model!A120=0,"",Model!A120)</f>
        <v>GT1</v>
      </c>
      <c r="B146" s="440" t="str">
        <f>IF(Model!B120=0,"",Model!B120)</f>
        <v>kWe</v>
      </c>
      <c r="C146" s="351">
        <f>IF(ISBLANK(Model!C120),"",Model!C120)</f>
        <v>180</v>
      </c>
      <c r="D146" s="351">
        <v>180</v>
      </c>
      <c r="E146" s="351">
        <v>180</v>
      </c>
      <c r="F146"/>
      <c r="G146"/>
      <c r="H146"/>
      <c r="I146" s="315"/>
    </row>
    <row r="147" spans="1:9" s="220" customFormat="1">
      <c r="A147" s="325" t="str">
        <f>IF(Model!A121=0,"",Model!A121)</f>
        <v>GT2</v>
      </c>
      <c r="B147" s="440" t="str">
        <f>IF(Model!B121=0,"",Model!B121)</f>
        <v>kWe</v>
      </c>
      <c r="C147" s="351">
        <f>IF(ISBLANK(Model!C121),"",Model!C121)</f>
        <v>60</v>
      </c>
      <c r="D147" s="351">
        <v>60</v>
      </c>
      <c r="E147" s="351">
        <v>60</v>
      </c>
      <c r="F147"/>
      <c r="G147"/>
      <c r="H147"/>
      <c r="I147" s="315"/>
    </row>
    <row r="148" spans="1:9" s="220" customFormat="1">
      <c r="A148" s="325" t="str">
        <f>IF(Model!A122=0,"",Model!A122)</f>
        <v>1 MP package boiler</v>
      </c>
      <c r="B148" s="440" t="str">
        <f>IF(Model!B122=0,"",Model!B122)</f>
        <v>kWe</v>
      </c>
      <c r="C148" s="325">
        <f>IF(Model!C122=0,"",Model!C122)</f>
        <v>50</v>
      </c>
      <c r="D148" s="325">
        <v>50</v>
      </c>
      <c r="E148" s="325">
        <v>50</v>
      </c>
      <c r="F148"/>
      <c r="G148"/>
      <c r="H148"/>
      <c r="I148" s="315"/>
    </row>
    <row r="149" spans="1:9" s="220" customFormat="1">
      <c r="A149" s="325" t="str">
        <f>IF(Model!A123=0,"",Model!A123)</f>
        <v>Gas engine</v>
      </c>
      <c r="B149" s="440" t="str">
        <f>IF(Model!B123=0,"",Model!B123)</f>
        <v>kWe</v>
      </c>
      <c r="C149" s="325">
        <f>IF(Model!C123=0,"",Model!C123)</f>
        <v>30</v>
      </c>
      <c r="D149" s="325">
        <v>30</v>
      </c>
      <c r="E149" s="325">
        <v>30</v>
      </c>
      <c r="F149"/>
      <c r="G149"/>
      <c r="H149"/>
      <c r="I149" s="315"/>
    </row>
    <row r="150" spans="1:9" s="315" customFormat="1">
      <c r="A150" s="325" t="str">
        <f>IF(Model!A124=0,"",Model!A124)</f>
        <v>Fault limiting reactor parasitics at full load</v>
      </c>
      <c r="B150" s="440" t="str">
        <f>IF(Model!B124=0,"",Model!B124)</f>
        <v>kWe</v>
      </c>
      <c r="C150" s="325">
        <f>IF(Model!C124=0,"",Model!C124)</f>
        <v>20</v>
      </c>
      <c r="D150" s="325">
        <v>20</v>
      </c>
      <c r="E150" s="325">
        <v>20</v>
      </c>
      <c r="F150"/>
      <c r="G150"/>
      <c r="H150"/>
    </row>
    <row r="151" spans="1:9" s="315" customFormat="1">
      <c r="A151" s="325" t="str">
        <f>IF(Model!A125=0,"",Model!A125)</f>
        <v>Transformer parasitics</v>
      </c>
      <c r="B151" s="440" t="str">
        <f>IF(Model!B125=0,"",Model!B125)</f>
        <v>%</v>
      </c>
      <c r="C151" s="325">
        <f>IF(Model!C125=0,"",Model!C125)</f>
        <v>0.02</v>
      </c>
      <c r="D151" s="325">
        <v>0.02</v>
      </c>
      <c r="E151" s="325">
        <v>0.02</v>
      </c>
      <c r="F151"/>
      <c r="G151"/>
      <c r="H151"/>
    </row>
    <row r="152" spans="1:9" s="220" customFormat="1">
      <c r="A152" s="410" t="str">
        <f>IF(Model!A126=0,"",Model!A126)</f>
        <v>Gas Engine Assumptions</v>
      </c>
      <c r="B152" s="442" t="str">
        <f>IF(Model!B126=0,"",Model!B126)</f>
        <v/>
      </c>
      <c r="C152" s="410" t="str">
        <f>IF(ISBLANK(Model!C126),"",Model!C126)</f>
        <v/>
      </c>
      <c r="D152" s="410" t="s">
        <v>816</v>
      </c>
      <c r="E152" s="410" t="s">
        <v>816</v>
      </c>
      <c r="F152"/>
      <c r="G152"/>
      <c r="H152"/>
      <c r="I152" s="315"/>
    </row>
    <row r="153" spans="1:9" s="220" customFormat="1">
      <c r="A153" s="325" t="str">
        <f>IF(Model!A127=0,"",Model!A127)</f>
        <v>Current engine size</v>
      </c>
      <c r="B153" s="440" t="str">
        <f>IF(Model!B127=0,"",Model!B127)</f>
        <v>MWe</v>
      </c>
      <c r="C153" s="331">
        <f ca="1">IF(ISBLANK(Model!C127),"",Model!C127)</f>
        <v>2</v>
      </c>
      <c r="D153" s="331">
        <v>2</v>
      </c>
      <c r="E153" s="331">
        <v>2</v>
      </c>
      <c r="F153"/>
      <c r="G153"/>
      <c r="H153"/>
      <c r="I153" s="315"/>
    </row>
    <row r="154" spans="1:9" s="220" customFormat="1">
      <c r="A154" s="298" t="str">
        <f>IF(Model!A128=0,"",Model!A128)</f>
        <v>Blowdown in gas engine exhaust boiler</v>
      </c>
      <c r="B154" s="182" t="str">
        <f>IF(Model!B128=0,"",Model!B128)</f>
        <v>%</v>
      </c>
      <c r="C154" s="332">
        <f>IF(ISBLANK(Model!C128),"",Model!C128)</f>
        <v>0.01</v>
      </c>
      <c r="D154" s="332">
        <v>0.01</v>
      </c>
      <c r="E154" s="332">
        <v>0.01</v>
      </c>
      <c r="F154"/>
      <c r="G154"/>
      <c r="H154"/>
      <c r="I154" s="315"/>
    </row>
    <row r="155" spans="1:9" s="220" customFormat="1">
      <c r="A155" s="298" t="str">
        <f>IF(Model!A129=0,"",Model!A129)</f>
        <v>Gas engine maintenance</v>
      </c>
      <c r="B155" s="182" t="str">
        <f>IF(Model!B129=0,"",Model!B129)</f>
        <v>p/kWh</v>
      </c>
      <c r="C155" s="340">
        <f>IF(ISBLANK(Model!C129),"",Model!C129)</f>
        <v>0.8</v>
      </c>
      <c r="D155" s="340">
        <v>0.8</v>
      </c>
      <c r="E155" s="340">
        <v>0.8</v>
      </c>
      <c r="F155"/>
      <c r="G155"/>
      <c r="H155"/>
      <c r="I155" s="315"/>
    </row>
    <row r="156" spans="1:9" s="220" customFormat="1">
      <c r="A156" s="298" t="str">
        <f>IF(Model!A130=0,"",Model!A130)</f>
        <v>Only jacket water heat is recovered for boiler feedwater preheating.</v>
      </c>
      <c r="B156" s="182" t="str">
        <f>IF(Model!B130=0,"",Model!B130)</f>
        <v/>
      </c>
      <c r="C156" s="340" t="str">
        <f>IF(ISBLANK(Model!C130),"",Model!C130)</f>
        <v/>
      </c>
      <c r="D156" s="340" t="s">
        <v>816</v>
      </c>
      <c r="E156" s="340" t="s">
        <v>816</v>
      </c>
      <c r="F156"/>
      <c r="G156"/>
      <c r="H156"/>
      <c r="I156" s="315"/>
    </row>
    <row r="157" spans="1:9" s="220" customFormat="1">
      <c r="A157" s="410" t="str">
        <f>IF(Model!A131=0,"",Model!A131)</f>
        <v>Economic Assumptions</v>
      </c>
      <c r="B157" s="442" t="str">
        <f>IF(Model!B131=0,"",Model!B131)</f>
        <v/>
      </c>
      <c r="C157" s="410" t="str">
        <f>IF(ISBLANK(Model!C131),"",Model!C131)</f>
        <v/>
      </c>
      <c r="D157" s="410" t="s">
        <v>816</v>
      </c>
      <c r="E157" s="410" t="s">
        <v>816</v>
      </c>
      <c r="F157"/>
      <c r="G157"/>
      <c r="H157"/>
      <c r="I157" s="315"/>
    </row>
    <row r="158" spans="1:9" s="220" customFormat="1">
      <c r="A158" s="298" t="str">
        <f>IF(Model!A132=0,"",Model!A132)</f>
        <v>No adjustment is made for any efficiency changes (low heat mode or open cycle mode etc.) in calculation of the customer charges for steam &amp; power.</v>
      </c>
      <c r="B158" s="182" t="str">
        <f>IF(Model!B132=0,"",Model!B132)</f>
        <v/>
      </c>
      <c r="C158" s="325" t="str">
        <f>IF(ISBLANK(Model!C132),"",Model!C132)</f>
        <v/>
      </c>
      <c r="D158" s="325" t="s">
        <v>816</v>
      </c>
      <c r="E158" s="325" t="s">
        <v>816</v>
      </c>
      <c r="F158"/>
      <c r="G158"/>
      <c r="H158"/>
      <c r="I158" s="315"/>
    </row>
    <row r="159" spans="1:9" s="78" customFormat="1">
      <c r="A159" s="298" t="str">
        <f>IF(Model!A133=0,"",Model!A133)</f>
        <v>IDX chemical adjustment</v>
      </c>
      <c r="B159" s="182" t="str">
        <f>IF(Model!B133=0,"",Model!B133)</f>
        <v>%</v>
      </c>
      <c r="C159" s="332">
        <f>IF(ISBLANK(Model!C133),"",Model!C133)</f>
        <v>1</v>
      </c>
      <c r="D159" s="332">
        <v>1</v>
      </c>
      <c r="E159" s="332">
        <v>1</v>
      </c>
      <c r="F159"/>
      <c r="G159"/>
      <c r="H159"/>
      <c r="I159" s="315"/>
    </row>
    <row r="160" spans="1:9" s="78" customFormat="1">
      <c r="A160" s="298" t="str">
        <f>IF(Model!A134=0,"",Model!A134)</f>
        <v>BFW chemical cost</v>
      </c>
      <c r="B160" s="238" t="str">
        <f>IF(Model!B134=0,"",Model!B134)</f>
        <v>£/ton stm</v>
      </c>
      <c r="C160" s="321">
        <f>IF(ISBLANK(Model!C134),"",Model!C134)</f>
        <v>4.0271837410016033E-2</v>
      </c>
      <c r="D160" s="321">
        <v>4.0271837410016033E-2</v>
      </c>
      <c r="E160" s="321">
        <v>4.0271837410016033E-2</v>
      </c>
      <c r="F160"/>
      <c r="G160"/>
      <c r="H160"/>
      <c r="I160" s="315"/>
    </row>
    <row r="161" spans="1:9" s="78" customFormat="1">
      <c r="A161" s="298" t="str">
        <f>IF(Model!A135=0,"",Model!A135)</f>
        <v>No cost is associated with condensing (i.e. using ST2).</v>
      </c>
      <c r="B161" s="298" t="str">
        <f>IF(Model!B135=0,"",Model!B135)</f>
        <v/>
      </c>
      <c r="C161" s="321" t="str">
        <f>IF(ISBLANK(Model!C135),"",Model!C135)</f>
        <v/>
      </c>
      <c r="D161" s="321" t="s">
        <v>816</v>
      </c>
      <c r="E161" s="321" t="s">
        <v>816</v>
      </c>
      <c r="F161"/>
      <c r="G161"/>
      <c r="H161"/>
      <c r="I161" s="315"/>
    </row>
    <row r="162" spans="1:9" s="78" customFormat="1">
      <c r="A162" s="410" t="str">
        <f>IF(Model!A136=0,"",Model!A136)</f>
        <v>Other assumptions</v>
      </c>
      <c r="B162" s="410" t="str">
        <f>IF(Model!B136=0,"",Model!B136)</f>
        <v/>
      </c>
      <c r="C162" s="410" t="str">
        <f>IF(ISBLANK(Model!C136),"",Model!C136)</f>
        <v/>
      </c>
      <c r="D162" s="410" t="s">
        <v>816</v>
      </c>
      <c r="E162" s="410" t="s">
        <v>816</v>
      </c>
      <c r="F162"/>
      <c r="G162"/>
      <c r="H162"/>
      <c r="I162" s="315"/>
    </row>
    <row r="163" spans="1:9" s="315" customFormat="1">
      <c r="A163" s="224"/>
      <c r="B163" s="224"/>
      <c r="C163" s="350"/>
      <c r="D163" s="350"/>
      <c r="E163" s="350"/>
      <c r="F163"/>
      <c r="G163"/>
      <c r="H163"/>
    </row>
    <row r="164" spans="1:9" s="220" customFormat="1" ht="18" thickBot="1">
      <c r="A164" s="375" t="str">
        <f>IF(Model!A162=0,"",Model!A162)</f>
        <v>Site Analysis</v>
      </c>
      <c r="B164" s="391" t="str">
        <f>IF(Model!B162=0,"",Model!B162)</f>
        <v/>
      </c>
      <c r="C164" s="393" t="str">
        <f>IF(ISBLANK(Model!C162),"",Model!C162)</f>
        <v/>
      </c>
      <c r="D164" s="393" t="s">
        <v>816</v>
      </c>
      <c r="E164" s="393" t="s">
        <v>816</v>
      </c>
      <c r="F164"/>
      <c r="G164"/>
      <c r="H164"/>
      <c r="I164" s="315"/>
    </row>
    <row r="165" spans="1:9" s="220" customFormat="1" ht="16" thickTop="1">
      <c r="A165" s="224" t="str">
        <f>IF(Model!A163=0,"",Model!A163)</f>
        <v>Plant net power generation</v>
      </c>
      <c r="B165" s="224" t="str">
        <f>IF(Model!B163=0,"",Model!B163)</f>
        <v>MWe</v>
      </c>
      <c r="C165" s="350">
        <f ca="1">IF(ISBLANK(Model!C163),"",Model!C163)</f>
        <v>15.401622984003186</v>
      </c>
      <c r="D165" s="350">
        <v>9.5288785311144544</v>
      </c>
      <c r="E165" s="350">
        <v>15.401622984003186</v>
      </c>
      <c r="F165"/>
      <c r="G165"/>
      <c r="H165"/>
      <c r="I165" s="315"/>
    </row>
    <row r="166" spans="1:9" s="220" customFormat="1">
      <c r="A166" s="224" t="str">
        <f>IF(Model!A164=0,"",Model!A164)</f>
        <v>Plant gross gas use</v>
      </c>
      <c r="B166" s="224" t="str">
        <f>IF(Model!B164=0,"",Model!B164)</f>
        <v>MW HHV</v>
      </c>
      <c r="C166" s="350" t="e">
        <f ca="1">IF(ISBLANK(Model!C164),"",Model!C164)</f>
        <v>#NAME?</v>
      </c>
      <c r="D166" s="350">
        <v>49.883657205293886</v>
      </c>
      <c r="E166" s="350">
        <v>76.739498410380307</v>
      </c>
      <c r="F166"/>
      <c r="G166"/>
      <c r="H166"/>
      <c r="I166" s="315"/>
    </row>
    <row r="167" spans="1:9" s="220" customFormat="1">
      <c r="A167" s="224" t="str">
        <f>IF(Model!A169=0,"",Model!A169)</f>
        <v>Useful heat delivered</v>
      </c>
      <c r="B167" s="224" t="str">
        <f>IF(Model!B169=0,"",Model!B169)</f>
        <v>MWth</v>
      </c>
      <c r="C167" s="350" t="e">
        <f ca="1">IF(ISBLANK(Model!C169),"",Model!C169)</f>
        <v>#NAME?</v>
      </c>
      <c r="D167" s="350">
        <v>24.093033102304144</v>
      </c>
      <c r="E167" s="350">
        <v>36.919258232276199</v>
      </c>
      <c r="F167"/>
      <c r="G167"/>
      <c r="H167"/>
      <c r="I167" s="315"/>
    </row>
    <row r="168" spans="1:9" s="220" customFormat="1">
      <c r="A168" s="224" t="str">
        <f>IF(Model!A170=0,"",Model!A170)</f>
        <v>Plant electrical efficiency</v>
      </c>
      <c r="B168" s="224" t="str">
        <f>IF(Model!B170=0,"",Model!B170)</f>
        <v>%</v>
      </c>
      <c r="C168" s="353" t="e">
        <f ca="1">IF(ISBLANK(Model!C170),"",Model!C170)</f>
        <v>#NAME?</v>
      </c>
      <c r="D168" s="353">
        <v>0.19102205140851633</v>
      </c>
      <c r="E168" s="353">
        <v>0.20070007366532197</v>
      </c>
      <c r="F168"/>
      <c r="G168"/>
      <c r="H168"/>
      <c r="I168" s="315"/>
    </row>
    <row r="169" spans="1:9" s="220" customFormat="1">
      <c r="A169" s="224" t="str">
        <f>IF(Model!A171=0,"",Model!A171)</f>
        <v>Plant thermal efficiency</v>
      </c>
      <c r="B169" s="224" t="str">
        <f>IF(Model!B171=0,"",Model!B171)</f>
        <v>%</v>
      </c>
      <c r="C169" s="353" t="e">
        <f ca="1">IF(ISBLANK(Model!C171),"",Model!C171)</f>
        <v>#NAME?</v>
      </c>
      <c r="D169" s="353">
        <v>0.48298449737055926</v>
      </c>
      <c r="E169" s="353">
        <v>0.48109850855217801</v>
      </c>
      <c r="F169"/>
      <c r="G169"/>
      <c r="H169"/>
      <c r="I169" s="315"/>
    </row>
    <row r="170" spans="1:9" s="220" customFormat="1">
      <c r="A170" s="224" t="str">
        <f>IF(Model!A172=0,"",Model!A172)</f>
        <v>Plant efficiency</v>
      </c>
      <c r="B170" s="224" t="str">
        <f>IF(Model!B172=0,"",Model!B172)</f>
        <v>%</v>
      </c>
      <c r="C170" s="353" t="e">
        <f ca="1">IF(ISBLANK(Model!C172),"",Model!C172)</f>
        <v>#NAME?</v>
      </c>
      <c r="D170" s="353">
        <v>0.67400654877907562</v>
      </c>
      <c r="E170" s="353">
        <v>0.6817985822175</v>
      </c>
      <c r="F170"/>
      <c r="G170"/>
      <c r="H170"/>
      <c r="I170" s="315"/>
    </row>
    <row r="171" spans="1:9" s="220" customFormat="1">
      <c r="A171" s="119" t="str">
        <f>IF(Model!A173=0,"",Model!A173)</f>
        <v>Delivered Heat to Power Ratio</v>
      </c>
      <c r="B171" s="325" t="str">
        <f>IF(Model!B173=0,"",Model!B173)</f>
        <v/>
      </c>
      <c r="C171" s="340" t="e">
        <f ca="1">IF(ISBLANK(Model!C173),"",Model!C173)</f>
        <v>#NAME?</v>
      </c>
      <c r="D171" s="340">
        <v>2.2055985961148017</v>
      </c>
      <c r="E171" s="340">
        <v>2.0674615340639404</v>
      </c>
      <c r="F171"/>
      <c r="G171"/>
      <c r="H171"/>
      <c r="I171" s="315"/>
    </row>
    <row r="172" spans="1:9" s="220" customFormat="1">
      <c r="A172" s="119" t="str">
        <f>IF(Model!A174=0,"",Model!A174)</f>
        <v>Demand Heat to Power Ratio</v>
      </c>
      <c r="B172" s="325" t="str">
        <f>IF(Model!B174=0,"",Model!B174)</f>
        <v/>
      </c>
      <c r="C172" s="340" t="e">
        <f ca="1">IF(ISBLANK(Model!C174),"",Model!C174)</f>
        <v>#NAME?</v>
      </c>
      <c r="D172" s="340">
        <v>2.3942981316858569</v>
      </c>
      <c r="E172" s="340">
        <v>2.8234242759428092</v>
      </c>
      <c r="F172"/>
      <c r="G172"/>
      <c r="H172"/>
      <c r="I172" s="315"/>
    </row>
    <row r="173" spans="1:9" s="220" customFormat="1">
      <c r="A173" s="224" t="str">
        <f>IF(Model!A175=0,"",Model!A175)</f>
        <v>Cost to generate energy</v>
      </c>
      <c r="B173" s="224" t="str">
        <f>IF(Model!B175=0,"",Model!B175)</f>
        <v>p/kWh</v>
      </c>
      <c r="C173" s="350" t="e">
        <f ca="1">IF(ISBLANK(Model!C175),"",Model!C175)</f>
        <v>#NAME?</v>
      </c>
      <c r="D173" s="350">
        <v>2.8624401412437392</v>
      </c>
      <c r="E173" s="350">
        <v>2.8367070887428114</v>
      </c>
      <c r="F173"/>
      <c r="G173"/>
      <c r="H173"/>
      <c r="I173" s="315"/>
    </row>
    <row r="174" spans="1:9" s="220" customFormat="1">
      <c r="A174" s="298" t="str">
        <f>Model!A294</f>
        <v>LP Vent</v>
      </c>
      <c r="B174" s="298" t="str">
        <f>Model!B294</f>
        <v>t/h</v>
      </c>
      <c r="C174" s="340" t="e">
        <f ca="1">Model!D294</f>
        <v>#NAME?</v>
      </c>
      <c r="D174" s="340">
        <v>-3.1399979061319527E-8</v>
      </c>
      <c r="E174" s="340">
        <v>-5.3776727337861985E-7</v>
      </c>
      <c r="F174"/>
      <c r="G174"/>
      <c r="H174"/>
      <c r="I174" s="315"/>
    </row>
    <row r="175" spans="1:9" s="315" customFormat="1">
      <c r="A175" s="298"/>
      <c r="B175" s="298"/>
      <c r="C175" s="340"/>
      <c r="D175" s="340"/>
      <c r="E175" s="340"/>
      <c r="F175"/>
      <c r="G175"/>
      <c r="H175"/>
    </row>
    <row r="176" spans="1:9" s="315" customFormat="1" ht="18" thickBot="1">
      <c r="A176" s="495" t="str">
        <f>IF(Model!A177=0,"",Model!A177)</f>
        <v>Site gas consumptions</v>
      </c>
      <c r="B176" s="391" t="str">
        <f>IF(Model!B177=0,"",Model!B177)</f>
        <v/>
      </c>
      <c r="C176" s="393" t="str">
        <f>IF(Model!C177=0,"",Model!C177)</f>
        <v/>
      </c>
      <c r="D176" s="393" t="s">
        <v>816</v>
      </c>
      <c r="E176" s="393" t="s">
        <v>816</v>
      </c>
      <c r="F176"/>
      <c r="G176"/>
      <c r="H176"/>
    </row>
    <row r="177" spans="1:8" s="315" customFormat="1" ht="16" thickTop="1">
      <c r="A177" s="298" t="str">
        <f>IF(Model!A178=0,"",Model!A178)</f>
        <v>GT1</v>
      </c>
      <c r="B177" s="298" t="str">
        <f>IF(Model!B178=0,"",Model!B178)</f>
        <v>kW HHV</v>
      </c>
      <c r="C177" s="38">
        <f ca="1">Model!C178</f>
        <v>23299.533651698304</v>
      </c>
      <c r="D177" s="38">
        <v>23299.533651698304</v>
      </c>
      <c r="E177" s="38">
        <v>23299.533651698304</v>
      </c>
      <c r="F177"/>
      <c r="G177"/>
      <c r="H177"/>
    </row>
    <row r="178" spans="1:8" s="315" customFormat="1">
      <c r="A178" s="298" t="str">
        <f>IF(Model!A179=0,"",Model!A179)</f>
        <v>GT2</v>
      </c>
      <c r="B178" s="298" t="str">
        <f>IF(Model!B179=0,"",Model!B179)</f>
        <v>kW HHV</v>
      </c>
      <c r="C178" s="38">
        <f ca="1">Model!C179</f>
        <v>22500.039849924346</v>
      </c>
      <c r="D178" s="38">
        <v>0</v>
      </c>
      <c r="E178" s="38">
        <v>22500.039849924346</v>
      </c>
      <c r="F178"/>
      <c r="G178"/>
      <c r="H178"/>
    </row>
    <row r="179" spans="1:8" s="315" customFormat="1">
      <c r="A179" s="298" t="str">
        <f>IF(Model!A180=0,"",Model!A180)</f>
        <v>Total HP gas</v>
      </c>
      <c r="B179" s="298" t="str">
        <f>IF(Model!B180=0,"",Model!B180)</f>
        <v>kW HHV</v>
      </c>
      <c r="C179" s="38">
        <f ca="1">Model!C180</f>
        <v>45799.573501622654</v>
      </c>
      <c r="D179" s="38">
        <v>23299.533651698304</v>
      </c>
      <c r="E179" s="38">
        <v>45799.573501622654</v>
      </c>
      <c r="F179"/>
      <c r="G179"/>
      <c r="H179"/>
    </row>
    <row r="180" spans="1:8" s="315" customFormat="1">
      <c r="A180" s="298" t="str">
        <f>IF(Model!A181=0,"",Model!A181)</f>
        <v xml:space="preserve">WHB 1 </v>
      </c>
      <c r="B180" s="298" t="str">
        <f>IF(Model!B181=0,"",Model!B181)</f>
        <v>kW HHV</v>
      </c>
      <c r="C180" s="38" t="e">
        <f ca="1">Model!C181</f>
        <v>#NAME?</v>
      </c>
      <c r="D180" s="38">
        <v>14316.935731793377</v>
      </c>
      <c r="E180" s="38">
        <v>17040.024010657235</v>
      </c>
      <c r="F180"/>
      <c r="G180"/>
      <c r="H180"/>
    </row>
    <row r="181" spans="1:8" s="315" customFormat="1">
      <c r="A181" s="298" t="str">
        <f>IF(Model!A182=0,"",Model!A182)</f>
        <v>WHB 2</v>
      </c>
      <c r="B181" s="298" t="str">
        <f>IF(Model!B182=0,"",Model!B182)</f>
        <v>kW HHV</v>
      </c>
      <c r="C181" s="38" t="e">
        <f ca="1">Model!C182</f>
        <v>#NAME?</v>
      </c>
      <c r="D181" s="38">
        <v>0</v>
      </c>
      <c r="E181" s="38">
        <v>0</v>
      </c>
      <c r="F181"/>
      <c r="G181"/>
      <c r="H181"/>
    </row>
    <row r="182" spans="1:8" s="315" customFormat="1">
      <c r="A182" s="298" t="str">
        <f ca="1">IF(Model!A183=0,"",Model!A183)</f>
        <v>B5</v>
      </c>
      <c r="B182" s="298" t="str">
        <f>IF(Model!B183=0,"",Model!B183)</f>
        <v>kW HHV</v>
      </c>
      <c r="C182" s="38" t="e">
        <f ca="1">Model!C183</f>
        <v>#NAME?</v>
      </c>
      <c r="D182" s="38">
        <v>0</v>
      </c>
      <c r="E182" s="38">
        <v>0</v>
      </c>
      <c r="F182"/>
      <c r="G182"/>
      <c r="H182"/>
    </row>
    <row r="183" spans="1:8" s="315" customFormat="1">
      <c r="A183" s="298" t="str">
        <f ca="1">IF(Model!A184=0,"",Model!A184)</f>
        <v>B7</v>
      </c>
      <c r="B183" s="298" t="str">
        <f>IF(Model!B184=0,"",Model!B184)</f>
        <v>kW HHV</v>
      </c>
      <c r="C183" s="38" t="e">
        <f ca="1">Model!C184</f>
        <v>#NAME?</v>
      </c>
      <c r="D183" s="38">
        <v>0</v>
      </c>
      <c r="E183" s="38">
        <v>0</v>
      </c>
      <c r="F183"/>
      <c r="G183"/>
      <c r="H183"/>
    </row>
    <row r="184" spans="1:8" s="315" customFormat="1">
      <c r="A184" s="298" t="str">
        <f ca="1">IF(Model!A185=0,"",Model!A185)</f>
        <v>B9</v>
      </c>
      <c r="B184" s="298" t="str">
        <f>IF(Model!B185=0,"",Model!B185)</f>
        <v>kW HHV</v>
      </c>
      <c r="C184" s="38" t="e">
        <f ca="1">Model!C185</f>
        <v>#NAME?</v>
      </c>
      <c r="D184" s="38">
        <v>0</v>
      </c>
      <c r="E184" s="38">
        <v>0</v>
      </c>
      <c r="F184"/>
      <c r="G184"/>
      <c r="H184"/>
    </row>
    <row r="185" spans="1:8" s="315" customFormat="1">
      <c r="A185" s="298" t="str">
        <f ca="1">IF(Model!A186=0,"",Model!A186)</f>
        <v>MP-1</v>
      </c>
      <c r="B185" s="298" t="str">
        <f>IF(Model!B186=0,"",Model!B186)</f>
        <v>kW HHV</v>
      </c>
      <c r="C185" s="38" t="e">
        <f ca="1">Model!C186</f>
        <v>#NAME?</v>
      </c>
      <c r="D185" s="38">
        <v>3473.7624502269464</v>
      </c>
      <c r="E185" s="38">
        <v>5106.4755265251579</v>
      </c>
      <c r="F185"/>
      <c r="G185"/>
      <c r="H185"/>
    </row>
    <row r="186" spans="1:8" s="315" customFormat="1">
      <c r="A186" s="298" t="str">
        <f ca="1">IF(Model!A187=0,"",Model!A187)</f>
        <v>MP-2</v>
      </c>
      <c r="B186" s="298" t="str">
        <f>IF(Model!B187=0,"",Model!B187)</f>
        <v>kW HHV</v>
      </c>
      <c r="C186" s="38" t="e">
        <f ca="1">Model!C187</f>
        <v>#NAME?</v>
      </c>
      <c r="D186" s="38">
        <v>3473.7624502269464</v>
      </c>
      <c r="E186" s="38">
        <v>3473.7624502269464</v>
      </c>
      <c r="F186"/>
      <c r="G186"/>
      <c r="H186"/>
    </row>
    <row r="187" spans="1:8" s="315" customFormat="1">
      <c r="A187" s="298" t="str">
        <f ca="1">IF(Model!A188=0,"",Model!A188)</f>
        <v>Aux. boiler</v>
      </c>
      <c r="B187" s="298" t="str">
        <f>IF(Model!B188=0,"",Model!B188)</f>
        <v>kW HHV</v>
      </c>
      <c r="C187" s="38" t="e">
        <f ca="1">Model!C188</f>
        <v>#NAME?</v>
      </c>
      <c r="D187" s="38">
        <v>0</v>
      </c>
      <c r="E187" s="38">
        <v>0</v>
      </c>
      <c r="F187"/>
      <c r="G187"/>
      <c r="H187"/>
    </row>
    <row r="188" spans="1:8" s="315" customFormat="1">
      <c r="A188" s="298" t="str">
        <f>IF(Model!A189=0,"",Model!A189)</f>
        <v>Gas engine</v>
      </c>
      <c r="B188" s="298" t="str">
        <f>IF(Model!B189=0,"",Model!B189)</f>
        <v>kW HHV</v>
      </c>
      <c r="C188" s="38">
        <f ca="1">Model!C189</f>
        <v>5319.6629213483138</v>
      </c>
      <c r="D188" s="38">
        <v>5319.6629213483138</v>
      </c>
      <c r="E188" s="38">
        <v>5319.6629213483138</v>
      </c>
      <c r="F188"/>
      <c r="G188"/>
      <c r="H188"/>
    </row>
    <row r="189" spans="1:8" s="315" customFormat="1">
      <c r="A189" s="298" t="str">
        <f>IF(Model!A190=0,"",Model!A190)</f>
        <v>Total LP gas</v>
      </c>
      <c r="B189" s="298" t="str">
        <f>IF(Model!B190=0,"",Model!B190)</f>
        <v>kW HHV</v>
      </c>
      <c r="C189" s="38" t="e">
        <f ca="1">Model!C190</f>
        <v>#NAME?</v>
      </c>
      <c r="D189" s="38">
        <v>26584.123553595582</v>
      </c>
      <c r="E189" s="38">
        <v>30939.924908757654</v>
      </c>
      <c r="F189"/>
      <c r="G189"/>
      <c r="H189"/>
    </row>
    <row r="190" spans="1:8" s="315" customFormat="1">
      <c r="A190" s="298" t="str">
        <f>IF(Model!A191=0,"",Model!A191)</f>
        <v>Total site gas</v>
      </c>
      <c r="B190" s="298" t="str">
        <f>IF(Model!B191=0,"",Model!B191)</f>
        <v>kW HHV</v>
      </c>
      <c r="C190" s="38" t="e">
        <f ca="1">Model!C191</f>
        <v>#NAME?</v>
      </c>
      <c r="D190" s="38">
        <v>49883.657205293886</v>
      </c>
      <c r="E190" s="38">
        <v>76739.4984103803</v>
      </c>
      <c r="F190"/>
      <c r="G190"/>
      <c r="H190"/>
    </row>
    <row r="191" spans="1:8" s="315" customFormat="1">
      <c r="A191" s="298" t="str">
        <f>IF(Model!A192=0,"",Model!A192)</f>
        <v/>
      </c>
      <c r="B191" s="298" t="str">
        <f>IF(Model!B192=0,"",Model!B192)</f>
        <v/>
      </c>
      <c r="C191" s="38" t="str">
        <f>IF(Model!C192=0,"",Model!C192)</f>
        <v/>
      </c>
      <c r="D191" s="38" t="s">
        <v>816</v>
      </c>
      <c r="E191" s="38" t="s">
        <v>816</v>
      </c>
      <c r="F191"/>
      <c r="G191"/>
      <c r="H191"/>
    </row>
    <row r="192" spans="1:8" s="315" customFormat="1" ht="18" thickBot="1">
      <c r="A192" s="495" t="str">
        <f>IF(Model!A193=0,"",Model!A193)</f>
        <v>Power balance</v>
      </c>
      <c r="B192" s="391" t="str">
        <f>IF(Model!B193=0,"",Model!B193)</f>
        <v/>
      </c>
      <c r="C192" s="393" t="str">
        <f>IF(Model!C193=0,"",Model!C193)</f>
        <v/>
      </c>
      <c r="D192" s="393" t="s">
        <v>816</v>
      </c>
      <c r="E192" s="393" t="s">
        <v>816</v>
      </c>
      <c r="F192"/>
      <c r="G192"/>
      <c r="H192"/>
    </row>
    <row r="193" spans="1:8" s="315" customFormat="1" ht="16" thickTop="1">
      <c r="A193" s="298" t="str">
        <f>IF(Model!A194=0,"",Model!A194)</f>
        <v/>
      </c>
      <c r="B193" s="298" t="str">
        <f>IF(Model!B194=0,"",Model!B194)</f>
        <v/>
      </c>
      <c r="C193" s="507" t="str">
        <f>IF(Model!C194=0,"",Model!C194)</f>
        <v>Generation</v>
      </c>
      <c r="D193" s="507" t="s">
        <v>975</v>
      </c>
      <c r="E193" s="507" t="s">
        <v>975</v>
      </c>
      <c r="F193"/>
      <c r="G193"/>
      <c r="H193"/>
    </row>
    <row r="194" spans="1:8" s="315" customFormat="1">
      <c r="A194" s="298" t="str">
        <f>IF(Model!A195=0,"",Model!A195)</f>
        <v>GT1</v>
      </c>
      <c r="B194" s="298" t="str">
        <f>IF(Model!B195=0,"",Model!B195)</f>
        <v>MWe</v>
      </c>
      <c r="C194" s="335">
        <f ca="1">Model!C195</f>
        <v>6.3007915205144558</v>
      </c>
      <c r="D194" s="335">
        <v>6.3007915205144558</v>
      </c>
      <c r="E194" s="335">
        <v>6.3007915205144558</v>
      </c>
      <c r="F194"/>
      <c r="G194"/>
      <c r="H194"/>
    </row>
    <row r="195" spans="1:8" s="315" customFormat="1">
      <c r="A195" s="298" t="str">
        <f>IF(Model!A196=0,"",Model!A196)</f>
        <v>GT2</v>
      </c>
      <c r="B195" s="298" t="str">
        <f>IF(Model!B196=0,"",Model!B196)</f>
        <v>MWe</v>
      </c>
      <c r="C195" s="335">
        <f ca="1">Model!C196</f>
        <v>5.9857519444887322</v>
      </c>
      <c r="D195" s="335">
        <v>0</v>
      </c>
      <c r="E195" s="335">
        <v>5.9857519444887322</v>
      </c>
      <c r="F195"/>
      <c r="G195"/>
      <c r="H195"/>
    </row>
    <row r="196" spans="1:8" s="315" customFormat="1">
      <c r="A196" s="298" t="str">
        <f ca="1">IF(Model!A197=0,"",Model!A197)</f>
        <v>ST2</v>
      </c>
      <c r="B196" s="298" t="str">
        <f>IF(Model!B197=0,"",Model!B197)</f>
        <v>MWe</v>
      </c>
      <c r="C196" s="335">
        <f ca="1">Model!C197</f>
        <v>0</v>
      </c>
      <c r="D196" s="335">
        <v>0</v>
      </c>
      <c r="E196" s="335">
        <v>0</v>
      </c>
      <c r="F196"/>
      <c r="G196"/>
      <c r="H196"/>
    </row>
    <row r="197" spans="1:8" s="315" customFormat="1">
      <c r="A197" s="298" t="str">
        <f ca="1">IF(Model!A198=0,"",Model!A198)</f>
        <v>ST5</v>
      </c>
      <c r="B197" s="298" t="str">
        <f>IF(Model!B198=0,"",Model!B198)</f>
        <v>MWe</v>
      </c>
      <c r="C197" s="335">
        <f ca="1">Model!C198</f>
        <v>0</v>
      </c>
      <c r="D197" s="335">
        <v>0</v>
      </c>
      <c r="E197" s="335">
        <v>0</v>
      </c>
      <c r="F197"/>
      <c r="G197"/>
      <c r="H197"/>
    </row>
    <row r="198" spans="1:8" s="315" customFormat="1">
      <c r="A198" s="298" t="str">
        <f ca="1">IF(Model!A199=0,"",Model!A199)</f>
        <v>ST6</v>
      </c>
      <c r="B198" s="298" t="str">
        <f>IF(Model!B199=0,"",Model!B199)</f>
        <v>MWe</v>
      </c>
      <c r="C198" s="335">
        <f ca="1">Model!C199</f>
        <v>0</v>
      </c>
      <c r="D198" s="335">
        <v>0</v>
      </c>
      <c r="E198" s="335">
        <v>0</v>
      </c>
      <c r="F198"/>
      <c r="G198"/>
      <c r="H198"/>
    </row>
    <row r="199" spans="1:8" s="315" customFormat="1">
      <c r="A199" s="298" t="str">
        <f ca="1">IF(Model!A200=0,"",Model!A200)</f>
        <v>ST7</v>
      </c>
      <c r="B199" s="298" t="str">
        <f>IF(Model!B200=0,"",Model!B200)</f>
        <v>MWe</v>
      </c>
      <c r="C199" s="335">
        <f ca="1">Model!C200</f>
        <v>0</v>
      </c>
      <c r="D199" s="335">
        <v>0</v>
      </c>
      <c r="E199" s="335">
        <v>0</v>
      </c>
      <c r="F199"/>
      <c r="G199"/>
      <c r="H199"/>
    </row>
    <row r="200" spans="1:8" s="315" customFormat="1">
      <c r="A200" s="298" t="str">
        <f ca="1">IF(Model!A201=0,"",Model!A201)</f>
        <v>HP ST5</v>
      </c>
      <c r="B200" s="298" t="str">
        <f>IF(Model!B201=0,"",Model!B201)</f>
        <v>MWe</v>
      </c>
      <c r="C200" s="335">
        <f ca="1">Model!C201</f>
        <v>2.0583</v>
      </c>
      <c r="D200" s="335">
        <v>2.0326101203999998</v>
      </c>
      <c r="E200" s="335">
        <v>2.0583</v>
      </c>
      <c r="F200"/>
      <c r="G200"/>
      <c r="H200"/>
    </row>
    <row r="201" spans="1:8" s="315" customFormat="1">
      <c r="A201" s="298" t="str">
        <f>IF(Model!A202=0,"",Model!A202)</f>
        <v>Gas engine</v>
      </c>
      <c r="B201" s="298" t="str">
        <f>IF(Model!B202=0,"",Model!B202)</f>
        <v>MWe</v>
      </c>
      <c r="C201" s="335">
        <f ca="1">Model!C202</f>
        <v>2</v>
      </c>
      <c r="D201" s="335">
        <v>2</v>
      </c>
      <c r="E201" s="335">
        <v>2</v>
      </c>
      <c r="F201"/>
      <c r="G201"/>
      <c r="H201"/>
    </row>
    <row r="202" spans="1:8" s="315" customFormat="1">
      <c r="A202" s="298" t="str">
        <f>IF(Model!A203=0,"",Model!A203)</f>
        <v>Lenzing</v>
      </c>
      <c r="B202" s="298" t="str">
        <f>IF(Model!B203=0,"",Model!B203)</f>
        <v>MWe</v>
      </c>
      <c r="C202" s="335">
        <f>Model!D203</f>
        <v>7.3210433851836889</v>
      </c>
      <c r="D202" s="335">
        <v>7.3210433851836889</v>
      </c>
      <c r="E202" s="335">
        <v>7.3210433851836889</v>
      </c>
      <c r="F202"/>
      <c r="G202"/>
      <c r="H202"/>
    </row>
    <row r="203" spans="1:8" s="315" customFormat="1">
      <c r="A203" s="298" t="str">
        <f>IF(Model!A204=0,"",Model!A204)</f>
        <v>Bluestar</v>
      </c>
      <c r="B203" s="298" t="str">
        <f>IF(Model!B204=0,"",Model!B204)</f>
        <v>MWe</v>
      </c>
      <c r="C203" s="335">
        <f>Model!D204</f>
        <v>2.5</v>
      </c>
      <c r="D203" s="335">
        <v>0</v>
      </c>
      <c r="E203" s="335">
        <v>2.5</v>
      </c>
      <c r="F203"/>
      <c r="G203"/>
      <c r="H203"/>
    </row>
    <row r="204" spans="1:8" s="315" customFormat="1">
      <c r="A204" s="298" t="str">
        <f>IF(Model!A205=0,"",Model!A205)</f>
        <v>TAL</v>
      </c>
      <c r="B204" s="298" t="str">
        <f>IF(Model!B205=0,"",Model!B205)</f>
        <v>MWe</v>
      </c>
      <c r="C204" s="335">
        <f>Model!D205</f>
        <v>1.45684472851427</v>
      </c>
      <c r="D204" s="335">
        <v>1.45684472851427</v>
      </c>
      <c r="E204" s="335">
        <v>1.45684472851427</v>
      </c>
      <c r="F204"/>
      <c r="G204"/>
      <c r="H204"/>
    </row>
    <row r="205" spans="1:8" s="315" customFormat="1">
      <c r="A205" s="298" t="str">
        <f>IF(Model!A206=0,"",Model!A206)</f>
        <v>Total powerhouse parasitics</v>
      </c>
      <c r="B205" s="298" t="str">
        <f>IF(Model!B206=0,"",Model!B206)</f>
        <v>MWe</v>
      </c>
      <c r="C205" s="335">
        <f>Model!D206</f>
        <v>0.943220481</v>
      </c>
      <c r="D205" s="335">
        <v>0.80452310980000008</v>
      </c>
      <c r="E205" s="335">
        <v>0.943220481</v>
      </c>
      <c r="F205"/>
      <c r="G205"/>
      <c r="H205"/>
    </row>
    <row r="206" spans="1:8" s="315" customFormat="1">
      <c r="A206" s="298" t="e">
        <f>IF(Model!#REF!=0,"",Model!#REF!)</f>
        <v>#REF!</v>
      </c>
      <c r="B206" s="298" t="e">
        <f>IF(Model!#REF!=0,"",Model!#REF!)</f>
        <v>#REF!</v>
      </c>
      <c r="C206" s="335" t="e">
        <f>Model!#REF!</f>
        <v>#REF!</v>
      </c>
      <c r="D206" s="335" t="e">
        <v>#REF!</v>
      </c>
      <c r="E206" s="335" t="e">
        <v>#REF!</v>
      </c>
      <c r="F206"/>
      <c r="G206"/>
      <c r="H206"/>
    </row>
    <row r="207" spans="1:8" s="315" customFormat="1">
      <c r="A207" s="298" t="str">
        <f>IF(Model!A207=0,"",Model!A207)</f>
        <v>Import</v>
      </c>
      <c r="B207" s="298" t="str">
        <f>IF(Model!B207=0,"",Model!B207)</f>
        <v>MWe</v>
      </c>
      <c r="C207" s="335">
        <f>Model!C207</f>
        <v>0</v>
      </c>
      <c r="D207" s="335">
        <v>0</v>
      </c>
      <c r="E207" s="335">
        <v>0</v>
      </c>
      <c r="F207"/>
      <c r="G207"/>
      <c r="H207"/>
    </row>
    <row r="208" spans="1:8" s="315" customFormat="1">
      <c r="A208" s="298" t="str">
        <f>IF(Model!A208=0,"",Model!A208)</f>
        <v>Export</v>
      </c>
      <c r="B208" s="298" t="str">
        <f>IF(Model!B208=0,"",Model!B208)</f>
        <v>MWe</v>
      </c>
      <c r="C208" s="335">
        <f>Model!D208</f>
        <v>4.1237348999999996</v>
      </c>
      <c r="D208" s="335">
        <v>0.75099042000000005</v>
      </c>
      <c r="E208" s="335">
        <v>4.1237348999999996</v>
      </c>
      <c r="F208"/>
      <c r="G208"/>
      <c r="H208"/>
    </row>
    <row r="209" spans="1:9" s="315" customFormat="1">
      <c r="A209" s="298" t="s">
        <v>977</v>
      </c>
      <c r="B209" s="298" t="str">
        <f>IF(Model!B209=0,"",Model!B209)</f>
        <v>MWe</v>
      </c>
      <c r="C209" s="335">
        <f ca="1">Model!C209</f>
        <v>16.344843465003187</v>
      </c>
      <c r="D209" s="335">
        <v>10.333401640914456</v>
      </c>
      <c r="E209" s="335">
        <v>16.344843465003187</v>
      </c>
      <c r="F209"/>
      <c r="G209"/>
      <c r="H209"/>
    </row>
    <row r="210" spans="1:9" s="315" customFormat="1">
      <c r="A210" s="298" t="s">
        <v>978</v>
      </c>
      <c r="B210" s="298" t="s">
        <v>23</v>
      </c>
      <c r="C210" s="335">
        <f>Model!D209</f>
        <v>16.344843494697958</v>
      </c>
      <c r="D210" s="335">
        <v>10.333401643497959</v>
      </c>
      <c r="E210" s="335">
        <v>16.344843494697958</v>
      </c>
      <c r="F210"/>
      <c r="G210"/>
      <c r="H210"/>
    </row>
    <row r="211" spans="1:9" s="315" customFormat="1">
      <c r="A211" s="298"/>
      <c r="B211" s="298"/>
      <c r="C211" s="340"/>
      <c r="D211" s="340"/>
      <c r="E211" s="340"/>
      <c r="F211"/>
      <c r="G211"/>
      <c r="H211"/>
    </row>
    <row r="212" spans="1:9" s="220" customFormat="1" ht="18" thickBot="1">
      <c r="A212" s="375" t="str">
        <f>IF(Model!A211=0,"",Model!A211)</f>
        <v>Site Balances</v>
      </c>
      <c r="B212" s="391" t="str">
        <f>IF(Model!B211=0,"",Model!B211)</f>
        <v/>
      </c>
      <c r="C212" s="391" t="str">
        <f>IF(ISBLANK(Model!C211),"",Model!C211)</f>
        <v/>
      </c>
      <c r="D212" s="391" t="s">
        <v>816</v>
      </c>
      <c r="E212" s="391" t="s">
        <v>816</v>
      </c>
      <c r="F212"/>
      <c r="G212"/>
      <c r="H212"/>
      <c r="I212" s="315"/>
    </row>
    <row r="213" spans="1:9" s="315" customFormat="1" ht="16" thickTop="1">
      <c r="A213" s="298" t="s">
        <v>817</v>
      </c>
      <c r="B213" s="325"/>
      <c r="C213" s="325" t="str">
        <f ca="1">PFD!Z33</f>
        <v>No error in site balances</v>
      </c>
      <c r="D213" s="325" t="s">
        <v>1008</v>
      </c>
      <c r="E213" s="325" t="s">
        <v>1008</v>
      </c>
      <c r="F213"/>
      <c r="G213"/>
      <c r="H213"/>
    </row>
    <row r="214" spans="1:9" s="220" customFormat="1" ht="16" thickBot="1">
      <c r="A214" s="372" t="str">
        <f>IF(Model!A212=0,"",Model!A212)</f>
        <v>Summary of all Site Balances</v>
      </c>
      <c r="B214" s="394" t="str">
        <f>IF(Model!B212=0,"",Model!B212)</f>
        <v/>
      </c>
      <c r="C214" s="394" t="str">
        <f>IF(ISBLANK(Model!C212),"",Model!C212)</f>
        <v/>
      </c>
      <c r="D214" s="394" t="s">
        <v>816</v>
      </c>
      <c r="E214" s="394" t="s">
        <v>816</v>
      </c>
      <c r="F214"/>
      <c r="G214"/>
      <c r="H214"/>
      <c r="I214" s="315"/>
    </row>
    <row r="215" spans="1:9" s="220" customFormat="1">
      <c r="A215" s="325" t="str">
        <f>IF(Model!A213=0,"",Model!A213)</f>
        <v/>
      </c>
      <c r="B215" s="325" t="str">
        <f>IF(Model!B213=0,"",Model!B213)</f>
        <v/>
      </c>
      <c r="C215" s="309" t="str">
        <f>IF(ISBLANK(Model!C213),"",Model!C213)</f>
        <v xml:space="preserve">In </v>
      </c>
      <c r="D215" s="309" t="s">
        <v>370</v>
      </c>
      <c r="E215" s="309" t="s">
        <v>370</v>
      </c>
      <c r="F215"/>
      <c r="G215"/>
      <c r="H215"/>
      <c r="I215" s="315"/>
    </row>
    <row r="216" spans="1:9" s="220" customFormat="1">
      <c r="A216" s="334" t="str">
        <f>IF(Model!A214=0,"",Model!A214)</f>
        <v>Site Water</v>
      </c>
      <c r="B216" s="325" t="str">
        <f>IF(Model!B214=0,"",Model!B214)</f>
        <v>t/h</v>
      </c>
      <c r="C216" s="81" t="e">
        <f ca="1">IF(ISBLANK(Model!C214),"",Model!C214)</f>
        <v>#NAME?</v>
      </c>
      <c r="D216" s="81">
        <v>39.363668832451587</v>
      </c>
      <c r="E216" s="81">
        <v>59.052196916567787</v>
      </c>
      <c r="F216"/>
      <c r="G216"/>
      <c r="H216"/>
      <c r="I216" s="315"/>
    </row>
    <row r="217" spans="1:9" s="220" customFormat="1">
      <c r="A217" s="198" t="str">
        <f>IF(Model!A215=0,"",Model!A215)</f>
        <v>Site Power</v>
      </c>
      <c r="B217" s="325" t="str">
        <f>IF(Model!B215=0,"",Model!B215)</f>
        <v>kW</v>
      </c>
      <c r="C217" s="81">
        <f ca="1">IF(ISBLANK(Model!C215),"",Model!C215)</f>
        <v>16344.843465003187</v>
      </c>
      <c r="D217" s="81">
        <v>10333.401640914455</v>
      </c>
      <c r="E217" s="81">
        <v>16344.843465003187</v>
      </c>
      <c r="F217"/>
      <c r="G217"/>
      <c r="H217"/>
      <c r="I217" s="315"/>
    </row>
    <row r="218" spans="1:9" s="220" customFormat="1">
      <c r="A218" s="61" t="str">
        <f>IF(Model!A216=0,"",Model!A216)</f>
        <v>EHP Header</v>
      </c>
      <c r="B218" s="325" t="str">
        <f>IF(Model!B216=0,"",Model!B216)</f>
        <v>t/h</v>
      </c>
      <c r="C218" s="81">
        <f>IF(ISBLANK(Model!C216),"",Model!C216)</f>
        <v>0</v>
      </c>
      <c r="D218" s="81">
        <v>0</v>
      </c>
      <c r="E218" s="81">
        <v>0</v>
      </c>
      <c r="F218"/>
      <c r="G218"/>
      <c r="H218"/>
      <c r="I218" s="315"/>
    </row>
    <row r="219" spans="1:9" s="220" customFormat="1">
      <c r="A219" s="334" t="str">
        <f>IF(Model!A217=0,"",Model!A217)</f>
        <v>HP Header</v>
      </c>
      <c r="B219" s="325" t="str">
        <f>IF(Model!B217=0,"",Model!B217)</f>
        <v>t/h</v>
      </c>
      <c r="C219" s="81" t="e">
        <f ca="1">IF(ISBLANK(Model!C217),"",Model!C217)</f>
        <v>#NAME?</v>
      </c>
      <c r="D219" s="81">
        <v>28.731241499669132</v>
      </c>
      <c r="E219" s="81">
        <v>43.744131999338265</v>
      </c>
      <c r="F219"/>
      <c r="G219"/>
      <c r="H219"/>
      <c r="I219" s="315"/>
    </row>
    <row r="220" spans="1:9" s="220" customFormat="1">
      <c r="A220" s="61" t="str">
        <f>IF(Model!A218=0,"",Model!A218)</f>
        <v>MP Header</v>
      </c>
      <c r="B220" s="325" t="str">
        <f>IF(Model!B218=0,"",Model!B218)</f>
        <v>t/h</v>
      </c>
      <c r="C220" s="81" t="e">
        <f ca="1">IF(ISBLANK(Model!C218),"",Model!C218)</f>
        <v>#NAME?</v>
      </c>
      <c r="D220" s="81">
        <v>15.274015574776861</v>
      </c>
      <c r="E220" s="81">
        <v>33.762693828023188</v>
      </c>
      <c r="F220"/>
      <c r="G220"/>
      <c r="H220"/>
      <c r="I220" s="315"/>
    </row>
    <row r="221" spans="1:9" s="220" customFormat="1">
      <c r="A221" s="61" t="str">
        <f>IF(Model!A219=0,"",Model!A219)</f>
        <v>LP Header</v>
      </c>
      <c r="B221" s="325" t="str">
        <f>IF(Model!B219=0,"",Model!B219)</f>
        <v>t/h</v>
      </c>
      <c r="C221" s="81" t="e">
        <f ca="1">IF(ISBLANK(Model!C219),"",Model!C219)</f>
        <v>#NAME?</v>
      </c>
      <c r="D221" s="81">
        <v>21.721970991265643</v>
      </c>
      <c r="E221" s="81">
        <v>27.092383121114743</v>
      </c>
      <c r="F221"/>
      <c r="G221"/>
      <c r="H221"/>
      <c r="I221" s="315"/>
    </row>
    <row r="222" spans="1:9" s="220" customFormat="1">
      <c r="A222" s="60" t="str">
        <f>IF(Model!A220=0,"",Model!A220)</f>
        <v>Deaerator mass balance</v>
      </c>
      <c r="B222" s="325" t="str">
        <f>IF(Model!B220=0,"",Model!B220)</f>
        <v>t/h</v>
      </c>
      <c r="C222" s="329" t="e">
        <f ca="1">IF(ISBLANK(Model!C220),"",Model!C220)</f>
        <v>#NAME?</v>
      </c>
      <c r="D222" s="329">
        <v>40.104242240533864</v>
      </c>
      <c r="E222" s="329">
        <v>60.163182960866457</v>
      </c>
      <c r="F222"/>
      <c r="G222"/>
      <c r="H222"/>
      <c r="I222" s="315"/>
    </row>
    <row r="223" spans="1:9" s="220" customFormat="1">
      <c r="A223" s="60" t="str">
        <f>IF(Model!A221=0,"",Model!A221)</f>
        <v>Deaerator energy balance</v>
      </c>
      <c r="B223" s="325" t="str">
        <f>IF(Model!B221=0,"",Model!B221)</f>
        <v>kW</v>
      </c>
      <c r="C223" s="329" t="e">
        <f ca="1">IF(ISBLANK(Model!C221),"",Model!C221)</f>
        <v>#NAME?</v>
      </c>
      <c r="D223" s="329">
        <v>4927.0766263325077</v>
      </c>
      <c r="E223" s="329">
        <v>7391.4527733589039</v>
      </c>
      <c r="F223"/>
      <c r="G223"/>
      <c r="H223"/>
      <c r="I223" s="315"/>
    </row>
    <row r="224" spans="1:9" s="315" customFormat="1">
      <c r="A224" s="60"/>
      <c r="B224" s="325"/>
      <c r="C224" s="309" t="str">
        <f>IF(ISBLANK(Model!D213),"",Model!D213)</f>
        <v>Out</v>
      </c>
      <c r="D224" s="309" t="s">
        <v>163</v>
      </c>
      <c r="E224" s="309" t="s">
        <v>163</v>
      </c>
      <c r="F224"/>
      <c r="G224"/>
      <c r="H224"/>
    </row>
    <row r="225" spans="1:8" s="315" customFormat="1">
      <c r="A225" s="60" t="str">
        <f t="shared" ref="A225:B232" si="0">A216</f>
        <v>Site Water</v>
      </c>
      <c r="B225" s="60" t="str">
        <f t="shared" si="0"/>
        <v>t/h</v>
      </c>
      <c r="C225" s="81" t="e">
        <f ca="1">IF(ISBLANK(Model!D214),"",Model!D214)</f>
        <v>#NAME?</v>
      </c>
      <c r="D225" s="81">
        <v>39.363668832451587</v>
      </c>
      <c r="E225" s="81">
        <v>59.05219691656778</v>
      </c>
      <c r="F225"/>
      <c r="G225"/>
      <c r="H225"/>
    </row>
    <row r="226" spans="1:8" s="315" customFormat="1">
      <c r="A226" s="60" t="str">
        <f t="shared" si="0"/>
        <v>Site Power</v>
      </c>
      <c r="B226" s="60" t="str">
        <f t="shared" si="0"/>
        <v>kW</v>
      </c>
      <c r="C226" s="81">
        <f>IF(ISBLANK(Model!D215),"",Model!D215)</f>
        <v>16344.843494697958</v>
      </c>
      <c r="D226" s="81">
        <v>10333.401643497959</v>
      </c>
      <c r="E226" s="81">
        <v>16344.843494697958</v>
      </c>
      <c r="F226"/>
      <c r="G226"/>
      <c r="H226"/>
    </row>
    <row r="227" spans="1:8" s="315" customFormat="1">
      <c r="A227" s="60" t="str">
        <f t="shared" si="0"/>
        <v>EHP Header</v>
      </c>
      <c r="B227" s="60" t="str">
        <f t="shared" si="0"/>
        <v>t/h</v>
      </c>
      <c r="C227" s="81">
        <f>IF(ISBLANK(Model!D216),"",Model!D216)</f>
        <v>0</v>
      </c>
      <c r="D227" s="81">
        <v>0</v>
      </c>
      <c r="E227" s="81">
        <v>0</v>
      </c>
      <c r="F227"/>
      <c r="G227"/>
      <c r="H227"/>
    </row>
    <row r="228" spans="1:8" s="315" customFormat="1">
      <c r="A228" s="60" t="str">
        <f t="shared" si="0"/>
        <v>HP Header</v>
      </c>
      <c r="B228" s="60" t="str">
        <f t="shared" si="0"/>
        <v>t/h</v>
      </c>
      <c r="C228" s="81" t="e">
        <f ca="1">IF(ISBLANK(Model!D217),"",Model!D217)</f>
        <v>#NAME?</v>
      </c>
      <c r="D228" s="81">
        <v>28.731241499669132</v>
      </c>
      <c r="E228" s="81">
        <v>43.744131999338265</v>
      </c>
      <c r="F228"/>
      <c r="G228"/>
      <c r="H228"/>
    </row>
    <row r="229" spans="1:8" s="315" customFormat="1">
      <c r="A229" s="60" t="str">
        <f t="shared" si="0"/>
        <v>MP Header</v>
      </c>
      <c r="B229" s="60" t="str">
        <f t="shared" si="0"/>
        <v>t/h</v>
      </c>
      <c r="C229" s="81" t="e">
        <f ca="1">IF(ISBLANK(Model!D218),"",Model!D218)</f>
        <v>#NAME?</v>
      </c>
      <c r="D229" s="81">
        <v>15.274015574776861</v>
      </c>
      <c r="E229" s="81">
        <v>33.762693828023188</v>
      </c>
      <c r="F229"/>
      <c r="G229"/>
      <c r="H229"/>
    </row>
    <row r="230" spans="1:8" s="315" customFormat="1">
      <c r="A230" s="60" t="str">
        <f t="shared" si="0"/>
        <v>LP Header</v>
      </c>
      <c r="B230" s="60" t="str">
        <f t="shared" si="0"/>
        <v>t/h</v>
      </c>
      <c r="C230" s="81" t="e">
        <f ca="1">IF(ISBLANK(Model!D219),"",Model!D219)</f>
        <v>#NAME?</v>
      </c>
      <c r="D230" s="81">
        <v>21.721970991265646</v>
      </c>
      <c r="E230" s="81">
        <v>27.092383121114743</v>
      </c>
      <c r="F230"/>
      <c r="G230"/>
      <c r="H230"/>
    </row>
    <row r="231" spans="1:8" s="315" customFormat="1">
      <c r="A231" s="60" t="str">
        <f t="shared" si="0"/>
        <v>Deaerator mass balance</v>
      </c>
      <c r="B231" s="60" t="str">
        <f t="shared" si="0"/>
        <v>t/h</v>
      </c>
      <c r="C231" s="329" t="e">
        <f ca="1">IF(ISBLANK(Model!D220),"",Model!D220)</f>
        <v>#NAME?</v>
      </c>
      <c r="D231" s="329">
        <v>40.104242240533864</v>
      </c>
      <c r="E231" s="329">
        <v>60.163182960866457</v>
      </c>
      <c r="F231"/>
      <c r="G231"/>
      <c r="H231"/>
    </row>
    <row r="232" spans="1:8" s="315" customFormat="1">
      <c r="A232" s="60" t="str">
        <f t="shared" si="0"/>
        <v>Deaerator energy balance</v>
      </c>
      <c r="B232" s="60" t="str">
        <f t="shared" si="0"/>
        <v>kW</v>
      </c>
      <c r="C232" s="329" t="e">
        <f ca="1">IF(ISBLANK(Model!D221),"",Model!D221)</f>
        <v>#NAME?</v>
      </c>
      <c r="D232" s="329">
        <v>4927.0766263325077</v>
      </c>
      <c r="E232" s="329">
        <v>7391.452773358903</v>
      </c>
      <c r="F232"/>
      <c r="G232"/>
      <c r="H232"/>
    </row>
    <row r="233" spans="1:8" s="315" customFormat="1">
      <c r="A233" s="60"/>
      <c r="B233" s="325"/>
      <c r="C233" s="309" t="str">
        <f>IF(ISBLANK(Model!E213),"",Model!E213)</f>
        <v>Balance</v>
      </c>
      <c r="D233" s="309" t="s">
        <v>209</v>
      </c>
      <c r="E233" s="309" t="s">
        <v>209</v>
      </c>
      <c r="F233"/>
      <c r="G233"/>
      <c r="H233"/>
    </row>
    <row r="234" spans="1:8" s="315" customFormat="1">
      <c r="A234" s="60" t="str">
        <f t="shared" ref="A234:B241" si="1">A225</f>
        <v>Site Water</v>
      </c>
      <c r="B234" s="60" t="str">
        <f t="shared" si="1"/>
        <v>t/h</v>
      </c>
      <c r="C234" s="81" t="e">
        <f ca="1">IF(ISBLANK(Model!E214),"",Model!E214)</f>
        <v>#NAME?</v>
      </c>
      <c r="D234" s="81">
        <v>0</v>
      </c>
      <c r="E234" s="81">
        <v>0</v>
      </c>
      <c r="F234"/>
      <c r="G234"/>
      <c r="H234"/>
    </row>
    <row r="235" spans="1:8" s="315" customFormat="1">
      <c r="A235" s="60" t="str">
        <f t="shared" si="1"/>
        <v>Site Power</v>
      </c>
      <c r="B235" s="60" t="str">
        <f t="shared" si="1"/>
        <v>kW</v>
      </c>
      <c r="C235" s="81">
        <f ca="1">IF(ISBLANK(Model!E215),"",Model!E215)</f>
        <v>-2.9694771001231857E-5</v>
      </c>
      <c r="D235" s="81">
        <v>-2.5835033738985658E-6</v>
      </c>
      <c r="E235" s="81">
        <v>-2.9694771001231857E-5</v>
      </c>
      <c r="F235"/>
      <c r="G235"/>
      <c r="H235"/>
    </row>
    <row r="236" spans="1:8" s="315" customFormat="1">
      <c r="A236" s="60" t="str">
        <f t="shared" si="1"/>
        <v>EHP Header</v>
      </c>
      <c r="B236" s="60" t="str">
        <f t="shared" si="1"/>
        <v>t/h</v>
      </c>
      <c r="C236" s="81">
        <f>IF(ISBLANK(Model!E216),"",Model!E216)</f>
        <v>0</v>
      </c>
      <c r="D236" s="81">
        <v>0</v>
      </c>
      <c r="E236" s="81">
        <v>0</v>
      </c>
      <c r="F236"/>
      <c r="G236"/>
      <c r="H236"/>
    </row>
    <row r="237" spans="1:8" s="315" customFormat="1">
      <c r="A237" s="60" t="str">
        <f t="shared" si="1"/>
        <v>HP Header</v>
      </c>
      <c r="B237" s="60" t="str">
        <f t="shared" si="1"/>
        <v>t/h</v>
      </c>
      <c r="C237" s="81" t="e">
        <f ca="1">IF(ISBLANK(Model!E217),"",Model!E217)</f>
        <v>#NAME?</v>
      </c>
      <c r="D237" s="81">
        <v>0</v>
      </c>
      <c r="E237" s="81">
        <v>0</v>
      </c>
      <c r="F237"/>
      <c r="G237"/>
      <c r="H237"/>
    </row>
    <row r="238" spans="1:8" s="315" customFormat="1">
      <c r="A238" s="60" t="str">
        <f t="shared" si="1"/>
        <v>MP Header</v>
      </c>
      <c r="B238" s="60" t="str">
        <f t="shared" si="1"/>
        <v>t/h</v>
      </c>
      <c r="C238" s="81" t="e">
        <f ca="1">IF(ISBLANK(Model!E218),"",Model!E218)</f>
        <v>#NAME?</v>
      </c>
      <c r="D238" s="81">
        <v>0</v>
      </c>
      <c r="E238" s="81">
        <v>0</v>
      </c>
      <c r="F238"/>
      <c r="G238"/>
      <c r="H238"/>
    </row>
    <row r="239" spans="1:8" s="315" customFormat="1">
      <c r="A239" s="60" t="str">
        <f t="shared" si="1"/>
        <v>LP Header</v>
      </c>
      <c r="B239" s="60" t="str">
        <f t="shared" si="1"/>
        <v>t/h</v>
      </c>
      <c r="C239" s="81" t="e">
        <f ca="1">IF(ISBLANK(Model!E219),"",Model!E219)</f>
        <v>#NAME?</v>
      </c>
      <c r="D239" s="81">
        <v>0</v>
      </c>
      <c r="E239" s="81">
        <v>0</v>
      </c>
      <c r="F239"/>
      <c r="G239"/>
      <c r="H239"/>
    </row>
    <row r="240" spans="1:8" s="315" customFormat="1">
      <c r="A240" s="60" t="str">
        <f t="shared" si="1"/>
        <v>Deaerator mass balance</v>
      </c>
      <c r="B240" s="60" t="str">
        <f t="shared" si="1"/>
        <v>t/h</v>
      </c>
      <c r="C240" s="329" t="e">
        <f ca="1">IF(ISBLANK(Model!E220),"",Model!E220)</f>
        <v>#NAME?</v>
      </c>
      <c r="D240" s="329">
        <v>0</v>
      </c>
      <c r="E240" s="329">
        <v>0</v>
      </c>
      <c r="F240"/>
      <c r="G240"/>
      <c r="H240"/>
    </row>
    <row r="241" spans="1:9" s="315" customFormat="1">
      <c r="A241" s="60" t="str">
        <f t="shared" si="1"/>
        <v>Deaerator energy balance</v>
      </c>
      <c r="B241" s="60" t="str">
        <f t="shared" si="1"/>
        <v>kW</v>
      </c>
      <c r="C241" s="329" t="e">
        <f ca="1">IF(ISBLANK(Model!E221),"",Model!E221)</f>
        <v>#NAME?</v>
      </c>
      <c r="D241" s="329">
        <v>0</v>
      </c>
      <c r="E241" s="329">
        <v>0</v>
      </c>
      <c r="F241"/>
      <c r="G241"/>
      <c r="H241"/>
    </row>
    <row r="242" spans="1:9" s="315" customFormat="1">
      <c r="A242" s="60"/>
      <c r="B242" s="325"/>
      <c r="C242" s="309" t="str">
        <f>IF(ISBLANK(Model!F213),"",Model!F213)</f>
        <v xml:space="preserve">Balance </v>
      </c>
      <c r="D242" s="309" t="s">
        <v>794</v>
      </c>
      <c r="E242" s="309" t="s">
        <v>794</v>
      </c>
      <c r="F242"/>
      <c r="G242"/>
      <c r="H242"/>
    </row>
    <row r="243" spans="1:9" s="315" customFormat="1">
      <c r="A243" s="60" t="str">
        <f t="shared" ref="A243:B250" si="2">A234</f>
        <v>Site Water</v>
      </c>
      <c r="B243" s="60" t="str">
        <f t="shared" si="2"/>
        <v>t/h</v>
      </c>
      <c r="C243" s="353">
        <f ca="1">IF(ISBLANK(Model!F214),"",Model!F214)</f>
        <v>0</v>
      </c>
      <c r="D243" s="353">
        <v>0</v>
      </c>
      <c r="E243" s="353">
        <v>1.2032452184022795E-16</v>
      </c>
      <c r="F243"/>
      <c r="G243"/>
      <c r="H243"/>
    </row>
    <row r="244" spans="1:9" s="315" customFormat="1">
      <c r="A244" s="60" t="str">
        <f t="shared" si="2"/>
        <v>Site Power</v>
      </c>
      <c r="B244" s="60" t="str">
        <f t="shared" si="2"/>
        <v>kW</v>
      </c>
      <c r="C244" s="353">
        <f ca="1">IF(ISBLANK(Model!F215),"",Model!F215)</f>
        <v>1.8167669249823597E-9</v>
      </c>
      <c r="D244" s="353">
        <v>2.5001480283794897E-10</v>
      </c>
      <c r="E244" s="353">
        <v>1.8167669249823597E-9</v>
      </c>
      <c r="F244"/>
      <c r="G244"/>
      <c r="H244"/>
    </row>
    <row r="245" spans="1:9" s="315" customFormat="1">
      <c r="A245" s="60" t="str">
        <f t="shared" si="2"/>
        <v>EHP Header</v>
      </c>
      <c r="B245" s="60" t="str">
        <f t="shared" si="2"/>
        <v>t/h</v>
      </c>
      <c r="C245" s="353">
        <f>IF(ISBLANK(Model!F216),"",Model!F216)</f>
        <v>0</v>
      </c>
      <c r="D245" s="353">
        <v>0</v>
      </c>
      <c r="E245" s="353">
        <v>0</v>
      </c>
      <c r="F245"/>
      <c r="G245"/>
      <c r="H245"/>
    </row>
    <row r="246" spans="1:9" s="315" customFormat="1">
      <c r="A246" s="60" t="str">
        <f t="shared" si="2"/>
        <v>HP Header</v>
      </c>
      <c r="B246" s="60" t="str">
        <f t="shared" si="2"/>
        <v>t/h</v>
      </c>
      <c r="C246" s="353">
        <f ca="1">IF(ISBLANK(Model!F217),"",Model!F217)</f>
        <v>0</v>
      </c>
      <c r="D246" s="353">
        <v>0</v>
      </c>
      <c r="E246" s="353">
        <v>0</v>
      </c>
      <c r="F246"/>
      <c r="G246"/>
      <c r="H246"/>
    </row>
    <row r="247" spans="1:9" s="315" customFormat="1">
      <c r="A247" s="60" t="str">
        <f t="shared" si="2"/>
        <v>MP Header</v>
      </c>
      <c r="B247" s="60" t="str">
        <f t="shared" si="2"/>
        <v>t/h</v>
      </c>
      <c r="C247" s="353">
        <f ca="1">IF(ISBLANK(Model!F218),"",Model!F218)</f>
        <v>0</v>
      </c>
      <c r="D247" s="353">
        <v>0</v>
      </c>
      <c r="E247" s="353">
        <v>0</v>
      </c>
      <c r="F247"/>
      <c r="G247"/>
      <c r="H247"/>
    </row>
    <row r="248" spans="1:9" s="315" customFormat="1">
      <c r="A248" s="60" t="str">
        <f t="shared" si="2"/>
        <v>LP Header</v>
      </c>
      <c r="B248" s="60" t="str">
        <f t="shared" si="2"/>
        <v>t/h</v>
      </c>
      <c r="C248" s="353">
        <f ca="1">IF(ISBLANK(Model!F219),"",Model!F219)</f>
        <v>0</v>
      </c>
      <c r="D248" s="353">
        <v>1.6355392796671348E-16</v>
      </c>
      <c r="E248" s="353">
        <v>0</v>
      </c>
      <c r="F248"/>
      <c r="G248"/>
      <c r="H248"/>
    </row>
    <row r="249" spans="1:9" s="315" customFormat="1">
      <c r="A249" s="60" t="str">
        <f t="shared" si="2"/>
        <v>Deaerator mass balance</v>
      </c>
      <c r="B249" s="60" t="str">
        <f t="shared" si="2"/>
        <v>t/h</v>
      </c>
      <c r="C249" s="346">
        <f ca="1">IF(ISBLANK(Model!F220),"",Model!F220)</f>
        <v>0</v>
      </c>
      <c r="D249" s="346">
        <v>0</v>
      </c>
      <c r="E249" s="346">
        <v>0</v>
      </c>
      <c r="F249"/>
      <c r="G249"/>
      <c r="H249"/>
    </row>
    <row r="250" spans="1:9" s="315" customFormat="1">
      <c r="A250" s="60" t="str">
        <f t="shared" si="2"/>
        <v>Deaerator energy balance</v>
      </c>
      <c r="B250" s="60" t="str">
        <f t="shared" si="2"/>
        <v>kW</v>
      </c>
      <c r="C250" s="346">
        <f ca="1">IF(ISBLANK(Model!F221),"",Model!F221)</f>
        <v>0</v>
      </c>
      <c r="D250" s="346">
        <v>0</v>
      </c>
      <c r="E250" s="346">
        <v>1.2304681226551704E-16</v>
      </c>
      <c r="F250"/>
      <c r="G250"/>
      <c r="H250"/>
    </row>
    <row r="251" spans="1:9" s="220" customFormat="1" ht="18" thickBot="1">
      <c r="A251" s="445" t="str">
        <f>IF(Model!A297=0,"",Model!A297)</f>
        <v>Gas Turbine and Waste Heat Boiler Model</v>
      </c>
      <c r="B251" s="390" t="str">
        <f>IF(Model!B297=0,"",Model!B297)</f>
        <v/>
      </c>
      <c r="C251" s="390" t="str">
        <f>IF(ISBLANK(Model!C297),"",Model!C297)</f>
        <v/>
      </c>
      <c r="D251" s="390" t="s">
        <v>816</v>
      </c>
      <c r="E251" s="390" t="s">
        <v>816</v>
      </c>
      <c r="F251"/>
      <c r="G251"/>
      <c r="H251"/>
      <c r="I251" s="315"/>
    </row>
    <row r="252" spans="1:9" s="220" customFormat="1" ht="16" thickTop="1">
      <c r="A252" s="407" t="str">
        <f>IF(Model!A298=0,"",Model!A298)</f>
        <v>Calculation Inputs</v>
      </c>
      <c r="B252" s="407" t="str">
        <f>IF(Model!B298=0,"",Model!B298)</f>
        <v/>
      </c>
      <c r="C252" s="407" t="str">
        <f>IF(ISBLANK(Model!C298),"",Model!C298)</f>
        <v/>
      </c>
      <c r="D252" s="407" t="s">
        <v>816</v>
      </c>
      <c r="E252" s="407" t="s">
        <v>816</v>
      </c>
      <c r="F252"/>
      <c r="G252"/>
      <c r="H252"/>
      <c r="I252" s="315"/>
    </row>
    <row r="253" spans="1:9" s="220" customFormat="1">
      <c r="A253" s="334" t="str">
        <f>IF(Model!A299=0,"",Model!A299)</f>
        <v/>
      </c>
      <c r="B253" s="334" t="str">
        <f>IF(Model!B299=0,"",Model!B299)</f>
        <v/>
      </c>
      <c r="C253" s="45" t="str">
        <f>IF(ISBLANK(Model!C299),"",Model!C299)</f>
        <v>GT &amp; WHB 1</v>
      </c>
      <c r="D253" s="45" t="s">
        <v>761</v>
      </c>
      <c r="E253" s="45" t="s">
        <v>761</v>
      </c>
      <c r="F253"/>
      <c r="G253"/>
      <c r="H253"/>
      <c r="I253" s="315"/>
    </row>
    <row r="254" spans="1:9" s="220" customFormat="1">
      <c r="A254" s="334" t="str">
        <f>IF(Model!A300=0,"",Model!A300)</f>
        <v>Fire rate</v>
      </c>
      <c r="B254" s="334" t="str">
        <f>IF(Model!B300=0,"",Model!B300)</f>
        <v>%</v>
      </c>
      <c r="C254" s="103">
        <f>IF(ISBLANK(Model!C300),"",Model!C300)</f>
        <v>100</v>
      </c>
      <c r="D254" s="103">
        <v>100</v>
      </c>
      <c r="E254" s="103">
        <v>100</v>
      </c>
      <c r="F254"/>
      <c r="G254"/>
      <c r="H254"/>
      <c r="I254" s="315"/>
    </row>
    <row r="255" spans="1:9" s="220" customFormat="1">
      <c r="A255" s="334" t="str">
        <f>IF(Model!A301=0,"",Model!A301)</f>
        <v>GT on/off</v>
      </c>
      <c r="B255" s="260" t="str">
        <f>IF(Model!B301=0,"",Model!B301)</f>
        <v>bin.</v>
      </c>
      <c r="C255" s="103">
        <f>IF(ISBLANK(Model!C301),"",Model!C301)</f>
        <v>1</v>
      </c>
      <c r="D255" s="103">
        <v>1</v>
      </c>
      <c r="E255" s="103">
        <v>1</v>
      </c>
      <c r="F255"/>
      <c r="G255"/>
      <c r="H255"/>
      <c r="I255" s="315"/>
    </row>
    <row r="256" spans="1:9" s="220" customFormat="1">
      <c r="A256" s="334" t="str">
        <f>IF(Model!A302=0,"",Model!A302)</f>
        <v>Steam generation</v>
      </c>
      <c r="B256" s="334" t="str">
        <f>IF(Model!B302=0,"",Model!B302)</f>
        <v>t/h</v>
      </c>
      <c r="C256" s="102">
        <f>IF(ISBLANK(Model!C302),"",Model!C302)</f>
        <v>20.162507000000002</v>
      </c>
      <c r="D256" s="102">
        <v>16.940429000000002</v>
      </c>
      <c r="E256" s="102">
        <v>20.162507000000002</v>
      </c>
      <c r="F256"/>
      <c r="G256"/>
      <c r="H256"/>
      <c r="I256" s="315"/>
    </row>
    <row r="257" spans="1:9" s="220" customFormat="1">
      <c r="A257" s="334" t="str">
        <f>IF(Model!A303=0,"",Model!A303)</f>
        <v>WHB on/off</v>
      </c>
      <c r="B257" s="334" t="str">
        <f>IF(Model!B303=0,"",Model!B303)</f>
        <v>bin.</v>
      </c>
      <c r="C257" s="81">
        <f>IF(ISBLANK(Model!C303),"",Model!C303)</f>
        <v>1</v>
      </c>
      <c r="D257" s="81">
        <v>1</v>
      </c>
      <c r="E257" s="81">
        <v>1</v>
      </c>
      <c r="F257"/>
      <c r="G257"/>
      <c r="H257"/>
      <c r="I257" s="315"/>
    </row>
    <row r="258" spans="1:9" s="315" customFormat="1">
      <c r="A258" s="334"/>
      <c r="B258" s="334"/>
      <c r="C258" s="45" t="str">
        <f>IF(ISBLANK(Model!D299),"",Model!D299)</f>
        <v>GT &amp; WHB 2</v>
      </c>
      <c r="D258" s="45" t="s">
        <v>762</v>
      </c>
      <c r="E258" s="45" t="s">
        <v>762</v>
      </c>
      <c r="F258"/>
      <c r="G258"/>
      <c r="H258"/>
    </row>
    <row r="259" spans="1:9" s="315" customFormat="1">
      <c r="A259" s="334" t="str">
        <f>A254</f>
        <v>Fire rate</v>
      </c>
      <c r="B259" s="334" t="str">
        <f>B254</f>
        <v>%</v>
      </c>
      <c r="C259" s="103">
        <f>IF(ISBLANK(Model!D300),"",Model!D300)</f>
        <v>100</v>
      </c>
      <c r="D259" s="103">
        <v>0</v>
      </c>
      <c r="E259" s="103">
        <v>100</v>
      </c>
      <c r="F259"/>
      <c r="G259"/>
      <c r="H259"/>
    </row>
    <row r="260" spans="1:9" s="315" customFormat="1">
      <c r="A260" s="334" t="str">
        <f t="shared" ref="A260:B262" si="3">A255</f>
        <v>GT on/off</v>
      </c>
      <c r="B260" s="334" t="str">
        <f t="shared" si="3"/>
        <v>bin.</v>
      </c>
      <c r="C260" s="103">
        <f>IF(ISBLANK(Model!D301),"",Model!D301)</f>
        <v>1</v>
      </c>
      <c r="D260" s="103">
        <v>0</v>
      </c>
      <c r="E260" s="103">
        <v>1</v>
      </c>
      <c r="F260"/>
      <c r="G260"/>
      <c r="H260"/>
    </row>
    <row r="261" spans="1:9" s="315" customFormat="1">
      <c r="A261" s="334" t="str">
        <f t="shared" si="3"/>
        <v>Steam generation</v>
      </c>
      <c r="B261" s="334" t="str">
        <f t="shared" si="3"/>
        <v>t/h</v>
      </c>
      <c r="C261" s="102">
        <f>IF(ISBLANK(Model!D302),"",Model!D302)</f>
        <v>0</v>
      </c>
      <c r="D261" s="102">
        <v>0</v>
      </c>
      <c r="E261" s="102">
        <v>0</v>
      </c>
      <c r="F261"/>
      <c r="G261"/>
      <c r="H261"/>
    </row>
    <row r="262" spans="1:9" s="315" customFormat="1">
      <c r="A262" s="334" t="str">
        <f t="shared" si="3"/>
        <v>WHB on/off</v>
      </c>
      <c r="B262" s="334" t="str">
        <f t="shared" si="3"/>
        <v>bin.</v>
      </c>
      <c r="C262" s="81">
        <f>IF(ISBLANK(Model!D303),"",Model!D303)</f>
        <v>0</v>
      </c>
      <c r="D262" s="81">
        <v>0</v>
      </c>
      <c r="E262" s="81">
        <v>0</v>
      </c>
      <c r="F262"/>
      <c r="G262"/>
      <c r="H262"/>
    </row>
    <row r="263" spans="1:9" s="220" customFormat="1">
      <c r="A263" s="408" t="str">
        <f>IF(Model!A305=0,"",Model!A305)</f>
        <v>Calculation Outputs</v>
      </c>
      <c r="B263" s="408" t="str">
        <f>IF(Model!B305=0,"",Model!B305)</f>
        <v/>
      </c>
      <c r="C263" s="408" t="str">
        <f>IF(ISBLANK(Model!C305),"",Model!C305)</f>
        <v/>
      </c>
      <c r="D263" s="408" t="s">
        <v>816</v>
      </c>
      <c r="E263" s="408" t="s">
        <v>816</v>
      </c>
      <c r="F263"/>
      <c r="G263"/>
      <c r="H263"/>
      <c r="I263" s="315"/>
    </row>
    <row r="264" spans="1:9" s="220" customFormat="1">
      <c r="A264" s="327" t="str">
        <f>IF(Model!A306=0,"",Model!A306)</f>
        <v/>
      </c>
      <c r="B264" s="325" t="str">
        <f>IF(Model!B306=0,"",Model!B306)</f>
        <v/>
      </c>
      <c r="C264" s="309" t="str">
        <f>IF(ISBLANK(Model!C306),"",Model!C306)</f>
        <v>GT &amp; WHB 1</v>
      </c>
      <c r="D264" s="309" t="s">
        <v>761</v>
      </c>
      <c r="E264" s="309" t="s">
        <v>761</v>
      </c>
      <c r="F264"/>
      <c r="G264"/>
      <c r="H264"/>
      <c r="I264" s="315"/>
    </row>
    <row r="265" spans="1:9" s="220" customFormat="1">
      <c r="A265" s="182" t="str">
        <f>IF(Model!A307=0,"",Model!A307)</f>
        <v xml:space="preserve">Gross gas in </v>
      </c>
      <c r="B265" s="325" t="str">
        <f>IF(Model!B307=0,"",Model!B307)</f>
        <v>kW HHV</v>
      </c>
      <c r="C265" s="329">
        <f ca="1">IF(ISBLANK(Model!C307),"",Model!C307)</f>
        <v>23299.533651698304</v>
      </c>
      <c r="D265" s="329">
        <v>23299.533651698304</v>
      </c>
      <c r="E265" s="329">
        <v>23299.533651698304</v>
      </c>
      <c r="F265"/>
      <c r="G265"/>
      <c r="H265"/>
      <c r="I265" s="315"/>
    </row>
    <row r="266" spans="1:9" s="220" customFormat="1">
      <c r="A266" s="182" t="str">
        <f>IF(Model!A308=0,"",Model!A308)</f>
        <v>Gross power</v>
      </c>
      <c r="B266" s="325" t="str">
        <f>IF(Model!B308=0,"",Model!B308)</f>
        <v>MWe</v>
      </c>
      <c r="C266" s="328">
        <f ca="1">IF(ISBLANK(Model!C308),"",Model!C308)</f>
        <v>6.3007915205144558</v>
      </c>
      <c r="D266" s="328">
        <v>6.3007915205144558</v>
      </c>
      <c r="E266" s="328">
        <v>6.3007915205144558</v>
      </c>
      <c r="F266"/>
      <c r="G266"/>
      <c r="H266"/>
      <c r="I266" s="315"/>
    </row>
    <row r="267" spans="1:9" s="220" customFormat="1">
      <c r="A267" s="182" t="str">
        <f>IF(Model!A309=0,"",Model!A309)</f>
        <v>STIG</v>
      </c>
      <c r="B267" s="325" t="str">
        <f>IF(Model!B309=0,"",Model!B309)</f>
        <v>t/h</v>
      </c>
      <c r="C267" s="328">
        <f ca="1">IF(ISBLANK(Model!C309),"",Model!C309)</f>
        <v>1</v>
      </c>
      <c r="D267" s="328">
        <v>1</v>
      </c>
      <c r="E267" s="328">
        <v>1</v>
      </c>
      <c r="F267"/>
      <c r="G267"/>
      <c r="H267"/>
      <c r="I267" s="315"/>
    </row>
    <row r="268" spans="1:9" s="220" customFormat="1">
      <c r="A268" s="238" t="str">
        <f>IF(Model!A310=0,"",Model!A310)</f>
        <v>Net TEG steam (after STIG)</v>
      </c>
      <c r="B268" s="325" t="str">
        <f>IF(Model!B310=0,"",Model!B310)</f>
        <v>t/h</v>
      </c>
      <c r="C268" s="104">
        <f ca="1">IF(ISBLANK(Model!C310),"",Model!C310)</f>
        <v>11.79081249966913</v>
      </c>
      <c r="D268" s="104">
        <v>11.79081249966913</v>
      </c>
      <c r="E268" s="104">
        <v>11.79081249966913</v>
      </c>
      <c r="F268"/>
      <c r="G268"/>
      <c r="H268"/>
      <c r="I268" s="315"/>
    </row>
    <row r="269" spans="1:9" s="220" customFormat="1">
      <c r="A269" s="182" t="str">
        <f>IF(Model!A311=0,"",Model!A311)</f>
        <v>Supp. steam</v>
      </c>
      <c r="B269" s="325" t="str">
        <f>IF(Model!B311=0,"",Model!B311)</f>
        <v>t/h</v>
      </c>
      <c r="C269" s="329">
        <f>IF(ISBLANK(Model!C311),"",Model!C311)</f>
        <v>20.162507000000002</v>
      </c>
      <c r="D269" s="329">
        <v>16.940429000000002</v>
      </c>
      <c r="E269" s="329">
        <v>20.162507000000002</v>
      </c>
      <c r="F269"/>
      <c r="G269"/>
      <c r="H269"/>
      <c r="I269" s="315"/>
    </row>
    <row r="270" spans="1:9" s="220" customFormat="1">
      <c r="A270" s="182" t="str">
        <f>IF(Model!A312=0,"",Model!A312)</f>
        <v>Supp. firing gas use</v>
      </c>
      <c r="B270" s="325" t="str">
        <f>IF(Model!B312=0,"",Model!B312)</f>
        <v>kW</v>
      </c>
      <c r="C270" s="329" t="e">
        <f ca="1">IF(ISBLANK(Model!C312),"",Model!C312)</f>
        <v>#NAME?</v>
      </c>
      <c r="D270" s="329">
        <v>14316.935731793377</v>
      </c>
      <c r="E270" s="329">
        <v>17040.024010657235</v>
      </c>
      <c r="F270"/>
      <c r="G270"/>
      <c r="H270"/>
      <c r="I270" s="315"/>
    </row>
    <row r="271" spans="1:9" s="220" customFormat="1">
      <c r="A271" s="182" t="str">
        <f>IF(Model!A313=0,"",Model!A313)</f>
        <v>Blowdown</v>
      </c>
      <c r="B271" s="325" t="str">
        <f>IF(Model!B313=0,"",Model!B313)</f>
        <v>t/h</v>
      </c>
      <c r="C271" s="328">
        <f ca="1">IF(ISBLANK(Model!C313),"",Model!C313)</f>
        <v>0.32953319499669137</v>
      </c>
      <c r="D271" s="328">
        <v>0.29731241499669131</v>
      </c>
      <c r="E271" s="328">
        <v>0.32953319499669137</v>
      </c>
      <c r="F271"/>
      <c r="G271"/>
      <c r="H271"/>
      <c r="I271" s="315"/>
    </row>
    <row r="272" spans="1:9" s="220" customFormat="1">
      <c r="A272" s="182" t="str">
        <f>IF(Model!A314=0,"",Model!A314)</f>
        <v>Boiler feed water</v>
      </c>
      <c r="B272" s="325" t="str">
        <f>IF(Model!B314=0,"",Model!B314)</f>
        <v>t/h</v>
      </c>
      <c r="C272" s="75">
        <f ca="1">IF(ISBLANK(Model!C314),"",Model!C314)</f>
        <v>33.28285269466582</v>
      </c>
      <c r="D272" s="75">
        <v>30.028553914665824</v>
      </c>
      <c r="E272" s="75">
        <v>33.28285269466582</v>
      </c>
      <c r="F272"/>
      <c r="G272"/>
      <c r="H272"/>
      <c r="I272" s="315"/>
    </row>
    <row r="273" spans="1:9" s="315" customFormat="1">
      <c r="A273" s="182"/>
      <c r="B273" s="325"/>
      <c r="C273" s="309" t="str">
        <f>IF(ISBLANK(Model!D306),"",Model!D306)</f>
        <v>GT &amp; WHB 2</v>
      </c>
      <c r="D273" s="309" t="s">
        <v>762</v>
      </c>
      <c r="E273" s="309" t="s">
        <v>762</v>
      </c>
      <c r="F273"/>
      <c r="G273"/>
      <c r="H273"/>
    </row>
    <row r="274" spans="1:9" s="315" customFormat="1">
      <c r="A274" s="182" t="str">
        <f t="shared" ref="A274:B281" si="4">A265</f>
        <v xml:space="preserve">Gross gas in </v>
      </c>
      <c r="B274" s="182" t="str">
        <f t="shared" si="4"/>
        <v>kW HHV</v>
      </c>
      <c r="C274" s="329">
        <f ca="1">IF(ISBLANK(Model!D307),"",Model!D307)</f>
        <v>22500.039849924346</v>
      </c>
      <c r="D274" s="329">
        <v>0</v>
      </c>
      <c r="E274" s="329">
        <v>22500.039849924346</v>
      </c>
      <c r="F274"/>
      <c r="G274"/>
      <c r="H274"/>
    </row>
    <row r="275" spans="1:9" s="315" customFormat="1">
      <c r="A275" s="182" t="str">
        <f t="shared" si="4"/>
        <v>Gross power</v>
      </c>
      <c r="B275" s="182" t="str">
        <f t="shared" si="4"/>
        <v>MWe</v>
      </c>
      <c r="C275" s="328">
        <f ca="1">IF(ISBLANK(Model!D308),"",Model!D308)</f>
        <v>5.9857519444887322</v>
      </c>
      <c r="D275" s="328">
        <v>0</v>
      </c>
      <c r="E275" s="328">
        <v>5.9857519444887322</v>
      </c>
      <c r="F275"/>
      <c r="G275"/>
      <c r="H275"/>
    </row>
    <row r="276" spans="1:9" s="315" customFormat="1">
      <c r="A276" s="182" t="str">
        <f t="shared" si="4"/>
        <v>STIG</v>
      </c>
      <c r="B276" s="182" t="str">
        <f t="shared" si="4"/>
        <v>t/h</v>
      </c>
      <c r="C276" s="328">
        <f ca="1">IF(ISBLANK(Model!D309),"",Model!D309)</f>
        <v>1</v>
      </c>
      <c r="D276" s="328">
        <v>0</v>
      </c>
      <c r="E276" s="328">
        <v>1</v>
      </c>
      <c r="F276"/>
      <c r="G276"/>
      <c r="H276"/>
    </row>
    <row r="277" spans="1:9" s="315" customFormat="1">
      <c r="A277" s="182" t="str">
        <f t="shared" si="4"/>
        <v>Net TEG steam (after STIG)</v>
      </c>
      <c r="B277" s="182" t="str">
        <f t="shared" si="4"/>
        <v>t/h</v>
      </c>
      <c r="C277" s="104">
        <f ca="1">IF(ISBLANK(Model!D310),"",Model!D310)</f>
        <v>11.79081249966913</v>
      </c>
      <c r="D277" s="104">
        <v>0</v>
      </c>
      <c r="E277" s="104">
        <v>11.79081249966913</v>
      </c>
      <c r="F277"/>
      <c r="G277"/>
      <c r="H277"/>
    </row>
    <row r="278" spans="1:9" s="315" customFormat="1">
      <c r="A278" s="182" t="str">
        <f t="shared" si="4"/>
        <v>Supp. steam</v>
      </c>
      <c r="B278" s="182" t="str">
        <f t="shared" si="4"/>
        <v>t/h</v>
      </c>
      <c r="C278" s="329">
        <f>IF(ISBLANK(Model!D311),"",Model!D311)</f>
        <v>0</v>
      </c>
      <c r="D278" s="329">
        <v>0</v>
      </c>
      <c r="E278" s="329">
        <v>0</v>
      </c>
      <c r="F278"/>
      <c r="G278"/>
      <c r="H278"/>
    </row>
    <row r="279" spans="1:9" s="315" customFormat="1">
      <c r="A279" s="182" t="str">
        <f t="shared" si="4"/>
        <v>Supp. firing gas use</v>
      </c>
      <c r="B279" s="182" t="str">
        <f t="shared" si="4"/>
        <v>kW</v>
      </c>
      <c r="C279" s="329" t="e">
        <f ca="1">IF(ISBLANK(Model!D312),"",Model!D312)</f>
        <v>#NAME?</v>
      </c>
      <c r="D279" s="329">
        <v>0</v>
      </c>
      <c r="E279" s="329">
        <v>0</v>
      </c>
      <c r="F279"/>
      <c r="G279"/>
      <c r="H279"/>
    </row>
    <row r="280" spans="1:9" s="315" customFormat="1">
      <c r="A280" s="182" t="str">
        <f t="shared" si="4"/>
        <v>Blowdown</v>
      </c>
      <c r="B280" s="182" t="str">
        <f t="shared" si="4"/>
        <v>t/h</v>
      </c>
      <c r="C280" s="328">
        <f ca="1">IF(ISBLANK(Model!D313),"",Model!D313)</f>
        <v>0.1279081249966913</v>
      </c>
      <c r="D280" s="328">
        <v>0</v>
      </c>
      <c r="E280" s="328">
        <v>0.1279081249966913</v>
      </c>
      <c r="F280"/>
      <c r="G280"/>
      <c r="H280"/>
    </row>
    <row r="281" spans="1:9" s="315" customFormat="1">
      <c r="A281" s="182" t="str">
        <f t="shared" si="4"/>
        <v>Boiler feed water</v>
      </c>
      <c r="B281" s="182" t="str">
        <f t="shared" si="4"/>
        <v>t/h</v>
      </c>
      <c r="C281" s="75">
        <f ca="1">IF(ISBLANK(Model!D314),"",Model!D314)</f>
        <v>12.918720624665822</v>
      </c>
      <c r="D281" s="75">
        <v>0</v>
      </c>
      <c r="E281" s="75">
        <v>12.918720624665822</v>
      </c>
      <c r="F281"/>
      <c r="G281"/>
      <c r="H281"/>
    </row>
    <row r="282" spans="1:9" s="315" customFormat="1">
      <c r="A282" s="182"/>
      <c r="B282" s="325"/>
      <c r="C282" s="75"/>
      <c r="D282" s="75"/>
      <c r="E282" s="75"/>
      <c r="F282"/>
      <c r="G282"/>
      <c r="H282"/>
    </row>
    <row r="283" spans="1:9" s="220" customFormat="1">
      <c r="A283" s="334" t="str">
        <f>IF(Model!A317=0,"",Model!A317)</f>
        <v/>
      </c>
      <c r="B283" s="325" t="str">
        <f>IF(Model!B317=0,"",Model!B317)</f>
        <v/>
      </c>
      <c r="C283" s="309" t="str">
        <f>IF(ISBLANK(Model!C317),"",Model!C317)</f>
        <v>GT &amp; WHB 1</v>
      </c>
      <c r="D283" s="309" t="s">
        <v>761</v>
      </c>
      <c r="E283" s="309" t="s">
        <v>761</v>
      </c>
      <c r="F283"/>
      <c r="G283"/>
      <c r="H283"/>
      <c r="I283" s="315"/>
    </row>
    <row r="284" spans="1:9" s="220" customFormat="1">
      <c r="A284" s="334" t="str">
        <f>IF(Model!A318=0,"",Model!A318)</f>
        <v>GT gross power</v>
      </c>
      <c r="B284" s="298" t="str">
        <f>IF(Model!B318=0,"",Model!B318)</f>
        <v>kWe</v>
      </c>
      <c r="C284" s="345">
        <f ca="1">IF(ISBLANK(Model!C318),"",Model!C318)</f>
        <v>6300.7915205144554</v>
      </c>
      <c r="D284" s="345">
        <v>6300.7915205144554</v>
      </c>
      <c r="E284" s="345">
        <v>6300.7915205144554</v>
      </c>
      <c r="F284"/>
      <c r="G284"/>
      <c r="H284"/>
      <c r="I284" s="315"/>
    </row>
    <row r="285" spans="1:9" s="220" customFormat="1">
      <c r="A285" s="260" t="str">
        <f>IF(Model!A319=0,"",Model!A319)</f>
        <v xml:space="preserve">Gross gas in </v>
      </c>
      <c r="B285" s="298" t="str">
        <f>IF(Model!B319=0,"",Model!B319)</f>
        <v>kW HHV</v>
      </c>
      <c r="C285" s="345">
        <f ca="1">IF(ISBLANK(Model!C319),"",Model!C319)</f>
        <v>22950.040646922829</v>
      </c>
      <c r="D285" s="345">
        <v>22950.040646922829</v>
      </c>
      <c r="E285" s="345">
        <v>22950.040646922829</v>
      </c>
      <c r="F285"/>
      <c r="G285"/>
      <c r="H285"/>
      <c r="I285" s="315"/>
    </row>
    <row r="286" spans="1:9" s="220" customFormat="1">
      <c r="A286" s="298" t="str">
        <f>IF(Model!A320=0,"",Model!A320)</f>
        <v>Thermoflex gross electric efficiency</v>
      </c>
      <c r="B286" s="298" t="str">
        <f>IF(Model!B320=0,"",Model!B320)</f>
        <v>%</v>
      </c>
      <c r="C286" s="288">
        <f ca="1">IF(ISBLANK(Model!C320),"",Model!C320)</f>
        <v>0.27454380658621069</v>
      </c>
      <c r="D286" s="288">
        <v>0.27454380658621069</v>
      </c>
      <c r="E286" s="288">
        <v>0.27454380658621069</v>
      </c>
      <c r="F286"/>
      <c r="G286"/>
      <c r="H286"/>
      <c r="I286" s="315"/>
    </row>
    <row r="287" spans="1:9" s="220" customFormat="1">
      <c r="A287" s="325" t="str">
        <f>IF(Model!A321=0,"",Model!A321)</f>
        <v>Adjusted GT gross output</v>
      </c>
      <c r="B287" s="260" t="str">
        <f>IF(Model!B321=0,"",Model!B321)</f>
        <v>MWe</v>
      </c>
      <c r="C287" s="321">
        <f ca="1">IF(ISBLANK(Model!C321),"",Model!C321)</f>
        <v>6.3007915205144558</v>
      </c>
      <c r="D287" s="321">
        <v>6.3007915205144558</v>
      </c>
      <c r="E287" s="321">
        <v>6.3007915205144558</v>
      </c>
      <c r="F287"/>
      <c r="G287"/>
      <c r="H287"/>
      <c r="I287" s="315"/>
    </row>
    <row r="288" spans="1:9" s="220" customFormat="1">
      <c r="A288" s="325" t="str">
        <f>IF(Model!A322=0,"",Model!A322)</f>
        <v>Adjusted electric efficiency</v>
      </c>
      <c r="B288" s="298" t="str">
        <f>IF(Model!B322=0,"",Model!B322)</f>
        <v>%</v>
      </c>
      <c r="C288" s="288">
        <f ca="1">IF(ISBLANK(Model!C322),"",Model!C322)</f>
        <v>0.27042564948741754</v>
      </c>
      <c r="D288" s="288">
        <v>0.27042564948741754</v>
      </c>
      <c r="E288" s="288">
        <v>0.27042564948741754</v>
      </c>
      <c r="F288"/>
      <c r="G288"/>
      <c r="H288"/>
      <c r="I288" s="315"/>
    </row>
    <row r="289" spans="1:9" s="220" customFormat="1">
      <c r="A289" s="325" t="str">
        <f>IF(Model!A323=0,"",Model!A323)</f>
        <v>Adjusted gross gas use</v>
      </c>
      <c r="B289" s="298" t="str">
        <f>IF(Model!B323=0,"",Model!B323)</f>
        <v>kW HHV</v>
      </c>
      <c r="C289" s="324">
        <f ca="1">IF(ISBLANK(Model!C323),"",Model!C323)</f>
        <v>23299.533651698304</v>
      </c>
      <c r="D289" s="324">
        <v>23299.533651698304</v>
      </c>
      <c r="E289" s="324">
        <v>23299.533651698304</v>
      </c>
      <c r="F289"/>
      <c r="G289"/>
      <c r="H289"/>
      <c r="I289" s="315"/>
    </row>
    <row r="290" spans="1:9" s="220" customFormat="1">
      <c r="A290" s="325" t="str">
        <f>IF(Model!A324=0,"",Model!A324)</f>
        <v>STIG steam consumed</v>
      </c>
      <c r="B290" s="325" t="str">
        <f>IF(Model!B324=0,"",Model!B324)</f>
        <v>t/h</v>
      </c>
      <c r="C290" s="328">
        <f ca="1">IF(ISBLANK(Model!C324),"",Model!C324)</f>
        <v>1</v>
      </c>
      <c r="D290" s="328">
        <v>1</v>
      </c>
      <c r="E290" s="328">
        <v>1</v>
      </c>
      <c r="F290"/>
      <c r="G290"/>
      <c r="H290"/>
      <c r="I290" s="315"/>
    </row>
    <row r="291" spans="1:9" s="220" customFormat="1">
      <c r="A291" s="325" t="str">
        <f>IF(Model!A325=0,"",Model!A325)</f>
        <v>Total TEG steam available</v>
      </c>
      <c r="B291" s="182" t="str">
        <f>IF(Model!B325=0,"",Model!B325)</f>
        <v>t/h</v>
      </c>
      <c r="C291" s="328">
        <f ca="1">IF(ISBLANK(Model!C325),"",Model!C325)</f>
        <v>12.79081249966913</v>
      </c>
      <c r="D291" s="328">
        <v>12.79081249966913</v>
      </c>
      <c r="E291" s="328">
        <v>12.79081249966913</v>
      </c>
      <c r="F291"/>
      <c r="G291"/>
      <c r="H291"/>
      <c r="I291" s="315"/>
    </row>
    <row r="292" spans="1:9" s="220" customFormat="1">
      <c r="A292" s="325" t="str">
        <f>IF(Model!A326=0,"",Model!A326)</f>
        <v>Net TEG steam available</v>
      </c>
      <c r="B292" s="182" t="str">
        <f>IF(Model!B326=0,"",Model!B326)</f>
        <v>t/h</v>
      </c>
      <c r="C292" s="328">
        <f ca="1">IF(ISBLANK(Model!C326),"",Model!C326)</f>
        <v>11.79081249966913</v>
      </c>
      <c r="D292" s="328">
        <v>11.79081249966913</v>
      </c>
      <c r="E292" s="328">
        <v>11.79081249966913</v>
      </c>
      <c r="F292"/>
      <c r="G292"/>
      <c r="H292"/>
      <c r="I292" s="315"/>
    </row>
    <row r="293" spans="1:9" s="220" customFormat="1">
      <c r="A293" s="325" t="str">
        <f>IF(Model!A327=0,"",Model!A327)</f>
        <v xml:space="preserve">Supplementary steam required </v>
      </c>
      <c r="B293" s="182" t="str">
        <f>IF(Model!B327=0,"",Model!B327)</f>
        <v>t/h</v>
      </c>
      <c r="C293" s="328">
        <f>IF(ISBLANK(Model!C327),"",Model!C327)</f>
        <v>20.162507000000002</v>
      </c>
      <c r="D293" s="328">
        <v>16.940429000000002</v>
      </c>
      <c r="E293" s="328">
        <v>20.162507000000002</v>
      </c>
      <c r="F293"/>
      <c r="G293"/>
      <c r="H293"/>
      <c r="I293" s="315"/>
    </row>
    <row r="294" spans="1:9" s="220" customFormat="1">
      <c r="A294" s="325" t="str">
        <f>IF(Model!A328=0,"",Model!A328)</f>
        <v xml:space="preserve">Supplementary steam heat </v>
      </c>
      <c r="B294" s="182" t="str">
        <f>IF(Model!B328=0,"",Model!B328)</f>
        <v>kW</v>
      </c>
      <c r="C294" s="329" t="e">
        <f ca="1">IF(ISBLANK(Model!C328),"",Model!C328)</f>
        <v>#NAME?</v>
      </c>
      <c r="D294" s="329">
        <v>12742.072801296106</v>
      </c>
      <c r="E294" s="329">
        <v>15165.621369484938</v>
      </c>
      <c r="F294"/>
      <c r="G294"/>
      <c r="H294"/>
      <c r="I294" s="315"/>
    </row>
    <row r="295" spans="1:9" s="220" customFormat="1">
      <c r="A295" s="325" t="str">
        <f>IF(Model!A330=0,"",Model!A330)</f>
        <v>Total WHB steam output</v>
      </c>
      <c r="B295" s="238" t="str">
        <f>IF(Model!B330=0,"",Model!B330)</f>
        <v>t/h</v>
      </c>
      <c r="C295" s="328">
        <f ca="1">IF(ISBLANK(Model!C330),"",Model!C330)</f>
        <v>31.953319499669131</v>
      </c>
      <c r="D295" s="328">
        <v>28.731241499669132</v>
      </c>
      <c r="E295" s="328">
        <v>31.953319499669131</v>
      </c>
      <c r="F295"/>
      <c r="G295"/>
      <c r="H295"/>
      <c r="I295" s="315"/>
    </row>
    <row r="296" spans="1:9" s="315" customFormat="1">
      <c r="A296" s="325" t="str">
        <f>IF(Model!A331=0,"",Model!A331)</f>
        <v>Delta enthalpy</v>
      </c>
      <c r="B296" s="238" t="str">
        <f>IF(Model!B331=0,"",Model!B331)</f>
        <v>kJ/kg</v>
      </c>
      <c r="C296" s="329" t="e">
        <f ca="1">IF(Model!C331=0,"",Model!C331)</f>
        <v>#NAME?</v>
      </c>
      <c r="D296" s="329">
        <v>2707.809942987039</v>
      </c>
      <c r="E296" s="329">
        <v>2707.809942987039</v>
      </c>
      <c r="F296"/>
      <c r="G296"/>
      <c r="H296"/>
    </row>
    <row r="297" spans="1:9" s="315" customFormat="1">
      <c r="A297" s="325" t="str">
        <f>IF(Model!A332=0,"",Model!A332)</f>
        <v>Modelled supplementary firing gas consumption</v>
      </c>
      <c r="B297" s="238" t="str">
        <f>IF(Model!B332=0,"",Model!B332)</f>
        <v>kW HHV</v>
      </c>
      <c r="C297" s="324" t="e">
        <f ca="1">Model!C332</f>
        <v>#NAME?</v>
      </c>
      <c r="D297" s="324">
        <v>13056.970009563071</v>
      </c>
      <c r="E297" s="324">
        <v>15434.76555340525</v>
      </c>
      <c r="F297"/>
      <c r="G297"/>
      <c r="H297"/>
    </row>
    <row r="298" spans="1:9" s="315" customFormat="1">
      <c r="A298" s="325" t="str">
        <f>IF(Model!A333=0,"",Model!A333)</f>
        <v>Modelled supplementary firing efficiency</v>
      </c>
      <c r="B298" s="238" t="str">
        <f>IF(Model!B333=0,"",Model!B333)</f>
        <v>%</v>
      </c>
      <c r="C298" s="346">
        <f ca="1">Model!C333</f>
        <v>0</v>
      </c>
      <c r="D298" s="346">
        <v>0.97588282671735249</v>
      </c>
      <c r="E298" s="346">
        <v>0.98256247022417953</v>
      </c>
      <c r="F298"/>
      <c r="G298"/>
      <c r="H298"/>
    </row>
    <row r="299" spans="1:9" s="220" customFormat="1">
      <c r="A299" s="334" t="str">
        <f>IF(Model!A334=0,"",Model!A334)</f>
        <v>Blowdown</v>
      </c>
      <c r="B299" s="59" t="str">
        <f>IF(Model!B334=0,"",Model!B334)</f>
        <v>t/h</v>
      </c>
      <c r="C299" s="321">
        <f ca="1">IF(ISBLANK(Model!C334),"",Model!C334)</f>
        <v>0.32953319499669137</v>
      </c>
      <c r="D299" s="321">
        <v>0.29731241499669131</v>
      </c>
      <c r="E299" s="321">
        <v>0.32953319499669137</v>
      </c>
      <c r="F299"/>
      <c r="G299"/>
      <c r="H299"/>
      <c r="I299" s="315"/>
    </row>
    <row r="300" spans="1:9" s="220" customFormat="1">
      <c r="A300" s="334" t="str">
        <f>IF(Model!A335=0,"",Model!A335)</f>
        <v>BFW required</v>
      </c>
      <c r="B300" s="59" t="str">
        <f>IF(Model!B335=0,"",Model!B335)</f>
        <v>t/h</v>
      </c>
      <c r="C300" s="321">
        <f ca="1">IF(ISBLANK(Model!C335),"",Model!C335)</f>
        <v>33.28285269466582</v>
      </c>
      <c r="D300" s="321">
        <v>30.028553914665824</v>
      </c>
      <c r="E300" s="321">
        <v>33.28285269466582</v>
      </c>
      <c r="F300"/>
      <c r="G300"/>
      <c r="H300"/>
      <c r="I300" s="315"/>
    </row>
    <row r="301" spans="1:9" s="315" customFormat="1">
      <c r="A301" s="334"/>
      <c r="B301" s="59"/>
      <c r="C301" s="309" t="str">
        <f>IF(ISBLANK(Model!D317),"",Model!D317)</f>
        <v>GT &amp; WHB 2</v>
      </c>
      <c r="D301" s="309" t="s">
        <v>762</v>
      </c>
      <c r="E301" s="309" t="s">
        <v>762</v>
      </c>
      <c r="F301"/>
      <c r="G301"/>
      <c r="H301"/>
    </row>
    <row r="302" spans="1:9" s="315" customFormat="1">
      <c r="A302" s="334" t="str">
        <f t="shared" ref="A302:B313" si="5">A284</f>
        <v>GT gross power</v>
      </c>
      <c r="B302" s="334" t="str">
        <f t="shared" si="5"/>
        <v>kWe</v>
      </c>
      <c r="C302" s="345">
        <f ca="1">IF(ISBLANK(Model!D318),"",Model!D318)</f>
        <v>6300.7915205144554</v>
      </c>
      <c r="D302" s="345">
        <v>0</v>
      </c>
      <c r="E302" s="345">
        <v>6300.7915205144554</v>
      </c>
      <c r="F302"/>
      <c r="G302"/>
      <c r="H302"/>
    </row>
    <row r="303" spans="1:9" s="315" customFormat="1">
      <c r="A303" s="334" t="str">
        <f t="shared" si="5"/>
        <v xml:space="preserve">Gross gas in </v>
      </c>
      <c r="B303" s="334" t="str">
        <f t="shared" si="5"/>
        <v>kW HHV</v>
      </c>
      <c r="C303" s="345">
        <f ca="1">IF(ISBLANK(Model!D319),"",Model!D319)</f>
        <v>22950.040646922829</v>
      </c>
      <c r="D303" s="345">
        <v>1E-14</v>
      </c>
      <c r="E303" s="345">
        <v>22950.040646922829</v>
      </c>
      <c r="F303"/>
      <c r="G303"/>
      <c r="H303"/>
    </row>
    <row r="304" spans="1:9" s="315" customFormat="1">
      <c r="A304" s="334" t="str">
        <f t="shared" si="5"/>
        <v>Thermoflex gross electric efficiency</v>
      </c>
      <c r="B304" s="334" t="str">
        <f t="shared" si="5"/>
        <v>%</v>
      </c>
      <c r="C304" s="288">
        <f ca="1">IF(ISBLANK(Model!D320),"",Model!D320)</f>
        <v>0.27454380658621069</v>
      </c>
      <c r="D304" s="288">
        <v>0</v>
      </c>
      <c r="E304" s="288">
        <v>0.27454380658621069</v>
      </c>
      <c r="F304"/>
      <c r="G304"/>
      <c r="H304"/>
    </row>
    <row r="305" spans="1:9" s="315" customFormat="1">
      <c r="A305" s="334" t="str">
        <f t="shared" si="5"/>
        <v>Adjusted GT gross output</v>
      </c>
      <c r="B305" s="334" t="str">
        <f t="shared" si="5"/>
        <v>MWe</v>
      </c>
      <c r="C305" s="321">
        <f ca="1">IF(ISBLANK(Model!D321),"",Model!D321)</f>
        <v>5.9857519444887322</v>
      </c>
      <c r="D305" s="321">
        <v>0</v>
      </c>
      <c r="E305" s="321">
        <v>5.9857519444887322</v>
      </c>
      <c r="F305"/>
      <c r="G305"/>
      <c r="H305"/>
    </row>
    <row r="306" spans="1:9" s="315" customFormat="1">
      <c r="A306" s="334" t="str">
        <f t="shared" si="5"/>
        <v>Adjusted electric efficiency</v>
      </c>
      <c r="B306" s="334" t="str">
        <f t="shared" si="5"/>
        <v>%</v>
      </c>
      <c r="C306" s="288">
        <f ca="1">IF(ISBLANK(Model!D322),"",Model!D322)</f>
        <v>0.26603294858203813</v>
      </c>
      <c r="D306" s="288">
        <v>1E-13</v>
      </c>
      <c r="E306" s="288">
        <v>0.26603294858203813</v>
      </c>
      <c r="F306"/>
      <c r="G306"/>
      <c r="H306"/>
    </row>
    <row r="307" spans="1:9" s="315" customFormat="1">
      <c r="A307" s="334" t="str">
        <f t="shared" si="5"/>
        <v>Adjusted gross gas use</v>
      </c>
      <c r="B307" s="334" t="str">
        <f t="shared" si="5"/>
        <v>kW HHV</v>
      </c>
      <c r="C307" s="324">
        <f ca="1">IF(ISBLANK(Model!D323),"",Model!D323)</f>
        <v>22500.039849924346</v>
      </c>
      <c r="D307" s="324">
        <v>0</v>
      </c>
      <c r="E307" s="324">
        <v>22500.039849924346</v>
      </c>
      <c r="F307"/>
      <c r="G307"/>
      <c r="H307"/>
    </row>
    <row r="308" spans="1:9" s="315" customFormat="1">
      <c r="A308" s="334" t="str">
        <f t="shared" si="5"/>
        <v>STIG steam consumed</v>
      </c>
      <c r="B308" s="334" t="str">
        <f t="shared" si="5"/>
        <v>t/h</v>
      </c>
      <c r="C308" s="328">
        <f ca="1">IF(ISBLANK(Model!D324),"",Model!D324)</f>
        <v>1</v>
      </c>
      <c r="D308" s="328">
        <v>0</v>
      </c>
      <c r="E308" s="328">
        <v>1</v>
      </c>
      <c r="F308"/>
      <c r="G308"/>
      <c r="H308"/>
    </row>
    <row r="309" spans="1:9" s="315" customFormat="1">
      <c r="A309" s="334" t="str">
        <f t="shared" si="5"/>
        <v>Total TEG steam available</v>
      </c>
      <c r="B309" s="334" t="str">
        <f t="shared" si="5"/>
        <v>t/h</v>
      </c>
      <c r="C309" s="328">
        <f ca="1">IF(ISBLANK(Model!D325),"",Model!D325)</f>
        <v>12.79081249966913</v>
      </c>
      <c r="D309" s="328">
        <v>0</v>
      </c>
      <c r="E309" s="328">
        <v>12.79081249966913</v>
      </c>
      <c r="F309"/>
      <c r="G309"/>
      <c r="H309"/>
    </row>
    <row r="310" spans="1:9" s="315" customFormat="1">
      <c r="A310" s="334" t="str">
        <f t="shared" si="5"/>
        <v>Net TEG steam available</v>
      </c>
      <c r="B310" s="334" t="str">
        <f t="shared" si="5"/>
        <v>t/h</v>
      </c>
      <c r="C310" s="328">
        <f ca="1">IF(ISBLANK(Model!D326),"",Model!D326)</f>
        <v>11.79081249966913</v>
      </c>
      <c r="D310" s="328">
        <v>0</v>
      </c>
      <c r="E310" s="328">
        <v>11.79081249966913</v>
      </c>
      <c r="F310"/>
      <c r="G310"/>
      <c r="H310"/>
    </row>
    <row r="311" spans="1:9" s="315" customFormat="1">
      <c r="A311" s="334" t="str">
        <f t="shared" si="5"/>
        <v xml:space="preserve">Supplementary steam required </v>
      </c>
      <c r="B311" s="334" t="str">
        <f t="shared" si="5"/>
        <v>t/h</v>
      </c>
      <c r="C311" s="328">
        <f>IF(ISBLANK(Model!D327),"",Model!D327)</f>
        <v>0</v>
      </c>
      <c r="D311" s="328">
        <v>0</v>
      </c>
      <c r="E311" s="328">
        <v>0</v>
      </c>
      <c r="F311"/>
      <c r="G311"/>
      <c r="H311"/>
    </row>
    <row r="312" spans="1:9" s="315" customFormat="1">
      <c r="A312" s="334" t="str">
        <f t="shared" si="5"/>
        <v xml:space="preserve">Supplementary steam heat </v>
      </c>
      <c r="B312" s="334" t="str">
        <f t="shared" si="5"/>
        <v>kW</v>
      </c>
      <c r="C312" s="328" t="e">
        <f ca="1">IF(ISBLANK(Model!D328),"",Model!D328)</f>
        <v>#NAME?</v>
      </c>
      <c r="D312" s="328">
        <v>0</v>
      </c>
      <c r="E312" s="328">
        <v>0</v>
      </c>
      <c r="F312"/>
      <c r="G312"/>
      <c r="H312"/>
    </row>
    <row r="313" spans="1:9" s="315" customFormat="1">
      <c r="A313" s="334" t="str">
        <f t="shared" si="5"/>
        <v>Total WHB steam output</v>
      </c>
      <c r="B313" s="334" t="str">
        <f t="shared" si="5"/>
        <v>t/h</v>
      </c>
      <c r="C313" s="328">
        <f ca="1">IF(ISBLANK(Model!D330),"",Model!D330)</f>
        <v>11.79081249966913</v>
      </c>
      <c r="D313" s="328">
        <v>0</v>
      </c>
      <c r="E313" s="328">
        <v>11.79081249966913</v>
      </c>
      <c r="F313"/>
      <c r="G313"/>
      <c r="H313"/>
    </row>
    <row r="314" spans="1:9" s="315" customFormat="1">
      <c r="A314" s="334" t="str">
        <f t="shared" ref="A314:B318" si="6">A296</f>
        <v>Delta enthalpy</v>
      </c>
      <c r="B314" s="334" t="str">
        <f t="shared" si="6"/>
        <v>kJ/kg</v>
      </c>
      <c r="C314" s="329" t="e">
        <f ca="1">IF(Model!D331=0,"",Model!D331)</f>
        <v>#NAME?</v>
      </c>
      <c r="D314" s="329">
        <v>2707.809942987039</v>
      </c>
      <c r="E314" s="329">
        <v>2707.809942987039</v>
      </c>
      <c r="F314"/>
      <c r="G314"/>
      <c r="H314"/>
    </row>
    <row r="315" spans="1:9" s="315" customFormat="1">
      <c r="A315" s="334" t="str">
        <f t="shared" si="6"/>
        <v>Modelled supplementary firing gas consumption</v>
      </c>
      <c r="B315" s="334" t="str">
        <f t="shared" si="6"/>
        <v>kW HHV</v>
      </c>
      <c r="C315" s="329" t="e">
        <f ca="1">Model!D332</f>
        <v>#NAME?</v>
      </c>
      <c r="D315" s="329">
        <v>0</v>
      </c>
      <c r="E315" s="329">
        <v>0</v>
      </c>
      <c r="F315"/>
      <c r="G315"/>
      <c r="H315"/>
    </row>
    <row r="316" spans="1:9" s="315" customFormat="1">
      <c r="A316" s="334" t="str">
        <f t="shared" si="6"/>
        <v>Modelled supplementary firing efficiency</v>
      </c>
      <c r="B316" s="334" t="str">
        <f t="shared" si="6"/>
        <v>%</v>
      </c>
      <c r="C316" s="329">
        <f ca="1">Model!D333</f>
        <v>0</v>
      </c>
      <c r="D316" s="329">
        <v>0</v>
      </c>
      <c r="E316" s="329">
        <v>0</v>
      </c>
      <c r="F316"/>
      <c r="G316"/>
      <c r="H316"/>
    </row>
    <row r="317" spans="1:9" s="315" customFormat="1">
      <c r="A317" s="334" t="str">
        <f t="shared" si="6"/>
        <v>Blowdown</v>
      </c>
      <c r="B317" s="334" t="str">
        <f t="shared" si="6"/>
        <v>t/h</v>
      </c>
      <c r="C317" s="321">
        <f ca="1">IF(ISBLANK(Model!D334),"",Model!D334)</f>
        <v>0.1279081249966913</v>
      </c>
      <c r="D317" s="321">
        <v>0</v>
      </c>
      <c r="E317" s="321">
        <v>0.1279081249966913</v>
      </c>
      <c r="F317"/>
      <c r="G317"/>
      <c r="H317"/>
    </row>
    <row r="318" spans="1:9" s="315" customFormat="1">
      <c r="A318" s="334" t="str">
        <f t="shared" si="6"/>
        <v>BFW required</v>
      </c>
      <c r="B318" s="334" t="str">
        <f t="shared" si="6"/>
        <v>t/h</v>
      </c>
      <c r="C318" s="321">
        <f ca="1">IF(ISBLANK(Model!D335),"",Model!D335)</f>
        <v>12.918720624665822</v>
      </c>
      <c r="D318" s="321">
        <v>0</v>
      </c>
      <c r="E318" s="321">
        <v>12.918720624665822</v>
      </c>
      <c r="F318"/>
      <c r="G318"/>
      <c r="H318"/>
    </row>
    <row r="319" spans="1:9" s="220" customFormat="1">
      <c r="A319" s="334" t="str">
        <f>IF(Model!A342=0,"",Model!A342)</f>
        <v/>
      </c>
      <c r="B319" s="59" t="str">
        <f>IF(Model!B342=0,"",Model!B342)</f>
        <v/>
      </c>
      <c r="C319" s="321"/>
      <c r="D319" s="321"/>
      <c r="E319" s="321"/>
      <c r="F319"/>
      <c r="G319"/>
      <c r="H319"/>
      <c r="I319" s="315"/>
    </row>
    <row r="320" spans="1:9" s="220" customFormat="1">
      <c r="A320" s="325" t="str">
        <f>IF(Model!A343=0,"",Model!A343)</f>
        <v>Total electric efficiency of GT CHP (both turbines)</v>
      </c>
      <c r="B320" s="59" t="str">
        <f>IF(Model!B343=0,"",Model!B343)</f>
        <v>%</v>
      </c>
      <c r="C320" s="349">
        <f ca="1">IF(ISBLANK(Model!C343),"",Model!C343)</f>
        <v>0.26826763931694436</v>
      </c>
      <c r="D320" s="349">
        <v>0.27042564948741754</v>
      </c>
      <c r="E320" s="349">
        <v>0.26826763931694436</v>
      </c>
      <c r="F320"/>
      <c r="G320"/>
      <c r="H320"/>
      <c r="I320" s="315"/>
    </row>
    <row r="321" spans="1:9" s="220" customFormat="1" ht="18" thickBot="1">
      <c r="A321" s="375" t="str">
        <f>IF(Model!A345=0,"",Model!A345)</f>
        <v>Steam Turbine Models</v>
      </c>
      <c r="B321" s="390" t="str">
        <f>IF(Model!B345=0,"",Model!B345)</f>
        <v/>
      </c>
      <c r="C321" s="390" t="str">
        <f>IF(ISBLANK(Model!C345),"",Model!C345)</f>
        <v/>
      </c>
      <c r="D321" s="390" t="s">
        <v>816</v>
      </c>
      <c r="E321" s="390" t="s">
        <v>816</v>
      </c>
      <c r="F321"/>
      <c r="G321"/>
      <c r="H321"/>
      <c r="I321" s="315"/>
    </row>
    <row r="322" spans="1:9" s="220" customFormat="1" ht="16" thickTop="1">
      <c r="A322" s="407" t="str">
        <f>IF(Model!A346=0,"",Model!A346)</f>
        <v>Calculation Inputs</v>
      </c>
      <c r="B322" s="407" t="str">
        <f>IF(Model!B346=0,"",Model!B346)</f>
        <v/>
      </c>
      <c r="C322" s="407" t="str">
        <f>IF(ISBLANK(Model!C346),"",Model!C346)</f>
        <v/>
      </c>
      <c r="D322" s="407" t="s">
        <v>816</v>
      </c>
      <c r="E322" s="407" t="s">
        <v>816</v>
      </c>
      <c r="F322"/>
      <c r="G322"/>
      <c r="H322"/>
      <c r="I322" s="315"/>
    </row>
    <row r="323" spans="1:9" s="220" customFormat="1">
      <c r="A323" s="139" t="str">
        <f>IF(Model!A347=0,"",Model!A347)</f>
        <v/>
      </c>
      <c r="B323" s="325" t="str">
        <f>IF(Model!B347=0,"",Model!B347)</f>
        <v/>
      </c>
      <c r="C323" s="45" t="str">
        <f>IF(ISBLANK(Model!C347),"",Model!C347)</f>
        <v>ST2</v>
      </c>
      <c r="D323" s="45" t="s">
        <v>58</v>
      </c>
      <c r="E323" s="45" t="s">
        <v>58</v>
      </c>
      <c r="F323"/>
      <c r="G323"/>
      <c r="H323"/>
      <c r="I323" s="315"/>
    </row>
    <row r="324" spans="1:9" s="220" customFormat="1">
      <c r="A324" s="139" t="str">
        <f>IF(Model!A348=0,"",Model!A348)</f>
        <v>On/off</v>
      </c>
      <c r="B324" s="298" t="str">
        <f>IF(Model!B348=0,"",Model!B348)</f>
        <v>bin.</v>
      </c>
      <c r="C324" s="86">
        <f>IF(ISBLANK(Model!C348),"",Model!C348)</f>
        <v>0</v>
      </c>
      <c r="D324" s="86">
        <v>0</v>
      </c>
      <c r="E324" s="86">
        <v>0</v>
      </c>
      <c r="F324"/>
      <c r="G324"/>
      <c r="H324"/>
      <c r="I324" s="315"/>
    </row>
    <row r="325" spans="1:9" s="220" customFormat="1">
      <c r="A325" s="139" t="str">
        <f>IF(Model!A349=0,"",Model!A349)</f>
        <v>Inlet</v>
      </c>
      <c r="B325" s="298" t="str">
        <f>IF(Model!B349=0,"",Model!B349)</f>
        <v>t/h</v>
      </c>
      <c r="C325" s="86">
        <f>IF(ISBLANK(Model!C349),"",Model!C349)</f>
        <v>0</v>
      </c>
      <c r="D325" s="86">
        <v>0</v>
      </c>
      <c r="E325" s="86">
        <v>0</v>
      </c>
      <c r="F325"/>
      <c r="G325"/>
      <c r="H325"/>
      <c r="I325" s="315"/>
    </row>
    <row r="326" spans="1:9" s="220" customFormat="1">
      <c r="A326" s="139" t="str">
        <f>IF(Model!A350=0,"",Model!A350)</f>
        <v>Extraction</v>
      </c>
      <c r="B326" s="298" t="str">
        <f>IF(Model!B350=0,"",Model!B350)</f>
        <v>t/h</v>
      </c>
      <c r="C326" s="86">
        <f>IF(ISBLANK(Model!C350),"",Model!C350)</f>
        <v>0</v>
      </c>
      <c r="D326" s="86">
        <v>0</v>
      </c>
      <c r="E326" s="86">
        <v>0</v>
      </c>
      <c r="F326"/>
      <c r="G326"/>
      <c r="H326"/>
      <c r="I326" s="315"/>
    </row>
    <row r="327" spans="1:9" s="315" customFormat="1">
      <c r="A327" s="139"/>
      <c r="B327" s="298"/>
      <c r="C327" s="45" t="str">
        <f>IF(ISBLANK(Model!D347),"",Model!D347)</f>
        <v>ST5</v>
      </c>
      <c r="D327" s="45" t="s">
        <v>57</v>
      </c>
      <c r="E327" s="45" t="s">
        <v>57</v>
      </c>
      <c r="F327"/>
      <c r="G327"/>
      <c r="H327"/>
    </row>
    <row r="328" spans="1:9" s="315" customFormat="1">
      <c r="A328" s="139" t="str">
        <f t="shared" ref="A328:B330" si="7">A324</f>
        <v>On/off</v>
      </c>
      <c r="B328" s="139" t="str">
        <f t="shared" si="7"/>
        <v>bin.</v>
      </c>
      <c r="C328" s="86">
        <f>IF(ISBLANK(Model!D348),"",Model!D348)</f>
        <v>0</v>
      </c>
      <c r="D328" s="86">
        <v>0</v>
      </c>
      <c r="E328" s="86">
        <v>0</v>
      </c>
      <c r="F328"/>
      <c r="G328"/>
      <c r="H328"/>
    </row>
    <row r="329" spans="1:9" s="315" customFormat="1">
      <c r="A329" s="139" t="str">
        <f t="shared" si="7"/>
        <v>Inlet</v>
      </c>
      <c r="B329" s="139" t="str">
        <f t="shared" si="7"/>
        <v>t/h</v>
      </c>
      <c r="C329" s="86">
        <f>IF(ISBLANK(Model!D349),"",Model!D349)</f>
        <v>0</v>
      </c>
      <c r="D329" s="86">
        <v>0</v>
      </c>
      <c r="E329" s="86">
        <v>0</v>
      </c>
      <c r="F329"/>
      <c r="G329"/>
      <c r="H329"/>
    </row>
    <row r="330" spans="1:9" s="315" customFormat="1">
      <c r="A330" s="139" t="str">
        <f t="shared" si="7"/>
        <v>Extraction</v>
      </c>
      <c r="B330" s="139" t="str">
        <f t="shared" si="7"/>
        <v>t/h</v>
      </c>
      <c r="C330" s="86">
        <f>IF(ISBLANK(Model!D350),"",Model!D350)</f>
        <v>0</v>
      </c>
      <c r="D330" s="86">
        <v>0</v>
      </c>
      <c r="E330" s="86">
        <v>0</v>
      </c>
      <c r="F330"/>
      <c r="G330"/>
      <c r="H330"/>
    </row>
    <row r="331" spans="1:9" s="315" customFormat="1">
      <c r="A331" s="139"/>
      <c r="B331" s="298"/>
      <c r="C331" s="45" t="str">
        <f>IF(ISBLANK(Model!E347),"",Model!E347)</f>
        <v>ST6</v>
      </c>
      <c r="D331" s="45" t="s">
        <v>56</v>
      </c>
      <c r="E331" s="45" t="s">
        <v>56</v>
      </c>
      <c r="F331"/>
      <c r="G331"/>
      <c r="H331"/>
    </row>
    <row r="332" spans="1:9" s="315" customFormat="1">
      <c r="A332" s="139" t="str">
        <f>A328</f>
        <v>On/off</v>
      </c>
      <c r="B332" s="139" t="str">
        <f>B328</f>
        <v>bin.</v>
      </c>
      <c r="C332" s="86">
        <f>IF(ISBLANK(Model!E348),"",Model!E348)</f>
        <v>0</v>
      </c>
      <c r="D332" s="86">
        <v>0</v>
      </c>
      <c r="E332" s="86">
        <v>0</v>
      </c>
      <c r="F332"/>
      <c r="G332"/>
      <c r="H332"/>
    </row>
    <row r="333" spans="1:9" s="315" customFormat="1">
      <c r="A333" s="139" t="str">
        <f>A329</f>
        <v>Inlet</v>
      </c>
      <c r="B333" s="139" t="str">
        <f>B329</f>
        <v>t/h</v>
      </c>
      <c r="C333" s="86">
        <f>IF(ISBLANK(Model!E349),"",Model!E349)</f>
        <v>0</v>
      </c>
      <c r="D333" s="86">
        <v>0</v>
      </c>
      <c r="E333" s="86">
        <v>0</v>
      </c>
      <c r="F333"/>
      <c r="G333"/>
      <c r="H333"/>
    </row>
    <row r="334" spans="1:9" s="315" customFormat="1">
      <c r="A334" s="139"/>
      <c r="B334" s="139"/>
      <c r="C334" s="45" t="str">
        <f>IF(ISBLANK(Model!F347),"",Model!F347)</f>
        <v>ST7</v>
      </c>
      <c r="D334" s="45" t="s">
        <v>142</v>
      </c>
      <c r="E334" s="45" t="s">
        <v>142</v>
      </c>
      <c r="F334"/>
      <c r="G334"/>
      <c r="H334"/>
    </row>
    <row r="335" spans="1:9" s="315" customFormat="1">
      <c r="A335" s="139" t="str">
        <f>A332</f>
        <v>On/off</v>
      </c>
      <c r="B335" s="139" t="str">
        <f>B332</f>
        <v>bin.</v>
      </c>
      <c r="C335" s="86">
        <f>IF(ISBLANK(Model!F348),"",Model!F348)</f>
        <v>0</v>
      </c>
      <c r="D335" s="86">
        <v>0</v>
      </c>
      <c r="E335" s="86">
        <v>0</v>
      </c>
      <c r="F335"/>
      <c r="G335"/>
      <c r="H335"/>
    </row>
    <row r="336" spans="1:9" s="315" customFormat="1">
      <c r="A336" s="139" t="str">
        <f>A333</f>
        <v>Inlet</v>
      </c>
      <c r="B336" s="139" t="str">
        <f>B333</f>
        <v>t/h</v>
      </c>
      <c r="C336" s="86">
        <f>IF(ISBLANK(Model!F349),"",Model!F349)</f>
        <v>0</v>
      </c>
      <c r="D336" s="86">
        <v>0</v>
      </c>
      <c r="E336" s="86">
        <v>0</v>
      </c>
      <c r="F336"/>
      <c r="G336"/>
      <c r="H336"/>
    </row>
    <row r="337" spans="1:9" s="315" customFormat="1">
      <c r="A337" s="139"/>
      <c r="B337" s="298"/>
      <c r="C337" s="45" t="str">
        <f>IF(ISBLANK(Model!G347),"",Model!G347)</f>
        <v>HP ST5</v>
      </c>
      <c r="D337" s="45" t="s">
        <v>711</v>
      </c>
      <c r="E337" s="45" t="s">
        <v>711</v>
      </c>
      <c r="F337"/>
      <c r="G337"/>
      <c r="H337"/>
    </row>
    <row r="338" spans="1:9" s="315" customFormat="1">
      <c r="A338" s="139" t="str">
        <f>A335</f>
        <v>On/off</v>
      </c>
      <c r="B338" s="139" t="str">
        <f>B335</f>
        <v>bin.</v>
      </c>
      <c r="C338" s="86">
        <f>IF(ISBLANK(Model!G348),"",Model!G348)</f>
        <v>1</v>
      </c>
      <c r="D338" s="86">
        <v>1</v>
      </c>
      <c r="E338" s="86">
        <v>1</v>
      </c>
      <c r="F338"/>
      <c r="G338"/>
      <c r="H338"/>
    </row>
    <row r="339" spans="1:9" s="220" customFormat="1">
      <c r="A339" s="139" t="str">
        <f>A336</f>
        <v>Inlet</v>
      </c>
      <c r="B339" s="139" t="str">
        <f>B336</f>
        <v>t/h</v>
      </c>
      <c r="C339" s="86">
        <f>IF(ISBLANK(Model!G349),"",Model!G349)</f>
        <v>22</v>
      </c>
      <c r="D339" s="86">
        <v>21.721971</v>
      </c>
      <c r="E339" s="86">
        <v>22</v>
      </c>
      <c r="F339"/>
      <c r="G339"/>
      <c r="H339"/>
      <c r="I339" s="315"/>
    </row>
    <row r="340" spans="1:9" s="220" customFormat="1">
      <c r="A340" s="408" t="str">
        <f>IF(Model!A352=0,"",Model!A352)</f>
        <v>Calculation Outputs</v>
      </c>
      <c r="B340" s="408" t="str">
        <f>IF(Model!B352=0,"",Model!B352)</f>
        <v/>
      </c>
      <c r="C340" s="408" t="str">
        <f>IF(ISBLANK(Model!C352),"",Model!C352)</f>
        <v/>
      </c>
      <c r="D340" s="408" t="s">
        <v>816</v>
      </c>
      <c r="E340" s="408" t="s">
        <v>816</v>
      </c>
      <c r="F340"/>
      <c r="G340"/>
      <c r="H340"/>
      <c r="I340" s="315"/>
    </row>
    <row r="341" spans="1:9" s="220" customFormat="1">
      <c r="A341" s="182" t="str">
        <f>IF(Model!A353=0,"",Model!A353)</f>
        <v/>
      </c>
      <c r="B341" s="182" t="str">
        <f>IF(Model!B353=0,"",Model!B353)</f>
        <v/>
      </c>
      <c r="C341" s="45" t="str">
        <f>IF(ISBLANK(Model!C353),"",Model!C353)</f>
        <v>ST2</v>
      </c>
      <c r="D341" s="45" t="s">
        <v>58</v>
      </c>
      <c r="E341" s="45" t="s">
        <v>58</v>
      </c>
      <c r="F341"/>
      <c r="G341"/>
      <c r="H341"/>
      <c r="I341" s="315"/>
    </row>
    <row r="342" spans="1:9" s="220" customFormat="1">
      <c r="A342" s="236" t="str">
        <f>IF(Model!A354=0,"",Model!A354)</f>
        <v>Turbine Work</v>
      </c>
      <c r="B342" s="236" t="str">
        <f>IF(Model!B354=0,"",Model!B354)</f>
        <v>MW</v>
      </c>
      <c r="C342" s="86">
        <f>IF(ISBLANK(Model!C354),"",Model!C354)</f>
        <v>0</v>
      </c>
      <c r="D342" s="86">
        <v>0</v>
      </c>
      <c r="E342" s="86">
        <v>0</v>
      </c>
      <c r="F342"/>
      <c r="G342"/>
      <c r="H342"/>
      <c r="I342" s="315"/>
    </row>
    <row r="343" spans="1:9" s="220" customFormat="1">
      <c r="A343" s="236" t="str">
        <f>IF(Model!A355=0,"",Model!A355)</f>
        <v>Outlet Flow</v>
      </c>
      <c r="B343" s="236" t="str">
        <f>IF(Model!B355=0,"",Model!B355)</f>
        <v>t/h</v>
      </c>
      <c r="C343" s="86">
        <f>IF(ISBLANK(Model!C355),"",Model!C355)</f>
        <v>0</v>
      </c>
      <c r="D343" s="86">
        <v>0</v>
      </c>
      <c r="E343" s="86">
        <v>0</v>
      </c>
      <c r="F343"/>
      <c r="G343"/>
      <c r="H343"/>
      <c r="I343" s="315"/>
    </row>
    <row r="344" spans="1:9" s="315" customFormat="1">
      <c r="A344" s="236"/>
      <c r="B344" s="236"/>
      <c r="C344" s="45" t="str">
        <f>IF(ISBLANK(Model!D353),"",Model!D353)</f>
        <v>ST5</v>
      </c>
      <c r="D344" s="45" t="s">
        <v>57</v>
      </c>
      <c r="E344" s="45" t="s">
        <v>57</v>
      </c>
      <c r="F344"/>
      <c r="G344"/>
      <c r="H344"/>
    </row>
    <row r="345" spans="1:9" s="315" customFormat="1">
      <c r="A345" s="236" t="str">
        <f>A342</f>
        <v>Turbine Work</v>
      </c>
      <c r="B345" s="236" t="str">
        <f>B342</f>
        <v>MW</v>
      </c>
      <c r="C345" s="86">
        <f>IF(ISBLANK(Model!D354),"",Model!D354)</f>
        <v>0</v>
      </c>
      <c r="D345" s="86">
        <v>0</v>
      </c>
      <c r="E345" s="86">
        <v>0</v>
      </c>
      <c r="F345"/>
      <c r="G345"/>
      <c r="H345"/>
    </row>
    <row r="346" spans="1:9" s="315" customFormat="1">
      <c r="A346" s="236" t="str">
        <f>A343</f>
        <v>Outlet Flow</v>
      </c>
      <c r="B346" s="236" t="str">
        <f>B343</f>
        <v>t/h</v>
      </c>
      <c r="C346" s="86">
        <f>IF(ISBLANK(Model!D355),"",Model!D355)</f>
        <v>0</v>
      </c>
      <c r="D346" s="86">
        <v>0</v>
      </c>
      <c r="E346" s="86">
        <v>0</v>
      </c>
      <c r="F346"/>
      <c r="G346"/>
      <c r="H346"/>
    </row>
    <row r="347" spans="1:9" s="315" customFormat="1">
      <c r="A347" s="236"/>
      <c r="B347" s="236"/>
      <c r="C347" s="45" t="str">
        <f>IF(ISBLANK(Model!E353),"",Model!E353)</f>
        <v>ST6</v>
      </c>
      <c r="D347" s="45" t="s">
        <v>56</v>
      </c>
      <c r="E347" s="45" t="s">
        <v>56</v>
      </c>
      <c r="F347"/>
      <c r="G347"/>
      <c r="H347"/>
    </row>
    <row r="348" spans="1:9" s="315" customFormat="1">
      <c r="A348" s="236" t="str">
        <f>A345</f>
        <v>Turbine Work</v>
      </c>
      <c r="B348" s="236" t="str">
        <f>B345</f>
        <v>MW</v>
      </c>
      <c r="C348" s="86">
        <f>IF(ISBLANK(Model!E354),"",Model!E354)</f>
        <v>0</v>
      </c>
      <c r="D348" s="86">
        <v>0</v>
      </c>
      <c r="E348" s="86">
        <v>0</v>
      </c>
      <c r="F348"/>
      <c r="G348"/>
      <c r="H348"/>
    </row>
    <row r="349" spans="1:9" s="315" customFormat="1">
      <c r="A349" s="236" t="str">
        <f>A346</f>
        <v>Outlet Flow</v>
      </c>
      <c r="B349" s="236" t="str">
        <f>B346</f>
        <v>t/h</v>
      </c>
      <c r="C349" s="86">
        <f>IF(ISBLANK(Model!E355),"",Model!E355)</f>
        <v>0</v>
      </c>
      <c r="D349" s="86">
        <v>0</v>
      </c>
      <c r="E349" s="86">
        <v>0</v>
      </c>
      <c r="F349"/>
      <c r="G349"/>
      <c r="H349"/>
    </row>
    <row r="350" spans="1:9" s="315" customFormat="1">
      <c r="A350" s="236"/>
      <c r="B350" s="236"/>
      <c r="C350" s="45" t="str">
        <f>IF(ISBLANK(Model!F353),"",Model!F353)</f>
        <v>ST7</v>
      </c>
      <c r="D350" s="45" t="s">
        <v>142</v>
      </c>
      <c r="E350" s="45" t="s">
        <v>142</v>
      </c>
      <c r="F350"/>
      <c r="G350"/>
      <c r="H350"/>
    </row>
    <row r="351" spans="1:9" s="315" customFormat="1">
      <c r="A351" s="236" t="str">
        <f>A348</f>
        <v>Turbine Work</v>
      </c>
      <c r="B351" s="236" t="str">
        <f>B348</f>
        <v>MW</v>
      </c>
      <c r="C351" s="86">
        <f>IF(ISBLANK(Model!F354),"",Model!F354)</f>
        <v>0</v>
      </c>
      <c r="D351" s="86">
        <v>0</v>
      </c>
      <c r="E351" s="86">
        <v>0</v>
      </c>
      <c r="F351"/>
      <c r="G351"/>
      <c r="H351"/>
    </row>
    <row r="352" spans="1:9" s="315" customFormat="1">
      <c r="A352" s="236" t="str">
        <f>A349</f>
        <v>Outlet Flow</v>
      </c>
      <c r="B352" s="236" t="str">
        <f>B349</f>
        <v>t/h</v>
      </c>
      <c r="C352" s="86">
        <f>IF(ISBLANK(Model!F355),"",Model!F355)</f>
        <v>0</v>
      </c>
      <c r="D352" s="86">
        <v>0</v>
      </c>
      <c r="E352" s="86">
        <v>0</v>
      </c>
      <c r="F352"/>
      <c r="G352"/>
      <c r="H352"/>
    </row>
    <row r="353" spans="1:9" s="315" customFormat="1">
      <c r="A353" s="236"/>
      <c r="B353" s="236"/>
      <c r="C353" s="45" t="str">
        <f>IF(ISBLANK(Model!G353),"",Model!G353)</f>
        <v>HP ST5</v>
      </c>
      <c r="D353" s="45" t="s">
        <v>711</v>
      </c>
      <c r="E353" s="45" t="s">
        <v>711</v>
      </c>
      <c r="F353"/>
      <c r="G353"/>
      <c r="H353"/>
    </row>
    <row r="354" spans="1:9" s="315" customFormat="1">
      <c r="A354" s="236" t="str">
        <f>A351</f>
        <v>Turbine Work</v>
      </c>
      <c r="B354" s="236" t="str">
        <f>B351</f>
        <v>MW</v>
      </c>
      <c r="C354" s="86">
        <f>IF(ISBLANK(Model!G354),"",Model!G354)</f>
        <v>2.0583</v>
      </c>
      <c r="D354" s="86">
        <v>2.0326101203999998</v>
      </c>
      <c r="E354" s="86">
        <v>2.0583</v>
      </c>
      <c r="F354"/>
      <c r="G354"/>
      <c r="H354"/>
    </row>
    <row r="355" spans="1:9" s="315" customFormat="1">
      <c r="A355" s="236" t="str">
        <f>A352</f>
        <v>Outlet Flow</v>
      </c>
      <c r="B355" s="236" t="str">
        <f>B352</f>
        <v>t/h</v>
      </c>
      <c r="C355" s="86">
        <f>IF(ISBLANK(Model!G355),"",Model!G355)</f>
        <v>22</v>
      </c>
      <c r="D355" s="86">
        <v>21.721971</v>
      </c>
      <c r="E355" s="86">
        <v>22</v>
      </c>
      <c r="F355"/>
      <c r="G355"/>
      <c r="H355"/>
    </row>
    <row r="356" spans="1:9" s="220" customFormat="1" ht="16" thickBot="1">
      <c r="A356" s="372" t="str">
        <f>IF(Model!A357=0,"",Model!A357)</f>
        <v>Steam Turbine 2</v>
      </c>
      <c r="B356" s="384" t="str">
        <f>IF(Model!B357=0,"",Model!B357)</f>
        <v/>
      </c>
      <c r="C356" s="396" t="str">
        <f>IF(ISBLANK(Model!C357),"",Model!C357)</f>
        <v/>
      </c>
      <c r="D356" s="396" t="s">
        <v>816</v>
      </c>
      <c r="E356" s="396" t="s">
        <v>816</v>
      </c>
      <c r="F356"/>
      <c r="G356"/>
      <c r="H356"/>
      <c r="I356" s="315"/>
    </row>
    <row r="357" spans="1:9" s="220" customFormat="1">
      <c r="A357" s="238" t="str">
        <f>IF(Model!A362=0,"",Model!A362)</f>
        <v>Inlet flow (min)</v>
      </c>
      <c r="B357" s="325" t="str">
        <f>IF(Model!B362=0,"",Model!B362)</f>
        <v>t/h</v>
      </c>
      <c r="C357" s="335">
        <f>IF(ISBLANK(Model!C362),"",Model!C362)</f>
        <v>4.3091277999999997</v>
      </c>
      <c r="D357" s="335">
        <v>4.3091277999999997</v>
      </c>
      <c r="E357" s="335">
        <v>4.3091277999999997</v>
      </c>
      <c r="F357"/>
      <c r="G357"/>
      <c r="H357"/>
      <c r="I357" s="315"/>
    </row>
    <row r="358" spans="1:9" s="220" customFormat="1">
      <c r="A358" s="238" t="str">
        <f>IF(Model!A363=0,"",Model!A363)</f>
        <v>Inlet flow (max)</v>
      </c>
      <c r="B358" s="325" t="str">
        <f>IF(Model!B363=0,"",Model!B363)</f>
        <v>kWe</v>
      </c>
      <c r="C358" s="335">
        <f>IF(ISBLANK(Model!C363),"",Model!C363)</f>
        <v>12.473790999999999</v>
      </c>
      <c r="D358" s="335">
        <v>12.473790999999999</v>
      </c>
      <c r="E358" s="335">
        <v>12.473790999999999</v>
      </c>
      <c r="F358"/>
      <c r="G358"/>
      <c r="H358"/>
      <c r="I358" s="315"/>
    </row>
    <row r="359" spans="1:9" s="220" customFormat="1">
      <c r="A359" s="238" t="str">
        <f>IF(Model!A364=0,"",Model!A364)</f>
        <v>Power (min)</v>
      </c>
      <c r="B359" s="325" t="str">
        <f>IF(Model!B364=0,"",Model!B364)</f>
        <v>t/h</v>
      </c>
      <c r="C359" s="335">
        <f>IF(ISBLANK(Model!C364),"",Model!C364)</f>
        <v>416.66666666666703</v>
      </c>
      <c r="D359" s="335">
        <v>416.66666666666703</v>
      </c>
      <c r="E359" s="335">
        <v>416.66666666666703</v>
      </c>
      <c r="F359"/>
      <c r="G359"/>
      <c r="H359"/>
      <c r="I359" s="315"/>
    </row>
    <row r="360" spans="1:9" s="220" customFormat="1">
      <c r="A360" s="238" t="str">
        <f>IF(Model!A365=0,"",Model!A365)</f>
        <v>Power (max)</v>
      </c>
      <c r="B360" s="325" t="str">
        <f>IF(Model!B365=0,"",Model!B365)</f>
        <v>kWe</v>
      </c>
      <c r="C360" s="335">
        <f>IF(ISBLANK(Model!C365),"",Model!C365)</f>
        <v>2500</v>
      </c>
      <c r="D360" s="335">
        <v>2500</v>
      </c>
      <c r="E360" s="335">
        <v>2500</v>
      </c>
      <c r="F360"/>
      <c r="G360"/>
      <c r="H360"/>
      <c r="I360" s="315"/>
    </row>
    <row r="361" spans="1:9" s="220" customFormat="1">
      <c r="A361" s="119" t="str">
        <f>IF(Model!A366=0,"",Model!A366)</f>
        <v>Slope</v>
      </c>
      <c r="B361" s="325" t="str">
        <f>IF(Model!B366=0,"",Model!B366)</f>
        <v/>
      </c>
      <c r="C361" s="335">
        <f>IF(ISBLANK(Model!C366),"",Model!C366)</f>
        <v>255.16463843031929</v>
      </c>
      <c r="D361" s="335">
        <v>255.16463843031929</v>
      </c>
      <c r="E361" s="335">
        <v>255.16463843031929</v>
      </c>
      <c r="F361"/>
      <c r="G361"/>
      <c r="H361"/>
      <c r="I361" s="315"/>
    </row>
    <row r="362" spans="1:9" s="220" customFormat="1">
      <c r="A362" s="446" t="str">
        <f>IF(Model!A367=0,"",Model!A367)</f>
        <v>Intercept</v>
      </c>
      <c r="B362" s="325" t="str">
        <f>IF(Model!B367=0,"",Model!B367)</f>
        <v/>
      </c>
      <c r="C362" s="335">
        <f>IF(ISBLANK(Model!C367),"",Model!C367)</f>
        <v>-682.87037037036998</v>
      </c>
      <c r="D362" s="335">
        <v>-682.87037037036998</v>
      </c>
      <c r="E362" s="335">
        <v>-682.87037037036998</v>
      </c>
      <c r="F362"/>
      <c r="G362"/>
      <c r="H362"/>
      <c r="I362" s="315"/>
    </row>
    <row r="363" spans="1:9" s="220" customFormat="1">
      <c r="A363" s="238" t="str">
        <f>IF(Model!A368=0,"",Model!A368)</f>
        <v>Unadjusted power output</v>
      </c>
      <c r="B363" s="298" t="str">
        <f>IF(Model!B368=0,"",Model!B368)</f>
        <v>kWe</v>
      </c>
      <c r="C363" s="335">
        <f>IF(ISBLANK(Model!C368),"",Model!C368)</f>
        <v>0</v>
      </c>
      <c r="D363" s="335">
        <v>0</v>
      </c>
      <c r="E363" s="335">
        <v>0</v>
      </c>
      <c r="F363"/>
      <c r="G363"/>
      <c r="H363"/>
      <c r="I363" s="315"/>
    </row>
    <row r="364" spans="1:9" s="220" customFormat="1">
      <c r="A364" s="238" t="str">
        <f>IF(Model!A369=0,"",Model!A369)</f>
        <v>Change in power per extraction level</v>
      </c>
      <c r="B364" s="298" t="str">
        <f>IF(Model!B369=0,"",Model!B369)</f>
        <v>kWe</v>
      </c>
      <c r="C364" s="335">
        <f>IF(ISBLANK(Model!C369),"",Model!C369)</f>
        <v>600</v>
      </c>
      <c r="D364" s="335">
        <v>600</v>
      </c>
      <c r="E364" s="335">
        <v>600</v>
      </c>
      <c r="F364"/>
      <c r="G364"/>
      <c r="H364"/>
      <c r="I364" s="315"/>
    </row>
    <row r="365" spans="1:9" s="220" customFormat="1">
      <c r="A365" s="238" t="str">
        <f>IF(Model!A370=0,"",Model!A370)</f>
        <v>Extraction level</v>
      </c>
      <c r="B365" s="298" t="str">
        <f>IF(Model!B370=0,"",Model!B370)</f>
        <v>t/h</v>
      </c>
      <c r="C365" s="335">
        <f>IF(ISBLANK(Model!C370),"",Model!C370)</f>
        <v>4.5359239999999996</v>
      </c>
      <c r="D365" s="335">
        <v>4.5359239999999996</v>
      </c>
      <c r="E365" s="335">
        <v>4.5359239999999996</v>
      </c>
      <c r="F365"/>
      <c r="G365"/>
      <c r="H365"/>
      <c r="I365" s="315"/>
    </row>
    <row r="366" spans="1:9" s="220" customFormat="1">
      <c r="A366" s="238" t="str">
        <f>IF(Model!A371=0,"",Model!A371)</f>
        <v>Specific change in power</v>
      </c>
      <c r="B366" s="298" t="str">
        <f>IF(Model!B371=0,"",Model!B371)</f>
        <v>kWe/(t/h)</v>
      </c>
      <c r="C366" s="335">
        <f>IF(ISBLANK(Model!C371),"",Model!C371)</f>
        <v>132.2773485622775</v>
      </c>
      <c r="D366" s="335">
        <v>132.2773485622775</v>
      </c>
      <c r="E366" s="335">
        <v>132.2773485622775</v>
      </c>
      <c r="F366"/>
      <c r="G366"/>
      <c r="H366"/>
      <c r="I366" s="315"/>
    </row>
    <row r="367" spans="1:9" s="220" customFormat="1">
      <c r="A367" s="238" t="str">
        <f>IF(Model!A372=0,"",Model!A372)</f>
        <v>Change in power</v>
      </c>
      <c r="B367" s="298" t="str">
        <f>IF(Model!B372=0,"",Model!B372)</f>
        <v>kWe</v>
      </c>
      <c r="C367" s="335">
        <f>IF(ISBLANK(Model!C372),"",Model!C372)</f>
        <v>0</v>
      </c>
      <c r="D367" s="335">
        <v>0</v>
      </c>
      <c r="E367" s="335">
        <v>0</v>
      </c>
      <c r="F367"/>
      <c r="G367"/>
      <c r="H367"/>
      <c r="I367" s="315"/>
    </row>
    <row r="368" spans="1:9" s="220" customFormat="1">
      <c r="A368" s="224" t="str">
        <f>IF(Model!A373=0,"",Model!A373)</f>
        <v>Turbine power output</v>
      </c>
      <c r="B368" s="298" t="str">
        <f>IF(Model!B373=0,"",Model!B373)</f>
        <v>kWe</v>
      </c>
      <c r="C368" s="335">
        <f>IF(ISBLANK(Model!C373),"",Model!C373)</f>
        <v>0</v>
      </c>
      <c r="D368" s="335">
        <v>0</v>
      </c>
      <c r="E368" s="335">
        <v>0</v>
      </c>
      <c r="F368"/>
      <c r="G368"/>
      <c r="H368"/>
      <c r="I368" s="315"/>
    </row>
    <row r="369" spans="1:9" s="220" customFormat="1" ht="16" thickBot="1">
      <c r="A369" s="372" t="str">
        <f>IF(Model!A375=0,"",Model!A375)</f>
        <v>Steam Turbine 5</v>
      </c>
      <c r="B369" s="334" t="str">
        <f>IF(Model!B375=0,"",Model!B375)</f>
        <v/>
      </c>
      <c r="C369" s="335" t="str">
        <f>IF(ISBLANK(Model!C374),"",Model!C374)</f>
        <v/>
      </c>
      <c r="D369" s="335" t="s">
        <v>816</v>
      </c>
      <c r="E369" s="335" t="s">
        <v>816</v>
      </c>
      <c r="F369"/>
      <c r="G369"/>
      <c r="H369"/>
      <c r="I369" s="315"/>
    </row>
    <row r="370" spans="1:9" s="220" customFormat="1">
      <c r="A370" s="224" t="str">
        <f>IF(Model!A379=0,"",Model!A379)</f>
        <v>Extraction flow (min)</v>
      </c>
      <c r="B370" s="260" t="str">
        <f>IF(Model!B379=0,"",Model!B379)</f>
        <v/>
      </c>
      <c r="C370" s="260">
        <f>IF(ISBLANK(Model!C379),"",Model!C379)</f>
        <v>0</v>
      </c>
      <c r="D370" s="260">
        <v>0</v>
      </c>
      <c r="E370" s="260">
        <v>0</v>
      </c>
      <c r="F370"/>
      <c r="G370"/>
      <c r="H370"/>
      <c r="I370" s="315"/>
    </row>
    <row r="371" spans="1:9" s="220" customFormat="1">
      <c r="A371" s="224" t="str">
        <f>IF(Model!A380=0,"",Model!A380)</f>
        <v>Extraction flow (max)</v>
      </c>
      <c r="B371" s="260" t="str">
        <f>IF(Model!B380=0,"",Model!B380)</f>
        <v/>
      </c>
      <c r="C371" s="260">
        <f>IF(ISBLANK(Model!C380),"",Model!C380)</f>
        <v>22.68</v>
      </c>
      <c r="D371" s="260">
        <v>22.68</v>
      </c>
      <c r="E371" s="260">
        <v>22.68</v>
      </c>
      <c r="F371"/>
      <c r="G371"/>
      <c r="H371"/>
      <c r="I371" s="315"/>
    </row>
    <row r="372" spans="1:9" s="220" customFormat="1">
      <c r="A372" s="224" t="str">
        <f>IF(Model!A381=0,"",Model!A381)</f>
        <v>Inlet flow (min)</v>
      </c>
      <c r="B372" s="260" t="str">
        <f>IF(Model!B381=0,"",Model!B381)</f>
        <v/>
      </c>
      <c r="C372" s="260">
        <f>IF(ISBLANK(Model!C381),"",Model!C381)</f>
        <v>12.75</v>
      </c>
      <c r="D372" s="260">
        <v>12.75</v>
      </c>
      <c r="E372" s="260">
        <v>12.75</v>
      </c>
      <c r="F372"/>
      <c r="G372"/>
      <c r="H372"/>
      <c r="I372" s="315"/>
    </row>
    <row r="373" spans="1:9" s="220" customFormat="1">
      <c r="A373" s="224" t="str">
        <f>IF(Model!A382=0,"",Model!A382)</f>
        <v>Inlet flow (max)</v>
      </c>
      <c r="B373" s="260" t="str">
        <f>IF(Model!B382=0,"",Model!B382)</f>
        <v/>
      </c>
      <c r="C373" s="260">
        <f>IF(ISBLANK(Model!C382),"",Model!C382)</f>
        <v>52.18</v>
      </c>
      <c r="D373" s="260">
        <v>52.18</v>
      </c>
      <c r="E373" s="260">
        <v>52.18</v>
      </c>
      <c r="F373"/>
      <c r="G373"/>
      <c r="H373"/>
      <c r="I373" s="315"/>
    </row>
    <row r="374" spans="1:9" s="220" customFormat="1">
      <c r="A374" s="224" t="str">
        <f>IF(Model!A383=0,"",Model!A383)</f>
        <v>Slope of no extraction line</v>
      </c>
      <c r="B374" s="260" t="str">
        <f>IF(Model!B383=0,"",Model!B383)</f>
        <v/>
      </c>
      <c r="C374" s="318">
        <f>IF(ISBLANK(Model!C383),"",Model!C383)</f>
        <v>0.18343949044585986</v>
      </c>
      <c r="D374" s="318">
        <v>0.18343949044585986</v>
      </c>
      <c r="E374" s="318">
        <v>0.18343949044585986</v>
      </c>
      <c r="F374"/>
      <c r="G374"/>
      <c r="H374"/>
      <c r="I374" s="315"/>
    </row>
    <row r="375" spans="1:9" s="220" customFormat="1">
      <c r="A375" s="224" t="str">
        <f>IF(Model!A384=0,"",Model!A384)</f>
        <v>Intercept of no extraction line</v>
      </c>
      <c r="B375" s="260" t="str">
        <f>IF(Model!B384=0,"",Model!B384)</f>
        <v/>
      </c>
      <c r="C375" s="318">
        <f>IF(ISBLANK(Model!C384),"",Model!C384)</f>
        <v>-1.3388535031847137</v>
      </c>
      <c r="D375" s="318">
        <v>-1.3388535031847137</v>
      </c>
      <c r="E375" s="318">
        <v>-1.3388535031847137</v>
      </c>
      <c r="F375"/>
      <c r="G375"/>
      <c r="H375"/>
      <c r="I375" s="315"/>
    </row>
    <row r="376" spans="1:9" s="220" customFormat="1">
      <c r="A376" s="224" t="str">
        <f>IF(Model!A385=0,"",Model!A385)</f>
        <v>Unadjusted ST power</v>
      </c>
      <c r="B376" s="260" t="str">
        <f>IF(Model!B385=0,"",Model!B385)</f>
        <v>MWe</v>
      </c>
      <c r="C376" s="318">
        <f>IF(ISBLANK(Model!C385),"",Model!C385)</f>
        <v>0</v>
      </c>
      <c r="D376" s="318">
        <v>0</v>
      </c>
      <c r="E376" s="318">
        <v>0</v>
      </c>
      <c r="F376"/>
      <c r="G376"/>
      <c r="H376"/>
      <c r="I376" s="315"/>
    </row>
    <row r="377" spans="1:9" s="220" customFormat="1">
      <c r="A377" s="224" t="str">
        <f>IF(Model!A386=0,"",Model!A386)</f>
        <v>Power loss due to extraction</v>
      </c>
      <c r="B377" s="260" t="str">
        <f>IF(Model!B386=0,"",Model!B386)</f>
        <v>MWe</v>
      </c>
      <c r="C377" s="318">
        <f>IF(ISBLANK(Model!C386),"",Model!C386)</f>
        <v>1.9999999999999991</v>
      </c>
      <c r="D377" s="318">
        <v>1.9999999999999991</v>
      </c>
      <c r="E377" s="318">
        <v>1.9999999999999991</v>
      </c>
      <c r="F377"/>
      <c r="G377"/>
      <c r="H377"/>
      <c r="I377" s="315"/>
    </row>
    <row r="378" spans="1:9" s="220" customFormat="1">
      <c r="A378" s="224" t="str">
        <f>IF(Model!A387=0,"",Model!A387)</f>
        <v>Extraction range</v>
      </c>
      <c r="B378" s="260" t="str">
        <f>IF(Model!B387=0,"",Model!B387)</f>
        <v>t/h</v>
      </c>
      <c r="C378" s="260">
        <f>IF(ISBLANK(Model!C387),"",Model!C387)</f>
        <v>22.68</v>
      </c>
      <c r="D378" s="260">
        <v>22.68</v>
      </c>
      <c r="E378" s="260">
        <v>22.68</v>
      </c>
      <c r="F378"/>
      <c r="G378"/>
      <c r="H378"/>
      <c r="I378" s="315"/>
    </row>
    <row r="379" spans="1:9" s="220" customFormat="1">
      <c r="A379" s="224" t="str">
        <f>IF(Model!A388=0,"",Model!A388)</f>
        <v>Extraction adjustment</v>
      </c>
      <c r="B379" s="260" t="str">
        <f>IF(Model!B388=0,"",Model!B388)</f>
        <v>MWe</v>
      </c>
      <c r="C379" s="318">
        <f>IF(ISBLANK(Model!C388),"",Model!C388)</f>
        <v>0</v>
      </c>
      <c r="D379" s="318">
        <v>0</v>
      </c>
      <c r="E379" s="318">
        <v>0</v>
      </c>
      <c r="F379"/>
      <c r="G379"/>
      <c r="H379"/>
      <c r="I379" s="315"/>
    </row>
    <row r="380" spans="1:9" s="220" customFormat="1">
      <c r="A380" s="238" t="str">
        <f>IF(Model!A389=0,"",Model!A389)</f>
        <v>Power after extraction adjustment</v>
      </c>
      <c r="B380" s="260" t="str">
        <f>IF(Model!B389=0,"",Model!B389)</f>
        <v>MWe</v>
      </c>
      <c r="C380" s="318">
        <f>IF(ISBLANK(Model!C389),"",Model!C389)</f>
        <v>0</v>
      </c>
      <c r="D380" s="318">
        <v>0</v>
      </c>
      <c r="E380" s="318">
        <v>0</v>
      </c>
      <c r="F380"/>
      <c r="G380"/>
      <c r="H380"/>
      <c r="I380" s="315"/>
    </row>
    <row r="381" spans="1:9" s="220" customFormat="1">
      <c r="A381" s="224" t="str">
        <f>IF(Model!A390=0,"",Model!A390)</f>
        <v>Power after ext. adj &amp; other adjustment</v>
      </c>
      <c r="B381" s="260" t="str">
        <f>IF(Model!B390=0,"",Model!B390)</f>
        <v>MWe</v>
      </c>
      <c r="C381" s="340">
        <f>IF(ISBLANK(Model!C390),"",Model!C390)</f>
        <v>0</v>
      </c>
      <c r="D381" s="340">
        <v>0</v>
      </c>
      <c r="E381" s="340">
        <v>0</v>
      </c>
      <c r="F381"/>
      <c r="G381"/>
      <c r="H381"/>
      <c r="I381" s="315"/>
    </row>
    <row r="382" spans="1:9" s="220" customFormat="1">
      <c r="A382" s="224" t="str">
        <f>IF(Model!A391=0,"",Model!A391)</f>
        <v>Simple backpressure power</v>
      </c>
      <c r="B382" s="260" t="str">
        <f>IF(Model!B391=0,"",Model!B391)</f>
        <v>MWe</v>
      </c>
      <c r="C382" s="340">
        <f>IF(ISBLANK(Model!C391),"",Model!C391)</f>
        <v>0</v>
      </c>
      <c r="D382" s="340">
        <v>0</v>
      </c>
      <c r="E382" s="340">
        <v>0</v>
      </c>
      <c r="F382"/>
      <c r="G382"/>
      <c r="H382"/>
      <c r="I382" s="315"/>
    </row>
    <row r="383" spans="1:9" s="220" customFormat="1" ht="16" thickBot="1">
      <c r="A383" s="384" t="str">
        <f>IF(Model!A393=0,"",Model!A393)</f>
        <v>Steam Turbine 6</v>
      </c>
      <c r="B383" s="202" t="str">
        <f>IF(Model!B393=0,"",Model!B393)</f>
        <v/>
      </c>
      <c r="C383" s="335"/>
      <c r="D383" s="335"/>
      <c r="E383" s="335"/>
      <c r="F383"/>
      <c r="G383"/>
      <c r="H383"/>
      <c r="I383" s="315"/>
    </row>
    <row r="384" spans="1:9" s="220" customFormat="1">
      <c r="A384" s="387" t="str">
        <f>IF(Model!A394=0,"",Model!A394)</f>
        <v>ST6 is a simple turbine to model, with no extraction.  The minimum and maximum inlet flow are taken from the steam turbine curves (shown in 'Assets')</v>
      </c>
      <c r="B384" s="202" t="str">
        <f>IF(Model!B394=0,"",Model!B394)</f>
        <v/>
      </c>
      <c r="C384" s="328" t="str">
        <f>IF(ISBLANK(Model!C394),"",Model!C394)</f>
        <v/>
      </c>
      <c r="D384" s="328" t="s">
        <v>816</v>
      </c>
      <c r="E384" s="328" t="s">
        <v>816</v>
      </c>
      <c r="F384"/>
      <c r="G384"/>
      <c r="H384"/>
      <c r="I384" s="315"/>
    </row>
    <row r="385" spans="1:9" s="220" customFormat="1">
      <c r="A385" s="59" t="str">
        <f>IF(Model!A395=0,"",Model!A395)</f>
        <v>Minimum Inlet Flow</v>
      </c>
      <c r="B385" s="59" t="str">
        <f>IF(Model!B395=0,"",Model!B395)</f>
        <v>t/h</v>
      </c>
      <c r="C385" s="318">
        <f>IF(ISBLANK(Model!C395),"",Model!C395)</f>
        <v>13.607771099999999</v>
      </c>
      <c r="D385" s="318">
        <v>13.607771099999999</v>
      </c>
      <c r="E385" s="318">
        <v>13.607771099999999</v>
      </c>
      <c r="F385"/>
      <c r="G385"/>
      <c r="H385"/>
      <c r="I385" s="315"/>
    </row>
    <row r="386" spans="1:9" s="220" customFormat="1">
      <c r="A386" s="59" t="str">
        <f>IF(Model!A396=0,"",Model!A396)</f>
        <v>Maximum Inlet Flow</v>
      </c>
      <c r="B386" s="321" t="str">
        <f>IF(Model!B396=0,"",Model!B396)</f>
        <v>t/h</v>
      </c>
      <c r="C386" s="321">
        <f>IF(ISBLANK(Model!C396),"",Model!C396)</f>
        <v>53.977492030000001</v>
      </c>
      <c r="D386" s="321">
        <v>53.977492030000001</v>
      </c>
      <c r="E386" s="321">
        <v>53.977492030000001</v>
      </c>
      <c r="F386"/>
      <c r="G386"/>
      <c r="H386"/>
      <c r="I386" s="315"/>
    </row>
    <row r="387" spans="1:9" s="220" customFormat="1">
      <c r="A387" s="387" t="str">
        <f>IF(Model!A397=0,"",Model!A397)</f>
        <v>The power output can then be calculated from the inlet flow:</v>
      </c>
      <c r="B387" s="321" t="str">
        <f>IF(Model!B397=0,"",Model!B397)</f>
        <v/>
      </c>
      <c r="C387" s="321" t="str">
        <f>IF(ISBLANK(Model!C397),"",Model!C397)</f>
        <v/>
      </c>
      <c r="D387" s="321" t="s">
        <v>816</v>
      </c>
      <c r="E387" s="321" t="s">
        <v>816</v>
      </c>
      <c r="F387"/>
      <c r="G387"/>
      <c r="H387"/>
      <c r="I387" s="315"/>
    </row>
    <row r="388" spans="1:9" s="220" customFormat="1">
      <c r="A388" s="59" t="str">
        <f>IF(Model!A398=0,"",Model!A398)</f>
        <v>Power Output</v>
      </c>
      <c r="B388" s="321" t="str">
        <f>IF(Model!B398=0,"",Model!B398)</f>
        <v>MW</v>
      </c>
      <c r="C388" s="321">
        <f>IF(ISBLANK(Model!C398),"",Model!C398)</f>
        <v>0</v>
      </c>
      <c r="D388" s="321">
        <v>0</v>
      </c>
      <c r="E388" s="321">
        <v>0</v>
      </c>
      <c r="F388"/>
      <c r="G388"/>
      <c r="H388"/>
      <c r="I388" s="315"/>
    </row>
    <row r="389" spans="1:9" s="220" customFormat="1">
      <c r="A389" s="388" t="str">
        <f>IF(Model!A399=0,"",Model!A399)</f>
        <v>The isentropic efficiency is calculated below:</v>
      </c>
      <c r="B389" s="298" t="str">
        <f>IF(Model!B399=0,"",Model!B399)</f>
        <v/>
      </c>
      <c r="C389" s="318" t="str">
        <f>IF(ISBLANK(Model!C399),"",Model!C399)</f>
        <v/>
      </c>
      <c r="D389" s="318" t="s">
        <v>816</v>
      </c>
      <c r="E389" s="318" t="s">
        <v>816</v>
      </c>
      <c r="F389"/>
      <c r="G389"/>
      <c r="H389"/>
      <c r="I389" s="315"/>
    </row>
    <row r="390" spans="1:9" s="220" customFormat="1">
      <c r="A390" s="224" t="str">
        <f>IF(Model!A400=0,"",Model!A400)</f>
        <v>Enthalpy at inlet</v>
      </c>
      <c r="B390" s="298" t="str">
        <f>IF(Model!B400=0,"",Model!B400)</f>
        <v>kJ/kg</v>
      </c>
      <c r="C390" s="333" t="e">
        <f ca="1">IF(ISBLANK(Model!C400),"",Model!C400)</f>
        <v>#NAME?</v>
      </c>
      <c r="D390" s="333">
        <v>3149.7842154674945</v>
      </c>
      <c r="E390" s="333">
        <v>3149.7842154674945</v>
      </c>
      <c r="F390"/>
      <c r="G390"/>
      <c r="H390"/>
      <c r="I390" s="315"/>
    </row>
    <row r="391" spans="1:9" s="220" customFormat="1">
      <c r="A391" s="224" t="str">
        <f>IF(Model!A401=0,"",Model!A401)</f>
        <v>Entropy at inlet</v>
      </c>
      <c r="B391" s="298" t="str">
        <f>IF(Model!B401=0,"",Model!B401)</f>
        <v>kJ/kg.C</v>
      </c>
      <c r="C391" s="318" t="e">
        <f ca="1">IF(ISBLANK(Model!C401),"",Model!C401)</f>
        <v>#NAME?</v>
      </c>
      <c r="D391" s="318">
        <v>6.8784180577341045</v>
      </c>
      <c r="E391" s="318">
        <v>6.8784180577341045</v>
      </c>
      <c r="F391"/>
      <c r="G391"/>
      <c r="H391"/>
      <c r="I391" s="315"/>
    </row>
    <row r="392" spans="1:9" s="220" customFormat="1">
      <c r="A392" s="224" t="str">
        <f>IF(Model!A402=0,"",Model!A402)</f>
        <v>Pressure at outlet</v>
      </c>
      <c r="B392" s="298" t="str">
        <f>IF(Model!B402=0,"",Model!B402)</f>
        <v>bar a</v>
      </c>
      <c r="C392" s="318">
        <f>IF(ISBLANK(Model!C402),"",Model!C402)</f>
        <v>2.7132499999999999</v>
      </c>
      <c r="D392" s="318">
        <v>2.7132499999999999</v>
      </c>
      <c r="E392" s="318">
        <v>2.7132499999999999</v>
      </c>
      <c r="F392"/>
      <c r="G392"/>
      <c r="H392"/>
      <c r="I392" s="315"/>
    </row>
    <row r="393" spans="1:9" s="220" customFormat="1">
      <c r="A393" s="224" t="str">
        <f>IF(Model!A403=0,"",Model!A403)</f>
        <v>Isentropic enthalpy at outlet</v>
      </c>
      <c r="B393" s="298" t="str">
        <f>IF(Model!B403=0,"",Model!B403)</f>
        <v>kJ/kg</v>
      </c>
      <c r="C393" s="333" t="e">
        <f ca="1">IF(ISBLANK(Model!C403),"",Model!C403)</f>
        <v>#NAME?</v>
      </c>
      <c r="D393" s="333">
        <v>2661.1166793356015</v>
      </c>
      <c r="E393" s="333">
        <v>2661.1166793356015</v>
      </c>
      <c r="F393"/>
      <c r="G393"/>
      <c r="H393"/>
      <c r="I393" s="315"/>
    </row>
    <row r="394" spans="1:9" s="220" customFormat="1">
      <c r="A394" s="224" t="str">
        <f>IF(Model!A404=0,"",Model!A404)</f>
        <v>Isentropic power</v>
      </c>
      <c r="B394" s="298" t="str">
        <f>IF(Model!B404=0,"",Model!B404)</f>
        <v>MW</v>
      </c>
      <c r="C394" s="318" t="e">
        <f ca="1">IF(ISBLANK(Model!C404),"",Model!C404)</f>
        <v>#NAME?</v>
      </c>
      <c r="D394" s="318">
        <v>0</v>
      </c>
      <c r="E394" s="318">
        <v>0</v>
      </c>
      <c r="F394"/>
      <c r="G394"/>
      <c r="H394"/>
      <c r="I394" s="315"/>
    </row>
    <row r="395" spans="1:9" s="220" customFormat="1">
      <c r="A395" s="93" t="str">
        <f>IF(Model!A405=0,"",Model!A405)</f>
        <v>Isentropic efficiency</v>
      </c>
      <c r="B395" s="352" t="str">
        <f>IF(Model!B405=0,"",Model!B405)</f>
        <v>%</v>
      </c>
      <c r="C395" s="352">
        <f ca="1">IF(ISBLANK(Model!C405),"",Model!C405)</f>
        <v>0</v>
      </c>
      <c r="D395" s="352">
        <v>0</v>
      </c>
      <c r="E395" s="352">
        <v>0</v>
      </c>
      <c r="F395"/>
      <c r="G395"/>
      <c r="H395"/>
      <c r="I395" s="315"/>
    </row>
    <row r="396" spans="1:9" s="220" customFormat="1">
      <c r="A396" s="202" t="str">
        <f>IF(Model!A406=0,"",Model!A406)</f>
        <v/>
      </c>
      <c r="B396" s="321" t="str">
        <f>IF(Model!B406=0,"",Model!B406)</f>
        <v/>
      </c>
      <c r="C396" s="321" t="str">
        <f>IF(ISBLANK(Model!C406),"",Model!C406)</f>
        <v/>
      </c>
      <c r="D396" s="321" t="s">
        <v>816</v>
      </c>
      <c r="E396" s="321" t="s">
        <v>816</v>
      </c>
      <c r="F396"/>
      <c r="G396"/>
      <c r="H396"/>
      <c r="I396" s="315"/>
    </row>
    <row r="397" spans="1:9" s="220" customFormat="1" ht="16" thickBot="1">
      <c r="A397" s="384" t="str">
        <f>IF(Model!A407=0,"",Model!A407)</f>
        <v>Steam Turbine 7</v>
      </c>
      <c r="B397" s="321" t="str">
        <f>IF(Model!B407=0,"",Model!B407)</f>
        <v/>
      </c>
      <c r="C397" s="321" t="str">
        <f>IF(ISBLANK(Model!C407),"",Model!C407)</f>
        <v/>
      </c>
      <c r="D397" s="321" t="s">
        <v>816</v>
      </c>
      <c r="E397" s="321" t="s">
        <v>816</v>
      </c>
      <c r="F397"/>
      <c r="G397"/>
      <c r="H397"/>
      <c r="I397" s="315"/>
    </row>
    <row r="398" spans="1:9" s="220" customFormat="1">
      <c r="A398" s="387" t="str">
        <f>IF(Model!A408=0,"",Model!A408)</f>
        <v>ST7 is a simple turbine to model, with no extraction.  The minimum and maximum inlet flow are taken from the steam turbine curves shown in the 'Assets' sheet.</v>
      </c>
      <c r="B398" s="321" t="str">
        <f>IF(Model!B408=0,"",Model!B408)</f>
        <v/>
      </c>
      <c r="C398" s="321" t="str">
        <f>IF(ISBLANK(Model!C408),"",Model!C408)</f>
        <v/>
      </c>
      <c r="D398" s="321" t="s">
        <v>816</v>
      </c>
      <c r="E398" s="321" t="s">
        <v>816</v>
      </c>
      <c r="F398"/>
      <c r="G398"/>
      <c r="H398"/>
      <c r="I398" s="315"/>
    </row>
    <row r="399" spans="1:9" s="220" customFormat="1">
      <c r="A399" s="59" t="str">
        <f>IF(Model!A409=0,"",Model!A409)</f>
        <v>Minimum Inlet Flow</v>
      </c>
      <c r="B399" s="321" t="str">
        <f>IF(Model!B409=0,"",Model!B409)</f>
        <v>t/h</v>
      </c>
      <c r="C399" s="321">
        <f>IF(ISBLANK(Model!C409),"",Model!C409)</f>
        <v>18.75</v>
      </c>
      <c r="D399" s="321">
        <v>18.75</v>
      </c>
      <c r="E399" s="321">
        <v>18.75</v>
      </c>
      <c r="F399"/>
      <c r="G399"/>
      <c r="H399"/>
      <c r="I399" s="315"/>
    </row>
    <row r="400" spans="1:9" s="220" customFormat="1">
      <c r="A400" s="59" t="str">
        <f>IF(Model!A410=0,"",Model!A410)</f>
        <v>Maximum Inlet Flow</v>
      </c>
      <c r="B400" s="321" t="str">
        <f>IF(Model!B410=0,"",Model!B410)</f>
        <v>t/h</v>
      </c>
      <c r="C400" s="321">
        <f>IF(ISBLANK(Model!C410),"",Model!C410)</f>
        <v>30</v>
      </c>
      <c r="D400" s="321">
        <v>30</v>
      </c>
      <c r="E400" s="321">
        <v>30</v>
      </c>
      <c r="F400"/>
      <c r="G400"/>
      <c r="H400"/>
      <c r="I400" s="315"/>
    </row>
    <row r="401" spans="1:9" s="220" customFormat="1">
      <c r="A401" s="202" t="str">
        <f>IF(Model!A411=0,"",Model!A411)</f>
        <v>The power output can then be calculated from the inlet flow.</v>
      </c>
      <c r="B401" s="321" t="str">
        <f>IF(Model!B411=0,"",Model!B411)</f>
        <v/>
      </c>
      <c r="C401" s="321" t="str">
        <f>IF(ISBLANK(Model!C411),"",Model!C411)</f>
        <v/>
      </c>
      <c r="D401" s="321" t="s">
        <v>816</v>
      </c>
      <c r="E401" s="321" t="s">
        <v>816</v>
      </c>
      <c r="F401"/>
      <c r="G401"/>
      <c r="H401"/>
      <c r="I401" s="315"/>
    </row>
    <row r="402" spans="1:9" s="220" customFormat="1">
      <c r="A402" s="59" t="str">
        <f>IF(Model!A412=0,"",Model!A412)</f>
        <v>Power Output</v>
      </c>
      <c r="B402" s="321" t="str">
        <f>IF(Model!B412=0,"",Model!B412)</f>
        <v>MW</v>
      </c>
      <c r="C402" s="321">
        <f>IF(ISBLANK(Model!C412),"",Model!C412)</f>
        <v>0</v>
      </c>
      <c r="D402" s="321">
        <v>0</v>
      </c>
      <c r="E402" s="321">
        <v>0</v>
      </c>
      <c r="F402"/>
      <c r="G402"/>
      <c r="H402"/>
      <c r="I402" s="315"/>
    </row>
    <row r="403" spans="1:9" s="220" customFormat="1">
      <c r="A403" s="388" t="str">
        <f>IF(Model!A413=0,"",Model!A413)</f>
        <v>The isentropic efficiency is calculated below:</v>
      </c>
      <c r="B403" s="321" t="str">
        <f>IF(Model!B413=0,"",Model!B413)</f>
        <v/>
      </c>
      <c r="C403" s="321" t="str">
        <f>IF(ISBLANK(Model!C413),"",Model!C413)</f>
        <v/>
      </c>
      <c r="D403" s="321" t="s">
        <v>816</v>
      </c>
      <c r="E403" s="321" t="s">
        <v>816</v>
      </c>
      <c r="F403"/>
      <c r="G403"/>
      <c r="H403"/>
      <c r="I403" s="315"/>
    </row>
    <row r="404" spans="1:9" s="220" customFormat="1">
      <c r="A404" s="224" t="str">
        <f>IF(Model!A414=0,"",Model!A414)</f>
        <v>Enthalpy at inlet</v>
      </c>
      <c r="B404" s="298" t="str">
        <f>IF(Model!B414=0,"",Model!B414)</f>
        <v>kJ/kg</v>
      </c>
      <c r="C404" s="321" t="e">
        <f ca="1">IF(ISBLANK(Model!C414),"",Model!C414)</f>
        <v>#NAME?</v>
      </c>
      <c r="D404" s="321">
        <v>3149.7842154674945</v>
      </c>
      <c r="E404" s="321">
        <v>3149.7842154674945</v>
      </c>
      <c r="F404"/>
      <c r="G404"/>
      <c r="H404"/>
      <c r="I404" s="315"/>
    </row>
    <row r="405" spans="1:9" s="220" customFormat="1">
      <c r="A405" s="224" t="str">
        <f>IF(Model!A415=0,"",Model!A415)</f>
        <v>Entropy at inlet</v>
      </c>
      <c r="B405" s="298" t="str">
        <f>IF(Model!B415=0,"",Model!B415)</f>
        <v>kJ/kg.C</v>
      </c>
      <c r="C405" s="321" t="e">
        <f ca="1">IF(ISBLANK(Model!C415),"",Model!C415)</f>
        <v>#NAME?</v>
      </c>
      <c r="D405" s="321">
        <v>6.8784180577341045</v>
      </c>
      <c r="E405" s="321">
        <v>6.8784180577341045</v>
      </c>
      <c r="F405"/>
      <c r="G405"/>
      <c r="H405"/>
      <c r="I405" s="315"/>
    </row>
    <row r="406" spans="1:9" s="220" customFormat="1">
      <c r="A406" s="224" t="str">
        <f>IF(Model!A416=0,"",Model!A416)</f>
        <v>Pressure at outlet</v>
      </c>
      <c r="B406" s="298" t="str">
        <f>IF(Model!B416=0,"",Model!B416)</f>
        <v>bar a</v>
      </c>
      <c r="C406" s="321">
        <f>IF(ISBLANK(Model!C416),"",Model!C416)</f>
        <v>2.7132499999999999</v>
      </c>
      <c r="D406" s="321">
        <v>2.7132499999999999</v>
      </c>
      <c r="E406" s="321">
        <v>2.7132499999999999</v>
      </c>
      <c r="F406"/>
      <c r="G406"/>
      <c r="H406"/>
      <c r="I406" s="315"/>
    </row>
    <row r="407" spans="1:9" s="220" customFormat="1">
      <c r="A407" s="224" t="str">
        <f>IF(Model!A417=0,"",Model!A417)</f>
        <v>Isentropic enthalpy at outlet</v>
      </c>
      <c r="B407" s="298" t="str">
        <f>IF(Model!B417=0,"",Model!B417)</f>
        <v>kJ/kg</v>
      </c>
      <c r="C407" s="333" t="e">
        <f ca="1">IF(ISBLANK(Model!C417),"",Model!C417)</f>
        <v>#NAME?</v>
      </c>
      <c r="D407" s="333">
        <v>2661.1166793356015</v>
      </c>
      <c r="E407" s="333">
        <v>2661.1166793356015</v>
      </c>
      <c r="F407"/>
      <c r="G407"/>
      <c r="H407"/>
      <c r="I407" s="315"/>
    </row>
    <row r="408" spans="1:9" s="220" customFormat="1">
      <c r="A408" s="224" t="str">
        <f>IF(Model!A418=0,"",Model!A418)</f>
        <v>Isentropic power</v>
      </c>
      <c r="B408" s="298" t="str">
        <f>IF(Model!B418=0,"",Model!B418)</f>
        <v>MW</v>
      </c>
      <c r="C408" s="318" t="e">
        <f ca="1">IF(ISBLANK(Model!C418),"",Model!C418)</f>
        <v>#NAME?</v>
      </c>
      <c r="D408" s="318">
        <v>0</v>
      </c>
      <c r="E408" s="318">
        <v>0</v>
      </c>
      <c r="F408"/>
      <c r="G408"/>
      <c r="H408"/>
      <c r="I408" s="315"/>
    </row>
    <row r="409" spans="1:9" s="220" customFormat="1">
      <c r="A409" s="93" t="str">
        <f>IF(Model!A419=0,"",Model!A419)</f>
        <v>Isentropic efficiency</v>
      </c>
      <c r="B409" s="321" t="str">
        <f>IF(Model!B419=0,"",Model!B419)</f>
        <v>%</v>
      </c>
      <c r="C409" s="352">
        <f ca="1">IF(ISBLANK(Model!C419),"",Model!C419)</f>
        <v>0</v>
      </c>
      <c r="D409" s="352">
        <v>0</v>
      </c>
      <c r="E409" s="352">
        <v>0</v>
      </c>
      <c r="F409"/>
      <c r="G409"/>
      <c r="H409"/>
      <c r="I409" s="315"/>
    </row>
    <row r="410" spans="1:9" s="220" customFormat="1">
      <c r="A410" s="325" t="str">
        <f>IF(Model!A420=0,"",Model!A420)</f>
        <v/>
      </c>
      <c r="B410" s="321" t="str">
        <f>IF(Model!B420=0,"",Model!B420)</f>
        <v/>
      </c>
      <c r="C410" s="352" t="str">
        <f>IF(ISBLANK(Model!C420),"",Model!C420)</f>
        <v/>
      </c>
      <c r="D410" s="352" t="s">
        <v>816</v>
      </c>
      <c r="E410" s="352" t="s">
        <v>816</v>
      </c>
      <c r="F410"/>
      <c r="G410"/>
      <c r="H410"/>
      <c r="I410" s="315"/>
    </row>
    <row r="411" spans="1:9" s="220" customFormat="1" ht="16" thickBot="1">
      <c r="A411" s="385" t="str">
        <f>IF(Model!A421=0,"",Model!A421)</f>
        <v>HP Steam Turbine 5</v>
      </c>
      <c r="B411" s="260" t="str">
        <f>IF(Model!B421=0,"",Model!B421)</f>
        <v/>
      </c>
      <c r="C411" s="260" t="str">
        <f>IF(ISBLANK(Model!C421),"",Model!C421)</f>
        <v/>
      </c>
      <c r="D411" s="260" t="s">
        <v>816</v>
      </c>
      <c r="E411" s="260" t="s">
        <v>816</v>
      </c>
      <c r="F411"/>
      <c r="G411"/>
      <c r="H411"/>
      <c r="I411" s="315"/>
    </row>
    <row r="412" spans="1:9" s="220" customFormat="1">
      <c r="A412" s="260" t="str">
        <f>IF(Model!A423=0,"",Model!A423)</f>
        <v>Acutal inlet pressure</v>
      </c>
      <c r="B412" s="260" t="str">
        <f>IF(Model!B423=0,"",Model!B423)</f>
        <v>bar a</v>
      </c>
      <c r="C412" s="318">
        <f>IF(ISBLANK(Model!C423),"",Model!C423)</f>
        <v>24</v>
      </c>
      <c r="D412" s="318">
        <v>24</v>
      </c>
      <c r="E412" s="318">
        <v>24</v>
      </c>
      <c r="F412"/>
      <c r="G412"/>
      <c r="H412"/>
      <c r="I412" s="315"/>
    </row>
    <row r="413" spans="1:9" s="220" customFormat="1">
      <c r="A413" s="298" t="str">
        <f>IF(Model!A424=0,"",Model!A424)</f>
        <v>Actual inlet temperature</v>
      </c>
      <c r="B413" s="260" t="str">
        <f>IF(Model!B424=0,"",Model!B424)</f>
        <v>C</v>
      </c>
      <c r="C413" s="318">
        <f>IF(ISBLANK(Model!C424),"",Model!C424)</f>
        <v>370</v>
      </c>
      <c r="D413" s="318">
        <v>370</v>
      </c>
      <c r="E413" s="318">
        <v>370</v>
      </c>
      <c r="F413"/>
      <c r="G413"/>
      <c r="H413"/>
      <c r="I413" s="315"/>
    </row>
    <row r="414" spans="1:9" s="220" customFormat="1">
      <c r="A414" s="298" t="str">
        <f>IF(Model!A425=0,"",Model!A425)</f>
        <v>Actual outlet pressure</v>
      </c>
      <c r="B414" s="298" t="str">
        <f>IF(Model!B425=0,"",Model!B425)</f>
        <v>bar a</v>
      </c>
      <c r="C414" s="318">
        <f>IF(ISBLANK(Model!C425),"",Model!C425)</f>
        <v>2.7</v>
      </c>
      <c r="D414" s="318">
        <v>2.7</v>
      </c>
      <c r="E414" s="318">
        <v>2.7</v>
      </c>
      <c r="F414"/>
      <c r="G414"/>
      <c r="H414"/>
      <c r="I414" s="315"/>
    </row>
    <row r="415" spans="1:9" s="220" customFormat="1">
      <c r="A415" s="260" t="str">
        <f>IF(Model!A426=0,"",Model!A426)</f>
        <v>Steam consumption</v>
      </c>
      <c r="B415" s="315" t="str">
        <f>IF(Model!B426=0,"",Model!B426)</f>
        <v>t/h</v>
      </c>
      <c r="C415" s="386">
        <f>IF(ISBLANK(Model!C426),"",Model!C426)</f>
        <v>22</v>
      </c>
      <c r="D415" s="386">
        <v>21.721971</v>
      </c>
      <c r="E415" s="386">
        <v>22</v>
      </c>
      <c r="F415"/>
      <c r="G415"/>
      <c r="H415"/>
      <c r="I415" s="315"/>
    </row>
    <row r="416" spans="1:9" s="220" customFormat="1">
      <c r="A416" s="315" t="str">
        <f>IF(Model!A427=0,"",Model!A427)</f>
        <v>Enthalpy of steam into steam turbine</v>
      </c>
      <c r="B416" s="315" t="str">
        <f>IF(Model!B427=0,"",Model!B427)</f>
        <v>kJ/kg</v>
      </c>
      <c r="C416" s="324" t="e">
        <f ca="1">IF(ISBLANK(Model!C427),"",Model!C427)</f>
        <v>#NAME?</v>
      </c>
      <c r="D416" s="324">
        <v>3174.4254107518545</v>
      </c>
      <c r="E416" s="324">
        <v>3174.4254107518545</v>
      </c>
      <c r="F416"/>
      <c r="G416"/>
      <c r="H416"/>
      <c r="I416" s="315"/>
    </row>
    <row r="417" spans="1:9" s="220" customFormat="1">
      <c r="A417" s="315" t="str">
        <f>IF(Model!A428=0,"",Model!A428)</f>
        <v>Entropy of steam into steam turbine</v>
      </c>
      <c r="B417" s="315" t="str">
        <f>IF(Model!B428=0,"",Model!B428)</f>
        <v>kJ/kg.C</v>
      </c>
      <c r="C417" s="321" t="e">
        <f ca="1">IF(ISBLANK(Model!C428),"",Model!C428)</f>
        <v>#NAME?</v>
      </c>
      <c r="D417" s="321">
        <v>6.9353426829990807</v>
      </c>
      <c r="E417" s="321">
        <v>6.9353426829990807</v>
      </c>
      <c r="F417"/>
      <c r="G417"/>
      <c r="H417"/>
      <c r="I417" s="315"/>
    </row>
    <row r="418" spans="1:9" s="220" customFormat="1">
      <c r="A418" s="315" t="str">
        <f>IF(Model!A429=0,"",Model!A429)</f>
        <v>Enthalpy of steam out of steam turbine</v>
      </c>
      <c r="B418" s="315" t="str">
        <f>IF(Model!B429=0,"",Model!B429)</f>
        <v>kJ/kg</v>
      </c>
      <c r="C418" s="324" t="e">
        <f ca="1">IF(ISBLANK(Model!C429),"",Model!C429)</f>
        <v>#NAME?</v>
      </c>
      <c r="D418" s="324">
        <v>2683.2042362099382</v>
      </c>
      <c r="E418" s="324">
        <v>2683.2042362099382</v>
      </c>
      <c r="F418"/>
      <c r="G418"/>
      <c r="H418"/>
      <c r="I418" s="315"/>
    </row>
    <row r="419" spans="1:9" s="220" customFormat="1">
      <c r="A419" s="315" t="str">
        <f>IF(Model!A430=0,"",Model!A430)</f>
        <v xml:space="preserve">Isentropic enthalpy change </v>
      </c>
      <c r="B419" s="315" t="str">
        <f>IF(Model!B430=0,"",Model!B430)</f>
        <v>kJ/kg</v>
      </c>
      <c r="C419" s="324" t="e">
        <f ca="1">IF(ISBLANK(Model!C430),"",Model!C430)</f>
        <v>#NAME?</v>
      </c>
      <c r="D419" s="324">
        <v>491.2211745419163</v>
      </c>
      <c r="E419" s="324">
        <v>491.2211745419163</v>
      </c>
      <c r="F419"/>
      <c r="G419"/>
      <c r="H419"/>
      <c r="I419" s="315"/>
    </row>
    <row r="420" spans="1:9" s="220" customFormat="1">
      <c r="A420" s="315" t="str">
        <f>IF(Model!A431=0,"",Model!A431)</f>
        <v>Wint</v>
      </c>
      <c r="B420" s="315" t="str">
        <f>IF(Model!B431=0,"",Model!B431)</f>
        <v/>
      </c>
      <c r="C420" s="324" t="e">
        <f ca="1">IF(ISBLANK(Model!C431),"",Model!C431)</f>
        <v>#NAME?</v>
      </c>
      <c r="D420" s="324">
        <v>982.04485399752525</v>
      </c>
      <c r="E420" s="324">
        <v>982.04485399752525</v>
      </c>
      <c r="F420"/>
      <c r="G420"/>
      <c r="H420"/>
      <c r="I420" s="315"/>
    </row>
    <row r="421" spans="1:9" s="220" customFormat="1">
      <c r="A421" s="315" t="str">
        <f>IF(Model!A432=0,"",Model!A432)</f>
        <v>n</v>
      </c>
      <c r="B421" s="315" t="str">
        <f>IF(Model!B432=0,"",Model!B432)</f>
        <v/>
      </c>
      <c r="C421" s="324" t="e">
        <f ca="1">IF(ISBLANK(Model!C432),"",Model!C432)</f>
        <v>#NAME?</v>
      </c>
      <c r="D421" s="324">
        <v>134.55229207958479</v>
      </c>
      <c r="E421" s="324">
        <v>134.55229207958479</v>
      </c>
      <c r="F421"/>
      <c r="G421"/>
      <c r="H421"/>
      <c r="I421" s="315"/>
    </row>
    <row r="422" spans="1:9" s="220" customFormat="1">
      <c r="A422" s="315" t="str">
        <f>IF(Model!A433=0,"",Model!A433)</f>
        <v>HP ST5 shaft power</v>
      </c>
      <c r="B422" s="315" t="str">
        <f>IF(Model!B433=0,"",Model!B433)</f>
        <v>kWe</v>
      </c>
      <c r="C422" s="324" t="e">
        <f ca="1">IF(ISBLANK(Model!C433),"",Model!C433)</f>
        <v>#NAME?</v>
      </c>
      <c r="D422" s="324">
        <v>1940.6961325387454</v>
      </c>
      <c r="E422" s="324">
        <v>1978.1055717533402</v>
      </c>
      <c r="F422"/>
      <c r="G422"/>
      <c r="H422"/>
      <c r="I422" s="315"/>
    </row>
    <row r="423" spans="1:9" s="220" customFormat="1">
      <c r="A423" s="315" t="str">
        <f>IF(Model!A434=0,"",Model!A434)</f>
        <v>HP ST5 generator output</v>
      </c>
      <c r="B423" s="315" t="str">
        <f>IF(Model!B434=0,"",Model!B434)</f>
        <v>kWe</v>
      </c>
      <c r="C423" s="324" t="e">
        <f ca="1">IF(ISBLANK(Model!C434),"",Model!C434)</f>
        <v>#NAME?</v>
      </c>
      <c r="D423" s="324">
        <v>1843.661325911808</v>
      </c>
      <c r="E423" s="324">
        <v>1879.2002931656732</v>
      </c>
      <c r="F423"/>
      <c r="G423"/>
      <c r="H423"/>
      <c r="I423" s="315"/>
    </row>
    <row r="424" spans="1:9" s="220" customFormat="1">
      <c r="A424" s="260" t="str">
        <f>IF(Model!A435=0,"",Model!A435)</f>
        <v>Fixed amount to add to get model working</v>
      </c>
      <c r="B424" s="315" t="str">
        <f>IF(Model!B435=0,"",Model!B435)</f>
        <v>kWe</v>
      </c>
      <c r="C424" s="324">
        <f>IF(ISBLANK(Model!C435),"",Model!C435)</f>
        <v>200</v>
      </c>
      <c r="D424" s="324">
        <v>200</v>
      </c>
      <c r="E424" s="324">
        <v>200</v>
      </c>
      <c r="F424"/>
      <c r="G424"/>
      <c r="H424"/>
      <c r="I424" s="315"/>
    </row>
    <row r="425" spans="1:9" s="220" customFormat="1">
      <c r="A425" s="298" t="str">
        <f>IF(Model!A436=0,"",Model!A436)</f>
        <v>Modelled generator output</v>
      </c>
      <c r="B425" s="315" t="str">
        <f>IF(Model!B436=0,"",Model!B436)</f>
        <v>kWe</v>
      </c>
      <c r="C425" s="324" t="e">
        <f ca="1">IF(ISBLANK(Model!C436),"",Model!C436)</f>
        <v>#NAME?</v>
      </c>
      <c r="D425" s="324">
        <v>2043.661325911808</v>
      </c>
      <c r="E425" s="324">
        <v>2079.2002931656734</v>
      </c>
      <c r="F425"/>
      <c r="G425"/>
      <c r="H425"/>
      <c r="I425" s="315"/>
    </row>
    <row r="426" spans="1:9" s="220" customFormat="1">
      <c r="A426" s="325" t="str">
        <f>IF(Model!A454=0,"",Model!A454)</f>
        <v/>
      </c>
      <c r="B426" s="321" t="str">
        <f>IF(Model!B454=0,"",Model!B454)</f>
        <v/>
      </c>
      <c r="C426" s="321" t="str">
        <f>IF(ISBLANK(Model!C454),"",Model!C454)</f>
        <v/>
      </c>
      <c r="D426" s="321" t="s">
        <v>816</v>
      </c>
      <c r="E426" s="321" t="s">
        <v>816</v>
      </c>
      <c r="F426"/>
      <c r="G426"/>
      <c r="H426"/>
      <c r="I426" s="315"/>
    </row>
    <row r="427" spans="1:9" s="220" customFormat="1" ht="18" thickBot="1">
      <c r="A427" s="375" t="str">
        <f>IF(Model!A455=0,"",Model!A455)</f>
        <v>EHP &amp; MP Boilers</v>
      </c>
      <c r="B427" s="401" t="str">
        <f>IF(Model!B455=0,"",Model!B455)</f>
        <v/>
      </c>
      <c r="C427" s="401" t="str">
        <f>IF(ISBLANK(Model!C455),"",Model!C455)</f>
        <v/>
      </c>
      <c r="D427" s="401" t="s">
        <v>816</v>
      </c>
      <c r="E427" s="401" t="s">
        <v>816</v>
      </c>
      <c r="F427"/>
      <c r="G427"/>
      <c r="H427"/>
      <c r="I427" s="315"/>
    </row>
    <row r="428" spans="1:9" s="220" customFormat="1" ht="16" thickTop="1">
      <c r="A428" s="407" t="str">
        <f>IF(Model!A456=0,"",Model!A456)</f>
        <v>Calculation Inputs</v>
      </c>
      <c r="B428" s="407" t="str">
        <f>IF(Model!B456=0,"",Model!B456)</f>
        <v/>
      </c>
      <c r="C428" s="407" t="str">
        <f>IF(ISBLANK(Model!C456),"",Model!C456)</f>
        <v/>
      </c>
      <c r="D428" s="407" t="s">
        <v>816</v>
      </c>
      <c r="E428" s="407" t="s">
        <v>816</v>
      </c>
      <c r="F428"/>
      <c r="G428"/>
      <c r="H428"/>
      <c r="I428" s="315"/>
    </row>
    <row r="429" spans="1:9" s="220" customFormat="1">
      <c r="A429" s="334" t="str">
        <f>IF(Model!A457=0,"",Model!A457)</f>
        <v/>
      </c>
      <c r="B429" s="334" t="str">
        <f>IF(Model!B457=0,"",Model!B457)</f>
        <v/>
      </c>
      <c r="C429" s="45" t="str">
        <f>IF(ISBLANK(Model!C457),"",Model!C457)</f>
        <v>B5</v>
      </c>
      <c r="D429" s="45" t="s">
        <v>47</v>
      </c>
      <c r="E429" s="45" t="s">
        <v>47</v>
      </c>
      <c r="F429"/>
      <c r="G429"/>
      <c r="H429"/>
      <c r="I429" s="315"/>
    </row>
    <row r="430" spans="1:9" s="220" customFormat="1">
      <c r="A430" s="235" t="str">
        <f>IF(Model!A458=0,"",Model!A458)</f>
        <v>On/Off</v>
      </c>
      <c r="B430" s="235" t="str">
        <f>IF(Model!B458=0,"",Model!B458)</f>
        <v>bin.</v>
      </c>
      <c r="C430" s="402">
        <f>IF(ISBLANK(Model!C458),"",Model!C458)</f>
        <v>0</v>
      </c>
      <c r="D430" s="402">
        <v>0</v>
      </c>
      <c r="E430" s="402">
        <v>0</v>
      </c>
      <c r="F430"/>
      <c r="G430"/>
      <c r="H430"/>
      <c r="I430" s="315"/>
    </row>
    <row r="431" spans="1:9" s="220" customFormat="1">
      <c r="A431" s="235" t="str">
        <f>IF(Model!A459=0,"",Model!A459)</f>
        <v>Steam Generation</v>
      </c>
      <c r="B431" s="235" t="str">
        <f>IF(Model!B459=0,"",Model!B459)</f>
        <v>t/h</v>
      </c>
      <c r="C431" s="403">
        <f>IF(ISBLANK(Model!C459),"",Model!C459)</f>
        <v>0</v>
      </c>
      <c r="D431" s="403">
        <v>0</v>
      </c>
      <c r="E431" s="403">
        <v>0</v>
      </c>
      <c r="F431"/>
      <c r="G431"/>
      <c r="H431"/>
      <c r="I431" s="315"/>
    </row>
    <row r="432" spans="1:9" s="315" customFormat="1">
      <c r="A432" s="235"/>
      <c r="B432" s="235"/>
      <c r="C432" s="45" t="str">
        <f>IF(ISBLANK(Model!D457),"",Model!D457)</f>
        <v>B7</v>
      </c>
      <c r="D432" s="45" t="s">
        <v>60</v>
      </c>
      <c r="E432" s="45" t="s">
        <v>60</v>
      </c>
      <c r="F432"/>
      <c r="G432"/>
      <c r="H432"/>
    </row>
    <row r="433" spans="1:9" s="315" customFormat="1">
      <c r="A433" s="235" t="str">
        <f>A430</f>
        <v>On/Off</v>
      </c>
      <c r="B433" s="235" t="str">
        <f>B430</f>
        <v>bin.</v>
      </c>
      <c r="C433" s="402">
        <f>IF(ISBLANK(Model!D458),"",Model!D458)</f>
        <v>0</v>
      </c>
      <c r="D433" s="402">
        <v>0</v>
      </c>
      <c r="E433" s="402">
        <v>0</v>
      </c>
      <c r="F433"/>
      <c r="G433"/>
      <c r="H433"/>
    </row>
    <row r="434" spans="1:9" s="315" customFormat="1">
      <c r="A434" s="235" t="str">
        <f>A431</f>
        <v>Steam Generation</v>
      </c>
      <c r="B434" s="235" t="str">
        <f>B431</f>
        <v>t/h</v>
      </c>
      <c r="C434" s="403">
        <f>IF(ISBLANK(Model!D459),"",Model!D459)</f>
        <v>0</v>
      </c>
      <c r="D434" s="403">
        <v>0</v>
      </c>
      <c r="E434" s="403">
        <v>0</v>
      </c>
      <c r="F434"/>
      <c r="G434"/>
      <c r="H434"/>
    </row>
    <row r="435" spans="1:9" s="315" customFormat="1">
      <c r="A435" s="235"/>
      <c r="B435" s="235"/>
      <c r="C435" s="45" t="str">
        <f>IF(ISBLANK(Model!E457),"",Model!E457)</f>
        <v>B9</v>
      </c>
      <c r="D435" s="45" t="s">
        <v>313</v>
      </c>
      <c r="E435" s="45" t="s">
        <v>313</v>
      </c>
      <c r="F435"/>
      <c r="G435"/>
      <c r="H435"/>
    </row>
    <row r="436" spans="1:9" s="315" customFormat="1">
      <c r="A436" s="235" t="str">
        <f>A433</f>
        <v>On/Off</v>
      </c>
      <c r="B436" s="235" t="str">
        <f>B433</f>
        <v>bin.</v>
      </c>
      <c r="C436" s="402">
        <f>IF(ISBLANK(Model!E458),"",Model!E458)</f>
        <v>0</v>
      </c>
      <c r="D436" s="402">
        <v>0</v>
      </c>
      <c r="E436" s="402">
        <v>0</v>
      </c>
      <c r="F436"/>
      <c r="G436"/>
      <c r="H436"/>
    </row>
    <row r="437" spans="1:9" s="315" customFormat="1">
      <c r="A437" s="235" t="str">
        <f>A434</f>
        <v>Steam Generation</v>
      </c>
      <c r="B437" s="235" t="str">
        <f>B434</f>
        <v>t/h</v>
      </c>
      <c r="C437" s="403">
        <f>IF(ISBLANK(Model!E459),"",Model!E459)</f>
        <v>0</v>
      </c>
      <c r="D437" s="403">
        <v>0</v>
      </c>
      <c r="E437" s="403">
        <v>0</v>
      </c>
      <c r="F437"/>
      <c r="G437"/>
      <c r="H437"/>
    </row>
    <row r="438" spans="1:9" s="315" customFormat="1">
      <c r="A438" s="235"/>
      <c r="B438" s="235"/>
      <c r="C438" s="45" t="str">
        <f>IF(ISBLANK(Model!F457),"",Model!F457)</f>
        <v>MP-1</v>
      </c>
      <c r="D438" s="45" t="s">
        <v>171</v>
      </c>
      <c r="E438" s="45" t="s">
        <v>171</v>
      </c>
      <c r="F438"/>
      <c r="G438"/>
      <c r="H438"/>
    </row>
    <row r="439" spans="1:9" s="315" customFormat="1">
      <c r="A439" s="235" t="str">
        <f>A436</f>
        <v>On/Off</v>
      </c>
      <c r="B439" s="235" t="str">
        <f>B436</f>
        <v>bin.</v>
      </c>
      <c r="C439" s="402">
        <f>IF(ISBLANK(Model!F458),"",Model!F458)</f>
        <v>1</v>
      </c>
      <c r="D439" s="402">
        <v>1</v>
      </c>
      <c r="E439" s="402">
        <v>1</v>
      </c>
      <c r="F439"/>
      <c r="G439"/>
      <c r="H439"/>
    </row>
    <row r="440" spans="1:9" s="315" customFormat="1">
      <c r="A440" s="235" t="str">
        <f>A437</f>
        <v>Steam Generation</v>
      </c>
      <c r="B440" s="235" t="str">
        <f>B437</f>
        <v>t/h</v>
      </c>
      <c r="C440" s="403">
        <f>IF(ISBLANK(Model!F459),"",Model!F459)</f>
        <v>5.8800515000000004</v>
      </c>
      <c r="D440" s="403">
        <v>4</v>
      </c>
      <c r="E440" s="403">
        <v>5.8800515000000004</v>
      </c>
      <c r="F440"/>
      <c r="G440"/>
      <c r="H440"/>
    </row>
    <row r="441" spans="1:9" s="315" customFormat="1">
      <c r="A441" s="235"/>
      <c r="B441" s="235"/>
      <c r="C441" s="45" t="str">
        <f>IF(ISBLANK(Model!G457),"",Model!G457)</f>
        <v>MP-2</v>
      </c>
      <c r="D441" s="45" t="s">
        <v>172</v>
      </c>
      <c r="E441" s="45" t="s">
        <v>172</v>
      </c>
      <c r="F441"/>
      <c r="G441"/>
      <c r="H441"/>
    </row>
    <row r="442" spans="1:9" s="315" customFormat="1">
      <c r="A442" s="235" t="str">
        <f>A439</f>
        <v>On/Off</v>
      </c>
      <c r="B442" s="235" t="str">
        <f>B439</f>
        <v>bin.</v>
      </c>
      <c r="C442" s="402">
        <f>IF(ISBLANK(Model!G458),"",Model!G458)</f>
        <v>1</v>
      </c>
      <c r="D442" s="402">
        <v>1</v>
      </c>
      <c r="E442" s="402">
        <v>1</v>
      </c>
      <c r="F442"/>
      <c r="G442"/>
      <c r="H442"/>
    </row>
    <row r="443" spans="1:9" s="315" customFormat="1">
      <c r="A443" s="235" t="str">
        <f>A440</f>
        <v>Steam Generation</v>
      </c>
      <c r="B443" s="235" t="str">
        <f>B440</f>
        <v>t/h</v>
      </c>
      <c r="C443" s="403">
        <f>IF(ISBLANK(Model!G459),"",Model!G459)</f>
        <v>4</v>
      </c>
      <c r="D443" s="403">
        <v>4</v>
      </c>
      <c r="E443" s="403">
        <v>4</v>
      </c>
      <c r="F443"/>
      <c r="G443"/>
      <c r="H443"/>
    </row>
    <row r="444" spans="1:9" s="220" customFormat="1">
      <c r="A444" s="408" t="str">
        <f>IF(Model!A461=0,"",Model!A461)</f>
        <v>Calculation Outputs</v>
      </c>
      <c r="B444" s="408" t="str">
        <f>IF(Model!B461=0,"",Model!B461)</f>
        <v/>
      </c>
      <c r="C444" s="408" t="str">
        <f>IF(ISBLANK(Model!C461),"",Model!C461)</f>
        <v/>
      </c>
      <c r="D444" s="408" t="s">
        <v>816</v>
      </c>
      <c r="E444" s="408" t="s">
        <v>816</v>
      </c>
      <c r="F444"/>
      <c r="G444"/>
      <c r="H444"/>
      <c r="I444" s="315"/>
    </row>
    <row r="445" spans="1:9" s="220" customFormat="1">
      <c r="A445" s="351" t="str">
        <f>IF(Model!A462=0,"",Model!A462)</f>
        <v/>
      </c>
      <c r="B445" s="351" t="str">
        <f>IF(Model!B462=0,"",Model!B462)</f>
        <v/>
      </c>
      <c r="C445" s="309" t="str">
        <f>IF(ISBLANK(Model!C462),"",Model!C462)</f>
        <v>B5</v>
      </c>
      <c r="D445" s="309" t="s">
        <v>47</v>
      </c>
      <c r="E445" s="309" t="s">
        <v>47</v>
      </c>
      <c r="F445"/>
      <c r="G445"/>
      <c r="H445"/>
      <c r="I445" s="315"/>
    </row>
    <row r="446" spans="1:9" s="220" customFormat="1">
      <c r="A446" s="351" t="str">
        <f>IF(Model!A463=0,"",Model!A463)</f>
        <v>Gas Required.</v>
      </c>
      <c r="B446" s="351" t="str">
        <f>IF(Model!B463=0,"",Model!B463)</f>
        <v>kW</v>
      </c>
      <c r="C446" s="351" t="e">
        <f ca="1">IF(ISBLANK(Model!C463),"",Model!C463)</f>
        <v>#NAME?</v>
      </c>
      <c r="D446" s="351">
        <v>0</v>
      </c>
      <c r="E446" s="351">
        <v>0</v>
      </c>
      <c r="F446"/>
      <c r="G446"/>
      <c r="H446"/>
      <c r="I446" s="315"/>
    </row>
    <row r="447" spans="1:9" s="220" customFormat="1">
      <c r="A447" s="351" t="str">
        <f>IF(Model!A464=0,"",Model!A464)</f>
        <v>Blowdown</v>
      </c>
      <c r="B447" s="351" t="str">
        <f>IF(Model!B464=0,"",Model!B464)</f>
        <v>t/h</v>
      </c>
      <c r="C447" s="331">
        <f>IF(ISBLANK(Model!C464),"",Model!C464)</f>
        <v>0</v>
      </c>
      <c r="D447" s="331">
        <v>0</v>
      </c>
      <c r="E447" s="331">
        <v>0</v>
      </c>
      <c r="F447"/>
      <c r="G447"/>
      <c r="H447"/>
      <c r="I447" s="315"/>
    </row>
    <row r="448" spans="1:9" s="220" customFormat="1">
      <c r="A448" s="235" t="str">
        <f>IF(Model!A465=0,"",Model!A465)</f>
        <v>BFW</v>
      </c>
      <c r="B448" s="235" t="str">
        <f>IF(Model!B465=0,"",Model!B465)</f>
        <v>t/h</v>
      </c>
      <c r="C448" s="331">
        <f>IF(ISBLANK(Model!C465),"",Model!C465)</f>
        <v>0</v>
      </c>
      <c r="D448" s="331">
        <v>0</v>
      </c>
      <c r="E448" s="331">
        <v>0</v>
      </c>
      <c r="F448"/>
      <c r="G448"/>
      <c r="H448"/>
      <c r="I448" s="315"/>
    </row>
    <row r="449" spans="1:9" s="220" customFormat="1">
      <c r="A449" s="235" t="str">
        <f>IF(Model!A466=0,"",Model!A466)</f>
        <v>Steam generation</v>
      </c>
      <c r="B449" s="235" t="str">
        <f>IF(Model!B466=0,"",Model!B466)</f>
        <v>t/h</v>
      </c>
      <c r="C449" s="331">
        <f>IF(ISBLANK(Model!C466),"",Model!C466)</f>
        <v>0</v>
      </c>
      <c r="D449" s="331">
        <v>0</v>
      </c>
      <c r="E449" s="331">
        <v>0</v>
      </c>
      <c r="F449"/>
      <c r="G449"/>
      <c r="H449"/>
      <c r="I449" s="315"/>
    </row>
    <row r="450" spans="1:9" s="315" customFormat="1">
      <c r="A450" s="235" t="s">
        <v>873</v>
      </c>
      <c r="B450" s="235" t="s">
        <v>3</v>
      </c>
      <c r="C450" s="111">
        <f>Model!C472</f>
        <v>0.8</v>
      </c>
      <c r="D450" s="111">
        <v>0.8</v>
      </c>
      <c r="E450" s="111">
        <v>0.8</v>
      </c>
      <c r="F450"/>
      <c r="G450"/>
      <c r="H450"/>
    </row>
    <row r="451" spans="1:9" s="315" customFormat="1">
      <c r="A451" s="235"/>
      <c r="B451" s="235"/>
      <c r="C451" s="309" t="str">
        <f>IF(ISBLANK(Model!D462),"",Model!D462)</f>
        <v>B7</v>
      </c>
      <c r="D451" s="309" t="s">
        <v>60</v>
      </c>
      <c r="E451" s="309" t="s">
        <v>60</v>
      </c>
      <c r="F451"/>
      <c r="G451"/>
      <c r="H451"/>
    </row>
    <row r="452" spans="1:9" s="315" customFormat="1">
      <c r="A452" s="351" t="str">
        <f t="shared" ref="A452:B456" si="8">A446</f>
        <v>Gas Required.</v>
      </c>
      <c r="B452" s="351" t="str">
        <f t="shared" si="8"/>
        <v>kW</v>
      </c>
      <c r="C452" s="351" t="e">
        <f ca="1">IF(ISBLANK(Model!D463),"",Model!D463)</f>
        <v>#NAME?</v>
      </c>
      <c r="D452" s="351">
        <v>0</v>
      </c>
      <c r="E452" s="351">
        <v>0</v>
      </c>
      <c r="F452"/>
      <c r="G452"/>
      <c r="H452"/>
    </row>
    <row r="453" spans="1:9" s="315" customFormat="1">
      <c r="A453" s="351" t="str">
        <f t="shared" si="8"/>
        <v>Blowdown</v>
      </c>
      <c r="B453" s="351" t="str">
        <f t="shared" si="8"/>
        <v>t/h</v>
      </c>
      <c r="C453" s="331">
        <f>IF(ISBLANK(Model!D464),"",Model!D464)</f>
        <v>0</v>
      </c>
      <c r="D453" s="331">
        <v>0</v>
      </c>
      <c r="E453" s="331">
        <v>0</v>
      </c>
      <c r="F453"/>
      <c r="G453"/>
      <c r="H453"/>
    </row>
    <row r="454" spans="1:9" s="315" customFormat="1">
      <c r="A454" s="351" t="str">
        <f t="shared" si="8"/>
        <v>BFW</v>
      </c>
      <c r="B454" s="351" t="str">
        <f t="shared" si="8"/>
        <v>t/h</v>
      </c>
      <c r="C454" s="331">
        <f>IF(ISBLANK(Model!D465),"",Model!D465)</f>
        <v>0</v>
      </c>
      <c r="D454" s="331">
        <v>0</v>
      </c>
      <c r="E454" s="331">
        <v>0</v>
      </c>
      <c r="F454"/>
      <c r="G454"/>
      <c r="H454"/>
    </row>
    <row r="455" spans="1:9" s="315" customFormat="1">
      <c r="A455" s="351" t="str">
        <f t="shared" si="8"/>
        <v>Steam generation</v>
      </c>
      <c r="B455" s="351" t="str">
        <f t="shared" si="8"/>
        <v>t/h</v>
      </c>
      <c r="C455" s="331">
        <f>IF(ISBLANK(Model!D466),"",Model!D466)</f>
        <v>0</v>
      </c>
      <c r="D455" s="331">
        <v>0</v>
      </c>
      <c r="E455" s="331">
        <v>0</v>
      </c>
      <c r="F455"/>
      <c r="G455"/>
      <c r="H455"/>
    </row>
    <row r="456" spans="1:9" s="315" customFormat="1">
      <c r="A456" s="351" t="str">
        <f t="shared" si="8"/>
        <v>Efficiency</v>
      </c>
      <c r="B456" s="351" t="str">
        <f t="shared" si="8"/>
        <v>%</v>
      </c>
      <c r="C456" s="111">
        <f>Model!D472</f>
        <v>0.8</v>
      </c>
      <c r="D456" s="111">
        <v>0.8</v>
      </c>
      <c r="E456" s="111">
        <v>0.8</v>
      </c>
      <c r="F456"/>
      <c r="G456"/>
      <c r="H456"/>
    </row>
    <row r="457" spans="1:9" s="315" customFormat="1">
      <c r="A457" s="235"/>
      <c r="B457" s="235"/>
      <c r="C457" s="309" t="str">
        <f>IF(ISBLANK(Model!E462),"",Model!E462)</f>
        <v>B9</v>
      </c>
      <c r="D457" s="309" t="s">
        <v>313</v>
      </c>
      <c r="E457" s="309" t="s">
        <v>313</v>
      </c>
      <c r="F457"/>
      <c r="G457"/>
      <c r="H457"/>
    </row>
    <row r="458" spans="1:9" s="315" customFormat="1">
      <c r="A458" s="351" t="str">
        <f t="shared" ref="A458:B462" si="9">A452</f>
        <v>Gas Required.</v>
      </c>
      <c r="B458" s="351" t="str">
        <f t="shared" si="9"/>
        <v>kW</v>
      </c>
      <c r="C458" s="351" t="e">
        <f ca="1">IF(ISBLANK(Model!E463),"",Model!E463)</f>
        <v>#NAME?</v>
      </c>
      <c r="D458" s="351">
        <v>0</v>
      </c>
      <c r="E458" s="351">
        <v>0</v>
      </c>
      <c r="F458"/>
      <c r="G458"/>
      <c r="H458"/>
    </row>
    <row r="459" spans="1:9" s="315" customFormat="1">
      <c r="A459" s="351" t="str">
        <f t="shared" si="9"/>
        <v>Blowdown</v>
      </c>
      <c r="B459" s="351" t="str">
        <f t="shared" si="9"/>
        <v>t/h</v>
      </c>
      <c r="C459" s="331">
        <f>IF(ISBLANK(Model!E464),"",Model!E464)</f>
        <v>0</v>
      </c>
      <c r="D459" s="331">
        <v>0</v>
      </c>
      <c r="E459" s="331">
        <v>0</v>
      </c>
      <c r="F459"/>
      <c r="G459"/>
      <c r="H459"/>
    </row>
    <row r="460" spans="1:9" s="315" customFormat="1">
      <c r="A460" s="351" t="str">
        <f t="shared" si="9"/>
        <v>BFW</v>
      </c>
      <c r="B460" s="351" t="str">
        <f t="shared" si="9"/>
        <v>t/h</v>
      </c>
      <c r="C460" s="331">
        <f>IF(ISBLANK(Model!E465),"",Model!E465)</f>
        <v>0</v>
      </c>
      <c r="D460" s="331">
        <v>0</v>
      </c>
      <c r="E460" s="331">
        <v>0</v>
      </c>
      <c r="F460"/>
      <c r="G460"/>
      <c r="H460"/>
    </row>
    <row r="461" spans="1:9" s="315" customFormat="1">
      <c r="A461" s="351" t="str">
        <f t="shared" si="9"/>
        <v>Steam generation</v>
      </c>
      <c r="B461" s="351" t="str">
        <f t="shared" si="9"/>
        <v>t/h</v>
      </c>
      <c r="C461" s="331">
        <f>IF(ISBLANK(Model!E466),"",Model!E466)</f>
        <v>0</v>
      </c>
      <c r="D461" s="331">
        <v>0</v>
      </c>
      <c r="E461" s="331">
        <v>0</v>
      </c>
      <c r="F461"/>
      <c r="G461"/>
      <c r="H461"/>
    </row>
    <row r="462" spans="1:9" s="315" customFormat="1">
      <c r="A462" s="351" t="str">
        <f t="shared" si="9"/>
        <v>Efficiency</v>
      </c>
      <c r="B462" s="351" t="str">
        <f t="shared" si="9"/>
        <v>%</v>
      </c>
      <c r="C462" s="111">
        <f>Model!E472</f>
        <v>0.8</v>
      </c>
      <c r="D462" s="111">
        <v>0.8</v>
      </c>
      <c r="E462" s="111">
        <v>0.8</v>
      </c>
      <c r="F462"/>
      <c r="G462"/>
      <c r="H462"/>
    </row>
    <row r="463" spans="1:9" s="315" customFormat="1">
      <c r="A463" s="351"/>
      <c r="B463" s="351"/>
      <c r="C463" s="309" t="str">
        <f>IF(ISBLANK(Model!F462),"",Model!F462)</f>
        <v>MP-1</v>
      </c>
      <c r="D463" s="309" t="s">
        <v>171</v>
      </c>
      <c r="E463" s="309" t="s">
        <v>171</v>
      </c>
      <c r="F463"/>
      <c r="G463"/>
      <c r="H463"/>
    </row>
    <row r="464" spans="1:9" s="315" customFormat="1">
      <c r="A464" s="351" t="str">
        <f t="shared" ref="A464:B468" si="10">A458</f>
        <v>Gas Required.</v>
      </c>
      <c r="B464" s="351" t="str">
        <f t="shared" si="10"/>
        <v>kW</v>
      </c>
      <c r="C464" s="351" t="e">
        <f ca="1">IF(ISBLANK(Model!F463),"",Model!F463)</f>
        <v>#NAME?</v>
      </c>
      <c r="D464" s="351">
        <v>3473.7624502269464</v>
      </c>
      <c r="E464" s="351">
        <v>5106.4755265251579</v>
      </c>
      <c r="F464"/>
      <c r="G464"/>
      <c r="H464"/>
    </row>
    <row r="465" spans="1:8" s="315" customFormat="1">
      <c r="A465" s="351" t="str">
        <f t="shared" si="10"/>
        <v>Blowdown</v>
      </c>
      <c r="B465" s="351" t="str">
        <f t="shared" si="10"/>
        <v>t/h</v>
      </c>
      <c r="C465" s="331">
        <f>IF(ISBLANK(Model!F464),"",Model!F464)</f>
        <v>3.0897741038487626E-2</v>
      </c>
      <c r="D465" s="331">
        <v>2.1018687362508729E-2</v>
      </c>
      <c r="E465" s="331">
        <v>3.0897741038487626E-2</v>
      </c>
      <c r="F465"/>
      <c r="G465"/>
      <c r="H465"/>
    </row>
    <row r="466" spans="1:8" s="315" customFormat="1">
      <c r="A466" s="351" t="str">
        <f t="shared" si="10"/>
        <v>BFW</v>
      </c>
      <c r="B466" s="351" t="str">
        <f t="shared" si="10"/>
        <v>t/h</v>
      </c>
      <c r="C466" s="331">
        <f>IF(ISBLANK(Model!F465),"",Model!F465)</f>
        <v>5.9109492410384883</v>
      </c>
      <c r="D466" s="331">
        <v>4.0210186873625089</v>
      </c>
      <c r="E466" s="331">
        <v>5.9109492410384883</v>
      </c>
      <c r="F466"/>
      <c r="G466"/>
      <c r="H466"/>
    </row>
    <row r="467" spans="1:8" s="315" customFormat="1">
      <c r="A467" s="351" t="str">
        <f t="shared" si="10"/>
        <v>Steam generation</v>
      </c>
      <c r="B467" s="351" t="str">
        <f t="shared" si="10"/>
        <v>t/h</v>
      </c>
      <c r="C467" s="331">
        <f>IF(ISBLANK(Model!F466),"",Model!F466)</f>
        <v>5.8800515000000004</v>
      </c>
      <c r="D467" s="331">
        <v>4</v>
      </c>
      <c r="E467" s="331">
        <v>5.8800515000000004</v>
      </c>
      <c r="F467"/>
      <c r="G467"/>
      <c r="H467"/>
    </row>
    <row r="468" spans="1:8" s="315" customFormat="1">
      <c r="A468" s="351" t="str">
        <f t="shared" si="10"/>
        <v>Efficiency</v>
      </c>
      <c r="B468" s="351" t="str">
        <f t="shared" si="10"/>
        <v>%</v>
      </c>
      <c r="C468" s="111">
        <f ca="1">Model!C487</f>
        <v>0</v>
      </c>
      <c r="D468" s="111">
        <v>0.8351972793727237</v>
      </c>
      <c r="E468" s="111">
        <v>0.84124917427606816</v>
      </c>
      <c r="F468"/>
      <c r="G468"/>
      <c r="H468"/>
    </row>
    <row r="469" spans="1:8" s="315" customFormat="1">
      <c r="A469" s="351"/>
      <c r="B469" s="351"/>
      <c r="C469" s="309" t="str">
        <f>IF(ISBLANK(Model!G462),"",Model!G462)</f>
        <v>MP-2</v>
      </c>
      <c r="D469" s="309" t="s">
        <v>172</v>
      </c>
      <c r="E469" s="309" t="s">
        <v>172</v>
      </c>
      <c r="F469"/>
      <c r="G469"/>
      <c r="H469"/>
    </row>
    <row r="470" spans="1:8" s="315" customFormat="1">
      <c r="A470" s="351" t="str">
        <f>A464</f>
        <v>Gas Required.</v>
      </c>
      <c r="B470" s="351" t="str">
        <f t="shared" ref="A470:B474" si="11">B464</f>
        <v>kW</v>
      </c>
      <c r="C470" s="351" t="e">
        <f ca="1">IF(ISBLANK(Model!G463),"",Model!G463)</f>
        <v>#NAME?</v>
      </c>
      <c r="D470" s="351">
        <v>3473.7624502269464</v>
      </c>
      <c r="E470" s="351">
        <v>3473.7624502269464</v>
      </c>
      <c r="F470"/>
      <c r="G470"/>
      <c r="H470"/>
    </row>
    <row r="471" spans="1:8" s="315" customFormat="1">
      <c r="A471" s="351" t="str">
        <f t="shared" si="11"/>
        <v>Blowdown</v>
      </c>
      <c r="B471" s="351" t="str">
        <f t="shared" si="11"/>
        <v>t/h</v>
      </c>
      <c r="C471" s="331">
        <f>IF(ISBLANK(Model!G464),"",Model!G464)</f>
        <v>0.04</v>
      </c>
      <c r="D471" s="331">
        <v>0.04</v>
      </c>
      <c r="E471" s="331">
        <v>0.04</v>
      </c>
      <c r="F471"/>
      <c r="G471"/>
      <c r="H471"/>
    </row>
    <row r="472" spans="1:8" s="315" customFormat="1">
      <c r="A472" s="351" t="str">
        <f t="shared" si="11"/>
        <v>BFW</v>
      </c>
      <c r="B472" s="351" t="str">
        <f t="shared" si="11"/>
        <v>t/h</v>
      </c>
      <c r="C472" s="331">
        <f>IF(ISBLANK(Model!G465),"",Model!G465)</f>
        <v>4.04</v>
      </c>
      <c r="D472" s="331">
        <v>4.04</v>
      </c>
      <c r="E472" s="331">
        <v>4.04</v>
      </c>
      <c r="F472"/>
      <c r="G472"/>
      <c r="H472"/>
    </row>
    <row r="473" spans="1:8" s="315" customFormat="1">
      <c r="A473" s="351" t="str">
        <f t="shared" si="11"/>
        <v>Steam generation</v>
      </c>
      <c r="B473" s="351" t="str">
        <f t="shared" si="11"/>
        <v>t/h</v>
      </c>
      <c r="C473" s="331">
        <f>IF(ISBLANK(Model!G466),"",Model!G466)</f>
        <v>4</v>
      </c>
      <c r="D473" s="331">
        <v>4</v>
      </c>
      <c r="E473" s="331">
        <v>4</v>
      </c>
      <c r="F473"/>
      <c r="G473"/>
      <c r="H473"/>
    </row>
    <row r="474" spans="1:8" s="315" customFormat="1">
      <c r="A474" s="351" t="str">
        <f t="shared" si="11"/>
        <v>Efficiency</v>
      </c>
      <c r="B474" s="351" t="str">
        <f t="shared" si="11"/>
        <v>%</v>
      </c>
      <c r="C474" s="111">
        <f ca="1">Model!D487</f>
        <v>0</v>
      </c>
      <c r="D474" s="111">
        <v>0.8351972793727237</v>
      </c>
      <c r="E474" s="111">
        <v>0.8351972793727237</v>
      </c>
      <c r="F474"/>
      <c r="G474"/>
      <c r="H474"/>
    </row>
    <row r="475" spans="1:8" s="315" customFormat="1">
      <c r="A475" s="351"/>
      <c r="B475" s="351"/>
      <c r="C475" s="309" t="str">
        <f>IF(ISBLANK(Model!H462),"",Model!H462)</f>
        <v>Aux. boiler</v>
      </c>
      <c r="D475" s="309" t="s">
        <v>965</v>
      </c>
      <c r="E475" s="309" t="s">
        <v>965</v>
      </c>
      <c r="F475"/>
      <c r="G475"/>
      <c r="H475"/>
    </row>
    <row r="476" spans="1:8" s="315" customFormat="1">
      <c r="A476" s="351" t="str">
        <f t="shared" ref="A476:B480" si="12">A470</f>
        <v>Gas Required.</v>
      </c>
      <c r="B476" s="351" t="str">
        <f t="shared" si="12"/>
        <v>kW</v>
      </c>
      <c r="C476" s="351" t="e">
        <f ca="1">IF(ISBLANK(Model!H463),"",Model!H463)</f>
        <v>#NAME?</v>
      </c>
      <c r="D476" s="351">
        <v>0</v>
      </c>
      <c r="E476" s="351">
        <v>0</v>
      </c>
      <c r="F476"/>
      <c r="G476"/>
      <c r="H476"/>
    </row>
    <row r="477" spans="1:8" s="315" customFormat="1">
      <c r="A477" s="351" t="str">
        <f t="shared" si="12"/>
        <v>Blowdown</v>
      </c>
      <c r="B477" s="351" t="str">
        <f t="shared" si="12"/>
        <v>t/h</v>
      </c>
      <c r="C477" s="331">
        <f>IF(ISBLANK(Model!H464),"",Model!H464)</f>
        <v>0</v>
      </c>
      <c r="D477" s="331">
        <v>0</v>
      </c>
      <c r="E477" s="331">
        <v>0</v>
      </c>
      <c r="F477"/>
      <c r="G477"/>
      <c r="H477"/>
    </row>
    <row r="478" spans="1:8" s="315" customFormat="1">
      <c r="A478" s="351" t="str">
        <f t="shared" si="12"/>
        <v>BFW</v>
      </c>
      <c r="B478" s="351" t="str">
        <f t="shared" si="12"/>
        <v>t/h</v>
      </c>
      <c r="C478" s="331">
        <f>IF(ISBLANK(Model!H465),"",Model!H465)</f>
        <v>0</v>
      </c>
      <c r="D478" s="331">
        <v>0</v>
      </c>
      <c r="E478" s="331">
        <v>0</v>
      </c>
      <c r="F478"/>
      <c r="G478"/>
      <c r="H478"/>
    </row>
    <row r="479" spans="1:8" s="315" customFormat="1">
      <c r="A479" s="351" t="str">
        <f t="shared" si="12"/>
        <v>Steam generation</v>
      </c>
      <c r="B479" s="351" t="str">
        <f t="shared" si="12"/>
        <v>t/h</v>
      </c>
      <c r="C479" s="331">
        <f>IF(ISBLANK(Model!H466),"",Model!H466)</f>
        <v>0</v>
      </c>
      <c r="D479" s="331">
        <v>0</v>
      </c>
      <c r="E479" s="331">
        <v>0</v>
      </c>
      <c r="F479"/>
      <c r="G479"/>
      <c r="H479"/>
    </row>
    <row r="480" spans="1:8" s="315" customFormat="1">
      <c r="A480" s="351" t="str">
        <f t="shared" si="12"/>
        <v>Efficiency</v>
      </c>
      <c r="B480" s="351" t="str">
        <f t="shared" si="12"/>
        <v>%</v>
      </c>
      <c r="C480" s="332">
        <f>Model!F472</f>
        <v>0.65</v>
      </c>
      <c r="D480" s="332">
        <v>0.65</v>
      </c>
      <c r="E480" s="332">
        <v>0.65</v>
      </c>
      <c r="F480"/>
      <c r="G480"/>
      <c r="H480"/>
    </row>
    <row r="481" spans="1:9" s="78" customFormat="1">
      <c r="A481" s="325" t="str">
        <f>IF(Model!A500=0,"",Model!A500)</f>
        <v/>
      </c>
      <c r="B481" s="325" t="str">
        <f>IF(Model!B500=0,"",Model!B500)</f>
        <v/>
      </c>
      <c r="C481" s="111" t="str">
        <f>IF(ISBLANK(Model!H467),"",Model!H467)</f>
        <v/>
      </c>
      <c r="D481" s="111" t="s">
        <v>816</v>
      </c>
      <c r="E481" s="111" t="s">
        <v>816</v>
      </c>
      <c r="F481"/>
      <c r="G481"/>
      <c r="H481"/>
      <c r="I481" s="315"/>
    </row>
    <row r="482" spans="1:9" s="78" customFormat="1" ht="18" thickBot="1">
      <c r="A482" s="375" t="str">
        <f>IF(Model!A501=0,"",Model!A501)</f>
        <v>Deaerator</v>
      </c>
      <c r="B482" s="390" t="str">
        <f>IF(Model!B501=0,"",Model!B501)</f>
        <v/>
      </c>
      <c r="C482" s="390" t="str">
        <f>IF(ISBLANK(Model!C501),"",Model!C501)</f>
        <v/>
      </c>
      <c r="D482" s="390" t="s">
        <v>816</v>
      </c>
      <c r="E482" s="390" t="s">
        <v>816</v>
      </c>
      <c r="F482"/>
      <c r="G482"/>
      <c r="H482"/>
      <c r="I482" s="315"/>
    </row>
    <row r="483" spans="1:9" s="78" customFormat="1" ht="16" thickTop="1">
      <c r="A483" s="407" t="str">
        <f>IF(Model!A502=0,"",Model!A502)</f>
        <v>Calculation Inputs</v>
      </c>
      <c r="B483" s="407" t="str">
        <f>IF(Model!B502=0,"",Model!B502)</f>
        <v/>
      </c>
      <c r="C483" s="407" t="str">
        <f>IF(ISBLANK(Model!C502),"",Model!C502)</f>
        <v/>
      </c>
      <c r="D483" s="407" t="s">
        <v>816</v>
      </c>
      <c r="E483" s="407" t="s">
        <v>816</v>
      </c>
      <c r="F483"/>
      <c r="G483"/>
      <c r="H483"/>
      <c r="I483" s="315"/>
    </row>
    <row r="484" spans="1:9" s="78" customFormat="1">
      <c r="A484" s="334" t="str">
        <f>IF(Model!A503=0,"",Model!A503)</f>
        <v>EHP Steam Generation</v>
      </c>
      <c r="B484" s="334" t="str">
        <f>IF(Model!B503=0,"",Model!B503)</f>
        <v>t/h</v>
      </c>
      <c r="C484" s="320">
        <f>IF(ISBLANK(Model!C503),"",Model!C503)</f>
        <v>0</v>
      </c>
      <c r="D484" s="320">
        <v>0</v>
      </c>
      <c r="E484" s="320">
        <v>0</v>
      </c>
      <c r="F484"/>
      <c r="G484"/>
      <c r="H484"/>
      <c r="I484" s="315"/>
    </row>
    <row r="485" spans="1:9" s="78" customFormat="1">
      <c r="A485" s="325" t="str">
        <f>IF(Model!A504=0,"",Model!A504)</f>
        <v>HP Steam Generation</v>
      </c>
      <c r="B485" s="325" t="str">
        <f>IF(Model!B504=0,"",Model!B504)</f>
        <v>t/h</v>
      </c>
      <c r="C485" s="340">
        <f ca="1">IF(ISBLANK(Model!C504),"",Model!C504)</f>
        <v>45.744131999338265</v>
      </c>
      <c r="D485" s="340">
        <v>29.731241499669132</v>
      </c>
      <c r="E485" s="340">
        <v>45.744131999338265</v>
      </c>
      <c r="F485"/>
      <c r="G485"/>
      <c r="H485"/>
      <c r="I485" s="315"/>
    </row>
    <row r="486" spans="1:9" s="78" customFormat="1">
      <c r="A486" s="325" t="str">
        <f>IF(Model!A505=0,"",Model!A505)</f>
        <v>MP Steam Generation</v>
      </c>
      <c r="B486" s="325" t="str">
        <f>IF(Model!B505=0,"",Model!B505)</f>
        <v>t/h</v>
      </c>
      <c r="C486" s="340" t="e">
        <f ca="1">IF(ISBLANK(Model!C505),"",Model!C505)</f>
        <v>#NAME?</v>
      </c>
      <c r="D486" s="340">
        <v>9.2895893171560289</v>
      </c>
      <c r="E486" s="340">
        <v>11.169640817156029</v>
      </c>
      <c r="F486"/>
      <c r="G486"/>
      <c r="H486"/>
      <c r="I486" s="315"/>
    </row>
    <row r="487" spans="1:9" s="78" customFormat="1">
      <c r="A487" s="325" t="str">
        <f>IF(Model!A506=0,"",Model!A506)</f>
        <v>LP Steam Generation</v>
      </c>
      <c r="B487" s="325" t="str">
        <f>IF(Model!B506=0,"",Model!B506)</f>
        <v>t/h</v>
      </c>
      <c r="C487" s="340">
        <f>IF(ISBLANK(Model!C506),"",Model!C506)</f>
        <v>0</v>
      </c>
      <c r="D487" s="340">
        <v>0</v>
      </c>
      <c r="E487" s="340">
        <v>0</v>
      </c>
      <c r="F487"/>
      <c r="G487"/>
      <c r="H487"/>
      <c r="I487" s="315"/>
    </row>
    <row r="488" spans="1:9" s="36" customFormat="1">
      <c r="A488" s="334" t="str">
        <f>IF(Model!A507=0,"",Model!A507)</f>
        <v>Makeup water temp</v>
      </c>
      <c r="B488" s="334" t="str">
        <f>IF(Model!B507=0,"",Model!B507)</f>
        <v>C</v>
      </c>
      <c r="C488" s="320">
        <f>IF(ISBLANK(Model!C507),"",Model!C507)</f>
        <v>80</v>
      </c>
      <c r="D488" s="320">
        <v>80</v>
      </c>
      <c r="E488" s="320">
        <v>80</v>
      </c>
      <c r="F488"/>
      <c r="G488"/>
      <c r="H488"/>
      <c r="I488" s="315"/>
    </row>
    <row r="489" spans="1:9" s="188" customFormat="1">
      <c r="A489" s="325" t="str">
        <f>IF(Model!A508=0,"",Model!A508)</f>
        <v>Total site blowdown</v>
      </c>
      <c r="B489" s="325" t="str">
        <f>IF(Model!B508=0,"",Model!B508)</f>
        <v>t/h</v>
      </c>
      <c r="C489" s="340" t="e">
        <f ca="1">IF(ISBLANK(Model!C508),"",Model!C508)</f>
        <v>#NAME?</v>
      </c>
      <c r="D489" s="340">
        <v>0.37122699553076038</v>
      </c>
      <c r="E489" s="340">
        <v>0.5412349542034306</v>
      </c>
      <c r="F489"/>
      <c r="G489"/>
      <c r="H489"/>
      <c r="I489" s="315"/>
    </row>
    <row r="490" spans="1:9" s="220" customFormat="1">
      <c r="A490" s="325" t="str">
        <f>IF(Model!A509=0,"",Model!A509)</f>
        <v>Desuperheating water requried</v>
      </c>
      <c r="B490" s="325" t="str">
        <f>IF(Model!B509=0,"",Model!B509)</f>
        <v>t/h</v>
      </c>
      <c r="C490" s="340" t="e">
        <f ca="1">IF(ISBLANK(Model!C509),"",Model!C509)</f>
        <v>#NAME?</v>
      </c>
      <c r="D490" s="340">
        <v>0.67515575777382808</v>
      </c>
      <c r="E490" s="340">
        <v>2.6526258879537936</v>
      </c>
      <c r="F490"/>
      <c r="G490"/>
      <c r="H490"/>
      <c r="I490" s="315"/>
    </row>
    <row r="491" spans="1:9" s="220" customFormat="1">
      <c r="A491" s="325" t="str">
        <f>IF(Model!A510=0,"",Model!A510)</f>
        <v/>
      </c>
      <c r="B491" s="325" t="str">
        <f>IF(Model!B510=0,"",Model!B510)</f>
        <v/>
      </c>
      <c r="C491" s="351" t="str">
        <f>IF(ISBLANK(Model!C510),"",Model!C510)</f>
        <v/>
      </c>
      <c r="D491" s="351" t="s">
        <v>816</v>
      </c>
      <c r="E491" s="351" t="s">
        <v>816</v>
      </c>
      <c r="F491"/>
      <c r="G491"/>
      <c r="H491"/>
      <c r="I491" s="315"/>
    </row>
    <row r="492" spans="1:9" s="78" customFormat="1">
      <c r="A492" s="408" t="str">
        <f>IF(Model!A511=0,"",Model!A511)</f>
        <v>Calculation Outputs</v>
      </c>
      <c r="B492" s="408" t="str">
        <f>IF(Model!B511=0,"",Model!B511)</f>
        <v/>
      </c>
      <c r="C492" s="408" t="str">
        <f>IF(ISBLANK(Model!C511),"",Model!C511)</f>
        <v/>
      </c>
      <c r="D492" s="408" t="s">
        <v>816</v>
      </c>
      <c r="E492" s="408" t="s">
        <v>816</v>
      </c>
      <c r="F492"/>
      <c r="G492"/>
      <c r="H492"/>
      <c r="I492" s="315"/>
    </row>
    <row r="493" spans="1:9">
      <c r="A493" s="119" t="str">
        <f>IF(Model!A512=0,"",Model!A512)</f>
        <v>Deaeration Steam</v>
      </c>
      <c r="B493" s="119" t="str">
        <f>IF(Model!B512=0,"",Model!B512)</f>
        <v>t/h</v>
      </c>
      <c r="C493" s="340" t="e">
        <f ca="1">IF(ISBLANK(Model!C512),"",Model!C512)</f>
        <v>#NAME?</v>
      </c>
      <c r="D493" s="340">
        <v>0.74057340808227579</v>
      </c>
      <c r="E493" s="340">
        <v>1.1109860442986705</v>
      </c>
    </row>
    <row r="494" spans="1:9" s="36" customFormat="1">
      <c r="A494" s="119" t="str">
        <f>IF(Model!A513=0,"",Model!A513)</f>
        <v>Makeup water</v>
      </c>
      <c r="B494" s="119" t="str">
        <f>IF(Model!B513=0,"",Model!B513)</f>
        <v>t/h</v>
      </c>
      <c r="C494" s="340" t="e">
        <f ca="1">IF(ISBLANK(Model!C513),"",Model!C513)</f>
        <v>#NAME?</v>
      </c>
      <c r="D494" s="340">
        <v>39.363668832451587</v>
      </c>
      <c r="E494" s="340">
        <v>59.052196916567787</v>
      </c>
      <c r="F494"/>
      <c r="G494"/>
      <c r="H494"/>
      <c r="I494" s="315"/>
    </row>
    <row r="495" spans="1:9" s="36" customFormat="1">
      <c r="A495" s="325" t="str">
        <f>IF(Model!A514=0,"",Model!A514)</f>
        <v/>
      </c>
      <c r="B495" s="325" t="str">
        <f>IF(Model!B514=0,"",Model!B514)</f>
        <v/>
      </c>
      <c r="C495" s="325" t="str">
        <f>IF(ISBLANK(Model!C514),"",Model!C514)</f>
        <v/>
      </c>
      <c r="D495" s="325" t="s">
        <v>816</v>
      </c>
      <c r="E495" s="325" t="s">
        <v>816</v>
      </c>
      <c r="F495"/>
      <c r="G495"/>
      <c r="H495"/>
      <c r="I495" s="315"/>
    </row>
    <row r="496" spans="1:9" s="36" customFormat="1">
      <c r="A496" s="298" t="str">
        <f>IF(Model!A515=0,"",Model!A515)</f>
        <v>Condensate return:</v>
      </c>
      <c r="B496" s="320" t="str">
        <f>IF(Model!B515=0,"",Model!B515)</f>
        <v/>
      </c>
      <c r="C496" s="325" t="str">
        <f>IF(ISBLANK(Model!C515),"",Model!C515)</f>
        <v/>
      </c>
      <c r="D496" s="325" t="s">
        <v>816</v>
      </c>
      <c r="E496" s="325" t="s">
        <v>816</v>
      </c>
      <c r="F496"/>
      <c r="G496"/>
      <c r="H496"/>
      <c r="I496" s="315"/>
    </row>
    <row r="497" spans="1:9" s="36" customFormat="1">
      <c r="A497" s="224" t="str">
        <f>IF(Model!A516=0,"",Model!A516)</f>
        <v>Lenzing</v>
      </c>
      <c r="B497" s="320" t="str">
        <f>IF(Model!B516=0,"",Model!B516)</f>
        <v>t/h</v>
      </c>
      <c r="C497" s="120">
        <f>IF(ISBLANK(Model!C516),"",Model!C516)</f>
        <v>29.44107576687502</v>
      </c>
      <c r="D497" s="120">
        <v>29.44107576687502</v>
      </c>
      <c r="E497" s="120">
        <v>29.44107576687502</v>
      </c>
      <c r="F497"/>
      <c r="G497"/>
      <c r="H497"/>
      <c r="I497" s="315"/>
    </row>
    <row r="498" spans="1:9" s="78" customFormat="1">
      <c r="A498" s="238" t="str">
        <f>IF(Model!A517=0,"",Model!A517)</f>
        <v>Bluestar</v>
      </c>
      <c r="B498" s="320" t="str">
        <f>IF(Model!B517=0,"",Model!B517)</f>
        <v>t/h</v>
      </c>
      <c r="C498" s="120">
        <f>IF(ISBLANK(Model!C517),"",Model!C517)</f>
        <v>12.95</v>
      </c>
      <c r="D498" s="120">
        <v>0</v>
      </c>
      <c r="E498" s="120">
        <v>12.95</v>
      </c>
      <c r="F498"/>
      <c r="G498"/>
      <c r="H498"/>
      <c r="I498" s="315"/>
    </row>
    <row r="499" spans="1:9" s="220" customFormat="1">
      <c r="A499" s="238" t="str">
        <f>IF(Model!A518=0,"",Model!A518)</f>
        <v>TAL</v>
      </c>
      <c r="B499" s="320" t="str">
        <f>IF(Model!B518=0,"",Model!B518)</f>
        <v>t/h</v>
      </c>
      <c r="C499" s="120">
        <f>IF(ISBLANK(Model!C518),"",Model!C518)</f>
        <v>0.46904270833333339</v>
      </c>
      <c r="D499" s="120">
        <v>0.46904270833333339</v>
      </c>
      <c r="E499" s="120">
        <v>0.46904270833333339</v>
      </c>
      <c r="F499"/>
      <c r="G499"/>
      <c r="H499"/>
      <c r="I499" s="315"/>
    </row>
    <row r="500" spans="1:9" s="220" customFormat="1">
      <c r="A500" s="238" t="str">
        <f>IF(Model!A519=0,"",Model!A519)</f>
        <v>ST2</v>
      </c>
      <c r="B500" s="320" t="str">
        <f>IF(Model!B519=0,"",Model!B519)</f>
        <v>t/h</v>
      </c>
      <c r="C500" s="331">
        <f>IF(ISBLANK(Model!C519),"",Model!C519)</f>
        <v>0</v>
      </c>
      <c r="D500" s="331">
        <v>0</v>
      </c>
      <c r="E500" s="331">
        <v>0</v>
      </c>
      <c r="F500"/>
      <c r="G500"/>
      <c r="H500"/>
      <c r="I500" s="315"/>
    </row>
    <row r="501" spans="1:9" s="220" customFormat="1">
      <c r="A501" s="238" t="str">
        <f>IF(Model!A520=0,"",Model!A520)</f>
        <v/>
      </c>
      <c r="B501" s="320" t="str">
        <f>IF(Model!B520=0,"",Model!B520)</f>
        <v/>
      </c>
      <c r="C501" s="331" t="str">
        <f>IF(ISBLANK(Model!C520),"",Model!C520)</f>
        <v/>
      </c>
      <c r="D501" s="331" t="s">
        <v>816</v>
      </c>
      <c r="E501" s="331" t="s">
        <v>816</v>
      </c>
      <c r="F501"/>
      <c r="G501"/>
      <c r="H501"/>
      <c r="I501" s="315"/>
    </row>
    <row r="502" spans="1:9" s="220" customFormat="1">
      <c r="A502" s="318" t="str">
        <f>IF(Model!A521=0,"",Model!A521)</f>
        <v>Enthalpies for deaerator balance:</v>
      </c>
      <c r="B502" s="320" t="str">
        <f>IF(Model!B521=0,"",Model!B521)</f>
        <v/>
      </c>
      <c r="C502" s="120" t="str">
        <f>IF(ISBLANK(Model!C521),"",Model!C521)</f>
        <v/>
      </c>
      <c r="D502" s="120" t="s">
        <v>816</v>
      </c>
      <c r="E502" s="120" t="s">
        <v>816</v>
      </c>
      <c r="F502"/>
      <c r="G502"/>
      <c r="H502"/>
      <c r="I502" s="315"/>
    </row>
    <row r="503" spans="1:9" s="220" customFormat="1">
      <c r="A503" s="260" t="str">
        <f>IF(Model!A522=0,"",Model!A522)</f>
        <v>Vent enthalpy</v>
      </c>
      <c r="B503" s="260" t="str">
        <f>IF(Model!B522=0,"",Model!B522)</f>
        <v>kJ/kg</v>
      </c>
      <c r="C503" s="329" t="e">
        <f ca="1">IF(ISBLANK(Model!C522),"",Model!C522)</f>
        <v>#NAME?</v>
      </c>
      <c r="D503" s="329">
        <v>2683.3932784483159</v>
      </c>
      <c r="E503" s="329">
        <v>2683.3932784483159</v>
      </c>
      <c r="F503"/>
      <c r="G503"/>
      <c r="H503"/>
      <c r="I503" s="315"/>
    </row>
    <row r="504" spans="1:9" s="220" customFormat="1">
      <c r="A504" s="298" t="str">
        <f>IF(Model!A523=0,"",Model!A523)</f>
        <v>Deaeration steam enthalpy</v>
      </c>
      <c r="B504" s="298" t="str">
        <f>IF(Model!B523=0,"",Model!B523)</f>
        <v>kJ/kg</v>
      </c>
      <c r="C504" s="329" t="e">
        <f ca="1">IF(ISBLANK(Model!C523),"",Model!C523)</f>
        <v>#NAME?</v>
      </c>
      <c r="D504" s="329">
        <v>2795.1393543830995</v>
      </c>
      <c r="E504" s="329">
        <v>2795.1393543830995</v>
      </c>
      <c r="F504"/>
      <c r="G504"/>
      <c r="H504"/>
      <c r="I504" s="315"/>
    </row>
    <row r="505" spans="1:9" s="220" customFormat="1">
      <c r="A505" s="298" t="str">
        <f>IF(Model!A524=0,"",Model!A524)</f>
        <v>BFW enthalpy</v>
      </c>
      <c r="B505" s="298" t="str">
        <f>IF(Model!B524=0,"",Model!B524)</f>
        <v>kJ/kg</v>
      </c>
      <c r="C505" s="329" t="e">
        <f ca="1">IF(ISBLANK(Model!C524),"",Model!C524)</f>
        <v>#NAME?</v>
      </c>
      <c r="D505" s="329">
        <v>440.21312684129418</v>
      </c>
      <c r="E505" s="329">
        <v>440.21312684129418</v>
      </c>
      <c r="F505"/>
      <c r="G505"/>
      <c r="H505"/>
      <c r="I505" s="315"/>
    </row>
    <row r="506" spans="1:9" s="315" customFormat="1">
      <c r="A506" s="298"/>
      <c r="B506" s="298"/>
      <c r="C506" s="329"/>
      <c r="D506" s="329"/>
      <c r="E506" s="329"/>
      <c r="F506"/>
      <c r="G506"/>
      <c r="H506"/>
    </row>
    <row r="507" spans="1:9" s="220" customFormat="1">
      <c r="A507" s="42" t="str">
        <f>IF(Model!A526=0,"",Model!A526)</f>
        <v>Iteration number</v>
      </c>
      <c r="B507" s="42" t="str">
        <f>IF(Model!B526=0,"",Model!B526)</f>
        <v/>
      </c>
      <c r="C507" s="513">
        <f>IF(ISBLANK(Model!L526),"",Model!L526)</f>
        <v>9</v>
      </c>
      <c r="D507" s="513">
        <v>9</v>
      </c>
      <c r="E507" s="513">
        <v>9</v>
      </c>
      <c r="F507"/>
      <c r="G507"/>
      <c r="H507"/>
      <c r="I507" s="315"/>
    </row>
    <row r="508" spans="1:9" s="220" customFormat="1">
      <c r="A508" s="325" t="str">
        <f>IF(Model!A527=0,"",Model!A527)</f>
        <v>Steam being generated</v>
      </c>
      <c r="B508" s="325" t="str">
        <f>IF(Model!B527=0,"",Model!B527)</f>
        <v>t/h</v>
      </c>
      <c r="C508" s="340" t="e">
        <f ca="1">IF(Model!C527=0,"",Model!C527)</f>
        <v>#NAME?</v>
      </c>
      <c r="D508" s="340">
        <v>39.020830816825161</v>
      </c>
      <c r="E508" s="340">
        <v>56.913772816494294</v>
      </c>
      <c r="F508"/>
      <c r="G508"/>
      <c r="H508"/>
      <c r="I508" s="315"/>
    </row>
    <row r="509" spans="1:9" s="220" customFormat="1">
      <c r="A509" s="325" t="str">
        <f>IF(Model!A528=0,"",Model!A528)</f>
        <v>Leak off flow</v>
      </c>
      <c r="B509" s="325" t="str">
        <f>IF(Model!B528=0,"",Model!B528)</f>
        <v>t/h</v>
      </c>
      <c r="C509" s="340" t="str">
        <f>IF(Model!C528=0,"",Model!C528)</f>
        <v/>
      </c>
      <c r="D509" s="340" t="s">
        <v>816</v>
      </c>
      <c r="E509" s="340" t="s">
        <v>816</v>
      </c>
      <c r="F509"/>
      <c r="G509"/>
      <c r="H509"/>
      <c r="I509" s="315"/>
    </row>
    <row r="510" spans="1:9" s="220" customFormat="1">
      <c r="A510" s="325" t="str">
        <f>IF(Model!A529=0,"",Model!A529)</f>
        <v>Blowdown</v>
      </c>
      <c r="B510" s="325" t="str">
        <f>IF(Model!B529=0,"",Model!B529)</f>
        <v>t/h</v>
      </c>
      <c r="C510" s="340" t="e">
        <f ca="1">IF(Model!C529=0,"",Model!C529)</f>
        <v>#NAME?</v>
      </c>
      <c r="D510" s="340">
        <v>0.37122699553076038</v>
      </c>
      <c r="E510" s="340">
        <v>0.5412349542034306</v>
      </c>
      <c r="F510"/>
      <c r="G510"/>
      <c r="H510"/>
      <c r="I510" s="315"/>
    </row>
    <row r="511" spans="1:9" s="220" customFormat="1">
      <c r="A511" s="325" t="str">
        <f>IF(Model!A530=0,"",Model!A530)</f>
        <v>Desuperheating water requried</v>
      </c>
      <c r="B511" s="325" t="str">
        <f>IF(Model!B530=0,"",Model!B530)</f>
        <v>t/h</v>
      </c>
      <c r="C511" s="340" t="e">
        <f ca="1">IF(Model!C530=0,"",Model!C530)</f>
        <v>#NAME?</v>
      </c>
      <c r="D511" s="340">
        <v>0.67515575777382808</v>
      </c>
      <c r="E511" s="340">
        <v>2.6526258879537936</v>
      </c>
      <c r="F511"/>
      <c r="G511"/>
      <c r="H511"/>
      <c r="I511" s="315"/>
    </row>
    <row r="512" spans="1:9" s="220" customFormat="1">
      <c r="A512" s="325" t="str">
        <f>IF(Model!A531=0,"",Model!A531)</f>
        <v>DA Steam Required</v>
      </c>
      <c r="B512" s="325" t="str">
        <f>IF(Model!B531=0,"",Model!B531)</f>
        <v>t/h</v>
      </c>
      <c r="C512" s="340">
        <f>IF(Model!C531=0,"",Model!C531)</f>
        <v>1</v>
      </c>
      <c r="D512" s="340">
        <v>1</v>
      </c>
      <c r="E512" s="340">
        <v>1</v>
      </c>
      <c r="F512"/>
      <c r="G512"/>
      <c r="H512"/>
      <c r="I512" s="315"/>
    </row>
    <row r="513" spans="1:9" s="220" customFormat="1">
      <c r="A513" s="325" t="str">
        <f>IF(Model!A532=0,"",Model!A532)</f>
        <v>BFW &amp; DSH water required</v>
      </c>
      <c r="B513" s="325" t="str">
        <f>IF(Model!B532=0,"",Model!B532)</f>
        <v>t/h</v>
      </c>
      <c r="C513" s="340" t="e">
        <f ca="1">IF(Model!C532=0,"",Model!C532)</f>
        <v>#NAME?</v>
      </c>
      <c r="D513" s="340">
        <v>40.067213570129752</v>
      </c>
      <c r="E513" s="340">
        <v>60.107633658651523</v>
      </c>
      <c r="F513"/>
      <c r="G513"/>
      <c r="H513"/>
      <c r="I513" s="315"/>
    </row>
    <row r="514" spans="1:9" s="220" customFormat="1">
      <c r="A514" s="325" t="str">
        <f>IF(Model!A533=0,"",Model!A533)</f>
        <v>Adding engine LGH to makeup (calculations performed in the rig. simulation section)</v>
      </c>
      <c r="B514" s="325" t="str">
        <f>IF(Model!B533=0,"",Model!B533)</f>
        <v/>
      </c>
      <c r="C514" s="340" t="str">
        <f>IF(Model!C533=0,"",Model!C533)</f>
        <v/>
      </c>
      <c r="D514" s="340" t="s">
        <v>816</v>
      </c>
      <c r="E514" s="340" t="s">
        <v>816</v>
      </c>
      <c r="F514"/>
      <c r="G514"/>
      <c r="H514"/>
      <c r="I514" s="315"/>
    </row>
    <row r="515" spans="1:9" s="220" customFormat="1">
      <c r="A515" s="325" t="str">
        <f>IF(Model!A534=0,"",Model!A534)</f>
        <v>Makeup water required (from hotwell)</v>
      </c>
      <c r="B515" s="325" t="str">
        <f>IF(Model!B534=0,"",Model!B534)</f>
        <v>t/h</v>
      </c>
      <c r="C515" s="340" t="e">
        <f ca="1">IF(Model!C534=0,"",Model!C534)</f>
        <v>#NAME?</v>
      </c>
      <c r="D515" s="340">
        <v>39.117213570129749</v>
      </c>
      <c r="E515" s="340">
        <v>59.15763365865152</v>
      </c>
      <c r="F515"/>
      <c r="G515"/>
      <c r="H515"/>
      <c r="I515" s="315"/>
    </row>
    <row r="516" spans="1:9" s="220" customFormat="1">
      <c r="A516" s="325" t="str">
        <f>IF(Model!A535=0,"",Model!A535)</f>
        <v>Hotwell water temperature</v>
      </c>
      <c r="B516" s="325" t="str">
        <f>IF(Model!B535=0,"",Model!B535)</f>
        <v>C</v>
      </c>
      <c r="C516" s="340">
        <f>IF(Model!C535=0,"",Model!C535)</f>
        <v>95</v>
      </c>
      <c r="D516" s="340">
        <v>95</v>
      </c>
      <c r="E516" s="340">
        <v>95</v>
      </c>
      <c r="F516"/>
      <c r="G516"/>
      <c r="H516"/>
      <c r="I516" s="315"/>
    </row>
    <row r="517" spans="1:9" s="220" customFormat="1">
      <c r="A517" s="325" t="str">
        <f>IF(Model!A536=0,"",Model!A536)</f>
        <v>Hotwell water enthalpy</v>
      </c>
      <c r="B517" s="325" t="str">
        <f>IF(Model!B536=0,"",Model!B536)</f>
        <v>kJ/kg</v>
      </c>
      <c r="C517" s="340">
        <f>IF(Model!C536=0,"",Model!C536)</f>
        <v>398.01853947466174</v>
      </c>
      <c r="D517" s="340">
        <v>398.01853947466174</v>
      </c>
      <c r="E517" s="340">
        <v>398.01853947466174</v>
      </c>
      <c r="F517"/>
      <c r="G517"/>
      <c r="H517"/>
      <c r="I517" s="315"/>
    </row>
    <row r="518" spans="1:9" s="220" customFormat="1">
      <c r="A518" s="325" t="str">
        <f>IF(Model!A537=0,"",Model!A537)</f>
        <v/>
      </c>
      <c r="B518" s="325" t="str">
        <f>IF(Model!B537=0,"",Model!B537)</f>
        <v/>
      </c>
      <c r="C518" s="340" t="str">
        <f>IF(Model!C537=0,"",Model!C537)</f>
        <v/>
      </c>
      <c r="D518" s="340" t="s">
        <v>816</v>
      </c>
      <c r="E518" s="340" t="s">
        <v>816</v>
      </c>
      <c r="F518"/>
      <c r="G518"/>
      <c r="H518"/>
      <c r="I518" s="315"/>
    </row>
    <row r="519" spans="1:9" s="220" customFormat="1">
      <c r="A519" s="325" t="str">
        <f>IF(Model!A538=0,"",Model!A538)</f>
        <v>New DA Steam Requirement</v>
      </c>
      <c r="B519" s="325" t="str">
        <f>IF(Model!B538=0,"",Model!B538)</f>
        <v>t/h</v>
      </c>
      <c r="C519" s="340" t="e">
        <f ca="1">IF(Model!C538=0,"",Model!C538)</f>
        <v>#NAME?</v>
      </c>
      <c r="D519" s="340">
        <v>0.74057340808227579</v>
      </c>
      <c r="E519" s="340">
        <v>1.1109860442986705</v>
      </c>
      <c r="F519"/>
      <c r="G519"/>
      <c r="H519"/>
      <c r="I519" s="315"/>
    </row>
    <row r="520" spans="1:9" s="220" customFormat="1">
      <c r="A520" s="325" t="str">
        <f>IF(Model!A539=0,"",Model!A539)</f>
        <v/>
      </c>
      <c r="B520" s="325" t="str">
        <f>IF(Model!B539=0,"",Model!B539)</f>
        <v/>
      </c>
      <c r="C520" s="340" t="str">
        <f>IF(Model!C539=0,"",Model!C539)</f>
        <v/>
      </c>
      <c r="D520" s="340" t="s">
        <v>816</v>
      </c>
      <c r="E520" s="340" t="s">
        <v>816</v>
      </c>
      <c r="F520"/>
      <c r="G520"/>
      <c r="H520"/>
      <c r="I520" s="315"/>
    </row>
    <row r="521" spans="1:9" s="220" customFormat="1">
      <c r="A521" s="325" t="str">
        <f>IF(Model!A540=0,"",Model!A540)</f>
        <v>DA balance checks:</v>
      </c>
      <c r="B521" s="325" t="str">
        <f>IF(Model!B540=0,"",Model!B540)</f>
        <v/>
      </c>
      <c r="C521" s="340" t="str">
        <f>IF(Model!C540=0,"",Model!C540)</f>
        <v>in</v>
      </c>
      <c r="D521" s="340" t="s">
        <v>301</v>
      </c>
      <c r="E521" s="340" t="s">
        <v>301</v>
      </c>
      <c r="F521"/>
      <c r="G521"/>
      <c r="H521"/>
      <c r="I521" s="315"/>
    </row>
    <row r="522" spans="1:9" s="220" customFormat="1">
      <c r="A522" s="325" t="str">
        <f>IF(Model!A541=0,"",Model!A541)</f>
        <v>Mass balance</v>
      </c>
      <c r="B522" s="325" t="str">
        <f>IF(Model!B541=0,"",Model!B541)</f>
        <v>t/h</v>
      </c>
      <c r="C522" s="340" t="e">
        <f ca="1">IF(Model!C541=0,"",Model!C541)</f>
        <v>#NAME?</v>
      </c>
      <c r="D522" s="340">
        <v>40.104242240533864</v>
      </c>
      <c r="E522" s="340">
        <v>60.163182960866457</v>
      </c>
      <c r="F522"/>
      <c r="G522"/>
      <c r="H522"/>
      <c r="I522" s="315"/>
    </row>
    <row r="523" spans="1:9" s="220" customFormat="1">
      <c r="A523" s="325" t="str">
        <f>IF(Model!A542=0,"",Model!A542)</f>
        <v>Heat balance</v>
      </c>
      <c r="B523" s="325" t="str">
        <f>IF(Model!B542=0,"",Model!B542)</f>
        <v>kW</v>
      </c>
      <c r="C523" s="340" t="e">
        <f ca="1">IF(Model!C542=0,"",Model!C542)</f>
        <v>#NAME?</v>
      </c>
      <c r="D523" s="340">
        <v>4927.0766263325077</v>
      </c>
      <c r="E523" s="340">
        <v>7391.4527733589039</v>
      </c>
      <c r="F523"/>
      <c r="G523"/>
      <c r="H523"/>
      <c r="I523" s="315"/>
    </row>
    <row r="524" spans="1:9" s="220" customFormat="1">
      <c r="A524" s="334" t="str">
        <f>IF(Model!A543=0,"",Model!A543)</f>
        <v/>
      </c>
      <c r="B524" s="334" t="str">
        <f>IF(Model!B543=0,"",Model!B543)</f>
        <v/>
      </c>
      <c r="C524" s="334" t="str">
        <f>IF(ISBLANK(Model!C543),"",Model!C543)</f>
        <v/>
      </c>
      <c r="D524" s="334" t="s">
        <v>816</v>
      </c>
      <c r="E524" s="334" t="s">
        <v>816</v>
      </c>
      <c r="F524"/>
      <c r="G524"/>
      <c r="H524"/>
      <c r="I524" s="315"/>
    </row>
    <row r="525" spans="1:9" s="220" customFormat="1" ht="18" thickBot="1">
      <c r="A525" s="375" t="str">
        <f>IF(Model!A544=0,"",Model!A544)</f>
        <v>Desuperheating Water</v>
      </c>
      <c r="B525" s="390" t="str">
        <f>IF(Model!B544=0,"",Model!B544)</f>
        <v/>
      </c>
      <c r="C525" s="390" t="str">
        <f>IF(ISBLANK(Model!C544),"",Model!C544)</f>
        <v/>
      </c>
      <c r="D525" s="390" t="s">
        <v>816</v>
      </c>
      <c r="E525" s="390" t="s">
        <v>816</v>
      </c>
      <c r="F525"/>
      <c r="G525"/>
      <c r="H525"/>
      <c r="I525" s="315"/>
    </row>
    <row r="526" spans="1:9" s="220" customFormat="1" ht="16" thickTop="1">
      <c r="A526" s="407" t="str">
        <f>IF(Model!A545=0,"",Model!A545)</f>
        <v>Calculation Inputs</v>
      </c>
      <c r="B526" s="407" t="str">
        <f>IF(Model!B545=0,"",Model!B545)</f>
        <v/>
      </c>
      <c r="C526" s="407" t="str">
        <f>IF(ISBLANK(Model!C545),"",Model!C545)</f>
        <v/>
      </c>
      <c r="D526" s="407" t="s">
        <v>816</v>
      </c>
      <c r="E526" s="407" t="s">
        <v>816</v>
      </c>
      <c r="F526"/>
      <c r="G526"/>
      <c r="H526"/>
      <c r="I526" s="315"/>
    </row>
    <row r="527" spans="1:9" s="220" customFormat="1">
      <c r="A527" s="61" t="str">
        <f>IF(Model!A546=0,"",Model!A546)</f>
        <v/>
      </c>
      <c r="B527" s="325" t="str">
        <f>IF(Model!B546=0,"",Model!B546)</f>
        <v/>
      </c>
      <c r="C527" s="309" t="str">
        <f>IF(ISBLANK(Model!C546),"",Model!C546)</f>
        <v>EHP - HP</v>
      </c>
      <c r="D527" s="309" t="s">
        <v>61</v>
      </c>
      <c r="E527" s="309" t="s">
        <v>61</v>
      </c>
      <c r="F527"/>
      <c r="G527"/>
      <c r="H527"/>
      <c r="I527" s="315"/>
    </row>
    <row r="528" spans="1:9" s="220" customFormat="1">
      <c r="A528" s="61" t="str">
        <f>IF(Model!A547=0,"",Model!A547)</f>
        <v>Inlet flow</v>
      </c>
      <c r="B528" s="325" t="str">
        <f>IF(Model!B547=0,"",Model!B547)</f>
        <v>t/h</v>
      </c>
      <c r="C528" s="340">
        <f>IF(ISBLANK(Model!C547),"",Model!C547)</f>
        <v>0</v>
      </c>
      <c r="D528" s="340">
        <v>0</v>
      </c>
      <c r="E528" s="340">
        <v>0</v>
      </c>
      <c r="F528"/>
      <c r="G528"/>
      <c r="H528"/>
      <c r="I528" s="315"/>
    </row>
    <row r="529" spans="1:9" s="315" customFormat="1">
      <c r="A529" s="61"/>
      <c r="B529" s="325"/>
      <c r="C529" s="309" t="str">
        <f>IF(ISBLANK(Model!D546),"",Model!D546)</f>
        <v>HP - MP</v>
      </c>
      <c r="D529" s="309" t="s">
        <v>62</v>
      </c>
      <c r="E529" s="309" t="s">
        <v>62</v>
      </c>
      <c r="F529"/>
      <c r="G529"/>
      <c r="H529"/>
    </row>
    <row r="530" spans="1:9" s="315" customFormat="1">
      <c r="A530" s="61" t="str">
        <f>A528</f>
        <v>Inlet flow</v>
      </c>
      <c r="B530" s="61" t="str">
        <f>B528</f>
        <v>t/h</v>
      </c>
      <c r="C530" s="340" t="e">
        <f ca="1">IF(ISBLANK(Model!D547),"",Model!D547)</f>
        <v>#NAME?</v>
      </c>
      <c r="D530" s="340">
        <v>5.3092704996691324</v>
      </c>
      <c r="E530" s="340">
        <v>20.044131999338262</v>
      </c>
      <c r="F530"/>
      <c r="G530"/>
      <c r="H530"/>
    </row>
    <row r="531" spans="1:9" s="315" customFormat="1">
      <c r="A531" s="61"/>
      <c r="B531" s="325"/>
      <c r="C531" s="309" t="str">
        <f>IF(ISBLANK(Model!E546),"",Model!E546)</f>
        <v>MP - LP</v>
      </c>
      <c r="D531" s="309" t="s">
        <v>63</v>
      </c>
      <c r="E531" s="309" t="s">
        <v>63</v>
      </c>
      <c r="F531"/>
      <c r="G531"/>
      <c r="H531"/>
    </row>
    <row r="532" spans="1:9" s="315" customFormat="1">
      <c r="A532" s="61" t="str">
        <f>A530</f>
        <v>Inlet flow</v>
      </c>
      <c r="B532" s="61" t="str">
        <f>B530</f>
        <v>t/h</v>
      </c>
      <c r="C532" s="340" t="e">
        <f ca="1">IF(ISBLANK(Model!E547),"",Model!E547)</f>
        <v>#NAME?</v>
      </c>
      <c r="D532" s="340">
        <v>-8.5564842433605293E-9</v>
      </c>
      <c r="E532" s="340">
        <v>4.9886782446898463</v>
      </c>
      <c r="F532"/>
      <c r="G532"/>
      <c r="H532"/>
    </row>
    <row r="533" spans="1:9" s="220" customFormat="1">
      <c r="A533" s="408" t="str">
        <f>IF(Model!A549=0,"",Model!A549)</f>
        <v>Calculation Outputs</v>
      </c>
      <c r="B533" s="408" t="str">
        <f>IF(Model!B549=0,"",Model!B549)</f>
        <v/>
      </c>
      <c r="C533" s="408" t="str">
        <f>IF(ISBLANK(Model!C549),"",Model!C549)</f>
        <v/>
      </c>
      <c r="D533" s="408" t="s">
        <v>816</v>
      </c>
      <c r="E533" s="408" t="s">
        <v>816</v>
      </c>
      <c r="F533"/>
      <c r="G533"/>
      <c r="H533"/>
      <c r="I533" s="315"/>
    </row>
    <row r="534" spans="1:9" s="220" customFormat="1">
      <c r="A534" s="325" t="str">
        <f>IF(Model!A550=0,"",Model!A550)</f>
        <v/>
      </c>
      <c r="B534" s="325" t="str">
        <f>IF(Model!B550=0,"",Model!B550)</f>
        <v/>
      </c>
      <c r="C534" s="406" t="str">
        <f>IF(ISBLANK(Model!C550),"",Model!C550)</f>
        <v>EHP - HP</v>
      </c>
      <c r="D534" s="406" t="s">
        <v>61</v>
      </c>
      <c r="E534" s="406" t="s">
        <v>61</v>
      </c>
      <c r="F534"/>
      <c r="G534"/>
      <c r="H534"/>
      <c r="I534" s="315"/>
    </row>
    <row r="535" spans="1:9" s="220" customFormat="1">
      <c r="A535" s="325" t="str">
        <f>IF(Model!A551=0,"",Model!A551)</f>
        <v>Outlet Flow</v>
      </c>
      <c r="B535" s="325" t="str">
        <f>IF(Model!B551=0,"",Model!B551)</f>
        <v>t/h</v>
      </c>
      <c r="C535" s="350" t="e">
        <f ca="1">IF(ISBLANK(Model!C551),"",Model!C551)</f>
        <v>#NAME?</v>
      </c>
      <c r="D535" s="350">
        <v>0</v>
      </c>
      <c r="E535" s="350">
        <v>0</v>
      </c>
      <c r="F535"/>
      <c r="G535"/>
      <c r="H535"/>
      <c r="I535" s="315"/>
    </row>
    <row r="536" spans="1:9" s="220" customFormat="1">
      <c r="A536" s="325" t="str">
        <f>IF(Model!A552=0,"",Model!A552)</f>
        <v>DSHW Flow</v>
      </c>
      <c r="B536" s="325" t="str">
        <f>IF(Model!B552=0,"",Model!B552)</f>
        <v>t/h</v>
      </c>
      <c r="C536" s="350" t="e">
        <f ca="1">IF(ISBLANK(Model!C552),"",Model!C552)</f>
        <v>#NAME?</v>
      </c>
      <c r="D536" s="350">
        <v>0</v>
      </c>
      <c r="E536" s="350">
        <v>0</v>
      </c>
      <c r="F536"/>
      <c r="G536"/>
      <c r="H536"/>
      <c r="I536" s="315"/>
    </row>
    <row r="537" spans="1:9" s="315" customFormat="1">
      <c r="A537" s="325"/>
      <c r="B537" s="325"/>
      <c r="C537" s="406" t="str">
        <f>IF(ISBLANK(Model!D550),"",Model!D550)</f>
        <v>HP - MP</v>
      </c>
      <c r="D537" s="406" t="s">
        <v>62</v>
      </c>
      <c r="E537" s="406" t="s">
        <v>62</v>
      </c>
      <c r="F537"/>
      <c r="G537"/>
      <c r="H537"/>
    </row>
    <row r="538" spans="1:9" s="315" customFormat="1">
      <c r="A538" s="325" t="str">
        <f>A535</f>
        <v>Outlet Flow</v>
      </c>
      <c r="B538" s="325" t="str">
        <f>B535</f>
        <v>t/h</v>
      </c>
      <c r="C538" s="350" t="e">
        <f ca="1">IF(ISBLANK(Model!D551),"",Model!D551)</f>
        <v>#NAME?</v>
      </c>
      <c r="D538" s="350">
        <v>5.9844262576208331</v>
      </c>
      <c r="E538" s="350">
        <v>22.593053010867159</v>
      </c>
      <c r="F538"/>
      <c r="G538"/>
      <c r="H538"/>
    </row>
    <row r="539" spans="1:9" s="315" customFormat="1">
      <c r="A539" s="325" t="str">
        <f>A536</f>
        <v>DSHW Flow</v>
      </c>
      <c r="B539" s="325" t="str">
        <f>B536</f>
        <v>t/h</v>
      </c>
      <c r="C539" s="350" t="e">
        <f ca="1">IF(ISBLANK(Model!D552),"",Model!D552)</f>
        <v>#NAME?</v>
      </c>
      <c r="D539" s="350">
        <v>0.67515575795170069</v>
      </c>
      <c r="E539" s="350">
        <v>2.5489210115288969</v>
      </c>
      <c r="F539"/>
      <c r="G539"/>
      <c r="H539"/>
    </row>
    <row r="540" spans="1:9" s="315" customFormat="1">
      <c r="A540" s="325"/>
      <c r="B540" s="325"/>
      <c r="C540" s="406" t="str">
        <f>IF(ISBLANK(Model!E550),"",Model!E550)</f>
        <v>MP - LP</v>
      </c>
      <c r="D540" s="406" t="s">
        <v>63</v>
      </c>
      <c r="E540" s="406" t="s">
        <v>63</v>
      </c>
      <c r="F540"/>
      <c r="G540"/>
      <c r="H540"/>
    </row>
    <row r="541" spans="1:9" s="315" customFormat="1">
      <c r="A541" s="325" t="str">
        <f>A538</f>
        <v>Outlet Flow</v>
      </c>
      <c r="B541" s="325" t="str">
        <f>B538</f>
        <v>t/h</v>
      </c>
      <c r="C541" s="350" t="e">
        <f ca="1">IF(ISBLANK(Model!E551),"",Model!E551)</f>
        <v>#NAME?</v>
      </c>
      <c r="D541" s="350">
        <v>-8.7343568375760031E-9</v>
      </c>
      <c r="E541" s="350">
        <v>5.092383121114743</v>
      </c>
      <c r="F541"/>
      <c r="G541"/>
      <c r="H541"/>
    </row>
    <row r="542" spans="1:9" s="315" customFormat="1">
      <c r="A542" s="325" t="str">
        <f>A539</f>
        <v>DSHW Flow</v>
      </c>
      <c r="B542" s="325" t="str">
        <f>B539</f>
        <v>t/h</v>
      </c>
      <c r="C542" s="350" t="e">
        <f ca="1">IF(ISBLANK(Model!E552),"",Model!E552)</f>
        <v>#NAME?</v>
      </c>
      <c r="D542" s="350">
        <v>-1.7787259421547379E-10</v>
      </c>
      <c r="E542" s="350">
        <v>0.10370487642489667</v>
      </c>
      <c r="F542"/>
      <c r="G542"/>
      <c r="H542"/>
    </row>
    <row r="543" spans="1:9" s="220" customFormat="1">
      <c r="A543" s="123" t="str">
        <f>IF(Model!A556=0,"",Model!A556)</f>
        <v>Desuperheat water temperature</v>
      </c>
      <c r="B543" s="123" t="str">
        <f>IF(Model!B556=0,"",Model!B556)</f>
        <v>C</v>
      </c>
      <c r="C543" s="124">
        <f>IF(ISBLANK(Model!C556),"",Model!C556)</f>
        <v>105</v>
      </c>
      <c r="D543" s="124">
        <v>105</v>
      </c>
      <c r="E543" s="124">
        <v>105</v>
      </c>
      <c r="F543"/>
      <c r="G543"/>
      <c r="H543"/>
      <c r="I543" s="315"/>
    </row>
    <row r="544" spans="1:9" s="220" customFormat="1">
      <c r="A544" s="334" t="str">
        <f>IF(Model!A557=0,"",Model!A557)</f>
        <v>Demin water enthalpy</v>
      </c>
      <c r="B544" s="334" t="str">
        <f>IF(Model!B557=0,"",Model!B557)</f>
        <v>kJ/kg</v>
      </c>
      <c r="C544" s="235" t="e">
        <f ca="1">IF(ISBLANK(Model!C557),"",Model!C557)</f>
        <v>#NAME?</v>
      </c>
      <c r="D544" s="235">
        <v>440.21312684129418</v>
      </c>
      <c r="E544" s="235">
        <v>440.21312684129418</v>
      </c>
      <c r="F544"/>
      <c r="G544"/>
      <c r="H544"/>
      <c r="I544" s="315"/>
    </row>
    <row r="545" spans="1:9" s="220" customFormat="1">
      <c r="A545" s="334" t="str">
        <f>IF(Model!A559=0,"",Model!A559)</f>
        <v/>
      </c>
      <c r="B545" s="334" t="str">
        <f>IF(Model!B559=0,"",Model!B559)</f>
        <v/>
      </c>
      <c r="C545" s="45" t="str">
        <f>IF(ISBLANK(Model!C559),"",Model!C559)</f>
        <v>EHP - HP</v>
      </c>
      <c r="D545" s="45" t="s">
        <v>61</v>
      </c>
      <c r="E545" s="45" t="s">
        <v>61</v>
      </c>
      <c r="F545"/>
      <c r="G545"/>
      <c r="H545"/>
      <c r="I545" s="315"/>
    </row>
    <row r="546" spans="1:9" s="36" customFormat="1">
      <c r="A546" s="119" t="str">
        <f>IF(Model!A560=0,"",Model!A560)</f>
        <v>Inlet Flow</v>
      </c>
      <c r="B546" s="320" t="str">
        <f>IF(Model!B560=0,"",Model!B560)</f>
        <v>t/h</v>
      </c>
      <c r="C546" s="350">
        <f>IF(ISBLANK(Model!C560),"",Model!C560)</f>
        <v>0</v>
      </c>
      <c r="D546" s="350">
        <v>0</v>
      </c>
      <c r="E546" s="350">
        <v>0</v>
      </c>
      <c r="F546"/>
      <c r="G546"/>
      <c r="H546"/>
      <c r="I546" s="315"/>
    </row>
    <row r="547" spans="1:9" s="220" customFormat="1">
      <c r="A547" s="125" t="str">
        <f>IF(Model!A561=0,"",Model!A561)</f>
        <v>Inlet Enthalpy</v>
      </c>
      <c r="B547" s="325" t="str">
        <f>IF(Model!B561=0,"",Model!B561)</f>
        <v>kJ/kg</v>
      </c>
      <c r="C547" s="328" t="e">
        <f ca="1">IF(ISBLANK(Model!C561),"",Model!C561)</f>
        <v>#NAME?</v>
      </c>
      <c r="D547" s="328">
        <v>3299.4097118669965</v>
      </c>
      <c r="E547" s="328">
        <v>3299.4097118669965</v>
      </c>
      <c r="F547"/>
      <c r="G547"/>
      <c r="H547"/>
      <c r="I547" s="315"/>
    </row>
    <row r="548" spans="1:9" s="220" customFormat="1">
      <c r="A548" s="119" t="str">
        <f>IF(Model!A562=0,"",Model!A562)</f>
        <v>Outlet Enthalpy</v>
      </c>
      <c r="B548" s="320" t="str">
        <f>IF(Model!B562=0,"",Model!B562)</f>
        <v>kJ/kg</v>
      </c>
      <c r="C548" s="350" t="e">
        <f ca="1">IF(ISBLANK(Model!C562),"",Model!C562)</f>
        <v>#NAME?</v>
      </c>
      <c r="D548" s="350">
        <v>3299.4097118669965</v>
      </c>
      <c r="E548" s="350">
        <v>3299.4097118669965</v>
      </c>
      <c r="F548"/>
      <c r="G548"/>
      <c r="H548"/>
      <c r="I548" s="315"/>
    </row>
    <row r="549" spans="1:9" s="220" customFormat="1">
      <c r="A549" s="125" t="str">
        <f>IF(Model!A563=0,"",Model!A563)</f>
        <v>Outlet Flow</v>
      </c>
      <c r="B549" s="340" t="str">
        <f>IF(Model!B563=0,"",Model!B563)</f>
        <v>t/h</v>
      </c>
      <c r="C549" s="350" t="e">
        <f ca="1">IF(ISBLANK(Model!C563),"",Model!C563)</f>
        <v>#NAME?</v>
      </c>
      <c r="D549" s="350">
        <v>0</v>
      </c>
      <c r="E549" s="350">
        <v>0</v>
      </c>
      <c r="F549"/>
      <c r="G549"/>
      <c r="H549"/>
      <c r="I549" s="315"/>
    </row>
    <row r="550" spans="1:9" s="220" customFormat="1">
      <c r="A550" s="125" t="str">
        <f>IF(Model!A564=0,"",Model!A564)</f>
        <v>Desuperheating water flow</v>
      </c>
      <c r="B550" s="340" t="str">
        <f>IF(Model!B564=0,"",Model!B564)</f>
        <v>t/h</v>
      </c>
      <c r="C550" s="350" t="e">
        <f ca="1">IF(ISBLANK(Model!C564),"",Model!C564)</f>
        <v>#NAME?</v>
      </c>
      <c r="D550" s="350">
        <v>0</v>
      </c>
      <c r="E550" s="350">
        <v>0</v>
      </c>
      <c r="F550"/>
      <c r="G550"/>
      <c r="H550"/>
      <c r="I550" s="315"/>
    </row>
    <row r="551" spans="1:9" s="315" customFormat="1">
      <c r="A551" s="125"/>
      <c r="B551" s="340"/>
      <c r="C551" s="45" t="str">
        <f>IF(ISBLANK(Model!D559),"",Model!D559)</f>
        <v>HP - MP</v>
      </c>
      <c r="D551" s="45" t="s">
        <v>62</v>
      </c>
      <c r="E551" s="45" t="s">
        <v>62</v>
      </c>
      <c r="F551"/>
      <c r="G551"/>
      <c r="H551"/>
    </row>
    <row r="552" spans="1:9" s="315" customFormat="1">
      <c r="A552" s="125" t="str">
        <f t="shared" ref="A552:B556" si="13">A546</f>
        <v>Inlet Flow</v>
      </c>
      <c r="B552" s="125" t="str">
        <f t="shared" si="13"/>
        <v>t/h</v>
      </c>
      <c r="C552" s="350" t="e">
        <f ca="1">IF(ISBLANK(Model!D560),"",Model!D560)</f>
        <v>#NAME?</v>
      </c>
      <c r="D552" s="350">
        <v>5.3092704996691324</v>
      </c>
      <c r="E552" s="350">
        <v>20.044131999338262</v>
      </c>
      <c r="F552"/>
      <c r="G552"/>
      <c r="H552"/>
    </row>
    <row r="553" spans="1:9" s="315" customFormat="1">
      <c r="A553" s="125" t="str">
        <f t="shared" si="13"/>
        <v>Inlet Enthalpy</v>
      </c>
      <c r="B553" s="125" t="str">
        <f t="shared" si="13"/>
        <v>kJ/kg</v>
      </c>
      <c r="C553" s="328" t="e">
        <f ca="1">IF(ISBLANK(Model!D561),"",Model!D561)</f>
        <v>#NAME?</v>
      </c>
      <c r="D553" s="328">
        <v>3149.7842154674945</v>
      </c>
      <c r="E553" s="328">
        <v>3149.7842154674945</v>
      </c>
      <c r="F553"/>
      <c r="G553"/>
      <c r="H553"/>
    </row>
    <row r="554" spans="1:9" s="315" customFormat="1">
      <c r="A554" s="125" t="str">
        <f t="shared" si="13"/>
        <v>Outlet Enthalpy</v>
      </c>
      <c r="B554" s="125" t="str">
        <f t="shared" si="13"/>
        <v>kJ/kg</v>
      </c>
      <c r="C554" s="350" t="e">
        <f ca="1">IF(ISBLANK(Model!D562),"",Model!D562)</f>
        <v>#NAME?</v>
      </c>
      <c r="D554" s="350">
        <v>2844.0936708249196</v>
      </c>
      <c r="E554" s="350">
        <v>2844.0936708249196</v>
      </c>
      <c r="F554"/>
      <c r="G554"/>
      <c r="H554"/>
    </row>
    <row r="555" spans="1:9" s="315" customFormat="1">
      <c r="A555" s="125" t="str">
        <f t="shared" si="13"/>
        <v>Outlet Flow</v>
      </c>
      <c r="B555" s="125" t="str">
        <f t="shared" si="13"/>
        <v>t/h</v>
      </c>
      <c r="C555" s="350" t="e">
        <f ca="1">IF(ISBLANK(Model!D563),"",Model!D563)</f>
        <v>#NAME?</v>
      </c>
      <c r="D555" s="350">
        <v>5.9844262576208331</v>
      </c>
      <c r="E555" s="350">
        <v>22.593053010867159</v>
      </c>
      <c r="F555"/>
      <c r="G555"/>
      <c r="H555"/>
    </row>
    <row r="556" spans="1:9" s="315" customFormat="1">
      <c r="A556" s="125" t="str">
        <f t="shared" si="13"/>
        <v>Desuperheating water flow</v>
      </c>
      <c r="B556" s="125" t="str">
        <f t="shared" si="13"/>
        <v>t/h</v>
      </c>
      <c r="C556" s="350" t="e">
        <f ca="1">IF(ISBLANK(Model!D564),"",Model!D564)</f>
        <v>#NAME?</v>
      </c>
      <c r="D556" s="350">
        <v>0.67515575795170069</v>
      </c>
      <c r="E556" s="350">
        <v>2.5489210115288969</v>
      </c>
      <c r="F556"/>
      <c r="G556"/>
      <c r="H556"/>
    </row>
    <row r="557" spans="1:9" s="315" customFormat="1">
      <c r="A557" s="125"/>
      <c r="B557" s="125"/>
      <c r="C557" s="45" t="str">
        <f>IF(ISBLANK(Model!E559),"",Model!E559)</f>
        <v>MP - LP</v>
      </c>
      <c r="D557" s="45" t="s">
        <v>63</v>
      </c>
      <c r="E557" s="45" t="s">
        <v>63</v>
      </c>
      <c r="F557"/>
      <c r="G557"/>
      <c r="H557"/>
    </row>
    <row r="558" spans="1:9" s="315" customFormat="1">
      <c r="A558" s="125" t="str">
        <f t="shared" ref="A558:B562" si="14">A552</f>
        <v>Inlet Flow</v>
      </c>
      <c r="B558" s="125" t="str">
        <f t="shared" si="14"/>
        <v>t/h</v>
      </c>
      <c r="C558" s="350" t="e">
        <f ca="1">IF(ISBLANK(Model!E560),"",Model!E560)</f>
        <v>#NAME?</v>
      </c>
      <c r="D558" s="350">
        <v>-8.5564842433605293E-9</v>
      </c>
      <c r="E558" s="350">
        <v>4.9886782446898463</v>
      </c>
      <c r="F558"/>
      <c r="G558"/>
      <c r="H558"/>
    </row>
    <row r="559" spans="1:9" s="315" customFormat="1">
      <c r="A559" s="125" t="str">
        <f t="shared" si="14"/>
        <v>Inlet Enthalpy</v>
      </c>
      <c r="B559" s="125" t="str">
        <f t="shared" si="14"/>
        <v>kJ/kg</v>
      </c>
      <c r="C559" s="328" t="e">
        <f ca="1">IF(ISBLANK(Model!E561),"",Model!E561)</f>
        <v>#NAME?</v>
      </c>
      <c r="D559" s="328">
        <v>2844.0936708249196</v>
      </c>
      <c r="E559" s="328">
        <v>2844.0936708249196</v>
      </c>
      <c r="F559"/>
      <c r="G559"/>
      <c r="H559"/>
    </row>
    <row r="560" spans="1:9" s="315" customFormat="1">
      <c r="A560" s="125" t="str">
        <f t="shared" si="14"/>
        <v>Outlet Enthalpy</v>
      </c>
      <c r="B560" s="125" t="str">
        <f t="shared" si="14"/>
        <v>kJ/kg</v>
      </c>
      <c r="C560" s="350" t="e">
        <f ca="1">IF(ISBLANK(Model!E562),"",Model!E562)</f>
        <v>#NAME?</v>
      </c>
      <c r="D560" s="350">
        <v>2795.1393543830995</v>
      </c>
      <c r="E560" s="350">
        <v>2795.1393543830995</v>
      </c>
      <c r="F560"/>
      <c r="G560"/>
      <c r="H560"/>
    </row>
    <row r="561" spans="1:9" s="315" customFormat="1">
      <c r="A561" s="125" t="str">
        <f t="shared" si="14"/>
        <v>Outlet Flow</v>
      </c>
      <c r="B561" s="125" t="str">
        <f t="shared" si="14"/>
        <v>t/h</v>
      </c>
      <c r="C561" s="350" t="e">
        <f ca="1">IF(ISBLANK(Model!E563),"",Model!E563)</f>
        <v>#NAME?</v>
      </c>
      <c r="D561" s="350">
        <v>-8.7343568375760031E-9</v>
      </c>
      <c r="E561" s="350">
        <v>5.092383121114743</v>
      </c>
      <c r="F561"/>
      <c r="G561"/>
      <c r="H561"/>
    </row>
    <row r="562" spans="1:9" s="315" customFormat="1">
      <c r="A562" s="125" t="str">
        <f t="shared" si="14"/>
        <v>Desuperheating water flow</v>
      </c>
      <c r="B562" s="125" t="str">
        <f t="shared" si="14"/>
        <v>t/h</v>
      </c>
      <c r="C562" s="350" t="e">
        <f ca="1">IF(ISBLANK(Model!E564),"",Model!E564)</f>
        <v>#NAME?</v>
      </c>
      <c r="D562" s="350">
        <v>-1.7787259421547379E-10</v>
      </c>
      <c r="E562" s="350">
        <v>0.10370487642489667</v>
      </c>
      <c r="F562"/>
      <c r="G562"/>
      <c r="H562"/>
    </row>
    <row r="563" spans="1:9" s="220" customFormat="1" ht="18" thickBot="1">
      <c r="A563" s="375" t="str">
        <f>IF(Model!A566=0,"",Model!A566)</f>
        <v>Parasitics</v>
      </c>
      <c r="B563" s="391" t="str">
        <f>IF(Model!B566=0,"",Model!B566)</f>
        <v/>
      </c>
      <c r="C563" s="375" t="str">
        <f>IF(ISBLANK(Model!C566),"",Model!C566)</f>
        <v/>
      </c>
      <c r="D563" s="495" t="s">
        <v>816</v>
      </c>
      <c r="E563" s="495" t="s">
        <v>816</v>
      </c>
      <c r="F563"/>
      <c r="G563"/>
      <c r="H563"/>
      <c r="I563" s="315"/>
    </row>
    <row r="564" spans="1:9" s="220" customFormat="1" ht="16" thickTop="1">
      <c r="A564" s="407" t="str">
        <f>IF(Model!A567=0,"",Model!A567)</f>
        <v>Calculation Inputs</v>
      </c>
      <c r="B564" s="407" t="str">
        <f>IF(Model!B567=0,"",Model!B567)</f>
        <v/>
      </c>
      <c r="C564" s="407" t="str">
        <f>IF(ISBLANK(Model!C567),"",Model!C567)</f>
        <v/>
      </c>
      <c r="D564" s="407" t="s">
        <v>816</v>
      </c>
      <c r="E564" s="407" t="s">
        <v>816</v>
      </c>
      <c r="F564"/>
      <c r="G564"/>
      <c r="H564"/>
      <c r="I564" s="315"/>
    </row>
    <row r="565" spans="1:9" s="220" customFormat="1">
      <c r="A565" s="74" t="str">
        <f>IF(Model!A568=0,"",Model!A568)</f>
        <v/>
      </c>
      <c r="B565" s="325" t="str">
        <f>IF(Model!B568=0,"",Model!B568)</f>
        <v/>
      </c>
      <c r="C565" s="74" t="str">
        <f>IF(ISBLANK(Model!C568),"",Model!C568)</f>
        <v>Binary variable</v>
      </c>
      <c r="D565" s="74" t="s">
        <v>776</v>
      </c>
      <c r="E565" s="74" t="s">
        <v>776</v>
      </c>
      <c r="F565"/>
      <c r="G565"/>
      <c r="H565"/>
      <c r="I565" s="315"/>
    </row>
    <row r="566" spans="1:9" s="220" customFormat="1">
      <c r="A566" s="275" t="str">
        <f>IF(Model!A569=0,"",Model!A569)</f>
        <v>B4</v>
      </c>
      <c r="B566" s="298" t="str">
        <f>IF(Model!B569=0,"",Model!B569)</f>
        <v>bin.</v>
      </c>
      <c r="C566" s="329">
        <f>IF(ISBLANK(Model!C569),"",Model!C569)</f>
        <v>0</v>
      </c>
      <c r="D566" s="329">
        <v>0</v>
      </c>
      <c r="E566" s="329">
        <v>0</v>
      </c>
      <c r="F566"/>
      <c r="G566"/>
      <c r="H566"/>
      <c r="I566" s="315"/>
    </row>
    <row r="567" spans="1:9" s="220" customFormat="1">
      <c r="A567" s="275" t="str">
        <f>IF(Model!A570=0,"",Model!A570)</f>
        <v>B7</v>
      </c>
      <c r="B567" s="298" t="str">
        <f>IF(Model!B570=0,"",Model!B570)</f>
        <v>bin.</v>
      </c>
      <c r="C567" s="329">
        <f>IF(ISBLANK(Model!C570),"",Model!C570)</f>
        <v>0</v>
      </c>
      <c r="D567" s="329">
        <v>0</v>
      </c>
      <c r="E567" s="329">
        <v>0</v>
      </c>
      <c r="F567"/>
      <c r="G567"/>
      <c r="H567"/>
      <c r="I567" s="315"/>
    </row>
    <row r="568" spans="1:9" s="220" customFormat="1">
      <c r="A568" s="275" t="str">
        <f>IF(Model!A571=0,"",Model!A571)</f>
        <v>B9</v>
      </c>
      <c r="B568" s="298" t="str">
        <f>IF(Model!B571=0,"",Model!B571)</f>
        <v>bin.</v>
      </c>
      <c r="C568" s="329">
        <f>IF(ISBLANK(Model!C571),"",Model!C571)</f>
        <v>0</v>
      </c>
      <c r="D568" s="329">
        <v>0</v>
      </c>
      <c r="E568" s="329">
        <v>0</v>
      </c>
      <c r="F568"/>
      <c r="G568"/>
      <c r="H568"/>
      <c r="I568" s="315"/>
    </row>
    <row r="569" spans="1:9" s="220" customFormat="1">
      <c r="A569" s="275" t="str">
        <f>IF(Model!A572=0,"",Model!A572)</f>
        <v>GT-1</v>
      </c>
      <c r="B569" s="298" t="str">
        <f>IF(Model!B572=0,"",Model!B572)</f>
        <v>bin.</v>
      </c>
      <c r="C569" s="329">
        <f>IF(ISBLANK(Model!C572),"",Model!C572)</f>
        <v>1</v>
      </c>
      <c r="D569" s="329">
        <v>1</v>
      </c>
      <c r="E569" s="329">
        <v>1</v>
      </c>
      <c r="F569"/>
      <c r="G569"/>
      <c r="H569"/>
      <c r="I569" s="315"/>
    </row>
    <row r="570" spans="1:9" s="220" customFormat="1">
      <c r="A570" s="275" t="str">
        <f>IF(Model!A573=0,"",Model!A573)</f>
        <v>GT-2</v>
      </c>
      <c r="B570" s="298" t="str">
        <f>IF(Model!B573=0,"",Model!B573)</f>
        <v>bin.</v>
      </c>
      <c r="C570" s="329">
        <f>IF(ISBLANK(Model!C573),"",Model!C573)</f>
        <v>1</v>
      </c>
      <c r="D570" s="329">
        <v>0</v>
      </c>
      <c r="E570" s="329">
        <v>1</v>
      </c>
      <c r="F570"/>
      <c r="G570"/>
      <c r="H570"/>
      <c r="I570" s="315"/>
    </row>
    <row r="571" spans="1:9" s="220" customFormat="1">
      <c r="A571" s="275" t="str">
        <f>IF(Model!A574=0,"",Model!A574)</f>
        <v>WHB-1</v>
      </c>
      <c r="B571" s="298" t="str">
        <f>IF(Model!B574=0,"",Model!B574)</f>
        <v>bin.</v>
      </c>
      <c r="C571" s="114">
        <f>IF(ISBLANK(Model!C574),"",Model!C574)</f>
        <v>1</v>
      </c>
      <c r="D571" s="114">
        <v>1</v>
      </c>
      <c r="E571" s="114">
        <v>1</v>
      </c>
      <c r="F571"/>
      <c r="G571"/>
      <c r="H571"/>
      <c r="I571" s="315"/>
    </row>
    <row r="572" spans="1:9" s="220" customFormat="1">
      <c r="A572" s="275" t="str">
        <f>IF(Model!A575=0,"",Model!A575)</f>
        <v>WHB-2</v>
      </c>
      <c r="B572" s="298" t="str">
        <f>IF(Model!B575=0,"",Model!B575)</f>
        <v>bin.</v>
      </c>
      <c r="C572" s="114">
        <f>IF(ISBLANK(Model!C575),"",Model!C575)</f>
        <v>0</v>
      </c>
      <c r="D572" s="114">
        <v>0</v>
      </c>
      <c r="E572" s="114">
        <v>0</v>
      </c>
      <c r="F572"/>
      <c r="G572"/>
      <c r="H572"/>
      <c r="I572" s="315"/>
    </row>
    <row r="573" spans="1:9" s="315" customFormat="1">
      <c r="A573" s="275" t="str">
        <f>IF(Model!A576=0,"",Model!A576)</f>
        <v>Aux. boiler</v>
      </c>
      <c r="B573" s="298" t="str">
        <f>IF(Model!B576=0,"",Model!B576)</f>
        <v>bin.</v>
      </c>
      <c r="C573" s="298" t="str">
        <f>IF(Model!C576=0,"",Model!C576)</f>
        <v/>
      </c>
      <c r="D573" s="298" t="s">
        <v>816</v>
      </c>
      <c r="E573" s="298" t="s">
        <v>816</v>
      </c>
      <c r="F573"/>
      <c r="G573"/>
      <c r="H573"/>
    </row>
    <row r="574" spans="1:9" s="220" customFormat="1">
      <c r="A574" s="275" t="str">
        <f>IF(Model!A577=0,"",Model!A577)</f>
        <v>MP-1</v>
      </c>
      <c r="B574" s="298" t="str">
        <f>IF(Model!B577=0,"",Model!B577)</f>
        <v>bin.</v>
      </c>
      <c r="C574" s="329">
        <f>IF(ISBLANK(Model!C577),"",Model!C577)</f>
        <v>1</v>
      </c>
      <c r="D574" s="329">
        <v>1</v>
      </c>
      <c r="E574" s="329">
        <v>1</v>
      </c>
      <c r="F574"/>
      <c r="G574"/>
      <c r="H574"/>
      <c r="I574" s="315"/>
    </row>
    <row r="575" spans="1:9" s="220" customFormat="1">
      <c r="A575" s="275" t="str">
        <f>IF(Model!A578=0,"",Model!A578)</f>
        <v>MP-2</v>
      </c>
      <c r="B575" s="298" t="str">
        <f>IF(Model!B578=0,"",Model!B578)</f>
        <v>bin.</v>
      </c>
      <c r="C575" s="329">
        <f>IF(ISBLANK(Model!C578),"",Model!C578)</f>
        <v>1</v>
      </c>
      <c r="D575" s="329">
        <v>1</v>
      </c>
      <c r="E575" s="329">
        <v>1</v>
      </c>
      <c r="F575"/>
      <c r="G575"/>
      <c r="H575"/>
      <c r="I575" s="315"/>
    </row>
    <row r="576" spans="1:9" s="220" customFormat="1">
      <c r="A576" s="275" t="str">
        <f>IF(Model!A579=0,"",Model!A579)</f>
        <v>Gas engine</v>
      </c>
      <c r="B576" s="298" t="str">
        <f>IF(Model!B579=0,"",Model!B579)</f>
        <v>bin.</v>
      </c>
      <c r="C576" s="106">
        <f>IF(ISBLANK(Model!C579),"",Model!C579)</f>
        <v>1</v>
      </c>
      <c r="D576" s="106">
        <v>1</v>
      </c>
      <c r="E576" s="106">
        <v>1</v>
      </c>
      <c r="F576"/>
      <c r="G576"/>
      <c r="H576"/>
      <c r="I576" s="315"/>
    </row>
    <row r="577" spans="1:9" s="220" customFormat="1">
      <c r="A577" s="182" t="str">
        <f>IF(Model!A584=0,"",Model!A584)</f>
        <v/>
      </c>
      <c r="B577" s="325" t="str">
        <f>IF(Model!B584=0,"",Model!B584)</f>
        <v/>
      </c>
      <c r="C577" s="325" t="str">
        <f>IF(ISBLANK(Model!C584),"",Model!C584)</f>
        <v/>
      </c>
      <c r="D577" s="325" t="s">
        <v>816</v>
      </c>
      <c r="E577" s="325" t="s">
        <v>816</v>
      </c>
      <c r="F577"/>
      <c r="G577"/>
      <c r="H577"/>
      <c r="I577" s="315"/>
    </row>
    <row r="578" spans="1:9" s="220" customFormat="1">
      <c r="A578" s="408" t="str">
        <f>IF(Model!A585=0,"",Model!A585)</f>
        <v>Calculation Outputs</v>
      </c>
      <c r="B578" s="408" t="str">
        <f>IF(Model!B585=0,"",Model!B585)</f>
        <v/>
      </c>
      <c r="C578" s="408" t="str">
        <f>IF(ISBLANK(Model!C585),"",Model!C585)</f>
        <v/>
      </c>
      <c r="D578" s="408" t="s">
        <v>816</v>
      </c>
      <c r="E578" s="408" t="s">
        <v>816</v>
      </c>
      <c r="F578"/>
      <c r="G578"/>
      <c r="H578"/>
      <c r="I578" s="315"/>
    </row>
    <row r="579" spans="1:9" s="220" customFormat="1">
      <c r="A579" s="325" t="str">
        <f>IF(Model!A586=0,"",Model!A586)</f>
        <v>Total Humber parasitics</v>
      </c>
      <c r="B579" s="325" t="str">
        <f>IF(Model!B586=0,"",Model!B586)</f>
        <v>kWe</v>
      </c>
      <c r="C579" s="235">
        <f>IF(ISBLANK(Model!C586),"",Model!C586)</f>
        <v>943.22048099999995</v>
      </c>
      <c r="D579" s="235">
        <v>804.52310980000004</v>
      </c>
      <c r="E579" s="235">
        <v>943.22048099999995</v>
      </c>
      <c r="F579"/>
      <c r="G579"/>
      <c r="H579"/>
      <c r="I579" s="315"/>
    </row>
    <row r="580" spans="1:9" s="220" customFormat="1">
      <c r="A580" s="325" t="str">
        <f>IF(Model!A587=0,"",Model!A587)</f>
        <v/>
      </c>
      <c r="B580" s="325" t="str">
        <f>IF(Model!B587=0,"",Model!B587)</f>
        <v/>
      </c>
      <c r="C580" s="235" t="str">
        <f>IF(ISBLANK(Model!C587),"",Model!C587)</f>
        <v/>
      </c>
      <c r="D580" s="235" t="s">
        <v>816</v>
      </c>
      <c r="E580" s="235" t="s">
        <v>816</v>
      </c>
      <c r="F580"/>
      <c r="G580"/>
      <c r="H580"/>
      <c r="I580" s="315"/>
    </row>
    <row r="581" spans="1:9" s="220" customFormat="1">
      <c r="A581" s="298" t="str">
        <f>IF(Model!A588=0,"",Model!A588)</f>
        <v>Parasitic calculation:</v>
      </c>
      <c r="B581" s="334" t="str">
        <f>IF(Model!B588=0,"",Model!B588)</f>
        <v/>
      </c>
      <c r="C581" s="235" t="str">
        <f>IF(ISBLANK(Model!C588),"",Model!C588)</f>
        <v/>
      </c>
      <c r="D581" s="235" t="s">
        <v>816</v>
      </c>
      <c r="E581" s="235" t="s">
        <v>816</v>
      </c>
      <c r="F581"/>
      <c r="G581"/>
      <c r="H581"/>
      <c r="I581" s="315"/>
    </row>
    <row r="582" spans="1:9" s="220" customFormat="1">
      <c r="A582" s="325" t="str">
        <f>IF(Model!A589=0,"",Model!A589)</f>
        <v>EHP B4 Parasitics</v>
      </c>
      <c r="B582" s="325" t="str">
        <f>IF(Model!B589=0,"",Model!B589)</f>
        <v>kWe</v>
      </c>
      <c r="C582" s="351">
        <f>IF(ISBLANK(Model!C589),"",Model!C589)</f>
        <v>0</v>
      </c>
      <c r="D582" s="351">
        <v>0</v>
      </c>
      <c r="E582" s="351">
        <v>0</v>
      </c>
      <c r="F582"/>
      <c r="G582"/>
      <c r="H582"/>
      <c r="I582" s="315"/>
    </row>
    <row r="583" spans="1:9" s="220" customFormat="1">
      <c r="A583" s="325" t="str">
        <f>IF(Model!A590=0,"",Model!A590)</f>
        <v>EHP B7 Parasitics</v>
      </c>
      <c r="B583" s="325" t="str">
        <f>IF(Model!B590=0,"",Model!B590)</f>
        <v>kWe</v>
      </c>
      <c r="C583" s="351">
        <f>IF(ISBLANK(Model!C590),"",Model!C590)</f>
        <v>0</v>
      </c>
      <c r="D583" s="351">
        <v>0</v>
      </c>
      <c r="E583" s="351">
        <v>0</v>
      </c>
      <c r="F583"/>
      <c r="G583"/>
      <c r="H583"/>
      <c r="I583" s="315"/>
    </row>
    <row r="584" spans="1:9" s="220" customFormat="1">
      <c r="A584" s="325" t="str">
        <f>IF(Model!A591=0,"",Model!A591)</f>
        <v>EHP B9 Parasitics</v>
      </c>
      <c r="B584" s="325" t="str">
        <f>IF(Model!B591=0,"",Model!B591)</f>
        <v>kWe</v>
      </c>
      <c r="C584" s="351">
        <f>IF(ISBLANK(Model!C591),"",Model!C591)</f>
        <v>0</v>
      </c>
      <c r="D584" s="351">
        <v>0</v>
      </c>
      <c r="E584" s="351">
        <v>0</v>
      </c>
      <c r="F584"/>
      <c r="G584"/>
      <c r="H584"/>
      <c r="I584" s="315"/>
    </row>
    <row r="585" spans="1:9" s="220" customFormat="1">
      <c r="A585" s="325" t="str">
        <f>IF(Model!A592=0,"",Model!A592)</f>
        <v>GT 1 Parasitics</v>
      </c>
      <c r="B585" s="325" t="str">
        <f>IF(Model!B592=0,"",Model!B592)</f>
        <v>kWe</v>
      </c>
      <c r="C585" s="351">
        <f>IF(ISBLANK(Model!C592),"",Model!C592)</f>
        <v>180</v>
      </c>
      <c r="D585" s="351">
        <v>180</v>
      </c>
      <c r="E585" s="351">
        <v>180</v>
      </c>
      <c r="F585"/>
      <c r="G585"/>
      <c r="H585"/>
      <c r="I585" s="315"/>
    </row>
    <row r="586" spans="1:9" s="220" customFormat="1">
      <c r="A586" s="325" t="str">
        <f>IF(Model!A593=0,"",Model!A593)</f>
        <v>GT 2 Parasitics</v>
      </c>
      <c r="B586" s="325" t="str">
        <f>IF(Model!B593=0,"",Model!B593)</f>
        <v>kWe</v>
      </c>
      <c r="C586" s="351">
        <f>IF(ISBLANK(Model!C593),"",Model!C593)</f>
        <v>60</v>
      </c>
      <c r="D586" s="351">
        <v>0</v>
      </c>
      <c r="E586" s="351">
        <v>60</v>
      </c>
      <c r="F586"/>
      <c r="G586"/>
      <c r="H586"/>
      <c r="I586" s="315"/>
    </row>
    <row r="587" spans="1:9" s="220" customFormat="1">
      <c r="A587" s="325" t="str">
        <f>IF(Model!A594=0,"",Model!A594)</f>
        <v>WHB 1 Parasitics</v>
      </c>
      <c r="B587" s="325" t="str">
        <f>IF(Model!B594=0,"",Model!B594)</f>
        <v>kWe</v>
      </c>
      <c r="C587" s="351">
        <f>IF(ISBLANK(Model!C594),"",Model!C594)</f>
        <v>70</v>
      </c>
      <c r="D587" s="351">
        <v>70</v>
      </c>
      <c r="E587" s="351">
        <v>70</v>
      </c>
      <c r="F587"/>
      <c r="G587"/>
      <c r="H587"/>
      <c r="I587" s="315"/>
    </row>
    <row r="588" spans="1:9" s="220" customFormat="1">
      <c r="A588" s="325" t="str">
        <f>IF(Model!A595=0,"",Model!A595)</f>
        <v>WHB 2 Parasitics</v>
      </c>
      <c r="B588" s="325" t="str">
        <f>IF(Model!B595=0,"",Model!B595)</f>
        <v>kWe</v>
      </c>
      <c r="C588" s="351">
        <f>IF(ISBLANK(Model!C595),"",Model!C595)</f>
        <v>0</v>
      </c>
      <c r="D588" s="351">
        <v>0</v>
      </c>
      <c r="E588" s="351">
        <v>0</v>
      </c>
      <c r="F588"/>
      <c r="G588"/>
      <c r="H588"/>
      <c r="I588" s="315"/>
    </row>
    <row r="589" spans="1:9" s="293" customFormat="1">
      <c r="A589" s="325" t="str">
        <f>IF(Model!A597=0,"",Model!A597)</f>
        <v>MP Boiler 1 Parasitics</v>
      </c>
      <c r="B589" s="325" t="str">
        <f>IF(Model!B597=0,"",Model!B597)</f>
        <v>kWe</v>
      </c>
      <c r="C589" s="351">
        <f>IF(ISBLANK(Model!C597),"",Model!C597)</f>
        <v>50</v>
      </c>
      <c r="D589" s="351">
        <v>50</v>
      </c>
      <c r="E589" s="351">
        <v>50</v>
      </c>
      <c r="F589"/>
      <c r="G589"/>
      <c r="H589"/>
      <c r="I589" s="315"/>
    </row>
    <row r="590" spans="1:9" s="220" customFormat="1">
      <c r="A590" s="325" t="str">
        <f>IF(Model!A598=0,"",Model!A598)</f>
        <v>MP Boiler 2 Parasitics</v>
      </c>
      <c r="B590" s="325" t="str">
        <f>IF(Model!B598=0,"",Model!B598)</f>
        <v>kWe</v>
      </c>
      <c r="C590" s="351">
        <f>IF(ISBLANK(Model!C598),"",Model!C598)</f>
        <v>50</v>
      </c>
      <c r="D590" s="351">
        <v>50</v>
      </c>
      <c r="E590" s="351">
        <v>50</v>
      </c>
      <c r="F590"/>
      <c r="G590"/>
      <c r="H590"/>
      <c r="I590" s="315"/>
    </row>
    <row r="591" spans="1:9" s="220" customFormat="1">
      <c r="A591" s="325" t="str">
        <f>IF(Model!A599=0,"",Model!A599)</f>
        <v>Gas Engine</v>
      </c>
      <c r="B591" s="325" t="str">
        <f>IF(Model!B599=0,"",Model!B599)</f>
        <v>kWe</v>
      </c>
      <c r="C591" s="351">
        <f>IF(ISBLANK(Model!C599),"",Model!C599)</f>
        <v>30</v>
      </c>
      <c r="D591" s="351">
        <v>30</v>
      </c>
      <c r="E591" s="351">
        <v>30</v>
      </c>
      <c r="F591"/>
      <c r="G591"/>
      <c r="H591"/>
      <c r="I591" s="315"/>
    </row>
    <row r="592" spans="1:9" s="220" customFormat="1">
      <c r="A592" s="325" t="str">
        <f>IF(Model!A600=0,"",Model!A600)</f>
        <v>Demin</v>
      </c>
      <c r="B592" s="325" t="str">
        <f>IF(Model!B600=0,"",Model!B600)</f>
        <v>kWe</v>
      </c>
      <c r="C592" s="351">
        <f>IF(ISBLANK(Model!C600),"",Model!C600)</f>
        <v>200</v>
      </c>
      <c r="D592" s="351">
        <v>200</v>
      </c>
      <c r="E592" s="351">
        <v>200</v>
      </c>
      <c r="F592"/>
      <c r="G592"/>
      <c r="H592"/>
      <c r="I592" s="315"/>
    </row>
    <row r="593" spans="1:9" s="220" customFormat="1">
      <c r="A593" s="325" t="str">
        <f>IF(Model!A601=0,"",Model!A601)</f>
        <v>Misc. powerstation parasitics</v>
      </c>
      <c r="B593" s="325" t="str">
        <f>IF(Model!B601=0,"",Model!B601)</f>
        <v>kWe</v>
      </c>
      <c r="C593" s="351">
        <f>IF(ISBLANK(Model!C601),"",Model!C601)</f>
        <v>207</v>
      </c>
      <c r="D593" s="351">
        <v>207</v>
      </c>
      <c r="E593" s="351">
        <v>207</v>
      </c>
      <c r="F593"/>
      <c r="G593"/>
      <c r="H593"/>
      <c r="I593" s="315"/>
    </row>
    <row r="594" spans="1:9" s="315" customFormat="1">
      <c r="A594" s="325" t="str">
        <f>IF(Model!A603=0,"",Model!A603)</f>
        <v>Minimum FLR parasitic</v>
      </c>
      <c r="B594" s="325" t="str">
        <f>IF(Model!B603=0,"",Model!B603)</f>
        <v>kWe</v>
      </c>
      <c r="C594" s="351">
        <f>IF(ISBLANK(Model!C603),"",Model!C603)</f>
        <v>0</v>
      </c>
      <c r="D594" s="351">
        <v>0</v>
      </c>
      <c r="E594" s="351">
        <v>0</v>
      </c>
      <c r="F594"/>
      <c r="G594"/>
      <c r="H594"/>
    </row>
    <row r="595" spans="1:9" s="315" customFormat="1">
      <c r="A595" s="325" t="str">
        <f>IF(Model!A604=0,"",Model!A604)</f>
        <v>Maximum FLR parasitic</v>
      </c>
      <c r="B595" s="325" t="str">
        <f>IF(Model!B604=0,"",Model!B604)</f>
        <v>kWe</v>
      </c>
      <c r="C595" s="351">
        <f>IF(ISBLANK(Model!C604),"",Model!C604)</f>
        <v>20</v>
      </c>
      <c r="D595" s="351">
        <v>20</v>
      </c>
      <c r="E595" s="351">
        <v>20</v>
      </c>
      <c r="F595"/>
      <c r="G595"/>
      <c r="H595"/>
    </row>
    <row r="596" spans="1:9" s="315" customFormat="1">
      <c r="A596" s="325" t="str">
        <f>IF(Model!A605=0,"",Model!A605)</f>
        <v>Minimum import/export</v>
      </c>
      <c r="B596" s="325" t="str">
        <f>IF(Model!B605=0,"",Model!B605)</f>
        <v>MWe</v>
      </c>
      <c r="C596" s="351">
        <f>IF(ISBLANK(Model!C605),"",Model!C605)</f>
        <v>0</v>
      </c>
      <c r="D596" s="351">
        <v>0</v>
      </c>
      <c r="E596" s="351">
        <v>0</v>
      </c>
      <c r="F596"/>
      <c r="G596"/>
      <c r="H596"/>
    </row>
    <row r="597" spans="1:9" s="315" customFormat="1">
      <c r="A597" s="325" t="str">
        <f>IF(Model!A606=0,"",Model!A606)</f>
        <v>Maximum import/export</v>
      </c>
      <c r="B597" s="325" t="str">
        <f>IF(Model!B606=0,"",Model!B606)</f>
        <v>MWe</v>
      </c>
      <c r="C597" s="351">
        <f>IF(ISBLANK(Model!C606),"",Model!C606)</f>
        <v>6</v>
      </c>
      <c r="D597" s="351">
        <v>6</v>
      </c>
      <c r="E597" s="351">
        <v>6</v>
      </c>
      <c r="F597"/>
      <c r="G597"/>
      <c r="H597"/>
    </row>
    <row r="598" spans="1:9" s="315" customFormat="1">
      <c r="A598" s="325" t="str">
        <f>IF(Model!A607=0,"",Model!A607)</f>
        <v>Slope</v>
      </c>
      <c r="B598" s="325" t="str">
        <f>IF(Model!B607=0,"",Model!B607)</f>
        <v/>
      </c>
      <c r="C598" s="351">
        <f>IF(ISBLANK(Model!C607),"",Model!C607)</f>
        <v>3.3333333333333335</v>
      </c>
      <c r="D598" s="351">
        <v>3.3333333333333335</v>
      </c>
      <c r="E598" s="351">
        <v>3.3333333333333335</v>
      </c>
      <c r="F598"/>
      <c r="G598"/>
      <c r="H598"/>
    </row>
    <row r="599" spans="1:9" s="315" customFormat="1">
      <c r="A599" s="325" t="str">
        <f>IF(Model!A608=0,"",Model!A608)</f>
        <v>Intercept</v>
      </c>
      <c r="B599" s="325" t="str">
        <f>IF(Model!B608=0,"",Model!B608)</f>
        <v/>
      </c>
      <c r="C599" s="351">
        <f>IF(ISBLANK(Model!C608),"",Model!C608)</f>
        <v>0</v>
      </c>
      <c r="D599" s="351">
        <v>0</v>
      </c>
      <c r="E599" s="351">
        <v>0</v>
      </c>
      <c r="F599"/>
      <c r="G599"/>
      <c r="H599"/>
    </row>
    <row r="600" spans="1:9" s="315" customFormat="1">
      <c r="A600" s="325" t="str">
        <f>IF(Model!A609=0,"",Model!A609)</f>
        <v>Fault limiting reactor parasitic (import)</v>
      </c>
      <c r="B600" s="325" t="str">
        <f>IF(Model!B609=0,"",Model!B609)</f>
        <v>kWe</v>
      </c>
      <c r="C600" s="351">
        <f>IF(ISBLANK(Model!C609),"",Model!C609)</f>
        <v>0</v>
      </c>
      <c r="D600" s="351">
        <v>0</v>
      </c>
      <c r="E600" s="351">
        <v>0</v>
      </c>
      <c r="F600"/>
      <c r="G600"/>
      <c r="H600"/>
    </row>
    <row r="601" spans="1:9" s="315" customFormat="1">
      <c r="A601" s="325" t="str">
        <f>IF(Model!A610=0,"",Model!A610)</f>
        <v>Fault limiting reactor parasitic (export)</v>
      </c>
      <c r="B601" s="325" t="str">
        <f>IF(Model!B610=0,"",Model!B610)</f>
        <v>kWe</v>
      </c>
      <c r="C601" s="351">
        <f>IF(ISBLANK(Model!C610),"",Model!C610)</f>
        <v>13.745782999999999</v>
      </c>
      <c r="D601" s="351">
        <v>2.5033014000000002</v>
      </c>
      <c r="E601" s="351">
        <v>13.745782999999999</v>
      </c>
      <c r="F601"/>
      <c r="G601"/>
      <c r="H601"/>
    </row>
    <row r="602" spans="1:9" s="315" customFormat="1">
      <c r="A602" s="325" t="str">
        <f>IF(Model!A611=0,"",Model!A611)</f>
        <v>Transformer parasitic (import)</v>
      </c>
      <c r="B602" s="325" t="str">
        <f>IF(Model!B611=0,"",Model!B611)</f>
        <v>kWe</v>
      </c>
      <c r="C602" s="351">
        <f>IF(ISBLANK(Model!C611),"",Model!C611)</f>
        <v>0</v>
      </c>
      <c r="D602" s="351">
        <v>0</v>
      </c>
      <c r="E602" s="351">
        <v>0</v>
      </c>
      <c r="F602"/>
      <c r="G602"/>
      <c r="H602"/>
    </row>
    <row r="603" spans="1:9" s="315" customFormat="1">
      <c r="A603" s="325" t="str">
        <f>IF(Model!A612=0,"",Model!A612)</f>
        <v>Transformer reactor parasitic (export)</v>
      </c>
      <c r="B603" s="325" t="str">
        <f>IF(Model!B612=0,"",Model!B612)</f>
        <v>kWe</v>
      </c>
      <c r="C603" s="351">
        <f>IF(ISBLANK(Model!C612),"",Model!C612)</f>
        <v>82.474697999999989</v>
      </c>
      <c r="D603" s="351">
        <v>15.019808400000001</v>
      </c>
      <c r="E603" s="351">
        <v>82.474697999999989</v>
      </c>
      <c r="F603"/>
      <c r="G603"/>
      <c r="H603"/>
    </row>
    <row r="604" spans="1:9" s="315" customFormat="1">
      <c r="A604" s="325" t="str">
        <f>IF(Model!A613=0,"",Model!A613)</f>
        <v>Total powerhouse parasitics</v>
      </c>
      <c r="B604" s="325" t="str">
        <f>IF(Model!B613=0,"",Model!B613)</f>
        <v>kWe</v>
      </c>
      <c r="C604" s="351">
        <f>IF(ISBLANK(Model!C613),"",Model!C613)</f>
        <v>943.22048099999995</v>
      </c>
      <c r="D604" s="351">
        <v>804.52310980000004</v>
      </c>
      <c r="E604" s="351">
        <v>943.22048099999995</v>
      </c>
      <c r="F604"/>
      <c r="G604"/>
      <c r="H604"/>
    </row>
    <row r="605" spans="1:9" s="315" customFormat="1">
      <c r="A605" s="325" t="e">
        <f>IF(Model!#REF!=0,"",Model!#REF!)</f>
        <v>#REF!</v>
      </c>
      <c r="B605" s="325" t="e">
        <f>IF(Model!#REF!=0,"",Model!#REF!)</f>
        <v>#REF!</v>
      </c>
      <c r="C605" s="351" t="e">
        <f>IF(ISBLANK(Model!#REF!),"",Model!#REF!)</f>
        <v>#REF!</v>
      </c>
      <c r="D605" s="351" t="e">
        <v>#REF!</v>
      </c>
      <c r="E605" s="351" t="e">
        <v>#REF!</v>
      </c>
      <c r="F605"/>
      <c r="G605"/>
      <c r="H605"/>
    </row>
    <row r="606" spans="1:9" s="220" customFormat="1">
      <c r="A606" s="325" t="str">
        <f>IF(Model!A614=0,"",Model!A614)</f>
        <v>Total Humber parasitics</v>
      </c>
      <c r="B606" s="325" t="str">
        <f>IF(Model!B614=0,"",Model!B614)</f>
        <v>kWe</v>
      </c>
      <c r="C606" s="351">
        <f>IF(ISBLANK(Model!C614),"",Model!C614)</f>
        <v>943.22048099999995</v>
      </c>
      <c r="D606" s="351">
        <v>804.52310980000004</v>
      </c>
      <c r="E606" s="351">
        <v>943.22048099999995</v>
      </c>
      <c r="F606"/>
      <c r="G606"/>
      <c r="H606"/>
      <c r="I606" s="315"/>
    </row>
    <row r="607" spans="1:9" s="220" customFormat="1">
      <c r="A607" s="325" t="str">
        <f>IF(Model!A615=0,"",Model!A615)</f>
        <v/>
      </c>
      <c r="B607" s="325" t="str">
        <f>IF(Model!B615=0,"",Model!B615)</f>
        <v/>
      </c>
      <c r="C607" s="351" t="str">
        <f>IF(ISBLANK(Model!C615),"",Model!C615)</f>
        <v/>
      </c>
      <c r="D607" s="351" t="s">
        <v>816</v>
      </c>
      <c r="E607" s="351" t="s">
        <v>816</v>
      </c>
      <c r="F607"/>
      <c r="G607"/>
      <c r="H607"/>
      <c r="I607" s="315"/>
    </row>
    <row r="608" spans="1:9" s="220" customFormat="1" ht="18" thickBot="1">
      <c r="A608" s="389" t="str">
        <f>IF(Model!A616=0,"",Model!A616)</f>
        <v>Gas Engine</v>
      </c>
      <c r="B608" s="375" t="str">
        <f>IF(Model!B616=0,"",Model!B616)</f>
        <v/>
      </c>
      <c r="C608" s="375" t="str">
        <f>IF(ISBLANK(Model!C616),"",Model!C616)</f>
        <v/>
      </c>
      <c r="D608" s="495" t="s">
        <v>816</v>
      </c>
      <c r="E608" s="495" t="s">
        <v>816</v>
      </c>
      <c r="F608"/>
      <c r="G608"/>
      <c r="H608"/>
      <c r="I608" s="315"/>
    </row>
    <row r="609" spans="1:9" s="220" customFormat="1" ht="16" thickTop="1">
      <c r="A609" s="409" t="str">
        <f>IF(Model!A617=0,"",Model!A617)</f>
        <v>Calculation Inputs</v>
      </c>
      <c r="B609" s="407" t="str">
        <f>IF(Model!B617=0,"",Model!B617)</f>
        <v/>
      </c>
      <c r="C609" s="407" t="str">
        <f>IF(ISBLANK(Model!C617),"",Model!C617)</f>
        <v/>
      </c>
      <c r="D609" s="407" t="s">
        <v>816</v>
      </c>
      <c r="E609" s="407" t="s">
        <v>816</v>
      </c>
      <c r="F609"/>
      <c r="G609"/>
      <c r="H609"/>
      <c r="I609" s="315"/>
    </row>
    <row r="610" spans="1:9" s="220" customFormat="1">
      <c r="A610" s="325" t="str">
        <f>IF(Model!A618=0,"",Model!A618)</f>
        <v>GE on/off</v>
      </c>
      <c r="B610" s="325" t="str">
        <f>IF(Model!B618=0,"",Model!B618)</f>
        <v>binary</v>
      </c>
      <c r="C610" s="81">
        <f>IF(ISBLANK(Model!C618),"",Model!C618)</f>
        <v>1</v>
      </c>
      <c r="D610" s="81">
        <v>1</v>
      </c>
      <c r="E610" s="81">
        <v>1</v>
      </c>
      <c r="F610"/>
      <c r="G610"/>
      <c r="H610"/>
      <c r="I610" s="315"/>
    </row>
    <row r="611" spans="1:9" s="220" customFormat="1">
      <c r="A611" s="325" t="str">
        <f>IF(Model!A619=0,"",Model!A619)</f>
        <v xml:space="preserve">Load on Engine </v>
      </c>
      <c r="B611" s="325" t="str">
        <f>IF(Model!B619=0,"",Model!B619)</f>
        <v>%</v>
      </c>
      <c r="C611" s="81">
        <f>IF(ISBLANK(Model!C619),"",Model!C619)</f>
        <v>100</v>
      </c>
      <c r="D611" s="81">
        <v>100</v>
      </c>
      <c r="E611" s="81">
        <v>100</v>
      </c>
      <c r="F611"/>
      <c r="G611"/>
      <c r="H611"/>
      <c r="I611" s="315"/>
    </row>
    <row r="612" spans="1:9" s="220" customFormat="1">
      <c r="A612" s="325" t="str">
        <f>IF(Model!A620=0,"",Model!A620)</f>
        <v/>
      </c>
      <c r="B612" s="325" t="str">
        <f>IF(Model!B620=0,"",Model!B620)</f>
        <v/>
      </c>
      <c r="C612" s="325" t="str">
        <f>IF(ISBLANK(Model!C620),"",Model!C620)</f>
        <v/>
      </c>
      <c r="D612" s="325" t="s">
        <v>816</v>
      </c>
      <c r="E612" s="325" t="s">
        <v>816</v>
      </c>
      <c r="F612"/>
      <c r="G612"/>
      <c r="H612"/>
      <c r="I612" s="315"/>
    </row>
    <row r="613" spans="1:9" s="220" customFormat="1">
      <c r="A613" s="408" t="str">
        <f>IF(Model!A621=0,"",Model!A621)</f>
        <v>Calculation Outputs</v>
      </c>
      <c r="B613" s="408" t="str">
        <f>IF(Model!B621=0,"",Model!B621)</f>
        <v/>
      </c>
      <c r="C613" s="408" t="str">
        <f>IF(ISBLANK(Model!C621),"",Model!C621)</f>
        <v/>
      </c>
      <c r="D613" s="408" t="s">
        <v>816</v>
      </c>
      <c r="E613" s="408" t="s">
        <v>816</v>
      </c>
      <c r="F613"/>
      <c r="G613"/>
      <c r="H613"/>
      <c r="I613" s="315"/>
    </row>
    <row r="614" spans="1:9" s="220" customFormat="1">
      <c r="A614" s="325" t="str">
        <f>IF(Model!A622=0,"",Model!A622)</f>
        <v>Gross Gas Use</v>
      </c>
      <c r="B614" s="325" t="str">
        <f>IF(Model!B622=0,"",Model!B622)</f>
        <v>kWth</v>
      </c>
      <c r="C614" s="350">
        <f ca="1">IF(ISBLANK(Model!C622),"",Model!C622)</f>
        <v>5319.6629213483138</v>
      </c>
      <c r="D614" s="350">
        <v>5319.6629213483138</v>
      </c>
      <c r="E614" s="350">
        <v>5319.6629213483138</v>
      </c>
      <c r="F614"/>
      <c r="G614"/>
      <c r="H614"/>
      <c r="I614" s="315"/>
    </row>
    <row r="615" spans="1:9" s="220" customFormat="1">
      <c r="A615" s="325" t="str">
        <f>IF(Model!A623=0,"",Model!A623)</f>
        <v>Electrical Output</v>
      </c>
      <c r="B615" s="325" t="str">
        <f>IF(Model!B623=0,"",Model!B623)</f>
        <v>MWe</v>
      </c>
      <c r="C615" s="350">
        <f ca="1">IF(ISBLANK(Model!C623),"",Model!C623)</f>
        <v>2</v>
      </c>
      <c r="D615" s="350">
        <v>2</v>
      </c>
      <c r="E615" s="350">
        <v>2</v>
      </c>
      <c r="F615"/>
      <c r="G615"/>
      <c r="H615"/>
      <c r="I615" s="315"/>
    </row>
    <row r="616" spans="1:9" s="220" customFormat="1">
      <c r="A616" s="325" t="str">
        <f>IF(Model!A624=0,"",Model!A624)</f>
        <v>MP steam generation</v>
      </c>
      <c r="B616" s="325" t="str">
        <f>IF(Model!B624=0,"",Model!B624)</f>
        <v>t/h</v>
      </c>
      <c r="C616" s="340" t="e">
        <f ca="1">IF(Model!C624=0,"",Model!C624)</f>
        <v>#NAME?</v>
      </c>
      <c r="D616" s="340">
        <v>1.2895893171560293</v>
      </c>
      <c r="E616" s="340">
        <v>1.2895893171560293</v>
      </c>
      <c r="F616"/>
      <c r="G616"/>
      <c r="H616"/>
      <c r="I616" s="315"/>
    </row>
    <row r="617" spans="1:9" s="315" customFormat="1">
      <c r="A617" s="325" t="str">
        <f>IF(Model!A627=0,"",Model!A627)</f>
        <v>Lube oil heat to BFW preheat</v>
      </c>
      <c r="B617" s="325" t="str">
        <f>IF(Model!B627=0,"",Model!B627)</f>
        <v>kW</v>
      </c>
      <c r="C617" s="351" t="str">
        <f ca="1">IF(Model!C627=0,"",Model!C627)</f>
        <v/>
      </c>
      <c r="D617" s="351" t="s">
        <v>816</v>
      </c>
      <c r="E617" s="351" t="s">
        <v>816</v>
      </c>
      <c r="F617"/>
      <c r="G617"/>
      <c r="H617"/>
    </row>
    <row r="618" spans="1:9" s="220" customFormat="1">
      <c r="A618" s="325" t="str">
        <f>IF(Model!A628=0,"",Model!A628)</f>
        <v>Blowdown</v>
      </c>
      <c r="B618" s="325" t="str">
        <f>IF(Model!B628=0,"",Model!B628)</f>
        <v>t/h</v>
      </c>
      <c r="C618" s="340" t="e">
        <f ca="1">IF(Model!C628=0,"",Model!C628)</f>
        <v>#NAME?</v>
      </c>
      <c r="D618" s="340">
        <v>1.2895893171560294E-2</v>
      </c>
      <c r="E618" s="340">
        <v>1.2895893171560294E-2</v>
      </c>
      <c r="F618"/>
      <c r="G618"/>
      <c r="H618"/>
      <c r="I618" s="315"/>
    </row>
    <row r="619" spans="1:9" s="293" customFormat="1">
      <c r="A619" s="325" t="str">
        <f>IF(Model!A629=0,"",Model!A629)</f>
        <v/>
      </c>
      <c r="B619" s="325" t="str">
        <f>IF(Model!B629=0,"",Model!B629)</f>
        <v/>
      </c>
      <c r="C619" s="350" t="str">
        <f>IF(ISBLANK(Model!C629),"",Model!C629)</f>
        <v/>
      </c>
      <c r="D619" s="350" t="s">
        <v>816</v>
      </c>
      <c r="E619" s="350" t="s">
        <v>816</v>
      </c>
      <c r="F619"/>
      <c r="G619"/>
      <c r="H619"/>
      <c r="I619" s="315"/>
    </row>
    <row r="620" spans="1:9" s="220" customFormat="1">
      <c r="A620" s="325" t="str">
        <f>IF(Model!A630=0,"",Model!A630)</f>
        <v xml:space="preserve">The gas engine is modelled using correlations from Edina data sheets.  </v>
      </c>
      <c r="B620" s="315" t="str">
        <f>IF(Model!B630=0,"",Model!B630)</f>
        <v/>
      </c>
      <c r="C620" s="315" t="str">
        <f>IF(ISBLANK(Model!C630),"",Model!C630)</f>
        <v/>
      </c>
      <c r="D620" s="315" t="s">
        <v>816</v>
      </c>
      <c r="E620" s="315" t="s">
        <v>816</v>
      </c>
      <c r="F620"/>
      <c r="G620"/>
      <c r="H620"/>
      <c r="I620" s="315"/>
    </row>
    <row r="621" spans="1:9" s="220" customFormat="1">
      <c r="A621" s="325" t="str">
        <f>IF(Model!A631=0,"",Model!A631)</f>
        <v>A certain size engine is put into the model by pasting the slopes &amp; intercepts of the correlations into this section.</v>
      </c>
      <c r="B621" s="315" t="str">
        <f>IF(Model!B631=0,"",Model!B631)</f>
        <v/>
      </c>
      <c r="C621" s="315" t="str">
        <f>IF(ISBLANK(Model!C631),"",Model!C631)</f>
        <v/>
      </c>
      <c r="D621" s="315" t="s">
        <v>816</v>
      </c>
      <c r="E621" s="315" t="s">
        <v>816</v>
      </c>
      <c r="F621"/>
      <c r="G621"/>
      <c r="H621"/>
      <c r="I621" s="315"/>
    </row>
    <row r="622" spans="1:9" s="220" customFormat="1">
      <c r="A622" s="315" t="str">
        <f>IF(Model!A632=0,"",Model!A632)</f>
        <v/>
      </c>
      <c r="B622" s="315" t="str">
        <f>IF(Model!B632=0,"",Model!B632)</f>
        <v/>
      </c>
      <c r="C622" s="315" t="str">
        <f>IF(ISBLANK(Model!C632),"",Model!C632)</f>
        <v/>
      </c>
      <c r="D622" s="315" t="s">
        <v>816</v>
      </c>
      <c r="E622" s="315" t="s">
        <v>816</v>
      </c>
      <c r="F622"/>
      <c r="G622"/>
      <c r="H622"/>
      <c r="I622" s="315"/>
    </row>
    <row r="623" spans="1:9" s="220" customFormat="1">
      <c r="A623" s="316"/>
      <c r="B623" s="325" t="str">
        <f>IF(Model!B633=0,"",Model!B633)</f>
        <v/>
      </c>
      <c r="C623" s="319" t="str">
        <f>Model!C633</f>
        <v>2 MWe NOx 250</v>
      </c>
      <c r="D623" s="319" t="s">
        <v>595</v>
      </c>
      <c r="E623" s="319" t="s">
        <v>595</v>
      </c>
      <c r="F623"/>
      <c r="G623"/>
      <c r="H623"/>
      <c r="I623" s="315"/>
    </row>
    <row r="624" spans="1:9" s="220" customFormat="1">
      <c r="A624" s="315" t="str">
        <f>IF(Model!A634=0,"",Model!A634)</f>
        <v>Output</v>
      </c>
      <c r="B624" s="325" t="str">
        <f>IF(Model!B634=0,"",Model!B634)</f>
        <v/>
      </c>
      <c r="C624" s="321">
        <f ca="1">IF(ISBLANK(Model!C634),"",Model!C634)</f>
        <v>20</v>
      </c>
      <c r="D624" s="321">
        <v>20</v>
      </c>
      <c r="E624" s="321">
        <v>20</v>
      </c>
      <c r="F624"/>
      <c r="G624"/>
      <c r="H624"/>
      <c r="I624" s="315"/>
    </row>
    <row r="625" spans="1:9" s="220" customFormat="1">
      <c r="A625" s="315" t="str">
        <f>IF(Model!A635=0,"",Model!A635)</f>
        <v>Exhaust</v>
      </c>
      <c r="B625" s="325" t="str">
        <f>IF(Model!B635=0,"",Model!B635)</f>
        <v/>
      </c>
      <c r="C625" s="321">
        <f ca="1">IF(ISBLANK(Model!C635),"",Model!C635)</f>
        <v>6.1710480802490446</v>
      </c>
      <c r="D625" s="321">
        <v>6.1710480802490446</v>
      </c>
      <c r="E625" s="321">
        <v>6.1710480802490446</v>
      </c>
      <c r="F625"/>
      <c r="G625"/>
      <c r="H625"/>
      <c r="I625" s="315"/>
    </row>
    <row r="626" spans="1:9" s="220" customFormat="1">
      <c r="A626" s="315" t="str">
        <f>IF(Model!A636=0,"",Model!A636)</f>
        <v>Jacket</v>
      </c>
      <c r="B626" s="325" t="str">
        <f>IF(Model!B636=0,"",Model!B636)</f>
        <v/>
      </c>
      <c r="C626" s="321">
        <f ca="1">IF(ISBLANK(Model!C636),"",Model!C636)</f>
        <v>9.8000000000000007</v>
      </c>
      <c r="D626" s="321">
        <v>9.8000000000000007</v>
      </c>
      <c r="E626" s="321">
        <v>9.8000000000000007</v>
      </c>
      <c r="F626"/>
      <c r="G626"/>
      <c r="H626"/>
      <c r="I626" s="315"/>
    </row>
    <row r="627" spans="1:9" s="220" customFormat="1">
      <c r="A627" s="315" t="str">
        <f>IF(Model!A637=0,"",Model!A637)</f>
        <v>Lube oil</v>
      </c>
      <c r="B627" s="325" t="str">
        <f>IF(Model!B637=0,"",Model!B637)</f>
        <v/>
      </c>
      <c r="C627" s="321">
        <f ca="1">IF(ISBLANK(Model!C637),"",Model!C637)</f>
        <v>0</v>
      </c>
      <c r="D627" s="321">
        <v>0</v>
      </c>
      <c r="E627" s="321">
        <v>0</v>
      </c>
      <c r="F627"/>
      <c r="G627"/>
      <c r="H627"/>
      <c r="I627" s="315"/>
    </row>
    <row r="628" spans="1:9" s="220" customFormat="1">
      <c r="A628" s="315" t="str">
        <f>IF(Model!A638=0,"",Model!A638)</f>
        <v>Fuel input (gross)</v>
      </c>
      <c r="B628" s="315" t="str">
        <f>IF(Model!B638=0,"",Model!B638)</f>
        <v/>
      </c>
      <c r="C628" s="321">
        <f ca="1">IF(Model!C638=0,"",Model!C638)</f>
        <v>48.157303370786515</v>
      </c>
      <c r="D628" s="321">
        <v>48.157303370786515</v>
      </c>
      <c r="E628" s="321">
        <v>48.157303370786515</v>
      </c>
      <c r="F628"/>
      <c r="G628"/>
      <c r="H628"/>
      <c r="I628" s="315"/>
    </row>
    <row r="629" spans="1:9" s="315" customFormat="1">
      <c r="A629" s="315" t="str">
        <f>IF(Model!A639=0,"",Model!A639)</f>
        <v/>
      </c>
      <c r="B629" s="315" t="str">
        <f>IF(Model!B639=0,"",Model!B639)</f>
        <v/>
      </c>
      <c r="C629" s="315" t="str">
        <f>IF(Model!C639=0,"",Model!C639)</f>
        <v/>
      </c>
      <c r="D629" s="315" t="s">
        <v>816</v>
      </c>
      <c r="E629" s="315" t="s">
        <v>816</v>
      </c>
      <c r="F629"/>
      <c r="G629"/>
      <c r="H629"/>
    </row>
    <row r="630" spans="1:9" s="315" customFormat="1">
      <c r="A630" s="315" t="str">
        <f>IF(Model!A640=0,"",Model!A640)</f>
        <v>From these correlations, the outputs from the gas engine are calculated:</v>
      </c>
      <c r="B630" s="315" t="str">
        <f>IF(Model!B640=0,"",Model!B640)</f>
        <v/>
      </c>
      <c r="C630" s="315" t="str">
        <f>IF(Model!C640=0,"",Model!C640)</f>
        <v/>
      </c>
      <c r="D630" s="315" t="s">
        <v>816</v>
      </c>
      <c r="E630" s="315" t="s">
        <v>816</v>
      </c>
      <c r="F630"/>
      <c r="G630"/>
      <c r="H630"/>
    </row>
    <row r="631" spans="1:9" s="315" customFormat="1">
      <c r="A631" s="315" t="str">
        <f>IF(Model!A641=0,"",Model!A641)</f>
        <v>Output</v>
      </c>
      <c r="B631" s="315" t="str">
        <f>IF(Model!B641=0,"",Model!B641)</f>
        <v>kWe</v>
      </c>
      <c r="C631" s="324">
        <f ca="1">Model!C641</f>
        <v>2000</v>
      </c>
      <c r="D631" s="324">
        <v>2000</v>
      </c>
      <c r="E631" s="324">
        <v>2000</v>
      </c>
      <c r="F631"/>
      <c r="G631"/>
      <c r="H631"/>
    </row>
    <row r="632" spans="1:9" s="315" customFormat="1">
      <c r="A632" s="315" t="str">
        <f>IF(Model!A642=0,"",Model!A642)</f>
        <v>Exhaust</v>
      </c>
      <c r="B632" s="315" t="str">
        <f>IF(Model!B642=0,"",Model!B642)</f>
        <v>kW</v>
      </c>
      <c r="C632" s="324">
        <f ca="1">Model!C642</f>
        <v>907.58245479474022</v>
      </c>
      <c r="D632" s="324">
        <v>907.58245479474022</v>
      </c>
      <c r="E632" s="324">
        <v>907.58245479474022</v>
      </c>
      <c r="F632"/>
      <c r="G632"/>
      <c r="H632"/>
    </row>
    <row r="633" spans="1:9" s="315" customFormat="1">
      <c r="A633" s="315" t="str">
        <f>IF(Model!A643=0,"",Model!A643)</f>
        <v>Jacket</v>
      </c>
      <c r="B633" s="315" t="str">
        <f>IF(Model!B643=0,"",Model!B643)</f>
        <v>kW</v>
      </c>
      <c r="C633" s="324">
        <f ca="1">Model!C643</f>
        <v>1050.3333333333335</v>
      </c>
      <c r="D633" s="324">
        <v>1050.3333333333335</v>
      </c>
      <c r="E633" s="324">
        <v>1050.3333333333335</v>
      </c>
      <c r="F633"/>
      <c r="G633"/>
      <c r="H633"/>
    </row>
    <row r="634" spans="1:9" s="315" customFormat="1">
      <c r="A634" s="315" t="str">
        <f>IF(Model!A644=0,"",Model!A644)</f>
        <v>Lube oil</v>
      </c>
      <c r="B634" s="315" t="str">
        <f>IF(Model!B644=0,"",Model!B644)</f>
        <v>kW</v>
      </c>
      <c r="C634" s="324">
        <f ca="1">Model!C644</f>
        <v>0</v>
      </c>
      <c r="D634" s="324">
        <v>0</v>
      </c>
      <c r="E634" s="324">
        <v>0</v>
      </c>
      <c r="F634"/>
      <c r="G634"/>
      <c r="H634"/>
    </row>
    <row r="635" spans="1:9" s="315" customFormat="1">
      <c r="A635" s="315" t="str">
        <f>IF(Model!A645=0,"",Model!A645)</f>
        <v>Fuel input (gross)</v>
      </c>
      <c r="B635" s="315" t="str">
        <f>IF(Model!B645=0,"",Model!B645)</f>
        <v>kW HHV</v>
      </c>
      <c r="C635" s="324">
        <f ca="1">Model!C645</f>
        <v>5319.6629213483138</v>
      </c>
      <c r="D635" s="324">
        <v>5319.6629213483138</v>
      </c>
      <c r="E635" s="324">
        <v>5319.6629213483138</v>
      </c>
      <c r="F635"/>
      <c r="G635"/>
      <c r="H635"/>
    </row>
    <row r="636" spans="1:9" s="315" customFormat="1">
      <c r="A636" s="315" t="str">
        <f>IF(Model!A646=0,"",Model!A646)</f>
        <v>Remaining exhaust heat after BFW preheat</v>
      </c>
      <c r="B636" s="315" t="str">
        <f>IF(Model!B646=0,"",Model!B646)</f>
        <v>kW</v>
      </c>
      <c r="C636" s="324">
        <f ca="1">Model!C646</f>
        <v>907.58245479474022</v>
      </c>
      <c r="D636" s="324">
        <v>907.58245479474022</v>
      </c>
      <c r="E636" s="324">
        <v>907.58245479474022</v>
      </c>
      <c r="F636"/>
      <c r="G636"/>
      <c r="H636"/>
    </row>
    <row r="637" spans="1:9" s="315" customFormat="1">
      <c r="A637" s="315" t="str">
        <f>IF(Model!A647=0,"",Model!A647)</f>
        <v>Total exhaust for steam generation</v>
      </c>
      <c r="B637" s="315" t="str">
        <f>IF(Model!B647=0,"",Model!B647)</f>
        <v>kW</v>
      </c>
      <c r="C637" s="324">
        <f ca="1">Model!C647</f>
        <v>907.58245479474022</v>
      </c>
      <c r="D637" s="324">
        <v>907.58245479474022</v>
      </c>
      <c r="E637" s="324">
        <v>907.58245479474022</v>
      </c>
      <c r="F637"/>
      <c r="G637"/>
      <c r="H637"/>
    </row>
    <row r="638" spans="1:9" s="315" customFormat="1">
      <c r="A638" s="315" t="str">
        <f>IF(Model!A648=0,"",Model!A648)</f>
        <v>MP steam generation</v>
      </c>
      <c r="B638" s="315" t="str">
        <f>IF(Model!B648=0,"",Model!B648)</f>
        <v>t/h</v>
      </c>
      <c r="C638" s="324" t="e">
        <f ca="1">Model!C648</f>
        <v>#NAME?</v>
      </c>
      <c r="D638" s="324">
        <v>1.2895893171560293</v>
      </c>
      <c r="E638" s="324">
        <v>1.2895893171560293</v>
      </c>
      <c r="F638"/>
      <c r="G638"/>
      <c r="H638"/>
    </row>
    <row r="639" spans="1:9" s="315" customFormat="1">
      <c r="A639" s="315" t="str">
        <f>IF(Model!A649=0,"",Model!A649)</f>
        <v>Blowdown</v>
      </c>
      <c r="B639" s="315" t="str">
        <f>IF(Model!B649=0,"",Model!B649)</f>
        <v>t/h</v>
      </c>
      <c r="C639" s="324" t="e">
        <f ca="1">Model!C649</f>
        <v>#NAME?</v>
      </c>
      <c r="D639" s="324">
        <v>1.2895893171560294E-2</v>
      </c>
      <c r="E639" s="324">
        <v>1.2895893171560294E-2</v>
      </c>
      <c r="F639"/>
      <c r="G639"/>
      <c r="H639"/>
    </row>
    <row r="640" spans="1:9" s="315" customFormat="1">
      <c r="A640" s="315" t="str">
        <f>IF(Model!A650=0,"",Model!A650)</f>
        <v>Gas engine electrical efficiency</v>
      </c>
      <c r="B640" s="315" t="str">
        <f>IF(Model!B650=0,"",Model!B650)</f>
        <v>%</v>
      </c>
      <c r="C640" s="324">
        <f ca="1">Model!C650</f>
        <v>0.37596367092618022</v>
      </c>
      <c r="D640" s="324">
        <v>0.37596367092618022</v>
      </c>
      <c r="E640" s="324">
        <v>0.37596367092618022</v>
      </c>
      <c r="F640"/>
      <c r="G640"/>
      <c r="H640"/>
    </row>
    <row r="641" spans="1:9" s="315" customFormat="1">
      <c r="A641" s="315" t="str">
        <f>IF(Model!A651=0,"",Model!A651)</f>
        <v>Gas engine thermal efficiency (actual)</v>
      </c>
      <c r="B641" s="315" t="str">
        <f>IF(Model!B651=0,"",Model!B651)</f>
        <v>%</v>
      </c>
      <c r="C641" s="324">
        <f ca="1">Model!C651</f>
        <v>0</v>
      </c>
      <c r="D641" s="324">
        <v>0.29960966293139585</v>
      </c>
      <c r="E641" s="324">
        <v>0.36413192270760292</v>
      </c>
      <c r="F641"/>
      <c r="G641"/>
      <c r="H641"/>
    </row>
    <row r="642" spans="1:9">
      <c r="A642" s="57" t="str">
        <f>IF(Model!A653=0,"",Model!A653)</f>
        <v/>
      </c>
      <c r="B642" s="57" t="str">
        <f>IF(Model!B653=0,"",Model!B653)</f>
        <v/>
      </c>
      <c r="C642" s="57" t="str">
        <f>IF(ISBLANK(Model!C653),"",Model!C653)</f>
        <v/>
      </c>
      <c r="D642" s="57" t="s">
        <v>816</v>
      </c>
      <c r="E642" s="57" t="s">
        <v>816</v>
      </c>
    </row>
    <row r="643" spans="1:9" ht="18" thickBot="1">
      <c r="A643" s="375" t="str">
        <f>IF(Model!A682=0,"",Model!A682)</f>
        <v>Customer Tariffs</v>
      </c>
      <c r="B643" s="391" t="str">
        <f>IF(Model!B682=0,"",Model!B682)</f>
        <v/>
      </c>
      <c r="C643" s="391" t="str">
        <f>IF(ISBLANK(Model!C682),"",Model!C682)</f>
        <v/>
      </c>
      <c r="D643" s="391" t="s">
        <v>816</v>
      </c>
      <c r="E643" s="391" t="s">
        <v>816</v>
      </c>
    </row>
    <row r="644" spans="1:9" ht="16" thickTop="1">
      <c r="A644" s="39" t="str">
        <f>IF(Model!A685=0,"",Model!A685)</f>
        <v/>
      </c>
      <c r="B644" s="260" t="str">
        <f>IF(Model!B685=0,"",Model!B685)</f>
        <v/>
      </c>
      <c r="C644" s="62" t="str">
        <f>IF(ISBLANK(Model!C685),"",Model!C685)</f>
        <v>Lenzing</v>
      </c>
      <c r="D644" s="62" t="s">
        <v>86</v>
      </c>
      <c r="E644" s="62" t="s">
        <v>86</v>
      </c>
    </row>
    <row r="645" spans="1:9">
      <c r="A645" s="260" t="str">
        <f>IF(Model!A686=0,"",Model!A686)</f>
        <v>Base gas price (BGP)</v>
      </c>
      <c r="B645" s="260" t="str">
        <f>IF(Model!B686=0,"",Model!B686)</f>
        <v>£/MWh</v>
      </c>
      <c r="C645" s="335">
        <f>IF(ISBLANK(Model!C686),"",Model!C686)</f>
        <v>20.5</v>
      </c>
      <c r="D645" s="335">
        <v>20.5</v>
      </c>
      <c r="E645" s="335">
        <v>20.5</v>
      </c>
    </row>
    <row r="646" spans="1:9">
      <c r="A646" s="260" t="str">
        <f>IF(Model!A687=0,"",Model!A687)</f>
        <v>Base electricity charge (BEC)</v>
      </c>
      <c r="B646" s="260" t="str">
        <f>IF(Model!B687=0,"",Model!B687)</f>
        <v>£/MWh</v>
      </c>
      <c r="C646" s="335">
        <f>IF(ISBLANK(Model!C687),"",Model!C687)</f>
        <v>40.32</v>
      </c>
      <c r="D646" s="335">
        <v>40.32</v>
      </c>
      <c r="E646" s="335">
        <v>40.32</v>
      </c>
    </row>
    <row r="647" spans="1:9">
      <c r="A647" s="260" t="str">
        <f>IF(Model!A688=0,"",Model!A688)</f>
        <v>IDX (chemicals index adj.)</v>
      </c>
      <c r="B647" s="260" t="str">
        <f>IF(Model!B688=0,"",Model!B688)</f>
        <v>%</v>
      </c>
      <c r="C647" s="348">
        <f>IF(ISBLANK(Model!C688),"",Model!C688)</f>
        <v>1</v>
      </c>
      <c r="D647" s="348">
        <v>1</v>
      </c>
      <c r="E647" s="348">
        <v>1</v>
      </c>
    </row>
    <row r="648" spans="1:9">
      <c r="A648" s="260" t="str">
        <f>IF(Model!A689=0,"",Model!A689)</f>
        <v>Base steam charge (MP)</v>
      </c>
      <c r="B648" s="260" t="str">
        <f>IF(Model!B689=0,"",Model!B689)</f>
        <v>£/ton</v>
      </c>
      <c r="C648" s="335">
        <f>IF(ISBLANK(Model!C689),"",Model!C689)</f>
        <v>21.5</v>
      </c>
      <c r="D648" s="335">
        <v>21.5</v>
      </c>
      <c r="E648" s="335">
        <v>21.5</v>
      </c>
    </row>
    <row r="649" spans="1:9">
      <c r="A649" s="260" t="str">
        <f>IF(Model!A690=0,"",Model!A690)</f>
        <v>Base steam charge (LP)</v>
      </c>
      <c r="B649" s="260" t="str">
        <f>IF(Model!B690=0,"",Model!B690)</f>
        <v>£/ton</v>
      </c>
      <c r="C649" s="335">
        <f>IF(ISBLANK(Model!C690),"",Model!C690)</f>
        <v>20.72</v>
      </c>
      <c r="D649" s="335">
        <v>20.72</v>
      </c>
      <c r="E649" s="335">
        <v>20.72</v>
      </c>
    </row>
    <row r="650" spans="1:9" s="65" customFormat="1">
      <c r="A650" s="260" t="str">
        <f>IF(Model!A691=0,"",Model!A691)</f>
        <v>Condensate Return Credit</v>
      </c>
      <c r="B650" s="260" t="str">
        <f>IF(Model!B691=0,"",Model!B691)</f>
        <v>£/ton</v>
      </c>
      <c r="C650" s="335">
        <f>IF(ISBLANK(Model!C691),"",Model!C691)</f>
        <v>0.26</v>
      </c>
      <c r="D650" s="335">
        <v>0.26</v>
      </c>
      <c r="E650" s="335">
        <v>0.26</v>
      </c>
      <c r="F650"/>
      <c r="G650"/>
      <c r="H650"/>
      <c r="I650" s="315"/>
    </row>
    <row r="651" spans="1:9">
      <c r="A651" s="260" t="str">
        <f>IF(Model!A692=0,"",Model!A692)</f>
        <v>Heat of Condensate</v>
      </c>
      <c r="B651" s="260" t="str">
        <f>IF(Model!B692=0,"",Model!B692)</f>
        <v>kWh/ton</v>
      </c>
      <c r="C651" s="335">
        <f>IF(ISBLANK(Model!C692),"",Model!C692)</f>
        <v>81.394444444444431</v>
      </c>
      <c r="D651" s="335">
        <v>81.394444444444431</v>
      </c>
      <c r="E651" s="335">
        <v>81.394444444444431</v>
      </c>
    </row>
    <row r="652" spans="1:9">
      <c r="A652" s="260" t="str">
        <f>IF(Model!A693=0,"",Model!A693)</f>
        <v>Condensate Heat Credit</v>
      </c>
      <c r="B652" s="260" t="str">
        <f>IF(Model!B693=0,"",Model!B693)</f>
        <v>p/kWhr</v>
      </c>
      <c r="C652" s="335">
        <f>IF(ISBLANK(Model!C693),"",Model!C693)</f>
        <v>1.859298666074362</v>
      </c>
      <c r="D652" s="335">
        <v>1.859298666074362</v>
      </c>
      <c r="E652" s="335">
        <v>1.859298666074362</v>
      </c>
    </row>
    <row r="653" spans="1:9">
      <c r="A653" s="260" t="str">
        <f>IF(Model!A694=0,"",Model!A694)</f>
        <v>Condensate Heat Credit</v>
      </c>
      <c r="B653" s="260" t="str">
        <f>IF(Model!B694=0,"",Model!B694)</f>
        <v>£/ton</v>
      </c>
      <c r="C653" s="335">
        <f>IF(ISBLANK(Model!C694),"",Model!C694)</f>
        <v>1.513365819814193</v>
      </c>
      <c r="D653" s="335">
        <v>1.513365819814193</v>
      </c>
      <c r="E653" s="335">
        <v>1.513365819814193</v>
      </c>
    </row>
    <row r="654" spans="1:9">
      <c r="A654" s="260" t="str">
        <f>IF(Model!A695=0,"",Model!A695)</f>
        <v>MP Sale Price</v>
      </c>
      <c r="B654" s="260" t="str">
        <f>IF(Model!B695=0,"",Model!B695)</f>
        <v>£/ton</v>
      </c>
      <c r="C654" s="335">
        <f>IF(ISBLANK(Model!C695),"",Model!C695)</f>
        <v>16.482368405422889</v>
      </c>
      <c r="D654" s="335">
        <v>16.482368405422889</v>
      </c>
      <c r="E654" s="335">
        <v>16.482368405422889</v>
      </c>
    </row>
    <row r="655" spans="1:9">
      <c r="A655" s="260" t="str">
        <f>IF(Model!A696=0,"",Model!A696)</f>
        <v>LP Sale Price</v>
      </c>
      <c r="B655" s="260" t="str">
        <f>IF(Model!B696=0,"",Model!B696)</f>
        <v>£/ton</v>
      </c>
      <c r="C655" s="335">
        <f>IF(ISBLANK(Model!C696),"",Model!C696)</f>
        <v>15.884403412109871</v>
      </c>
      <c r="D655" s="335">
        <v>15.884403412109871</v>
      </c>
      <c r="E655" s="335">
        <v>15.884403412109871</v>
      </c>
    </row>
    <row r="656" spans="1:9">
      <c r="A656" s="260" t="str">
        <f>IF(Model!A697=0,"",Model!A697)</f>
        <v>Electricity Sale Price</v>
      </c>
      <c r="B656" s="260" t="str">
        <f>IF(Model!B697=0,"",Model!B697)</f>
        <v>£/MW</v>
      </c>
      <c r="C656" s="335">
        <f>IF(ISBLANK(Model!C697),"",Model!C697)</f>
        <v>30.718153493433832</v>
      </c>
      <c r="D656" s="335">
        <v>30.718153493433832</v>
      </c>
      <c r="E656" s="335">
        <v>30.718153493433832</v>
      </c>
    </row>
    <row r="657" spans="1:8" s="315" customFormat="1">
      <c r="A657" s="260"/>
      <c r="B657" s="260"/>
      <c r="C657" s="62" t="str">
        <f>IF(ISBLANK(Model!D685),"",Model!D685)</f>
        <v>Bluestar</v>
      </c>
      <c r="D657" s="62" t="s">
        <v>87</v>
      </c>
      <c r="E657" s="62" t="s">
        <v>87</v>
      </c>
      <c r="F657"/>
      <c r="G657"/>
      <c r="H657"/>
    </row>
    <row r="658" spans="1:8" s="315" customFormat="1">
      <c r="A658" s="260" t="str">
        <f>A645</f>
        <v>Base gas price (BGP)</v>
      </c>
      <c r="B658" s="260" t="str">
        <f>B645</f>
        <v>£/MWh</v>
      </c>
      <c r="C658" s="335">
        <f>IF(ISBLANK(Model!D686),"",Model!D686)</f>
        <v>20.5</v>
      </c>
      <c r="D658" s="335">
        <v>20.5</v>
      </c>
      <c r="E658" s="335">
        <v>20.5</v>
      </c>
      <c r="F658"/>
      <c r="G658"/>
      <c r="H658"/>
    </row>
    <row r="659" spans="1:8" s="315" customFormat="1">
      <c r="A659" s="260" t="str">
        <f t="shared" ref="A659:B669" si="15">A646</f>
        <v>Base electricity charge (BEC)</v>
      </c>
      <c r="B659" s="260" t="str">
        <f t="shared" si="15"/>
        <v>£/MWh</v>
      </c>
      <c r="C659" s="335">
        <f>IF(ISBLANK(Model!D687),"",Model!D687)</f>
        <v>44.99</v>
      </c>
      <c r="D659" s="335">
        <v>44.99</v>
      </c>
      <c r="E659" s="335">
        <v>44.99</v>
      </c>
      <c r="F659"/>
      <c r="G659"/>
      <c r="H659"/>
    </row>
    <row r="660" spans="1:8" s="315" customFormat="1">
      <c r="A660" s="260" t="str">
        <f t="shared" si="15"/>
        <v>IDX (chemicals index adj.)</v>
      </c>
      <c r="B660" s="260" t="str">
        <f t="shared" si="15"/>
        <v>%</v>
      </c>
      <c r="C660" s="348">
        <f>IF(ISBLANK(Model!D688),"",Model!D688)</f>
        <v>1</v>
      </c>
      <c r="D660" s="348">
        <v>1</v>
      </c>
      <c r="E660" s="348">
        <v>1</v>
      </c>
      <c r="F660"/>
      <c r="G660"/>
      <c r="H660"/>
    </row>
    <row r="661" spans="1:8" s="315" customFormat="1">
      <c r="A661" s="260" t="str">
        <f t="shared" si="15"/>
        <v>Base steam charge (MP)</v>
      </c>
      <c r="B661" s="260" t="str">
        <f t="shared" si="15"/>
        <v>£/ton</v>
      </c>
      <c r="C661" s="335">
        <f>IF(ISBLANK(Model!D689),"",Model!D689)</f>
        <v>24.12</v>
      </c>
      <c r="D661" s="335">
        <v>24.12</v>
      </c>
      <c r="E661" s="335">
        <v>24.12</v>
      </c>
      <c r="F661"/>
      <c r="G661"/>
      <c r="H661"/>
    </row>
    <row r="662" spans="1:8" s="315" customFormat="1">
      <c r="A662" s="260" t="str">
        <f t="shared" si="15"/>
        <v>Base steam charge (LP)</v>
      </c>
      <c r="B662" s="260" t="str">
        <f t="shared" si="15"/>
        <v>£/ton</v>
      </c>
      <c r="C662" s="335">
        <f>IF(ISBLANK(Model!D690),"",Model!D690)</f>
        <v>23.24</v>
      </c>
      <c r="D662" s="335">
        <v>23.24</v>
      </c>
      <c r="E662" s="335">
        <v>23.24</v>
      </c>
      <c r="F662"/>
      <c r="G662"/>
      <c r="H662"/>
    </row>
    <row r="663" spans="1:8" s="315" customFormat="1">
      <c r="A663" s="260" t="str">
        <f t="shared" si="15"/>
        <v>Condensate Return Credit</v>
      </c>
      <c r="B663" s="260" t="str">
        <f t="shared" si="15"/>
        <v>£/ton</v>
      </c>
      <c r="C663" s="335">
        <f>IF(ISBLANK(Model!D691),"",Model!D691)</f>
        <v>0.26</v>
      </c>
      <c r="D663" s="335">
        <v>0.26</v>
      </c>
      <c r="E663" s="335">
        <v>0.26</v>
      </c>
      <c r="F663"/>
      <c r="G663"/>
      <c r="H663"/>
    </row>
    <row r="664" spans="1:8" s="315" customFormat="1">
      <c r="A664" s="260" t="str">
        <f t="shared" si="15"/>
        <v>Heat of Condensate</v>
      </c>
      <c r="B664" s="260" t="str">
        <f t="shared" si="15"/>
        <v>kWh/ton</v>
      </c>
      <c r="C664" s="335">
        <f>IF(ISBLANK(Model!D692),"",Model!D692)</f>
        <v>81.394444444444431</v>
      </c>
      <c r="D664" s="335">
        <v>81.394444444444431</v>
      </c>
      <c r="E664" s="335">
        <v>81.394444444444431</v>
      </c>
      <c r="F664"/>
      <c r="G664"/>
      <c r="H664"/>
    </row>
    <row r="665" spans="1:8" s="315" customFormat="1">
      <c r="A665" s="260" t="str">
        <f t="shared" si="15"/>
        <v>Condensate Heat Credit</v>
      </c>
      <c r="B665" s="260" t="str">
        <f t="shared" si="15"/>
        <v>p/kWhr</v>
      </c>
      <c r="C665" s="335">
        <f>IF(ISBLANK(Model!D693),"",Model!D693)</f>
        <v>1.7353454216694044</v>
      </c>
      <c r="D665" s="335">
        <v>1.7353454216694044</v>
      </c>
      <c r="E665" s="335">
        <v>1.7353454216694044</v>
      </c>
      <c r="F665"/>
      <c r="G665"/>
      <c r="H665"/>
    </row>
    <row r="666" spans="1:8" s="315" customFormat="1">
      <c r="A666" s="260" t="str">
        <f t="shared" si="15"/>
        <v>Condensate Heat Credit</v>
      </c>
      <c r="B666" s="260" t="str">
        <f t="shared" si="15"/>
        <v>£/ton</v>
      </c>
      <c r="C666" s="335">
        <f>IF(ISBLANK(Model!D694),"",Model!D694)</f>
        <v>1.4124747651599134</v>
      </c>
      <c r="D666" s="335">
        <v>1.4124747651599134</v>
      </c>
      <c r="E666" s="335">
        <v>1.4124747651599134</v>
      </c>
      <c r="F666"/>
      <c r="G666"/>
      <c r="H666"/>
    </row>
    <row r="667" spans="1:8" s="315" customFormat="1">
      <c r="A667" s="260" t="str">
        <f t="shared" si="15"/>
        <v>MP Sale Price</v>
      </c>
      <c r="B667" s="260" t="str">
        <f t="shared" si="15"/>
        <v>£/ton</v>
      </c>
      <c r="C667" s="335">
        <f>IF(ISBLANK(Model!D695),"",Model!D695)</f>
        <v>18.490917485525582</v>
      </c>
      <c r="D667" s="335">
        <v>18.490917485525582</v>
      </c>
      <c r="E667" s="335">
        <v>18.490917485525582</v>
      </c>
      <c r="F667"/>
      <c r="G667"/>
      <c r="H667"/>
    </row>
    <row r="668" spans="1:8" s="315" customFormat="1">
      <c r="A668" s="260" t="str">
        <f t="shared" si="15"/>
        <v>LP Sale Price</v>
      </c>
      <c r="B668" s="260" t="str">
        <f t="shared" si="15"/>
        <v>£/ton</v>
      </c>
      <c r="C668" s="335">
        <f>IF(ISBLANK(Model!D696),"",Model!D696)</f>
        <v>17.816290313582691</v>
      </c>
      <c r="D668" s="335">
        <v>17.816290313582691</v>
      </c>
      <c r="E668" s="335">
        <v>17.816290313582691</v>
      </c>
      <c r="F668"/>
      <c r="G668"/>
      <c r="H668"/>
    </row>
    <row r="669" spans="1:8" s="315" customFormat="1">
      <c r="A669" s="260" t="str">
        <f t="shared" si="15"/>
        <v>Electricity Sale Price</v>
      </c>
      <c r="B669" s="260" t="str">
        <f t="shared" si="15"/>
        <v>£/MW</v>
      </c>
      <c r="C669" s="335">
        <f>IF(ISBLANK(Model!D697),"",Model!D697)</f>
        <v>34.276034862837008</v>
      </c>
      <c r="D669" s="335">
        <v>34.276034862837008</v>
      </c>
      <c r="E669" s="335">
        <v>34.276034862837008</v>
      </c>
      <c r="F669"/>
      <c r="G669"/>
      <c r="H669"/>
    </row>
    <row r="670" spans="1:8" s="315" customFormat="1">
      <c r="A670" s="260"/>
      <c r="B670" s="260"/>
      <c r="C670" s="62" t="str">
        <f>IF(ISBLANK(Model!E685),"",Model!E685)</f>
        <v>TAL</v>
      </c>
      <c r="D670" s="62" t="s">
        <v>248</v>
      </c>
      <c r="E670" s="62" t="s">
        <v>248</v>
      </c>
      <c r="F670"/>
      <c r="G670"/>
      <c r="H670"/>
    </row>
    <row r="671" spans="1:8" s="315" customFormat="1">
      <c r="A671" s="260" t="str">
        <f t="shared" ref="A671:B682" si="16">A658</f>
        <v>Base gas price (BGP)</v>
      </c>
      <c r="B671" s="260" t="str">
        <f t="shared" si="16"/>
        <v>£/MWh</v>
      </c>
      <c r="C671" s="335" t="str">
        <f>IF(ISBLANK(Model!E686),"",Model!E686)</f>
        <v/>
      </c>
      <c r="D671" s="335" t="s">
        <v>816</v>
      </c>
      <c r="E671" s="335" t="s">
        <v>816</v>
      </c>
      <c r="F671"/>
      <c r="G671"/>
      <c r="H671"/>
    </row>
    <row r="672" spans="1:8" s="315" customFormat="1">
      <c r="A672" s="260" t="str">
        <f t="shared" si="16"/>
        <v>Base electricity charge (BEC)</v>
      </c>
      <c r="B672" s="260" t="str">
        <f t="shared" si="16"/>
        <v>£/MWh</v>
      </c>
      <c r="C672" s="335" t="str">
        <f>IF(ISBLANK(Model!E687),"",Model!E687)</f>
        <v/>
      </c>
      <c r="D672" s="335" t="s">
        <v>816</v>
      </c>
      <c r="E672" s="335" t="s">
        <v>816</v>
      </c>
      <c r="F672"/>
      <c r="G672"/>
      <c r="H672"/>
    </row>
    <row r="673" spans="1:8" s="315" customFormat="1">
      <c r="A673" s="260" t="str">
        <f t="shared" si="16"/>
        <v>IDX (chemicals index adj.)</v>
      </c>
      <c r="B673" s="260" t="str">
        <f t="shared" si="16"/>
        <v>%</v>
      </c>
      <c r="C673" s="348" t="str">
        <f>IF(ISBLANK(Model!E688),"",Model!E688)</f>
        <v/>
      </c>
      <c r="D673" s="348" t="s">
        <v>816</v>
      </c>
      <c r="E673" s="348" t="s">
        <v>816</v>
      </c>
      <c r="F673"/>
      <c r="G673"/>
      <c r="H673"/>
    </row>
    <row r="674" spans="1:8" s="315" customFormat="1">
      <c r="A674" s="260" t="str">
        <f t="shared" si="16"/>
        <v>Base steam charge (MP)</v>
      </c>
      <c r="B674" s="260" t="str">
        <f t="shared" si="16"/>
        <v>£/ton</v>
      </c>
      <c r="C674" s="335" t="str">
        <f>IF(ISBLANK(Model!E689),"",Model!E689)</f>
        <v/>
      </c>
      <c r="D674" s="335" t="s">
        <v>816</v>
      </c>
      <c r="E674" s="335" t="s">
        <v>816</v>
      </c>
      <c r="F674"/>
      <c r="G674"/>
      <c r="H674"/>
    </row>
    <row r="675" spans="1:8" s="315" customFormat="1">
      <c r="A675" s="260" t="str">
        <f t="shared" si="16"/>
        <v>Base steam charge (LP)</v>
      </c>
      <c r="B675" s="260" t="str">
        <f t="shared" si="16"/>
        <v>£/ton</v>
      </c>
      <c r="C675" s="335" t="str">
        <f>IF(ISBLANK(Model!E690),"",Model!E690)</f>
        <v/>
      </c>
      <c r="D675" s="335" t="s">
        <v>816</v>
      </c>
      <c r="E675" s="335" t="s">
        <v>816</v>
      </c>
      <c r="F675"/>
      <c r="G675"/>
      <c r="H675"/>
    </row>
    <row r="676" spans="1:8" s="315" customFormat="1">
      <c r="A676" s="260" t="str">
        <f t="shared" si="16"/>
        <v>Condensate Return Credit</v>
      </c>
      <c r="B676" s="260" t="str">
        <f t="shared" si="16"/>
        <v>£/ton</v>
      </c>
      <c r="C676" s="335">
        <f>IF(ISBLANK(Model!E691),"",Model!E691)</f>
        <v>0.26</v>
      </c>
      <c r="D676" s="335">
        <v>0.26</v>
      </c>
      <c r="E676" s="335">
        <v>0.26</v>
      </c>
      <c r="F676"/>
      <c r="G676"/>
      <c r="H676"/>
    </row>
    <row r="677" spans="1:8" s="315" customFormat="1">
      <c r="A677" s="260" t="str">
        <f t="shared" si="16"/>
        <v>Heat of Condensate</v>
      </c>
      <c r="B677" s="260" t="str">
        <f t="shared" si="16"/>
        <v>kWh/ton</v>
      </c>
      <c r="C677" s="335">
        <f>IF(ISBLANK(Model!E692),"",Model!E692)</f>
        <v>81.394444444444431</v>
      </c>
      <c r="D677" s="335">
        <v>81.394444444444431</v>
      </c>
      <c r="E677" s="335">
        <v>81.394444444444431</v>
      </c>
      <c r="F677"/>
      <c r="G677"/>
      <c r="H677"/>
    </row>
    <row r="678" spans="1:8" s="315" customFormat="1">
      <c r="A678" s="260" t="str">
        <f t="shared" si="16"/>
        <v>Condensate Heat Credit</v>
      </c>
      <c r="B678" s="260" t="str">
        <f t="shared" si="16"/>
        <v>p/kWhr</v>
      </c>
      <c r="C678" s="335">
        <f>IF(ISBLANK(Model!E693),"",Model!E693)</f>
        <v>1.7353454216694044</v>
      </c>
      <c r="D678" s="335">
        <v>1.7353454216694044</v>
      </c>
      <c r="E678" s="335">
        <v>1.7353454216694044</v>
      </c>
      <c r="F678"/>
      <c r="G678"/>
      <c r="H678"/>
    </row>
    <row r="679" spans="1:8" s="315" customFormat="1">
      <c r="A679" s="260" t="str">
        <f t="shared" si="16"/>
        <v>Condensate Heat Credit</v>
      </c>
      <c r="B679" s="260" t="str">
        <f t="shared" si="16"/>
        <v>£/ton</v>
      </c>
      <c r="C679" s="335">
        <f>IF(ISBLANK(Model!E694),"",Model!E694)</f>
        <v>1.4124747651599134</v>
      </c>
      <c r="D679" s="335">
        <v>1.4124747651599134</v>
      </c>
      <c r="E679" s="335">
        <v>1.4124747651599134</v>
      </c>
      <c r="F679"/>
      <c r="G679"/>
      <c r="H679"/>
    </row>
    <row r="680" spans="1:8" s="315" customFormat="1">
      <c r="A680" s="260" t="str">
        <f t="shared" si="16"/>
        <v>MP Sale Price</v>
      </c>
      <c r="B680" s="260" t="str">
        <f t="shared" si="16"/>
        <v>£/ton</v>
      </c>
      <c r="C680" s="335">
        <f>IF(ISBLANK(Model!E695),"",Model!E695)</f>
        <v>18.490917485525582</v>
      </c>
      <c r="D680" s="335">
        <v>18.490917485525582</v>
      </c>
      <c r="E680" s="335">
        <v>18.490917485525582</v>
      </c>
      <c r="F680"/>
      <c r="G680"/>
      <c r="H680"/>
    </row>
    <row r="681" spans="1:8" s="315" customFormat="1">
      <c r="A681" s="260" t="str">
        <f t="shared" si="16"/>
        <v>LP Sale Price</v>
      </c>
      <c r="B681" s="260" t="str">
        <f t="shared" si="16"/>
        <v>£/ton</v>
      </c>
      <c r="C681" s="335">
        <f>IF(ISBLANK(Model!E696),"",Model!E696)</f>
        <v>0</v>
      </c>
      <c r="D681" s="335">
        <v>0</v>
      </c>
      <c r="E681" s="335">
        <v>0</v>
      </c>
      <c r="F681"/>
      <c r="G681"/>
      <c r="H681"/>
    </row>
    <row r="682" spans="1:8" s="315" customFormat="1">
      <c r="A682" s="260" t="str">
        <f t="shared" si="16"/>
        <v>Electricity Sale Price</v>
      </c>
      <c r="B682" s="260" t="str">
        <f t="shared" si="16"/>
        <v>£/MW</v>
      </c>
      <c r="C682" s="335">
        <f>IF(ISBLANK(Model!E697),"",Model!E697)</f>
        <v>69.532803645401813</v>
      </c>
      <c r="D682" s="335">
        <v>69.532803645401813</v>
      </c>
      <c r="E682" s="335">
        <v>69.532803645401813</v>
      </c>
      <c r="F682"/>
      <c r="G682"/>
      <c r="H682"/>
    </row>
    <row r="683" spans="1:8">
      <c r="A683" s="260"/>
      <c r="B683" s="238"/>
      <c r="C683" s="353"/>
      <c r="D683" s="353"/>
      <c r="E683" s="353"/>
    </row>
    <row r="684" spans="1:8" ht="18" thickBot="1">
      <c r="A684" s="391" t="str">
        <f>IF(Model!A654=0,"",Model!A654)</f>
        <v>Rigorous Simulation</v>
      </c>
      <c r="B684" s="391" t="str">
        <f>IF(Model!B654=0,"",Model!B654)</f>
        <v/>
      </c>
      <c r="C684" s="411" t="str">
        <f>IF(ISBLANK(Model!C654),"",Model!C654)</f>
        <v/>
      </c>
      <c r="D684" s="411" t="s">
        <v>816</v>
      </c>
      <c r="E684" s="411" t="s">
        <v>816</v>
      </c>
    </row>
    <row r="685" spans="1:8" s="315" customFormat="1" ht="16" thickTop="1">
      <c r="A685" s="315" t="str">
        <f>Model!A657</f>
        <v>Exhaust heat to BFW preheat</v>
      </c>
      <c r="B685" s="315" t="str">
        <f>Model!B657</f>
        <v>kW</v>
      </c>
      <c r="C685" s="324">
        <f>Model!C657</f>
        <v>0</v>
      </c>
      <c r="D685" s="324">
        <v>0</v>
      </c>
      <c r="E685" s="324">
        <v>0</v>
      </c>
      <c r="F685"/>
      <c r="G685"/>
      <c r="H685"/>
    </row>
    <row r="686" spans="1:8" s="315" customFormat="1">
      <c r="A686" s="315" t="str">
        <f>Model!A658</f>
        <v>Jacket heat to BFW preheat</v>
      </c>
      <c r="B686" s="315" t="str">
        <f>Model!B658</f>
        <v>kW</v>
      </c>
      <c r="C686" s="324">
        <f ca="1">Model!C658</f>
        <v>1050.3333333333335</v>
      </c>
      <c r="D686" s="324">
        <v>1050.3333333333335</v>
      </c>
      <c r="E686" s="324">
        <v>1050.3333333333335</v>
      </c>
      <c r="F686"/>
      <c r="G686"/>
      <c r="H686"/>
    </row>
    <row r="687" spans="1:8" s="315" customFormat="1">
      <c r="A687" s="315" t="str">
        <f>Model!A659</f>
        <v>Lube oil heat to BFW preheat</v>
      </c>
      <c r="B687" s="315" t="str">
        <f>Model!B659</f>
        <v>kW</v>
      </c>
      <c r="C687" s="324">
        <f ca="1">Model!C659</f>
        <v>0</v>
      </c>
      <c r="D687" s="324">
        <v>0</v>
      </c>
      <c r="E687" s="324">
        <v>0</v>
      </c>
      <c r="F687"/>
      <c r="G687"/>
      <c r="H687"/>
    </row>
    <row r="688" spans="1:8" s="315" customFormat="1">
      <c r="A688" s="315" t="str">
        <f>Model!A660</f>
        <v>Total heat to BFW preheat</v>
      </c>
      <c r="B688" s="315" t="str">
        <f>Model!B660</f>
        <v>kW</v>
      </c>
      <c r="C688" s="324">
        <f ca="1">Model!C660</f>
        <v>1050.3333333333335</v>
      </c>
      <c r="D688" s="324">
        <v>1050.3333333333335</v>
      </c>
      <c r="E688" s="324">
        <v>1050.3333333333335</v>
      </c>
      <c r="F688"/>
      <c r="G688"/>
      <c r="H688"/>
    </row>
    <row r="689" spans="1:8" s="315" customFormat="1">
      <c r="F689"/>
      <c r="G689"/>
      <c r="H689"/>
    </row>
    <row r="690" spans="1:8" s="315" customFormat="1">
      <c r="A690" s="315" t="str">
        <f>IF(Model!A662=0,"",Model!A662)</f>
        <v>Iterations for adding heat to makeup:</v>
      </c>
      <c r="B690" s="315" t="str">
        <f>IF(Model!B662=0,"",Model!B662)</f>
        <v/>
      </c>
      <c r="C690" s="174">
        <f>IF(Model!L662=0,"",Model!L662)</f>
        <v>9</v>
      </c>
      <c r="D690" s="174">
        <v>9</v>
      </c>
      <c r="E690" s="174">
        <v>9</v>
      </c>
      <c r="F690"/>
      <c r="G690"/>
      <c r="H690"/>
    </row>
    <row r="691" spans="1:8" s="315" customFormat="1">
      <c r="A691" s="315" t="str">
        <f>IF(Model!A663=0,"",Model!A663)</f>
        <v>Heat available from engine</v>
      </c>
      <c r="B691" s="315" t="str">
        <f>IF(Model!B663=0,"",Model!B663)</f>
        <v>kWth</v>
      </c>
      <c r="C691" s="235">
        <f ca="1">IF(Model!L663=0,"",Model!L663)</f>
        <v>1050.3333333333335</v>
      </c>
      <c r="D691" s="235">
        <v>1050.3333333333335</v>
      </c>
      <c r="E691" s="235">
        <v>1050.3333333333335</v>
      </c>
      <c r="F691"/>
      <c r="G691"/>
      <c r="H691"/>
    </row>
    <row r="692" spans="1:8" s="315" customFormat="1">
      <c r="A692" s="315" t="str">
        <f>IF(Model!A664=0,"",Model!A664)</f>
        <v>Makeup water flow</v>
      </c>
      <c r="B692" s="315" t="str">
        <f>IF(Model!B664=0,"",Model!B664)</f>
        <v>t/h</v>
      </c>
      <c r="C692" s="86" t="e">
        <f ca="1">IF(Model!L664=0,"",Model!L664)</f>
        <v>#NAME?</v>
      </c>
      <c r="D692" s="86">
        <v>39.363668832451587</v>
      </c>
      <c r="E692" s="86">
        <v>59.052196916567787</v>
      </c>
      <c r="F692"/>
      <c r="G692"/>
      <c r="H692"/>
    </row>
    <row r="693" spans="1:8" s="315" customFormat="1">
      <c r="A693" s="315" t="str">
        <f>IF(Model!A665=0,"",Model!A665)</f>
        <v>Initial makeup water temperature</v>
      </c>
      <c r="B693" s="315" t="str">
        <f>IF(Model!B665=0,"",Model!B665)</f>
        <v>C</v>
      </c>
      <c r="C693" s="120">
        <f>IF(Model!L665=0,"",Model!L665)</f>
        <v>80</v>
      </c>
      <c r="D693" s="120">
        <v>80</v>
      </c>
      <c r="E693" s="120">
        <v>80</v>
      </c>
      <c r="F693"/>
      <c r="G693"/>
      <c r="H693"/>
    </row>
    <row r="694" spans="1:8" s="315" customFormat="1">
      <c r="A694" s="315" t="str">
        <f>IF(Model!A666=0,"",Model!A666)</f>
        <v>Allowable makeup water temperature</v>
      </c>
      <c r="B694" s="315" t="str">
        <f>IF(Model!B666=0,"",Model!B666)</f>
        <v>C</v>
      </c>
      <c r="C694" s="235">
        <f>IF(Model!L666=0,"",Model!L666)</f>
        <v>95</v>
      </c>
      <c r="D694" s="235">
        <v>95</v>
      </c>
      <c r="E694" s="235">
        <v>95</v>
      </c>
      <c r="F694"/>
      <c r="G694"/>
      <c r="H694"/>
    </row>
    <row r="695" spans="1:8" s="315" customFormat="1">
      <c r="A695" s="315" t="str">
        <f>IF(Model!A667=0,"",Model!A667)</f>
        <v>Heat to add to makeup to take to max</v>
      </c>
      <c r="B695" s="315" t="str">
        <f>IF(Model!B667=0,"",Model!B667)</f>
        <v>kWth</v>
      </c>
      <c r="C695" s="351" t="e">
        <f ca="1">IF(Model!L667=0,"",Model!L667)</f>
        <v>#NAME?</v>
      </c>
      <c r="D695" s="351">
        <v>686.23995997907264</v>
      </c>
      <c r="E695" s="351">
        <v>1029.4766329121651</v>
      </c>
      <c r="F695"/>
      <c r="G695"/>
      <c r="H695"/>
    </row>
    <row r="696" spans="1:8" s="315" customFormat="1">
      <c r="A696" s="315" t="str">
        <f>IF(Model!A668=0,"",Model!A668)</f>
        <v>New heat to add to makeup</v>
      </c>
      <c r="B696" s="315" t="str">
        <f>IF(Model!B668=0,"",Model!B668)</f>
        <v>kWth</v>
      </c>
      <c r="C696" s="81" t="e">
        <f ca="1">IF(Model!L668=0,"",Model!L668)</f>
        <v>#NAME?</v>
      </c>
      <c r="D696" s="81">
        <v>686.23995997907264</v>
      </c>
      <c r="E696" s="81">
        <v>1029.4766329121651</v>
      </c>
      <c r="F696"/>
      <c r="G696"/>
      <c r="H696"/>
    </row>
    <row r="697" spans="1:8" s="315" customFormat="1">
      <c r="A697" s="315" t="str">
        <f>IF(Model!A669=0,"",Model!A669)</f>
        <v>New makeup water temperature</v>
      </c>
      <c r="B697" s="315" t="str">
        <f>IF(Model!B669=0,"",Model!B669)</f>
        <v>C</v>
      </c>
      <c r="C697" s="81" t="e">
        <f ca="1">IF(Model!L669=0,"",Model!L669)</f>
        <v>#NAME?</v>
      </c>
      <c r="D697" s="81">
        <v>95</v>
      </c>
      <c r="E697" s="81">
        <v>95</v>
      </c>
      <c r="F697"/>
      <c r="G697"/>
      <c r="H697"/>
    </row>
    <row r="698" spans="1:8" s="315" customFormat="1">
      <c r="A698" s="315" t="str">
        <f>IF(Model!A670=0,"",Model!A670)</f>
        <v>New makeup water enthalpy</v>
      </c>
      <c r="B698" s="315" t="str">
        <f>IF(Model!B670=0,"",Model!B670)</f>
        <v>kJ/kg</v>
      </c>
      <c r="C698" s="81" t="e">
        <f ca="1">IF(Model!L670=0,"",Model!L670)</f>
        <v>#NAME?</v>
      </c>
      <c r="D698" s="81">
        <v>398.01853947466174</v>
      </c>
      <c r="E698" s="81">
        <v>398.01853947466174</v>
      </c>
      <c r="F698"/>
      <c r="G698"/>
      <c r="H698"/>
    </row>
    <row r="699" spans="1:8" s="315" customFormat="1">
      <c r="A699" s="315" t="str">
        <f>IF(Model!A671=0,"",Model!A671)</f>
        <v/>
      </c>
      <c r="B699" s="315" t="str">
        <f>IF(Model!B671=0,"",Model!B671)</f>
        <v/>
      </c>
      <c r="C699" s="315" t="str">
        <f>IF(Model!C671=0,"",Model!C671)</f>
        <v/>
      </c>
      <c r="D699" s="315" t="s">
        <v>816</v>
      </c>
      <c r="E699" s="315" t="s">
        <v>816</v>
      </c>
      <c r="F699"/>
      <c r="G699"/>
      <c r="H699"/>
    </row>
    <row r="700" spans="1:8" s="315" customFormat="1">
      <c r="A700" s="315" t="str">
        <f>IF(Model!A672=0,"",Model!A672)</f>
        <v>Total heat recovery</v>
      </c>
      <c r="B700" s="315" t="str">
        <f>IF(Model!B672=0,"",Model!B672)</f>
        <v>kW</v>
      </c>
      <c r="C700" s="324" t="e">
        <f ca="1">Model!C672</f>
        <v>#NAME?</v>
      </c>
      <c r="D700" s="324">
        <v>686.23995997907264</v>
      </c>
      <c r="E700" s="324">
        <v>1029.4766329121651</v>
      </c>
      <c r="F700"/>
      <c r="G700"/>
      <c r="H700"/>
    </row>
    <row r="701" spans="1:8" s="315" customFormat="1">
      <c r="A701" s="315" t="str">
        <f>IF(Model!A673=0,"",Model!A673)</f>
        <v>Recovered jacket heat</v>
      </c>
      <c r="B701" s="315" t="str">
        <f>IF(Model!B673=0,"",Model!B673)</f>
        <v>kW</v>
      </c>
      <c r="C701" s="324" t="e">
        <f ca="1">Model!C673</f>
        <v>#NAME?</v>
      </c>
      <c r="D701" s="324">
        <v>686.23995997907264</v>
      </c>
      <c r="E701" s="324">
        <v>1029.4766329121651</v>
      </c>
      <c r="F701"/>
      <c r="G701"/>
      <c r="H701"/>
    </row>
    <row r="702" spans="1:8" s="315" customFormat="1">
      <c r="A702" s="315" t="str">
        <f>IF(Model!A674=0,"",Model!A674)</f>
        <v>Recovered lube oil heat</v>
      </c>
      <c r="B702" s="315" t="str">
        <f>IF(Model!B674=0,"",Model!B674)</f>
        <v>kW</v>
      </c>
      <c r="C702" s="324" t="e">
        <f ca="1">Model!C674</f>
        <v>#NAME?</v>
      </c>
      <c r="D702" s="324">
        <v>0</v>
      </c>
      <c r="E702" s="324">
        <v>0</v>
      </c>
      <c r="F702"/>
      <c r="G702"/>
      <c r="H702"/>
    </row>
    <row r="703" spans="1:8" s="315" customFormat="1">
      <c r="A703" s="315" t="str">
        <f>IF(Model!A675=0,"",Model!A675)</f>
        <v>Dumped jacket heat</v>
      </c>
      <c r="B703" s="315" t="str">
        <f>IF(Model!B675=0,"",Model!B675)</f>
        <v>kW</v>
      </c>
      <c r="C703" s="324" t="e">
        <f ca="1">Model!C675</f>
        <v>#NAME?</v>
      </c>
      <c r="D703" s="324">
        <v>364.09337335426085</v>
      </c>
      <c r="E703" s="324">
        <v>20.856700421168398</v>
      </c>
      <c r="F703"/>
      <c r="G703"/>
      <c r="H703"/>
    </row>
    <row r="704" spans="1:8" s="315" customFormat="1">
      <c r="A704" s="315" t="str">
        <f>IF(Model!A676=0,"",Model!A676)</f>
        <v>Dumped lube oil heat</v>
      </c>
      <c r="B704" s="315" t="str">
        <f>IF(Model!B676=0,"",Model!B676)</f>
        <v>kW</v>
      </c>
      <c r="C704" s="324" t="e">
        <f ca="1">Model!C676</f>
        <v>#NAME?</v>
      </c>
      <c r="D704" s="324">
        <v>0</v>
      </c>
      <c r="E704" s="324">
        <v>0</v>
      </c>
      <c r="F704"/>
      <c r="G704"/>
      <c r="H704"/>
    </row>
    <row r="705" spans="1:8" s="315" customFormat="1">
      <c r="A705" s="315" t="str">
        <f>IF(Model!A677=0,"",Model!A677)</f>
        <v>Total heat dump</v>
      </c>
      <c r="B705" s="315" t="str">
        <f>IF(Model!B677=0,"",Model!B677)</f>
        <v>kW</v>
      </c>
      <c r="C705" s="324" t="e">
        <f ca="1">Model!C677</f>
        <v>#NAME?</v>
      </c>
      <c r="D705" s="324">
        <v>364.09337335426085</v>
      </c>
      <c r="E705" s="324">
        <v>20.856700421168398</v>
      </c>
      <c r="F705"/>
      <c r="G705"/>
      <c r="H705"/>
    </row>
    <row r="706" spans="1:8" s="315" customFormat="1">
      <c r="A706" s="315" t="str">
        <f>IF(Model!A678=0,"",Model!A678)</f>
        <v>Recovered exhaust heat</v>
      </c>
      <c r="B706" s="315" t="str">
        <f>IF(Model!B678=0,"",Model!B678)</f>
        <v>kW</v>
      </c>
      <c r="C706" s="324" t="e">
        <f ca="1">Model!C678</f>
        <v>#NAME?</v>
      </c>
      <c r="D706" s="324">
        <v>0</v>
      </c>
      <c r="E706" s="324">
        <v>0</v>
      </c>
      <c r="F706"/>
      <c r="G706"/>
      <c r="H706"/>
    </row>
    <row r="707" spans="1:8" s="315" customFormat="1">
      <c r="A707" s="315" t="str">
        <f>IF(Model!A679=0,"",Model!A679)</f>
        <v xml:space="preserve">Remaining exhaust heat </v>
      </c>
      <c r="B707" s="315" t="str">
        <f>IF(Model!B679=0,"",Model!B679)</f>
        <v>kW</v>
      </c>
      <c r="C707" s="324" t="e">
        <f ca="1">Model!C679</f>
        <v>#NAME?</v>
      </c>
      <c r="D707" s="324">
        <v>0</v>
      </c>
      <c r="E707" s="324">
        <v>0</v>
      </c>
      <c r="F707"/>
      <c r="G707"/>
      <c r="H707"/>
    </row>
    <row r="708" spans="1:8" s="315" customFormat="1">
      <c r="A708" s="315" t="str">
        <f>IF(Model!A680=0,"",Model!A680)</f>
        <v>Balance</v>
      </c>
      <c r="B708" s="315" t="str">
        <f>IF(Model!B680=0,"",Model!B680)</f>
        <v>kW</v>
      </c>
      <c r="C708" s="324" t="e">
        <f ca="1">Model!C680</f>
        <v>#NAME?</v>
      </c>
      <c r="D708" s="324">
        <v>364.09337335426085</v>
      </c>
      <c r="E708" s="324">
        <v>20.856700421168398</v>
      </c>
      <c r="F708"/>
      <c r="G708"/>
      <c r="H708"/>
    </row>
    <row r="709" spans="1:8">
      <c r="A709" s="315"/>
      <c r="B709" s="315"/>
      <c r="D709" s="315"/>
      <c r="E709" s="315"/>
    </row>
    <row r="710" spans="1:8" ht="21" thickBot="1">
      <c r="A710" s="447" t="str">
        <f>IF(Eco.!A1=0,"",Eco.!A1)</f>
        <v>Economics</v>
      </c>
      <c r="B710" s="376" t="str">
        <f>IF(Eco.!B1=0,"",Eco.!B1)</f>
        <v/>
      </c>
      <c r="C710" s="376" t="str">
        <f>IF(Eco.!C1=0,"",Eco.!C1)</f>
        <v/>
      </c>
      <c r="D710" s="376" t="s">
        <v>816</v>
      </c>
      <c r="E710" s="376" t="s">
        <v>816</v>
      </c>
    </row>
    <row r="711" spans="1:8" ht="19" thickTop="1" thickBot="1">
      <c r="A711" s="391" t="str">
        <f>IF(Eco.!A3=0,"",Eco.!A3)</f>
        <v>Cost Unit Rates</v>
      </c>
      <c r="B711" s="391" t="str">
        <f>IF(Eco.!B3=0,"",Eco.!B3)</f>
        <v/>
      </c>
      <c r="C711" s="391" t="str">
        <f>IF(Eco.!C3=0,"",Eco.!C3)</f>
        <v/>
      </c>
      <c r="D711" s="391" t="s">
        <v>816</v>
      </c>
      <c r="E711" s="391" t="s">
        <v>816</v>
      </c>
    </row>
    <row r="712" spans="1:8" ht="16" thickTop="1">
      <c r="A712" s="298" t="str">
        <f>IF(Eco.!A4=0,"",Eco.!A4)</f>
        <v>Gas</v>
      </c>
      <c r="B712" s="325" t="str">
        <f>IF(Eco.!B4=0,"",Eco.!B4)</f>
        <v>p/kWhr</v>
      </c>
      <c r="C712" s="127">
        <f>IF(ISBLANK(Eco.!C4),"",Eco.!C4)</f>
        <v>1.5618108795024641</v>
      </c>
      <c r="D712" s="127">
        <v>1.5618108795024641</v>
      </c>
      <c r="E712" s="127">
        <v>1.5618108795024641</v>
      </c>
    </row>
    <row r="713" spans="1:8">
      <c r="A713" s="298" t="str">
        <f>IF(Eco.!A5=0,"",Eco.!A5)</f>
        <v>Raw Water</v>
      </c>
      <c r="B713" s="325" t="str">
        <f>IF(Eco.!B5=0,"",Eco.!B5)</f>
        <v>£/ton</v>
      </c>
      <c r="C713" s="127">
        <f>IF(ISBLANK(Eco.!C5),"",Eco.!C5)</f>
        <v>0.26</v>
      </c>
      <c r="D713" s="127">
        <v>0.26</v>
      </c>
      <c r="E713" s="127">
        <v>0.26</v>
      </c>
    </row>
    <row r="714" spans="1:8">
      <c r="A714" s="298" t="str">
        <f>IF(Eco.!A6=0,"",Eco.!A6)</f>
        <v>Total Steam Produced</v>
      </c>
      <c r="B714" s="325" t="str">
        <f>IF(Eco.!B6=0,"",Eco.!B6)</f>
        <v>t/h</v>
      </c>
      <c r="C714" s="127" t="e">
        <f ca="1">IF(ISBLANK(Eco.!C6),"",Eco.!C6)</f>
        <v>#NAME?</v>
      </c>
      <c r="D714" s="127">
        <v>39.020830816825161</v>
      </c>
      <c r="E714" s="127">
        <v>56.913772816494294</v>
      </c>
    </row>
    <row r="715" spans="1:8">
      <c r="A715" s="298" t="str">
        <f>IF(Eco.!A7=0,"",Eco.!A7)</f>
        <v>CR, Lenzing</v>
      </c>
      <c r="B715" s="298" t="str">
        <f>IF(Eco.!B7=0,"",Eco.!B7)</f>
        <v>£/ton</v>
      </c>
      <c r="C715" s="127">
        <f>IF(ISBLANK(Eco.!C7),"",Eco.!C7)</f>
        <v>1.7733658198141931</v>
      </c>
      <c r="D715" s="127">
        <v>1.7733658198141931</v>
      </c>
      <c r="E715" s="127">
        <v>1.7733658198141931</v>
      </c>
    </row>
    <row r="716" spans="1:8">
      <c r="A716" s="298" t="str">
        <f>IF(Eco.!A8=0,"",Eco.!A8)</f>
        <v>CR, Bluestar</v>
      </c>
      <c r="B716" s="298" t="str">
        <f>IF(Eco.!B8=0,"",Eco.!B8)</f>
        <v>£/ton</v>
      </c>
      <c r="C716" s="127">
        <f>IF(ISBLANK(Eco.!C8),"",Eco.!C8)</f>
        <v>1.6724747651599134</v>
      </c>
      <c r="D716" s="127">
        <v>1.6724747651599134</v>
      </c>
      <c r="E716" s="127">
        <v>1.6724747651599134</v>
      </c>
    </row>
    <row r="717" spans="1:8">
      <c r="A717" s="298" t="str">
        <f>IF(Eco.!A9=0,"",Eco.!A9)</f>
        <v>CR, TAL</v>
      </c>
      <c r="B717" s="298" t="str">
        <f>IF(Eco.!B9=0,"",Eco.!B9)</f>
        <v>£/ton</v>
      </c>
      <c r="C717" s="127">
        <f>IF(ISBLANK(Eco.!C9),"",Eco.!C9)</f>
        <v>1.6724747651599134</v>
      </c>
      <c r="D717" s="127">
        <v>1.6724747651599134</v>
      </c>
      <c r="E717" s="127">
        <v>1.6724747651599134</v>
      </c>
    </row>
    <row r="718" spans="1:8">
      <c r="A718" s="298" t="str">
        <f>IF(Eco.!A10=0,"",Eco.!A10)</f>
        <v>Gas Turbine 2 On</v>
      </c>
      <c r="B718" s="325" t="str">
        <f>IF(Eco.!B10=0,"",Eco.!B10)</f>
        <v>bin.</v>
      </c>
      <c r="C718" s="127">
        <f>IF(ISBLANK(Eco.!C10),"",Eco.!C10)</f>
        <v>1</v>
      </c>
      <c r="D718" s="127">
        <v>0</v>
      </c>
      <c r="E718" s="127">
        <v>1</v>
      </c>
    </row>
    <row r="719" spans="1:8">
      <c r="A719" s="298" t="str">
        <f>IF(Eco.!A11=0,"",Eco.!A11)</f>
        <v>Gas Engine Maintenance</v>
      </c>
      <c r="B719" s="298" t="str">
        <f>IF(Eco.!B11=0,"",Eco.!B11)</f>
        <v>p/kWh</v>
      </c>
      <c r="C719" s="127">
        <f>IF(ISBLANK(Eco.!C11),"",Eco.!C11)</f>
        <v>0.8</v>
      </c>
      <c r="D719" s="127">
        <v>0.8</v>
      </c>
      <c r="E719" s="127">
        <v>0.8</v>
      </c>
    </row>
    <row r="720" spans="1:8">
      <c r="A720" s="298" t="str">
        <f>IF(Eco.!A12=0,"",Eco.!A12)</f>
        <v>Power Import</v>
      </c>
      <c r="B720" s="298" t="str">
        <f>IF(Eco.!B12=0,"",Eco.!B12)</f>
        <v>p/kWh</v>
      </c>
      <c r="C720" s="127">
        <f>IF(ISBLANK(Eco.!C12),"",Eco.!C12)</f>
        <v>7.9532803645401815</v>
      </c>
      <c r="D720" s="127">
        <v>7.9532803645401815</v>
      </c>
      <c r="E720" s="127">
        <v>7.9532803645401815</v>
      </c>
    </row>
    <row r="721" spans="1:5" ht="18" thickBot="1">
      <c r="A721" s="391" t="str">
        <f>IF(Eco.!A14=0,"",Eco.!A14)</f>
        <v>Revenue Unit Rates</v>
      </c>
      <c r="B721" s="391" t="str">
        <f>IF(Eco.!B14=0,"",Eco.!B14)</f>
        <v/>
      </c>
      <c r="C721" s="391" t="str">
        <f>IF(Eco.!C14=0,"",Eco.!C14)</f>
        <v/>
      </c>
      <c r="D721" s="391" t="s">
        <v>816</v>
      </c>
      <c r="E721" s="391" t="s">
        <v>816</v>
      </c>
    </row>
    <row r="722" spans="1:5" ht="16" thickTop="1">
      <c r="A722" s="325" t="str">
        <f>IF(Eco.!A15=0,"",Eco.!A15)</f>
        <v>MP Steam, Lenzing</v>
      </c>
      <c r="B722" s="298" t="str">
        <f>IF(Eco.!B15=0,"",Eco.!B15)</f>
        <v>£/ton</v>
      </c>
      <c r="C722" s="340">
        <f>IF(ISBLANK(Eco.!C15),"",Eco.!C15)</f>
        <v>16.482368405422889</v>
      </c>
      <c r="D722" s="340">
        <v>16.482368405422889</v>
      </c>
      <c r="E722" s="340">
        <v>16.482368405422889</v>
      </c>
    </row>
    <row r="723" spans="1:5">
      <c r="A723" s="298" t="str">
        <f>IF(Eco.!A16=0,"",Eco.!A16)</f>
        <v>LP Steam, Lenzing</v>
      </c>
      <c r="B723" s="298" t="str">
        <f>IF(Eco.!B16=0,"",Eco.!B16)</f>
        <v>£/ton</v>
      </c>
      <c r="C723" s="340">
        <f>IF(ISBLANK(Eco.!C16),"",Eco.!C16)</f>
        <v>15.884403412109871</v>
      </c>
      <c r="D723" s="340">
        <v>15.884403412109871</v>
      </c>
      <c r="E723" s="340">
        <v>15.884403412109871</v>
      </c>
    </row>
    <row r="724" spans="1:5">
      <c r="A724" s="325" t="str">
        <f>IF(Eco.!A17=0,"",Eco.!A17)</f>
        <v>MP Steam, Bluestar</v>
      </c>
      <c r="B724" s="298" t="str">
        <f>IF(Eco.!B17=0,"",Eco.!B17)</f>
        <v>£/ton</v>
      </c>
      <c r="C724" s="340">
        <f>IF(ISBLANK(Eco.!C17),"",Eco.!C17)</f>
        <v>18.490917485525582</v>
      </c>
      <c r="D724" s="340">
        <v>18.490917485525582</v>
      </c>
      <c r="E724" s="340">
        <v>18.490917485525582</v>
      </c>
    </row>
    <row r="725" spans="1:5">
      <c r="A725" s="298" t="str">
        <f>IF(Eco.!A18=0,"",Eco.!A18)</f>
        <v>LP Steam, Bluestar</v>
      </c>
      <c r="B725" s="298" t="str">
        <f>IF(Eco.!B18=0,"",Eco.!B18)</f>
        <v>£/ton</v>
      </c>
      <c r="C725" s="340">
        <f>IF(ISBLANK(Eco.!C18),"",Eco.!C18)</f>
        <v>17.816290313582691</v>
      </c>
      <c r="D725" s="340">
        <v>17.816290313582691</v>
      </c>
      <c r="E725" s="340">
        <v>17.816290313582691</v>
      </c>
    </row>
    <row r="726" spans="1:5">
      <c r="A726" s="325" t="str">
        <f>IF(Eco.!A19=0,"",Eco.!A19)</f>
        <v>MP Steam, TAL</v>
      </c>
      <c r="B726" s="298" t="str">
        <f>IF(Eco.!B19=0,"",Eco.!B19)</f>
        <v>£/ton</v>
      </c>
      <c r="C726" s="340">
        <f>IF(ISBLANK(Eco.!C19),"",Eco.!C19)</f>
        <v>18.490917485525582</v>
      </c>
      <c r="D726" s="340">
        <v>18.490917485525582</v>
      </c>
      <c r="E726" s="340">
        <v>18.490917485525582</v>
      </c>
    </row>
    <row r="727" spans="1:5">
      <c r="A727" s="298" t="str">
        <f>IF(Eco.!A20=0,"",Eco.!A20)</f>
        <v>LP Steam, TAL</v>
      </c>
      <c r="B727" s="298" t="str">
        <f>IF(Eco.!B20=0,"",Eco.!B20)</f>
        <v>£/ton</v>
      </c>
      <c r="C727" s="340">
        <f>IF(ISBLANK(Eco.!C20),"",Eco.!C20)</f>
        <v>0</v>
      </c>
      <c r="D727" s="340">
        <v>0</v>
      </c>
      <c r="E727" s="340">
        <v>0</v>
      </c>
    </row>
    <row r="728" spans="1:5">
      <c r="A728" s="298" t="str">
        <f>IF(Eco.!A21=0,"",Eco.!A21)</f>
        <v>Power, Lenzing</v>
      </c>
      <c r="B728" s="298" t="str">
        <f>IF(Eco.!B21=0,"",Eco.!B21)</f>
        <v>£/MWh</v>
      </c>
      <c r="C728" s="340">
        <f>IF(ISBLANK(Eco.!C21),"",Eco.!C21)</f>
        <v>30.718153493433832</v>
      </c>
      <c r="D728" s="340">
        <v>30.718153493433832</v>
      </c>
      <c r="E728" s="340">
        <v>30.718153493433832</v>
      </c>
    </row>
    <row r="729" spans="1:5">
      <c r="A729" s="298" t="str">
        <f>IF(Eco.!A22=0,"",Eco.!A22)</f>
        <v>Power, Bluestar</v>
      </c>
      <c r="B729" s="298" t="str">
        <f>IF(Eco.!B22=0,"",Eco.!B22)</f>
        <v>£/MWh</v>
      </c>
      <c r="C729" s="340">
        <f>IF(ISBLANK(Eco.!C22),"",Eco.!C22)</f>
        <v>34.276034862837008</v>
      </c>
      <c r="D729" s="340">
        <v>34.276034862837008</v>
      </c>
      <c r="E729" s="340">
        <v>34.276034862837008</v>
      </c>
    </row>
    <row r="730" spans="1:5">
      <c r="A730" s="298" t="str">
        <f>IF(Eco.!A23=0,"",Eco.!A23)</f>
        <v>Power, TAL</v>
      </c>
      <c r="B730" s="298" t="str">
        <f>IF(Eco.!B23=0,"",Eco.!B23)</f>
        <v>£/MWh</v>
      </c>
      <c r="C730" s="340">
        <f>IF(ISBLANK(Eco.!C23),"",Eco.!C23)</f>
        <v>69.532803645401813</v>
      </c>
      <c r="D730" s="340">
        <v>69.532803645401813</v>
      </c>
      <c r="E730" s="340">
        <v>69.532803645401813</v>
      </c>
    </row>
    <row r="731" spans="1:5">
      <c r="A731" s="298" t="str">
        <f>IF(Eco.!A24=0,"",Eco.!A24)</f>
        <v>Export Power</v>
      </c>
      <c r="B731" s="298" t="str">
        <f>IF(Eco.!B24=0,"",Eco.!B24)</f>
        <v>p/kWh</v>
      </c>
      <c r="C731" s="340">
        <f>IF(ISBLANK(Eco.!C24),"",Eco.!C24)</f>
        <v>4.3551477472475444</v>
      </c>
      <c r="D731" s="340">
        <v>4.3551477472475444</v>
      </c>
      <c r="E731" s="340">
        <v>4.3551477472475444</v>
      </c>
    </row>
    <row r="732" spans="1:5" ht="18" thickBot="1">
      <c r="A732" s="391" t="str">
        <f>IF(Eco.!E3=0,"",Eco.!E3)</f>
        <v>Hourly Cost Volume</v>
      </c>
      <c r="B732" s="391" t="str">
        <f>IF(Eco.!F3=0,"",Eco.!F3)</f>
        <v/>
      </c>
      <c r="C732" s="391" t="str">
        <f>IF(Eco.!G3=0,"",Eco.!G3)</f>
        <v/>
      </c>
      <c r="D732" s="391" t="s">
        <v>816</v>
      </c>
      <c r="E732" s="391" t="s">
        <v>816</v>
      </c>
    </row>
    <row r="733" spans="1:5" ht="16" thickTop="1">
      <c r="A733" s="351" t="str">
        <f>IF(Eco.!E4=0,"",Eco.!E4)</f>
        <v>Gas</v>
      </c>
      <c r="B733" s="38" t="str">
        <f>IF(Eco.!F4=0,"",Eco.!F4)</f>
        <v>kWh</v>
      </c>
      <c r="C733" s="351" t="e">
        <f ca="1">IF(ISBLANK(Eco.!G4),"",Eco.!G4)</f>
        <v>#NAME?</v>
      </c>
      <c r="D733" s="351">
        <v>49883.657205293886</v>
      </c>
      <c r="E733" s="351">
        <v>76739.4984103803</v>
      </c>
    </row>
    <row r="734" spans="1:5">
      <c r="A734" s="351" t="str">
        <f>IF(Eco.!E5=0,"",Eco.!E5)</f>
        <v>Raw Water</v>
      </c>
      <c r="B734" s="325" t="str">
        <f>IF(Eco.!F5=0,"",Eco.!F5)</f>
        <v>t/h</v>
      </c>
      <c r="C734" s="351">
        <f>IF(ISBLANK(Eco.!G5),"",Eco.!G5)</f>
        <v>95</v>
      </c>
      <c r="D734" s="351">
        <v>95</v>
      </c>
      <c r="E734" s="351">
        <v>95</v>
      </c>
    </row>
    <row r="735" spans="1:5">
      <c r="A735" s="351" t="str">
        <f>IF(Eco.!E6=0,"",Eco.!E6)</f>
        <v>Total Steam Produced</v>
      </c>
      <c r="B735" s="298" t="str">
        <f>IF(Eco.!F6=0,"",Eco.!F6)</f>
        <v>£/ton stm</v>
      </c>
      <c r="C735" s="351">
        <f>IF(ISBLANK(Eco.!G6),"",Eco.!G6)</f>
        <v>4.0271837410016033E-2</v>
      </c>
      <c r="D735" s="351">
        <v>4.0271837410016033E-2</v>
      </c>
      <c r="E735" s="351">
        <v>4.0271837410016033E-2</v>
      </c>
    </row>
    <row r="736" spans="1:5">
      <c r="A736" s="351" t="str">
        <f>IF(Eco.!E7=0,"",Eco.!E7)</f>
        <v>CR, Lenzing</v>
      </c>
      <c r="B736" s="325" t="str">
        <f>IF(Eco.!F7=0,"",Eco.!F7)</f>
        <v>t/h</v>
      </c>
      <c r="C736" s="351">
        <f>IF(ISBLANK(Eco.!G7),"",Eco.!G7)</f>
        <v>29.44107576687502</v>
      </c>
      <c r="D736" s="351">
        <v>29.44107576687502</v>
      </c>
      <c r="E736" s="351">
        <v>29.44107576687502</v>
      </c>
    </row>
    <row r="737" spans="1:5">
      <c r="A737" s="351" t="str">
        <f>IF(Eco.!E8=0,"",Eco.!E8)</f>
        <v>CR, Bluestar</v>
      </c>
      <c r="B737" s="325" t="str">
        <f>IF(Eco.!F8=0,"",Eco.!F8)</f>
        <v>t/h</v>
      </c>
      <c r="C737" s="351">
        <f>IF(ISBLANK(Eco.!G8),"",Eco.!G8)</f>
        <v>12.95</v>
      </c>
      <c r="D737" s="351">
        <v>0</v>
      </c>
      <c r="E737" s="351">
        <v>12.95</v>
      </c>
    </row>
    <row r="738" spans="1:5">
      <c r="A738" s="351" t="str">
        <f>IF(Eco.!E9=0,"",Eco.!E9)</f>
        <v>CR, TAL</v>
      </c>
      <c r="B738" s="325" t="str">
        <f>IF(Eco.!F9=0,"",Eco.!F9)</f>
        <v>t/h</v>
      </c>
      <c r="C738" s="351">
        <f>IF(ISBLANK(Eco.!G9),"",Eco.!G9)</f>
        <v>0.46904270833333339</v>
      </c>
      <c r="D738" s="351">
        <v>0.46904270833333339</v>
      </c>
      <c r="E738" s="351">
        <v>0.46904270833333339</v>
      </c>
    </row>
    <row r="739" spans="1:5">
      <c r="A739" s="38" t="str">
        <f>IF(Eco.!E10=0,"",Eco.!E10)</f>
        <v>GT 2 Maintenance</v>
      </c>
      <c r="B739" s="325" t="str">
        <f>IF(Eco.!F10=0,"",Eco.!F10)</f>
        <v>£/hr</v>
      </c>
      <c r="C739" s="351">
        <f>IF(ISBLANK(Eco.!G10),"",Eco.!G10)</f>
        <v>24</v>
      </c>
      <c r="D739" s="351">
        <v>24</v>
      </c>
      <c r="E739" s="351">
        <v>24</v>
      </c>
    </row>
    <row r="740" spans="1:5">
      <c r="A740" s="38" t="str">
        <f>IF(Eco.!E11=0,"",Eco.!E11)</f>
        <v>Gas Engine Gross Power</v>
      </c>
      <c r="B740" s="298" t="str">
        <f>IF(Eco.!F11=0,"",Eco.!F11)</f>
        <v>kWh</v>
      </c>
      <c r="C740" s="351">
        <f ca="1">IF(ISBLANK(Eco.!G11),"",Eco.!G11)</f>
        <v>2000</v>
      </c>
      <c r="D740" s="351">
        <v>2000</v>
      </c>
      <c r="E740" s="351">
        <v>2000</v>
      </c>
    </row>
    <row r="741" spans="1:5">
      <c r="A741" s="351" t="str">
        <f>IF(Eco.!E12=0,"",Eco.!E12)</f>
        <v>Power Import</v>
      </c>
      <c r="B741" s="298" t="str">
        <f>IF(Eco.!F12=0,"",Eco.!F12)</f>
        <v>kWh</v>
      </c>
      <c r="C741" s="351">
        <f>IF(ISBLANK(Eco.!G12),"",Eco.!G12)</f>
        <v>0</v>
      </c>
      <c r="D741" s="351">
        <v>0</v>
      </c>
      <c r="E741" s="351">
        <v>0</v>
      </c>
    </row>
    <row r="742" spans="1:5" ht="18" thickBot="1">
      <c r="A742" s="391" t="str">
        <f>IF(Eco.!E14=0,"",Eco.!E14)</f>
        <v>Hourly Revenue Volumes</v>
      </c>
      <c r="B742" s="391" t="str">
        <f>IF(Eco.!F14=0,"",Eco.!F14)</f>
        <v/>
      </c>
      <c r="C742" s="391" t="str">
        <f>IF(Eco.!G14=0,"",Eco.!G14)</f>
        <v/>
      </c>
      <c r="D742" s="391" t="s">
        <v>816</v>
      </c>
      <c r="E742" s="391" t="s">
        <v>816</v>
      </c>
    </row>
    <row r="743" spans="1:5" ht="16" thickTop="1">
      <c r="A743" s="298" t="str">
        <f>IF(Eco.!E15=0,"",Eco.!E15)</f>
        <v>MP Steam, Lenzing</v>
      </c>
      <c r="B743" s="325" t="str">
        <f>IF(Eco.!F15=0,"",Eco.!F15)</f>
        <v>t/h</v>
      </c>
      <c r="C743" s="340">
        <f>IF(ISBLANK(Eco.!G15),"",Eco.!G15)</f>
        <v>14.352411416666678</v>
      </c>
      <c r="D743" s="340">
        <v>14.352411416666678</v>
      </c>
      <c r="E743" s="340">
        <v>14.352411416666678</v>
      </c>
    </row>
    <row r="744" spans="1:5">
      <c r="A744" s="298" t="str">
        <f>IF(Eco.!E16=0,"",Eco.!E16)</f>
        <v>LP Steam, Lenzing</v>
      </c>
      <c r="B744" s="325" t="str">
        <f>IF(Eco.!F16=0,"",Eco.!F16)</f>
        <v>t/h</v>
      </c>
      <c r="C744" s="340">
        <f>IF(ISBLANK(Eco.!G16),"",Eco.!G16)</f>
        <v>19.881397614583346</v>
      </c>
      <c r="D744" s="340">
        <v>19.881397614583346</v>
      </c>
      <c r="E744" s="340">
        <v>19.881397614583346</v>
      </c>
    </row>
    <row r="745" spans="1:5">
      <c r="A745" s="325" t="str">
        <f>IF(Eco.!E17=0,"",Eco.!E17)</f>
        <v>MP Steam, Bluestar</v>
      </c>
      <c r="B745" s="325" t="str">
        <f>IF(Eco.!F17=0,"",Eco.!F17)</f>
        <v>t/h</v>
      </c>
      <c r="C745" s="340">
        <f>IF(ISBLANK(Eco.!G17),"",Eco.!G17)</f>
        <v>13.5</v>
      </c>
      <c r="D745" s="340">
        <v>0</v>
      </c>
      <c r="E745" s="340">
        <v>13.5</v>
      </c>
    </row>
    <row r="746" spans="1:5">
      <c r="A746" s="298" t="str">
        <f>IF(Eco.!E18=0,"",Eco.!E18)</f>
        <v>LP Steam, Bluestar</v>
      </c>
      <c r="B746" s="325" t="str">
        <f>IF(Eco.!F18=0,"",Eco.!F18)</f>
        <v>t/h</v>
      </c>
      <c r="C746" s="340">
        <f>IF(ISBLANK(Eco.!G18),"",Eco.!G18)</f>
        <v>5</v>
      </c>
      <c r="D746" s="340">
        <v>0</v>
      </c>
      <c r="E746" s="340">
        <v>5</v>
      </c>
    </row>
    <row r="747" spans="1:5">
      <c r="A747" s="325" t="str">
        <f>IF(Eco.!E19=0,"",Eco.!E19)</f>
        <v>MP Steam, TAL</v>
      </c>
      <c r="B747" s="325" t="str">
        <f>IF(Eco.!F19=0,"",Eco.!F19)</f>
        <v>t/h</v>
      </c>
      <c r="C747" s="340">
        <f>IF(ISBLANK(Eco.!G19),"",Eco.!G19)</f>
        <v>0.72160416666666671</v>
      </c>
      <c r="D747" s="340">
        <v>0.72160416666666671</v>
      </c>
      <c r="E747" s="340">
        <v>0.72160416666666671</v>
      </c>
    </row>
    <row r="748" spans="1:5">
      <c r="A748" s="298" t="str">
        <f>IF(Eco.!E20=0,"",Eco.!E20)</f>
        <v>LP Steam, TAL</v>
      </c>
      <c r="B748" s="325" t="str">
        <f>IF(Eco.!F20=0,"",Eco.!F20)</f>
        <v>t/h</v>
      </c>
      <c r="C748" s="340">
        <f>IF(ISBLANK(Eco.!G20),"",Eco.!G20)</f>
        <v>0</v>
      </c>
      <c r="D748" s="340">
        <v>0</v>
      </c>
      <c r="E748" s="340">
        <v>0</v>
      </c>
    </row>
    <row r="749" spans="1:5">
      <c r="A749" s="298" t="str">
        <f>IF(Eco.!E21=0,"",Eco.!E21)</f>
        <v>Power, Lenzing</v>
      </c>
      <c r="B749" s="298" t="str">
        <f>IF(Eco.!F21=0,"",Eco.!F21)</f>
        <v>MWh</v>
      </c>
      <c r="C749" s="340">
        <f>IF(ISBLANK(Eco.!G21),"",Eco.!G21)</f>
        <v>7.3210433851836889</v>
      </c>
      <c r="D749" s="340">
        <v>7.3210433851836889</v>
      </c>
      <c r="E749" s="340">
        <v>7.3210433851836889</v>
      </c>
    </row>
    <row r="750" spans="1:5">
      <c r="A750" s="298" t="str">
        <f>IF(Eco.!E22=0,"",Eco.!E22)</f>
        <v>Power, Bluestar</v>
      </c>
      <c r="B750" s="298" t="str">
        <f>IF(Eco.!F22=0,"",Eco.!F22)</f>
        <v>MWh</v>
      </c>
      <c r="C750" s="340">
        <f>IF(ISBLANK(Eco.!G22),"",Eco.!G22)</f>
        <v>2.5</v>
      </c>
      <c r="D750" s="340">
        <v>0</v>
      </c>
      <c r="E750" s="340">
        <v>2.5</v>
      </c>
    </row>
    <row r="751" spans="1:5">
      <c r="A751" s="298" t="str">
        <f>IF(Eco.!E23=0,"",Eco.!E23)</f>
        <v>Power, TAL</v>
      </c>
      <c r="B751" s="298" t="str">
        <f>IF(Eco.!F23=0,"",Eco.!F23)</f>
        <v>MWh</v>
      </c>
      <c r="C751" s="340">
        <f>IF(ISBLANK(Eco.!G23),"",Eco.!G23)</f>
        <v>1.45684472851427</v>
      </c>
      <c r="D751" s="340">
        <v>1.45684472851427</v>
      </c>
      <c r="E751" s="340">
        <v>1.45684472851427</v>
      </c>
    </row>
    <row r="752" spans="1:5">
      <c r="A752" s="38" t="str">
        <f>IF(Eco.!E24=0,"",Eco.!E24)</f>
        <v>Export Power</v>
      </c>
      <c r="B752" s="298" t="str">
        <f>IF(Eco.!F24=0,"",Eco.!F24)</f>
        <v>kWh</v>
      </c>
      <c r="C752" s="340">
        <f>IF(ISBLANK(Eco.!G24),"",Eco.!G24)</f>
        <v>4123.7348999999995</v>
      </c>
      <c r="D752" s="340">
        <v>750.99042000000009</v>
      </c>
      <c r="E752" s="340">
        <v>4123.7348999999995</v>
      </c>
    </row>
    <row r="753" spans="1:5" ht="18" thickBot="1">
      <c r="A753" s="391" t="str">
        <f>IF(Eco.!I3=0,"",Eco.!I3)</f>
        <v>Hourly Costs</v>
      </c>
      <c r="B753" s="448" t="str">
        <f>IF(Eco.!J3=0,"",Eco.!J3)</f>
        <v/>
      </c>
      <c r="C753" s="448" t="str">
        <f>IF(Eco.!K3=0,"",Eco.!K3)</f>
        <v/>
      </c>
      <c r="D753" s="448" t="s">
        <v>816</v>
      </c>
      <c r="E753" s="448" t="s">
        <v>816</v>
      </c>
    </row>
    <row r="754" spans="1:5" ht="16" thickTop="1">
      <c r="A754" s="351" t="str">
        <f>IF(Eco.!I4=0,"",Eco.!I4)</f>
        <v>Gas</v>
      </c>
      <c r="B754" s="351" t="str">
        <f>IF(Eco.!J4=0,"",Eco.!J4)</f>
        <v>£</v>
      </c>
      <c r="C754" s="357" t="e">
        <f ca="1">IF(ISBLANK(Eco.!K4),"",Eco.!K4)</f>
        <v>#NAME?</v>
      </c>
      <c r="D754" s="357">
        <v>779.08838532599475</v>
      </c>
      <c r="E754" s="357">
        <v>1198.5258350489401</v>
      </c>
    </row>
    <row r="755" spans="1:5">
      <c r="A755" s="351" t="str">
        <f>IF(Eco.!I5=0,"",Eco.!I5)</f>
        <v>Raw Water</v>
      </c>
      <c r="B755" s="325" t="str">
        <f>IF(Eco.!J5=0,"",Eco.!J5)</f>
        <v>£</v>
      </c>
      <c r="C755" s="357">
        <f>IF(ISBLANK(Eco.!K5),"",Eco.!K5)</f>
        <v>24.7</v>
      </c>
      <c r="D755" s="357">
        <v>24.7</v>
      </c>
      <c r="E755" s="357">
        <v>24.7</v>
      </c>
    </row>
    <row r="756" spans="1:5">
      <c r="A756" s="38" t="str">
        <f>IF(Eco.!I6=0,"",Eco.!I6)</f>
        <v>BFW Chemical</v>
      </c>
      <c r="B756" s="325" t="str">
        <f>IF(Eco.!J6=0,"",Eco.!J6)</f>
        <v>£</v>
      </c>
      <c r="C756" s="357" t="e">
        <f ca="1">IF(ISBLANK(Eco.!K6),"",Eco.!K6)</f>
        <v>#NAME?</v>
      </c>
      <c r="D756" s="357">
        <v>1.571440554258926</v>
      </c>
      <c r="E756" s="357">
        <v>2.2920222052564485</v>
      </c>
    </row>
    <row r="757" spans="1:5">
      <c r="A757" s="351" t="str">
        <f>IF(Eco.!I7=0,"",Eco.!I7)</f>
        <v>CR, Lenzing</v>
      </c>
      <c r="B757" s="325" t="str">
        <f>IF(Eco.!J7=0,"",Eco.!J7)</f>
        <v>£</v>
      </c>
      <c r="C757" s="357">
        <f>IF(ISBLANK(Eco.!K7),"",Eco.!K7)</f>
        <v>52.209797463536091</v>
      </c>
      <c r="D757" s="357">
        <v>52.209797463536091</v>
      </c>
      <c r="E757" s="357">
        <v>52.209797463536091</v>
      </c>
    </row>
    <row r="758" spans="1:5">
      <c r="A758" s="351" t="str">
        <f>IF(Eco.!I8=0,"",Eco.!I8)</f>
        <v>CR, Bluestar</v>
      </c>
      <c r="B758" s="325" t="str">
        <f>IF(Eco.!J8=0,"",Eco.!J8)</f>
        <v>£</v>
      </c>
      <c r="C758" s="357">
        <f>IF(ISBLANK(Eco.!K8),"",Eco.!K8)</f>
        <v>21.658548208820879</v>
      </c>
      <c r="D758" s="357">
        <v>0</v>
      </c>
      <c r="E758" s="357">
        <v>21.658548208820879</v>
      </c>
    </row>
    <row r="759" spans="1:5">
      <c r="A759" s="351" t="str">
        <f>IF(Eco.!I9=0,"",Eco.!I9)</f>
        <v>CR, TAL</v>
      </c>
      <c r="B759" s="325" t="str">
        <f>IF(Eco.!J9=0,"",Eco.!J9)</f>
        <v>£</v>
      </c>
      <c r="C759" s="357">
        <f>IF(ISBLANK(Eco.!K9),"",Eco.!K9)</f>
        <v>0.78446209346976159</v>
      </c>
      <c r="D759" s="357">
        <v>0.78446209346976159</v>
      </c>
      <c r="E759" s="357">
        <v>0.78446209346976159</v>
      </c>
    </row>
    <row r="760" spans="1:5">
      <c r="A760" s="351" t="str">
        <f>IF(Eco.!I10=0,"",Eco.!I10)</f>
        <v>GT 2 Maintenance</v>
      </c>
      <c r="B760" s="298" t="str">
        <f>IF(Eco.!J10=0,"",Eco.!J10)</f>
        <v>£</v>
      </c>
      <c r="C760" s="357">
        <f>IF(ISBLANK(Eco.!K10),"",Eco.!K10)</f>
        <v>24</v>
      </c>
      <c r="D760" s="357">
        <v>0</v>
      </c>
      <c r="E760" s="357">
        <v>24</v>
      </c>
    </row>
    <row r="761" spans="1:5">
      <c r="A761" s="38" t="str">
        <f>IF(Eco.!I11=0,"",Eco.!I11)</f>
        <v>Gas Engine Maintenance</v>
      </c>
      <c r="B761" s="298" t="str">
        <f>IF(Eco.!J11=0,"",Eco.!J11)</f>
        <v>£</v>
      </c>
      <c r="C761" s="357">
        <f ca="1">IF(ISBLANK(Eco.!K11),"",Eco.!K11)</f>
        <v>16</v>
      </c>
      <c r="D761" s="357">
        <v>16</v>
      </c>
      <c r="E761" s="357">
        <v>16</v>
      </c>
    </row>
    <row r="762" spans="1:5">
      <c r="A762" s="351" t="str">
        <f>IF(Eco.!I12=0,"",Eco.!I12)</f>
        <v>Power Import</v>
      </c>
      <c r="B762" s="325" t="str">
        <f>IF(Eco.!J12=0,"",Eco.!J12)</f>
        <v>£</v>
      </c>
      <c r="C762" s="357">
        <f>IF(ISBLANK(Eco.!K12),"",Eco.!K12)</f>
        <v>0</v>
      </c>
      <c r="D762" s="357">
        <v>0</v>
      </c>
      <c r="E762" s="357">
        <v>0</v>
      </c>
    </row>
    <row r="763" spans="1:5">
      <c r="A763" s="351" t="str">
        <f>IF(Eco.!I13=0,"",Eco.!I13)</f>
        <v>Hourly Costs</v>
      </c>
      <c r="B763" s="351" t="str">
        <f>IF(Eco.!J13=0,"",Eco.!J13)</f>
        <v>£</v>
      </c>
      <c r="C763" s="357" t="e">
        <f ca="1">IF(ISBLANK(Eco.!K13),"",Eco.!K13)</f>
        <v>#NAME?</v>
      </c>
      <c r="D763" s="357">
        <v>874.35408543725964</v>
      </c>
      <c r="E763" s="357">
        <v>1340.1706650200231</v>
      </c>
    </row>
    <row r="764" spans="1:5" ht="18" thickBot="1">
      <c r="A764" s="391" t="str">
        <f>IF(Eco.!I14=0,"",Eco.!I14)</f>
        <v>Hourly Revenues</v>
      </c>
      <c r="B764" s="448" t="str">
        <f>IF(Eco.!J14=0,"",Eco.!J14)</f>
        <v/>
      </c>
      <c r="C764" s="448" t="str">
        <f>IF(Eco.!K14=0,"",Eco.!K14)</f>
        <v/>
      </c>
      <c r="D764" s="448" t="s">
        <v>816</v>
      </c>
      <c r="E764" s="448" t="s">
        <v>816</v>
      </c>
    </row>
    <row r="765" spans="1:5" ht="16" thickTop="1">
      <c r="A765" s="351" t="str">
        <f>IF(Eco.!I15=0,"",Eco.!I15)</f>
        <v>MP Steam, Lenzing</v>
      </c>
      <c r="B765" s="325" t="str">
        <f>IF(Eco.!J15=0,"",Eco.!J15)</f>
        <v>£</v>
      </c>
      <c r="C765" s="357">
        <f>IF(ISBLANK(Eco.!K15),"",Eco.!K15)</f>
        <v>236.56173247569762</v>
      </c>
      <c r="D765" s="357">
        <v>236.56173247569762</v>
      </c>
      <c r="E765" s="357">
        <v>236.56173247569762</v>
      </c>
    </row>
    <row r="766" spans="1:5">
      <c r="A766" s="351" t="str">
        <f>IF(Eco.!I16=0,"",Eco.!I16)</f>
        <v>LP Steam, Lenzing</v>
      </c>
      <c r="B766" s="325" t="str">
        <f>IF(Eco.!J16=0,"",Eco.!J16)</f>
        <v>£</v>
      </c>
      <c r="C766" s="357">
        <f>IF(ISBLANK(Eco.!K16),"",Eco.!K16)</f>
        <v>315.80414010660076</v>
      </c>
      <c r="D766" s="357">
        <v>315.80414010660076</v>
      </c>
      <c r="E766" s="357">
        <v>315.80414010660076</v>
      </c>
    </row>
    <row r="767" spans="1:5">
      <c r="A767" s="351" t="str">
        <f>IF(Eco.!I17=0,"",Eco.!I17)</f>
        <v>MP Steam, Bluestar</v>
      </c>
      <c r="B767" s="325" t="str">
        <f>IF(Eco.!J17=0,"",Eco.!J17)</f>
        <v>£</v>
      </c>
      <c r="C767" s="357">
        <f>IF(ISBLANK(Eco.!K17),"",Eco.!K17)</f>
        <v>249.62738605459535</v>
      </c>
      <c r="D767" s="357">
        <v>0</v>
      </c>
      <c r="E767" s="357">
        <v>249.62738605459535</v>
      </c>
    </row>
    <row r="768" spans="1:5">
      <c r="A768" s="351" t="str">
        <f>IF(Eco.!I18=0,"",Eco.!I18)</f>
        <v>LP Steam, Bluestar</v>
      </c>
      <c r="B768" s="325" t="str">
        <f>IF(Eco.!J18=0,"",Eco.!J18)</f>
        <v>£</v>
      </c>
      <c r="C768" s="357">
        <f>IF(ISBLANK(Eco.!K18),"",Eco.!K18)</f>
        <v>89.081451567913462</v>
      </c>
      <c r="D768" s="357">
        <v>0</v>
      </c>
      <c r="E768" s="357">
        <v>89.081451567913462</v>
      </c>
    </row>
    <row r="769" spans="1:5">
      <c r="A769" s="351" t="str">
        <f>IF(Eco.!I19=0,"",Eco.!I19)</f>
        <v>MP Steam, TAL</v>
      </c>
      <c r="B769" s="325" t="str">
        <f>IF(Eco.!J19=0,"",Eco.!J19)</f>
        <v>£</v>
      </c>
      <c r="C769" s="357">
        <f>IF(ISBLANK(Eco.!K19),"",Eco.!K19)</f>
        <v>13.343123103044784</v>
      </c>
      <c r="D769" s="357">
        <v>13.343123103044784</v>
      </c>
      <c r="E769" s="357">
        <v>13.343123103044784</v>
      </c>
    </row>
    <row r="770" spans="1:5">
      <c r="A770" s="351" t="str">
        <f>IF(Eco.!I20=0,"",Eco.!I20)</f>
        <v>LP Steam, TAL</v>
      </c>
      <c r="B770" s="325" t="str">
        <f>IF(Eco.!J20=0,"",Eco.!J20)</f>
        <v>£</v>
      </c>
      <c r="C770" s="357">
        <f>IF(ISBLANK(Eco.!K20),"",Eco.!K20)</f>
        <v>0</v>
      </c>
      <c r="D770" s="357">
        <v>0</v>
      </c>
      <c r="E770" s="357">
        <v>0</v>
      </c>
    </row>
    <row r="771" spans="1:5">
      <c r="A771" s="351" t="str">
        <f>IF(Eco.!I21=0,"",Eco.!I21)</f>
        <v>Power, Lenzing</v>
      </c>
      <c r="B771" s="325" t="str">
        <f>IF(Eco.!J21=0,"",Eco.!J21)</f>
        <v>£</v>
      </c>
      <c r="C771" s="357">
        <f>IF(ISBLANK(Eco.!K21),"",Eco.!K21)</f>
        <v>224.88893443816099</v>
      </c>
      <c r="D771" s="357">
        <v>224.88893443816099</v>
      </c>
      <c r="E771" s="357">
        <v>224.88893443816099</v>
      </c>
    </row>
    <row r="772" spans="1:5">
      <c r="A772" s="351" t="str">
        <f>IF(Eco.!I22=0,"",Eco.!I22)</f>
        <v>Power, Bluestar</v>
      </c>
      <c r="B772" s="325" t="str">
        <f>IF(Eco.!J22=0,"",Eco.!J22)</f>
        <v>£</v>
      </c>
      <c r="C772" s="357">
        <f>IF(ISBLANK(Eco.!K22),"",Eco.!K22)</f>
        <v>85.69008715709252</v>
      </c>
      <c r="D772" s="357">
        <v>0</v>
      </c>
      <c r="E772" s="357">
        <v>85.69008715709252</v>
      </c>
    </row>
    <row r="773" spans="1:5">
      <c r="A773" s="351" t="str">
        <f>IF(Eco.!I23=0,"",Eco.!I23)</f>
        <v>Power, TAL</v>
      </c>
      <c r="B773" s="325" t="str">
        <f>IF(Eco.!J23=0,"",Eco.!J23)</f>
        <v>£</v>
      </c>
      <c r="C773" s="357">
        <f>IF(ISBLANK(Eco.!K23),"",Eco.!K23)</f>
        <v>101.29849844962145</v>
      </c>
      <c r="D773" s="357">
        <v>101.29849844962145</v>
      </c>
      <c r="E773" s="357">
        <v>101.29849844962145</v>
      </c>
    </row>
    <row r="774" spans="1:5">
      <c r="A774" s="351" t="str">
        <f>IF(Eco.!I24=0,"",Eco.!I24)</f>
        <v>Export Power</v>
      </c>
      <c r="B774" s="325" t="str">
        <f>IF(Eco.!J24=0,"",Eco.!J24)</f>
        <v>£</v>
      </c>
      <c r="C774" s="357">
        <f>IF(ISBLANK(Eco.!K24),"",Eco.!K24)</f>
        <v>179.59474759981077</v>
      </c>
      <c r="D774" s="357">
        <v>32.706742358674873</v>
      </c>
      <c r="E774" s="357">
        <v>179.59474759981077</v>
      </c>
    </row>
    <row r="775" spans="1:5">
      <c r="A775" s="325" t="str">
        <f>IF(Eco.!I25=0,"",Eco.!I25)</f>
        <v>Hourly Revenues</v>
      </c>
      <c r="B775" s="325" t="str">
        <f>IF(Eco.!J25=0,"",Eco.!J25)</f>
        <v>£</v>
      </c>
      <c r="C775" s="357">
        <f>IF(ISBLANK(Eco.!K25),"",Eco.!K25)</f>
        <v>1495.8901009525378</v>
      </c>
      <c r="D775" s="357">
        <v>924.60317093180049</v>
      </c>
      <c r="E775" s="357">
        <v>1495.8901009525378</v>
      </c>
    </row>
    <row r="776" spans="1:5">
      <c r="A776" s="325" t="str">
        <f>IF(Eco.!I26=0,"",Eco.!I26)</f>
        <v>Hourly Margin</v>
      </c>
      <c r="B776" s="325" t="str">
        <f>IF(Eco.!J26=0,"",Eco.!J26)</f>
        <v>£</v>
      </c>
      <c r="C776" s="357" t="e">
        <f ca="1">IF(ISBLANK(Eco.!K26),"",Eco.!K26)</f>
        <v>#NAME?</v>
      </c>
      <c r="D776" s="357">
        <v>50.24908549454085</v>
      </c>
      <c r="E776" s="357">
        <v>155.71943593251467</v>
      </c>
    </row>
    <row r="777" spans="1:5">
      <c r="A777" s="325" t="str">
        <f>IF(Eco.!I27=0,"",Eco.!I27)</f>
        <v>Hourly Site Maintenance</v>
      </c>
      <c r="B777" s="325" t="str">
        <f>IF(Eco.!J27=0,"",Eco.!J27)</f>
        <v>£</v>
      </c>
      <c r="C777" s="357">
        <f ca="1">IF(ISBLANK(Eco.!K27),"",Eco.!K27)</f>
        <v>40</v>
      </c>
      <c r="D777" s="357">
        <v>16</v>
      </c>
      <c r="E777" s="357">
        <v>40</v>
      </c>
    </row>
    <row r="778" spans="1:5">
      <c r="A778" s="325" t="str">
        <f>IF(Eco.!I28=0,"",Eco.!I28)</f>
        <v>Hourly Site Energy Margin</v>
      </c>
      <c r="B778" s="325" t="str">
        <f>IF(Eco.!J28=0,"",Eco.!J28)</f>
        <v>£</v>
      </c>
      <c r="C778" s="476" t="e">
        <f ca="1">IF(ISBLANK(Eco.!K28),"",Eco.!K28)</f>
        <v>#NAME?</v>
      </c>
      <c r="D778" s="476">
        <v>66.24908549454085</v>
      </c>
      <c r="E778" s="476">
        <v>195.71943593251467</v>
      </c>
    </row>
    <row r="779" spans="1:5" ht="21" thickBot="1">
      <c r="A779" s="447" t="s">
        <v>404</v>
      </c>
      <c r="B779" s="447"/>
      <c r="C779" s="447"/>
      <c r="D779" s="481"/>
      <c r="E779" s="481"/>
    </row>
    <row r="780" spans="1:5" ht="16" thickTop="1">
      <c r="A780" t="str">
        <f>PFD!C40</f>
        <v>EHP 1 steam gen.</v>
      </c>
      <c r="B780" s="315" t="str">
        <f>PFD!D40</f>
        <v>t/h</v>
      </c>
      <c r="C780" s="450">
        <f>PFD!G40</f>
        <v>0</v>
      </c>
      <c r="D780" s="450">
        <v>0</v>
      </c>
      <c r="E780" s="450">
        <v>0</v>
      </c>
    </row>
    <row r="781" spans="1:5">
      <c r="A781" s="315" t="str">
        <f>PFD!C41</f>
        <v>EHP 2 steam gen.</v>
      </c>
      <c r="B781" s="315" t="str">
        <f>PFD!D41</f>
        <v>t/h</v>
      </c>
      <c r="C781" s="450">
        <f>PFD!G41</f>
        <v>0</v>
      </c>
      <c r="D781" s="450">
        <v>0</v>
      </c>
      <c r="E781" s="450">
        <v>0</v>
      </c>
    </row>
    <row r="782" spans="1:5">
      <c r="A782" s="315" t="str">
        <f>PFD!C42</f>
        <v>EHP 3 steam gen.</v>
      </c>
      <c r="B782" s="315" t="str">
        <f>PFD!D42</f>
        <v>t/h</v>
      </c>
      <c r="C782" s="450">
        <f>PFD!G42</f>
        <v>0</v>
      </c>
      <c r="D782" s="450">
        <v>0</v>
      </c>
      <c r="E782" s="450">
        <v>0</v>
      </c>
    </row>
    <row r="783" spans="1:5">
      <c r="A783" s="315" t="str">
        <f>PFD!C43</f>
        <v>GT1 fire rate</v>
      </c>
      <c r="B783" s="315" t="str">
        <f>PFD!D43</f>
        <v>%</v>
      </c>
      <c r="C783" s="450">
        <f>PFD!G43</f>
        <v>100</v>
      </c>
      <c r="D783" s="450">
        <v>100</v>
      </c>
      <c r="E783" s="450">
        <v>100</v>
      </c>
    </row>
    <row r="784" spans="1:5">
      <c r="A784" s="315" t="str">
        <f>PFD!C44</f>
        <v>GT2 fire rate</v>
      </c>
      <c r="B784" s="315" t="str">
        <f>PFD!D44</f>
        <v>%</v>
      </c>
      <c r="C784" s="450">
        <f>PFD!G44</f>
        <v>100</v>
      </c>
      <c r="D784" s="450">
        <v>0</v>
      </c>
      <c r="E784" s="450">
        <v>100</v>
      </c>
    </row>
    <row r="785" spans="1:8">
      <c r="A785" s="315" t="str">
        <f>PFD!C45</f>
        <v>WHB-1 supp. firing.</v>
      </c>
      <c r="B785" s="315" t="str">
        <f>PFD!D45</f>
        <v>t/h</v>
      </c>
      <c r="C785" s="450">
        <f>PFD!G45</f>
        <v>20.162507000000002</v>
      </c>
      <c r="D785" s="450">
        <v>16.940429000000002</v>
      </c>
      <c r="E785" s="450">
        <v>20.162507000000002</v>
      </c>
    </row>
    <row r="786" spans="1:8">
      <c r="A786" s="315" t="str">
        <f>PFD!C46</f>
        <v>WHB-2 supp. firing.</v>
      </c>
      <c r="B786" s="315" t="str">
        <f>PFD!D46</f>
        <v>t/h</v>
      </c>
      <c r="C786" s="450">
        <f>PFD!G46</f>
        <v>0</v>
      </c>
      <c r="D786" s="450">
        <v>0</v>
      </c>
      <c r="E786" s="450">
        <v>0</v>
      </c>
    </row>
    <row r="787" spans="1:8" s="315" customFormat="1">
      <c r="A787" s="315" t="str">
        <f>PFD!C47</f>
        <v>Aux. boiler steam</v>
      </c>
      <c r="B787" s="315" t="str">
        <f>PFD!D47</f>
        <v>t/h</v>
      </c>
      <c r="C787" s="450">
        <f>PFD!G47</f>
        <v>0</v>
      </c>
      <c r="D787" s="450">
        <v>0</v>
      </c>
      <c r="E787" s="450">
        <v>0</v>
      </c>
      <c r="F787"/>
      <c r="G787"/>
      <c r="H787"/>
    </row>
    <row r="788" spans="1:8">
      <c r="A788" s="315" t="str">
        <f>PFD!C48</f>
        <v>MP-1 steam gen.</v>
      </c>
      <c r="B788" s="315" t="str">
        <f>PFD!D48</f>
        <v>t/h</v>
      </c>
      <c r="C788" s="450">
        <f>PFD!G48</f>
        <v>5.8800515000000004</v>
      </c>
      <c r="D788" s="450">
        <v>4</v>
      </c>
      <c r="E788" s="450">
        <v>5.8800515000000004</v>
      </c>
    </row>
    <row r="789" spans="1:8">
      <c r="A789" s="315" t="str">
        <f>PFD!C49</f>
        <v>MP-2 steam gen</v>
      </c>
      <c r="B789" s="315" t="str">
        <f>PFD!D49</f>
        <v>t/h</v>
      </c>
      <c r="C789" s="450">
        <f>PFD!G49</f>
        <v>4</v>
      </c>
      <c r="D789" s="450">
        <v>4</v>
      </c>
      <c r="E789" s="450">
        <v>4</v>
      </c>
    </row>
    <row r="790" spans="1:8">
      <c r="A790" s="315" t="str">
        <f>PFD!C50</f>
        <v>ST2 HP inlet flow</v>
      </c>
      <c r="B790" s="315" t="str">
        <f>PFD!D50</f>
        <v>t/h</v>
      </c>
      <c r="C790" s="450">
        <f>PFD!G50</f>
        <v>0</v>
      </c>
      <c r="D790" s="450">
        <v>0</v>
      </c>
      <c r="E790" s="450">
        <v>0</v>
      </c>
    </row>
    <row r="791" spans="1:8">
      <c r="A791" s="315" t="str">
        <f>PFD!C51</f>
        <v>ST2 LP extract. flow</v>
      </c>
      <c r="B791" s="315" t="str">
        <f>PFD!D51</f>
        <v>t/h</v>
      </c>
      <c r="C791" s="450">
        <f>PFD!G51</f>
        <v>0</v>
      </c>
      <c r="D791" s="450">
        <v>0</v>
      </c>
      <c r="E791" s="450">
        <v>0</v>
      </c>
    </row>
    <row r="792" spans="1:8">
      <c r="A792" s="315" t="str">
        <f>PFD!C52</f>
        <v>ST5 EHP inlet flow</v>
      </c>
      <c r="B792" s="315" t="str">
        <f>PFD!D52</f>
        <v>t/h</v>
      </c>
      <c r="C792" s="450">
        <f>PFD!G52</f>
        <v>0</v>
      </c>
      <c r="D792" s="450">
        <v>0</v>
      </c>
      <c r="E792" s="450">
        <v>0</v>
      </c>
    </row>
    <row r="793" spans="1:8">
      <c r="A793" s="315" t="str">
        <f>PFD!C53</f>
        <v>ST5 MP extract. flow</v>
      </c>
      <c r="B793" s="315" t="str">
        <f>PFD!D53</f>
        <v>t/h</v>
      </c>
      <c r="C793" s="450">
        <f>PFD!G53</f>
        <v>0</v>
      </c>
      <c r="D793" s="450">
        <v>0</v>
      </c>
      <c r="E793" s="450">
        <v>0</v>
      </c>
    </row>
    <row r="794" spans="1:8">
      <c r="A794" s="315" t="str">
        <f>PFD!C54</f>
        <v>ST6 HP inlet flow</v>
      </c>
      <c r="B794" s="315" t="str">
        <f>PFD!D54</f>
        <v>t/h</v>
      </c>
      <c r="C794" s="450">
        <f>PFD!G54</f>
        <v>0</v>
      </c>
      <c r="D794" s="450">
        <v>0</v>
      </c>
      <c r="E794" s="450">
        <v>0</v>
      </c>
    </row>
    <row r="795" spans="1:8">
      <c r="A795" s="315" t="str">
        <f>PFD!C55</f>
        <v>ST7 HP inlet flow</v>
      </c>
      <c r="B795" s="315" t="str">
        <f>PFD!D55</f>
        <v>t/h</v>
      </c>
      <c r="C795" s="450">
        <f>PFD!G55</f>
        <v>0</v>
      </c>
      <c r="D795" s="450">
        <v>0</v>
      </c>
      <c r="E795" s="450">
        <v>0</v>
      </c>
    </row>
    <row r="796" spans="1:8">
      <c r="A796" s="315" t="str">
        <f>PFD!C56</f>
        <v>ST5 HP inlet flow</v>
      </c>
      <c r="B796" s="315" t="str">
        <f>PFD!D56</f>
        <v>t/h</v>
      </c>
      <c r="C796" s="450">
        <f>PFD!G56</f>
        <v>22</v>
      </c>
      <c r="D796" s="450">
        <v>21.721971</v>
      </c>
      <c r="E796" s="450">
        <v>22</v>
      </c>
    </row>
    <row r="797" spans="1:8">
      <c r="A797" s="315" t="str">
        <f>PFD!C57</f>
        <v>GE Load</v>
      </c>
      <c r="B797" s="315" t="str">
        <f>PFD!D57</f>
        <v>%</v>
      </c>
      <c r="C797" s="450">
        <f>PFD!G57</f>
        <v>100</v>
      </c>
      <c r="D797" s="450">
        <v>100</v>
      </c>
      <c r="E797" s="450">
        <v>100</v>
      </c>
    </row>
    <row r="798" spans="1:8">
      <c r="A798" s="315" t="str">
        <f>PFD!C58</f>
        <v>B4 on/off</v>
      </c>
      <c r="B798" s="315" t="str">
        <f>PFD!D58</f>
        <v>bin.</v>
      </c>
      <c r="C798" s="450">
        <f>PFD!G58</f>
        <v>0</v>
      </c>
      <c r="D798" s="450">
        <v>0</v>
      </c>
      <c r="E798" s="450">
        <v>0</v>
      </c>
    </row>
    <row r="799" spans="1:8">
      <c r="A799" s="315" t="str">
        <f>PFD!C59</f>
        <v>B7 on/off</v>
      </c>
      <c r="B799" s="315" t="str">
        <f>PFD!D59</f>
        <v>bin.</v>
      </c>
      <c r="C799" s="450">
        <f>PFD!G59</f>
        <v>0</v>
      </c>
      <c r="D799" s="450">
        <v>0</v>
      </c>
      <c r="E799" s="450">
        <v>0</v>
      </c>
    </row>
    <row r="800" spans="1:8">
      <c r="A800" s="315" t="str">
        <f>PFD!C60</f>
        <v>B9 on/off</v>
      </c>
      <c r="B800" s="315" t="str">
        <f>PFD!D60</f>
        <v>bin.</v>
      </c>
      <c r="C800" s="450">
        <f>PFD!G60</f>
        <v>0</v>
      </c>
      <c r="D800" s="450">
        <v>0</v>
      </c>
      <c r="E800" s="450">
        <v>0</v>
      </c>
    </row>
    <row r="801" spans="1:8">
      <c r="A801" s="315" t="str">
        <f>PFD!C61</f>
        <v>GT1 on/off</v>
      </c>
      <c r="B801" s="315" t="str">
        <f>PFD!D61</f>
        <v>bin.</v>
      </c>
      <c r="C801" s="450">
        <f>PFD!G61</f>
        <v>1</v>
      </c>
      <c r="D801" s="450">
        <v>1</v>
      </c>
      <c r="E801" s="450">
        <v>1</v>
      </c>
    </row>
    <row r="802" spans="1:8">
      <c r="A802" s="315" t="str">
        <f>PFD!C62</f>
        <v>GT2 on/off</v>
      </c>
      <c r="B802" s="315" t="str">
        <f>PFD!D62</f>
        <v>bin.</v>
      </c>
      <c r="C802" s="450">
        <f>PFD!G62</f>
        <v>1</v>
      </c>
      <c r="D802" s="450">
        <v>0</v>
      </c>
      <c r="E802" s="450">
        <v>1</v>
      </c>
    </row>
    <row r="803" spans="1:8">
      <c r="A803" s="315" t="str">
        <f>PFD!C63</f>
        <v>WHB 1 Supp on/off</v>
      </c>
      <c r="B803" s="315" t="str">
        <f>PFD!D63</f>
        <v>bin.</v>
      </c>
      <c r="C803" s="450">
        <f>PFD!G63</f>
        <v>1</v>
      </c>
      <c r="D803" s="450">
        <v>1</v>
      </c>
      <c r="E803" s="450">
        <v>1</v>
      </c>
    </row>
    <row r="804" spans="1:8">
      <c r="A804" s="315" t="str">
        <f>PFD!C64</f>
        <v>WHB2 Supp on/off</v>
      </c>
      <c r="B804" s="315" t="str">
        <f>PFD!D64</f>
        <v>bin.</v>
      </c>
      <c r="C804" s="450">
        <f>PFD!G64</f>
        <v>0</v>
      </c>
      <c r="D804" s="450">
        <v>0</v>
      </c>
      <c r="E804" s="450">
        <v>0</v>
      </c>
    </row>
    <row r="805" spans="1:8" s="315" customFormat="1">
      <c r="A805" s="315" t="str">
        <f>PFD!C65</f>
        <v>Aux. boiler on/off</v>
      </c>
      <c r="B805" s="315" t="str">
        <f>PFD!D65</f>
        <v>bin.</v>
      </c>
      <c r="C805" s="450">
        <f>PFD!G65</f>
        <v>0</v>
      </c>
      <c r="D805" s="450">
        <v>0</v>
      </c>
      <c r="E805" s="450">
        <v>0</v>
      </c>
      <c r="F805"/>
      <c r="G805"/>
      <c r="H805"/>
    </row>
    <row r="806" spans="1:8">
      <c r="A806" s="315" t="str">
        <f>PFD!C66</f>
        <v>MP-1 on/off</v>
      </c>
      <c r="B806" s="315" t="str">
        <f>PFD!D66</f>
        <v>bin.</v>
      </c>
      <c r="C806" s="450">
        <f>PFD!G66</f>
        <v>1</v>
      </c>
      <c r="D806" s="450">
        <v>1</v>
      </c>
      <c r="E806" s="450">
        <v>1</v>
      </c>
    </row>
    <row r="807" spans="1:8">
      <c r="A807" s="315" t="str">
        <f>PFD!C67</f>
        <v>MP-2 on/off</v>
      </c>
      <c r="B807" s="315" t="str">
        <f>PFD!D67</f>
        <v>bin.</v>
      </c>
      <c r="C807" s="450">
        <f>PFD!G67</f>
        <v>1</v>
      </c>
      <c r="D807" s="450">
        <v>1</v>
      </c>
      <c r="E807" s="450">
        <v>1</v>
      </c>
    </row>
    <row r="808" spans="1:8">
      <c r="A808" s="315" t="str">
        <f>PFD!C68</f>
        <v>ST2 on/off</v>
      </c>
      <c r="B808" s="315" t="str">
        <f>PFD!D68</f>
        <v>bin.</v>
      </c>
      <c r="C808" s="450">
        <f>PFD!G68</f>
        <v>0</v>
      </c>
      <c r="D808" s="450">
        <v>0</v>
      </c>
      <c r="E808" s="450">
        <v>0</v>
      </c>
    </row>
    <row r="809" spans="1:8">
      <c r="A809" s="315" t="str">
        <f>PFD!C69</f>
        <v>ST5 on/off</v>
      </c>
      <c r="B809" s="315" t="str">
        <f>PFD!D69</f>
        <v>bin.</v>
      </c>
      <c r="C809" s="450">
        <f>PFD!G69</f>
        <v>0</v>
      </c>
      <c r="D809" s="450">
        <v>0</v>
      </c>
      <c r="E809" s="450">
        <v>0</v>
      </c>
    </row>
    <row r="810" spans="1:8">
      <c r="A810" s="315" t="str">
        <f>PFD!C70</f>
        <v>ST6 on/off</v>
      </c>
      <c r="B810" s="315" t="str">
        <f>PFD!D70</f>
        <v>bin.</v>
      </c>
      <c r="C810" s="450">
        <f>PFD!G70</f>
        <v>0</v>
      </c>
      <c r="D810" s="450">
        <v>0</v>
      </c>
      <c r="E810" s="450">
        <v>0</v>
      </c>
    </row>
    <row r="811" spans="1:8">
      <c r="A811" s="315" t="str">
        <f>PFD!C71</f>
        <v>ST7 on/off</v>
      </c>
      <c r="B811" s="315" t="str">
        <f>PFD!D71</f>
        <v>bin.</v>
      </c>
      <c r="C811" s="450">
        <f>PFD!G71</f>
        <v>0</v>
      </c>
      <c r="D811" s="450">
        <v>0</v>
      </c>
      <c r="E811" s="450">
        <v>0</v>
      </c>
    </row>
    <row r="812" spans="1:8">
      <c r="A812" s="315" t="str">
        <f>PFD!C72</f>
        <v>ST5 HP on/off</v>
      </c>
      <c r="B812" s="315" t="str">
        <f>PFD!D72</f>
        <v>bin.</v>
      </c>
      <c r="C812" s="450">
        <f>PFD!G72</f>
        <v>1</v>
      </c>
      <c r="D812" s="450">
        <v>1</v>
      </c>
      <c r="E812" s="450">
        <v>1</v>
      </c>
    </row>
    <row r="813" spans="1:8">
      <c r="A813" s="315" t="str">
        <f>PFD!C73</f>
        <v>GE on/off</v>
      </c>
      <c r="B813" s="315" t="str">
        <f>PFD!D73</f>
        <v>bin.</v>
      </c>
      <c r="C813" s="450">
        <f>PFD!G73</f>
        <v>1</v>
      </c>
      <c r="D813" s="450">
        <v>1</v>
      </c>
      <c r="E813" s="450">
        <v>1</v>
      </c>
    </row>
    <row r="814" spans="1:8">
      <c r="A814" s="315" t="str">
        <f>PFD!C74</f>
        <v>Import</v>
      </c>
      <c r="B814" s="315" t="str">
        <f>PFD!D74</f>
        <v>bin.</v>
      </c>
      <c r="C814" s="450">
        <f>PFD!G74</f>
        <v>0</v>
      </c>
      <c r="D814" s="450">
        <v>0</v>
      </c>
      <c r="E814" s="450">
        <v>0</v>
      </c>
    </row>
    <row r="815" spans="1:8">
      <c r="A815" s="315" t="str">
        <f>PFD!C75</f>
        <v>Export</v>
      </c>
      <c r="B815" s="315" t="str">
        <f>PFD!D75</f>
        <v>bin.</v>
      </c>
      <c r="C815" s="450">
        <f>PFD!G75</f>
        <v>1</v>
      </c>
      <c r="D815" s="450">
        <v>1</v>
      </c>
      <c r="E815" s="450">
        <v>1</v>
      </c>
    </row>
    <row r="816" spans="1:8">
      <c r="A816" s="315" t="str">
        <f>PFD!C76</f>
        <v>Import</v>
      </c>
      <c r="B816" s="315" t="str">
        <f>PFD!D76</f>
        <v>MW</v>
      </c>
      <c r="C816" s="450">
        <f>PFD!G76</f>
        <v>0</v>
      </c>
      <c r="D816" s="450">
        <v>0</v>
      </c>
      <c r="E816" s="450">
        <v>0</v>
      </c>
    </row>
    <row r="817" spans="1:5">
      <c r="A817" s="315" t="str">
        <f>PFD!C77</f>
        <v>Export</v>
      </c>
      <c r="B817" s="315" t="str">
        <f>PFD!D77</f>
        <v>MW</v>
      </c>
      <c r="C817" s="450">
        <f>PFD!G77</f>
        <v>4.1237348999999996</v>
      </c>
      <c r="D817" s="450">
        <v>0.75099042000000005</v>
      </c>
      <c r="E817" s="450">
        <v>4.1237348999999996</v>
      </c>
    </row>
  </sheetData>
  <conditionalFormatting sqref="C20:C35">
    <cfRule type="cellIs" dxfId="26" priority="841" operator="equal">
      <formula>"OFF"</formula>
    </cfRule>
    <cfRule type="cellIs" dxfId="25" priority="842" operator="equal">
      <formula>"ON/OFF"</formula>
    </cfRule>
    <cfRule type="cellIs" dxfId="24" priority="843" operator="equal">
      <formula>"ON"</formula>
    </cfRule>
  </conditionalFormatting>
  <conditionalFormatting sqref="C20:C35">
    <cfRule type="cellIs" dxfId="23" priority="844" operator="equal">
      <formula>#REF!</formula>
    </cfRule>
    <cfRule type="cellIs" dxfId="22" priority="845" operator="equal">
      <formula>#REF!</formula>
    </cfRule>
    <cfRule type="cellIs" dxfId="21" priority="846" operator="equal">
      <formula>#REF!</formula>
    </cfRule>
  </conditionalFormatting>
  <conditionalFormatting sqref="C20:C35">
    <cfRule type="cellIs" dxfId="20" priority="838" operator="equal">
      <formula>#REF!</formula>
    </cfRule>
    <cfRule type="cellIs" dxfId="19" priority="839" operator="equal">
      <formula>#REF!</formula>
    </cfRule>
    <cfRule type="cellIs" dxfId="18" priority="840" operator="equal">
      <formula>#REF!</formula>
    </cfRule>
  </conditionalFormatting>
  <conditionalFormatting sqref="D20:D35">
    <cfRule type="cellIs" dxfId="17" priority="13" operator="equal">
      <formula>"OFF"</formula>
    </cfRule>
    <cfRule type="cellIs" dxfId="16" priority="14" operator="equal">
      <formula>"ON/OFF"</formula>
    </cfRule>
    <cfRule type="cellIs" dxfId="15" priority="15" operator="equal">
      <formula>"ON"</formula>
    </cfRule>
  </conditionalFormatting>
  <conditionalFormatting sqref="D20:D35">
    <cfRule type="cellIs" dxfId="14" priority="16" operator="equal">
      <formula>#REF!</formula>
    </cfRule>
    <cfRule type="cellIs" dxfId="13" priority="17" operator="equal">
      <formula>#REF!</formula>
    </cfRule>
    <cfRule type="cellIs" dxfId="12" priority="18" operator="equal">
      <formula>#REF!</formula>
    </cfRule>
  </conditionalFormatting>
  <conditionalFormatting sqref="D20:D35">
    <cfRule type="cellIs" dxfId="11" priority="10" operator="equal">
      <formula>#REF!</formula>
    </cfRule>
    <cfRule type="cellIs" dxfId="10" priority="11" operator="equal">
      <formula>#REF!</formula>
    </cfRule>
    <cfRule type="cellIs" dxfId="9" priority="12" operator="equal">
      <formula>#REF!</formula>
    </cfRule>
  </conditionalFormatting>
  <conditionalFormatting sqref="E20:E35">
    <cfRule type="cellIs" dxfId="8" priority="4" operator="equal">
      <formula>"OFF"</formula>
    </cfRule>
    <cfRule type="cellIs" dxfId="7" priority="5" operator="equal">
      <formula>"ON/OFF"</formula>
    </cfRule>
    <cfRule type="cellIs" dxfId="6" priority="6" operator="equal">
      <formula>"ON"</formula>
    </cfRule>
  </conditionalFormatting>
  <conditionalFormatting sqref="E20:E35">
    <cfRule type="cellIs" dxfId="5" priority="7" operator="equal">
      <formula>#REF!</formula>
    </cfRule>
    <cfRule type="cellIs" dxfId="4" priority="8" operator="equal">
      <formula>#REF!</formula>
    </cfRule>
    <cfRule type="cellIs" dxfId="3" priority="9" operator="equal">
      <formula>#REF!</formula>
    </cfRule>
  </conditionalFormatting>
  <conditionalFormatting sqref="E20:E35">
    <cfRule type="cellIs" dxfId="2" priority="1" operator="equal">
      <formula>#REF!</formula>
    </cfRule>
    <cfRule type="cellIs" dxfId="1" priority="2" operator="equal">
      <formula>#REF!</formula>
    </cfRule>
    <cfRule type="cellIs" dxfId="0" priority="3" operator="equal">
      <formula>#REF!</formula>
    </cfRule>
  </conditionalFormatting>
  <pageMargins left="0.7" right="0.7" top="0.75" bottom="0.75" header="0.3" footer="0.3"/>
  <pageSetup paperSize="9" orientation="portrait"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A4"/>
  <sheetViews>
    <sheetView workbookViewId="0">
      <selection activeCell="F8" sqref="F8"/>
    </sheetView>
  </sheetViews>
  <sheetFormatPr baseColWidth="10" defaultColWidth="8.83203125" defaultRowHeight="15"/>
  <sheetData>
    <row r="1" spans="1:1">
      <c r="A1" t="s">
        <v>1009</v>
      </c>
    </row>
    <row r="2" spans="1:1">
      <c r="A2" t="s">
        <v>1010</v>
      </c>
    </row>
    <row r="4" spans="1:1">
      <c r="A4" t="s">
        <v>1011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
  <sheetViews>
    <sheetView workbookViewId="0">
      <selection activeCell="A5" sqref="A5:C9"/>
    </sheetView>
  </sheetViews>
  <sheetFormatPr baseColWidth="10" defaultColWidth="8.83203125"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106</vt:i4>
      </vt:variant>
    </vt:vector>
  </HeadingPairs>
  <TitlesOfParts>
    <vt:vector size="115" baseType="lpstr">
      <vt:lpstr>Intro</vt:lpstr>
      <vt:lpstr>Operator</vt:lpstr>
      <vt:lpstr>Assets</vt:lpstr>
      <vt:lpstr>PFD</vt:lpstr>
      <vt:lpstr>Model</vt:lpstr>
      <vt:lpstr>Eco.</vt:lpstr>
      <vt:lpstr>Results</vt:lpstr>
      <vt:lpstr>to do</vt:lpstr>
      <vt:lpstr>Sheet1</vt:lpstr>
      <vt:lpstr>actualvar</vt:lpstr>
      <vt:lpstr>ambt</vt:lpstr>
      <vt:lpstr>ambTemp</vt:lpstr>
      <vt:lpstr>AREAassumptions</vt:lpstr>
      <vt:lpstr>AREAboilers</vt:lpstr>
      <vt:lpstr>AREAcusttariffscalc</vt:lpstr>
      <vt:lpstr>AREAdacalc</vt:lpstr>
      <vt:lpstr>AREAecohourly</vt:lpstr>
      <vt:lpstr>AREAgasengine</vt:lpstr>
      <vt:lpstr>AREAgasturbines</vt:lpstr>
      <vt:lpstr>AREAoprinputs</vt:lpstr>
      <vt:lpstr>AREAparasitics</vt:lpstr>
      <vt:lpstr>AREArigsim</vt:lpstr>
      <vt:lpstr>AREAsteamturbines</vt:lpstr>
      <vt:lpstr>AREAvariables</vt:lpstr>
      <vt:lpstr>BC.CMPEffy</vt:lpstr>
      <vt:lpstr>BC.cSFEffy</vt:lpstr>
      <vt:lpstr>case</vt:lpstr>
      <vt:lpstr>constraints</vt:lpstr>
      <vt:lpstr>ConstrBINmax</vt:lpstr>
      <vt:lpstr>ConstrBINmin</vt:lpstr>
      <vt:lpstr>constrEHP</vt:lpstr>
      <vt:lpstr>ConstrELECTBAL1</vt:lpstr>
      <vt:lpstr>ConstrGTWHB</vt:lpstr>
      <vt:lpstr>ConstrHEAD</vt:lpstr>
      <vt:lpstr>ConstrST2LHS</vt:lpstr>
      <vt:lpstr>ConstrST2RHS</vt:lpstr>
      <vt:lpstr>ConstrST5LHS</vt:lpstr>
      <vt:lpstr>ConstrST5RHS</vt:lpstr>
      <vt:lpstr>CONVG</vt:lpstr>
      <vt:lpstr>date</vt:lpstr>
      <vt:lpstr>derivatives</vt:lpstr>
      <vt:lpstr>electBLUE</vt:lpstr>
      <vt:lpstr>electLENZ</vt:lpstr>
      <vt:lpstr>electVAR</vt:lpstr>
      <vt:lpstr>estimates</vt:lpstr>
      <vt:lpstr>hBFW</vt:lpstr>
      <vt:lpstr>hCRres</vt:lpstr>
      <vt:lpstr>hDA</vt:lpstr>
      <vt:lpstr>hEXHact</vt:lpstr>
      <vt:lpstr>hEXHrig</vt:lpstr>
      <vt:lpstr>hEXHrig0</vt:lpstr>
      <vt:lpstr>hMUact</vt:lpstr>
      <vt:lpstr>hMUres</vt:lpstr>
      <vt:lpstr>hMUrig</vt:lpstr>
      <vt:lpstr>hMUrig0</vt:lpstr>
      <vt:lpstr>hVENT</vt:lpstr>
      <vt:lpstr>intTOL</vt:lpstr>
      <vt:lpstr>LPBLUE</vt:lpstr>
      <vt:lpstr>LPLENZ</vt:lpstr>
      <vt:lpstr>MDLengine</vt:lpstr>
      <vt:lpstr>MPBLUE</vt:lpstr>
      <vt:lpstr>MPLENZ</vt:lpstr>
      <vt:lpstr>normalsitePCV</vt:lpstr>
      <vt:lpstr>objfctn</vt:lpstr>
      <vt:lpstr>PFD!OpenSolverModelParameters</vt:lpstr>
      <vt:lpstr>OPRallresults</vt:lpstr>
      <vt:lpstr>oprELECTblue</vt:lpstr>
      <vt:lpstr>oprelectLENZ</vt:lpstr>
      <vt:lpstr>oprELECTtal</vt:lpstr>
      <vt:lpstr>OPRengine</vt:lpstr>
      <vt:lpstr>oprEXPORT</vt:lpstr>
      <vt:lpstr>oprGAS</vt:lpstr>
      <vt:lpstr>oprIMPORT</vt:lpstr>
      <vt:lpstr>oprLPBLUE</vt:lpstr>
      <vt:lpstr>oprLPLENZ</vt:lpstr>
      <vt:lpstr>oprLPTAL</vt:lpstr>
      <vt:lpstr>oprMPBLUE</vt:lpstr>
      <vt:lpstr>oprMPLENZ</vt:lpstr>
      <vt:lpstr>oprMPTAL</vt:lpstr>
      <vt:lpstr>OPRnumcases</vt:lpstr>
      <vt:lpstr>OPRrunconstraints</vt:lpstr>
      <vt:lpstr>oprsteampriceMP</vt:lpstr>
      <vt:lpstr>oprWATER</vt:lpstr>
      <vt:lpstr>patm</vt:lpstr>
      <vt:lpstr>PCV</vt:lpstr>
      <vt:lpstr>Precision</vt:lpstr>
      <vt:lpstr>RA.AssetConditions</vt:lpstr>
      <vt:lpstr>RA.CaseInputs</vt:lpstr>
      <vt:lpstr>RA.CaseInputs0</vt:lpstr>
      <vt:lpstr>reloadmodel</vt:lpstr>
      <vt:lpstr>results</vt:lpstr>
      <vt:lpstr>resultvar</vt:lpstr>
      <vt:lpstr>searchoption</vt:lpstr>
      <vt:lpstr>solverarray</vt:lpstr>
      <vt:lpstr>solverchoice</vt:lpstr>
      <vt:lpstr>steampriceLPBLUEopr</vt:lpstr>
      <vt:lpstr>steampriceLPLENZopr</vt:lpstr>
      <vt:lpstr>steampriceMPBLUEopr</vt:lpstr>
      <vt:lpstr>steampriceMPLENZopr</vt:lpstr>
      <vt:lpstr>TCRres</vt:lpstr>
      <vt:lpstr>thermAREA</vt:lpstr>
      <vt:lpstr>TMUact</vt:lpstr>
      <vt:lpstr>TMUres</vt:lpstr>
      <vt:lpstr>TMUrig</vt:lpstr>
      <vt:lpstr>TMUrig0</vt:lpstr>
      <vt:lpstr>VARbin</vt:lpstr>
      <vt:lpstr>VARbinMAX</vt:lpstr>
      <vt:lpstr>VARbinMIN</vt:lpstr>
      <vt:lpstr>VARelect</vt:lpstr>
      <vt:lpstr>VARelectmax</vt:lpstr>
      <vt:lpstr>varelectMAXCR</vt:lpstr>
      <vt:lpstr>VARelectmin</vt:lpstr>
      <vt:lpstr>varelectMINCR</vt:lpstr>
      <vt:lpstr>VARintMAX</vt:lpstr>
      <vt:lpstr>VARintMIN</vt:lpstr>
    </vt:vector>
  </TitlesOfParts>
  <Company>COFELY UK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IT4092</dc:creator>
  <cp:lastModifiedBy>Adam Green</cp:lastModifiedBy>
  <cp:lastPrinted>2015-07-15T22:53:41Z</cp:lastPrinted>
  <dcterms:created xsi:type="dcterms:W3CDTF">2013-01-07T13:01:34Z</dcterms:created>
  <dcterms:modified xsi:type="dcterms:W3CDTF">2018-07-07T07:57:35Z</dcterms:modified>
</cp:coreProperties>
</file>